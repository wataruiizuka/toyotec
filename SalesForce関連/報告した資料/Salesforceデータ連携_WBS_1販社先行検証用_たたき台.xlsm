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ADME_入力規則設定" sheetId="1" r:id="rId4"/>
    <sheet state="visible" name="WBS_テンプレ" sheetId="2" r:id="rId5"/>
    <sheet state="visible" name="_old_WBS_Kuduバージョン" sheetId="3" r:id="rId6"/>
    <sheet state="visible" name="ref_祝日・トヨテック休日一覧2026" sheetId="4" r:id="rId7"/>
    <sheet state="visible" name="WBS_タスク補足" sheetId="5" r:id="rId8"/>
    <sheet state="visible" name="見積工数対応表" sheetId="6" r:id="rId9"/>
    <sheet state="visible" name="WBS_閲覧用" sheetId="7" r:id="rId10"/>
    <sheet state="visible" name="WBS_方針変更記録" sheetId="8" r:id="rId11"/>
    <sheet state="visible" name="WBS工数配賦" sheetId="9" r:id="rId12"/>
    <sheet state="visible" name="見積突合・スコープ整理" sheetId="10" r:id="rId13"/>
  </sheets>
  <definedNames/>
  <calcPr/>
  <extLst>
    <ext uri="GoogleSheetsCustomDataVersion2">
      <go:sheetsCustomData xmlns:go="http://customooxmlschemas.google.com/" r:id="rId14" roundtripDataChecksum="aZHo2gDnsrjzqIXxv5SshFvMiuMD0iu8LAoiffd9Luo="/>
    </ext>
  </extLst>
</workbook>
</file>

<file path=xl/sharedStrings.xml><?xml version="1.0" encoding="utf-8"?>
<sst xmlns="http://schemas.openxmlformats.org/spreadsheetml/2006/main" count="3365" uniqueCount="1092">
  <si>
    <t>祝日名</t>
  </si>
  <si>
    <t>入力用</t>
  </si>
  <si>
    <t>範囲</t>
  </si>
  <si>
    <t>入力・運用ルール</t>
  </si>
  <si>
    <t>表示用</t>
  </si>
  <si>
    <t>Kuduバージョン</t>
  </si>
  <si>
    <t>日付</t>
  </si>
  <si>
    <t>曜日</t>
  </si>
  <si>
    <t>A:C</t>
  </si>
  <si>
    <t>大項目・中項目・小項目（入力）</t>
  </si>
  <si>
    <t>元日</t>
  </si>
  <si>
    <t>D:H</t>
  </si>
  <si>
    <t>表示用階層・項番（数式。編集しない）</t>
  </si>
  <si>
    <t>木</t>
  </si>
  <si>
    <t>I:I</t>
  </si>
  <si>
    <t>主担当チーム（選択式）</t>
  </si>
  <si>
    <t>成人の日</t>
  </si>
  <si>
    <t>月</t>
  </si>
  <si>
    <t>J:J</t>
  </si>
  <si>
    <t>主担当者（自由入力）</t>
  </si>
  <si>
    <t>※タスクの項番はDX道場チーム資料準拠</t>
  </si>
  <si>
    <t>Sprint7</t>
  </si>
  <si>
    <t>建国記念の日</t>
  </si>
  <si>
    <t>水</t>
  </si>
  <si>
    <t>K:K</t>
  </si>
  <si>
    <t>PROEVER等のタスクURL</t>
  </si>
  <si>
    <t>天皇誕生日</t>
  </si>
  <si>
    <t>Sprint8</t>
  </si>
  <si>
    <t>L:L</t>
  </si>
  <si>
    <t>タイトル自動作成（数式。編集しない）</t>
  </si>
  <si>
    <t>Sprint9</t>
  </si>
  <si>
    <t>春分の日</t>
  </si>
  <si>
    <t>金</t>
  </si>
  <si>
    <t>M:N</t>
  </si>
  <si>
    <t>夏休みーー</t>
  </si>
  <si>
    <t>開始日・終了日</t>
  </si>
  <si>
    <t>ーーー</t>
  </si>
  <si>
    <t>ーー＞</t>
  </si>
  <si>
    <t>昭和の日</t>
  </si>
  <si>
    <t>Sprint10</t>
  </si>
  <si>
    <t>O:O</t>
  </si>
  <si>
    <t>ステータス（準備中／進行中／完了）</t>
  </si>
  <si>
    <t>Sprint11</t>
  </si>
  <si>
    <t>憲法記念日</t>
  </si>
  <si>
    <t>P:DN</t>
  </si>
  <si>
    <t>ガントチャート（2026/7/6～2026/10/16）</t>
  </si>
  <si>
    <t>日</t>
  </si>
  <si>
    <t>Sprint12</t>
  </si>
  <si>
    <t>注意</t>
  </si>
  <si>
    <t>未確定の担当者・工数は推測で入力していません。</t>
  </si>
  <si>
    <t>みどりの日</t>
  </si>
  <si>
    <t>Sprint13</t>
  </si>
  <si>
    <t>大項目</t>
  </si>
  <si>
    <t>項番</t>
  </si>
  <si>
    <t>中項目</t>
  </si>
  <si>
    <t>小項目</t>
  </si>
  <si>
    <t>プロジェクト</t>
  </si>
  <si>
    <t>タスク明細</t>
  </si>
  <si>
    <t>基準前提</t>
  </si>
  <si>
    <t>1販社先行検証・NiFi・検証環境・Salesforce→NiFi→CDP連携。号口反映・追加販社展開は先行検証後に判断します。</t>
  </si>
  <si>
    <t>担当</t>
  </si>
  <si>
    <t>こどもの日</t>
  </si>
  <si>
    <t>PROEVER URL</t>
  </si>
  <si>
    <t>スケジュール</t>
  </si>
  <si>
    <t>火</t>
  </si>
  <si>
    <t>推奨閲覧シート</t>
  </si>
  <si>
    <t>WBS_閲覧用：主要項目と週次ガントを横幅を抑えて表示</t>
  </si>
  <si>
    <t>ステータス</t>
  </si>
  <si>
    <t>憲法記念日振替休日</t>
  </si>
  <si>
    <t>詳細確認シート</t>
  </si>
  <si>
    <t>WBS_タスク補足：作業内容・完了条件・根拠・備考を確認</t>
  </si>
  <si>
    <t>海の日</t>
  </si>
  <si>
    <t>方針変更の根拠</t>
  </si>
  <si>
    <t>山の日</t>
  </si>
  <si>
    <t>Salesforceデータ連携およびPower BIファイル形式に関する打ち合わせまとめ.md</t>
  </si>
  <si>
    <t>敬老の日</t>
  </si>
  <si>
    <t>MTG決定事項</t>
  </si>
  <si>
    <t>最初から複数販社へ展開せず、まず1販社を対象にNiFiでCDPへデータ連携するための調査・準備・検証を行う。</t>
  </si>
  <si>
    <t>国民の休日</t>
  </si>
  <si>
    <t>WBSの扱い</t>
  </si>
  <si>
    <t>現行タスクIDを維持し、1販社先行検証を通常作業、2販社目・号口反映を条件付き／後続作業として整理。</t>
  </si>
  <si>
    <t>秋分の日</t>
  </si>
  <si>
    <t>工数の扱い</t>
  </si>
  <si>
    <t>基準工数53.5人日。1販社見積57.5人日から、号口リリース設計2人日・実施2人日を条件付きへ分離。第一リリース資料51.5人日はADF・ADLS・Cloudera加工・Power BIを含む別構成のため合算しない。</t>
  </si>
  <si>
    <t>スポーツの日</t>
  </si>
  <si>
    <t>未確定</t>
  </si>
  <si>
    <t>文化の日</t>
  </si>
  <si>
    <t>先行販社名、対象Object・Field、CDP保存先、全件／差分、検証完了条件、正式日程、号口実施可否。</t>
  </si>
  <si>
    <t>勤労感謝の日</t>
  </si>
  <si>
    <t>Power BI</t>
  </si>
  <si>
    <t>PBIX→PBIP自動変換検証は一旦中止。Power BI関連はSalesforce先行検証の必須範囲外として別途確認。</t>
  </si>
  <si>
    <t>夏休み</t>
  </si>
  <si>
    <t>タイトル</t>
  </si>
  <si>
    <t>正式管理元</t>
  </si>
  <si>
    <t>WBS_テンプレ。WBS_閲覧用は確認用で、変更時は両シートの整合を確認する。</t>
  </si>
  <si>
    <t>チーム</t>
  </si>
  <si>
    <t>担当者</t>
  </si>
  <si>
    <t>更新日</t>
  </si>
  <si>
    <t>-</t>
  </si>
  <si>
    <t>2026/08/05</t>
  </si>
  <si>
    <t>開始日</t>
  </si>
  <si>
    <t>終了日</t>
  </si>
  <si>
    <t>工数根拠資料1</t>
  </si>
  <si>
    <t>土</t>
  </si>
  <si>
    <t>Salesforceデータ連携_お見積もり(1)／概算お見積り_初期開発_1販社</t>
  </si>
  <si>
    <t>工数根拠資料2</t>
  </si>
  <si>
    <t>Salesforceデータ連携_マネージ資料_3案 セレス案(1)／概算お見積り（第一リリース）</t>
  </si>
  <si>
    <t>基準工数</t>
  </si>
  <si>
    <t>53.5人日（先行検証・検証環境）</t>
  </si>
  <si>
    <t>条件付き工数</t>
  </si>
  <si>
    <t>4.0人日（号口リリース設計2.0＋実施2.0）</t>
  </si>
  <si>
    <t>仮作業期間</t>
  </si>
  <si>
    <t>2026/08/03～2026/09/18。正式納期は要件確定後に再確認。</t>
  </si>
  <si>
    <t>Dataviz</t>
  </si>
  <si>
    <t>プロジェクト管理</t>
  </si>
  <si>
    <t>PowerBI関連</t>
  </si>
  <si>
    <t>夏休みーーーーーーーーーーーーーーーーーーーーーーーーーー＞</t>
  </si>
  <si>
    <t>DX道場</t>
  </si>
  <si>
    <t>進行中</t>
  </si>
  <si>
    <t>Sprint14</t>
  </si>
  <si>
    <t>dataviz関連カンレン</t>
  </si>
  <si>
    <t>PowerBI帳票仕様変更対応</t>
  </si>
  <si>
    <t>NEO帳票仕様変更対応(仕様変更と全国展開対応)</t>
  </si>
  <si>
    <t>問合せ</t>
  </si>
  <si>
    <t>顧客問合せ対応コキャクトイアワタイオウ</t>
  </si>
  <si>
    <t>PROEVER情報</t>
  </si>
  <si>
    <t>dataviz開発（既存機能）</t>
  </si>
  <si>
    <t>残った帳票の開発（SMB空き枠カレンダー、新車受注分析、長崎_経営ダッシュボード 、マスタメンテナンス機能の一部）ノコチョウヒョウカイハツイチブ</t>
  </si>
  <si>
    <t>dataviz開発（マージ対応）</t>
  </si>
  <si>
    <t>新車受注分析</t>
  </si>
  <si>
    <t>準備中</t>
  </si>
  <si>
    <t>中古車受注分析（マスタ画面含め）ガメンフク</t>
  </si>
  <si>
    <t>中古車仕入・在庫情報</t>
  </si>
  <si>
    <t>市場処置の実施状況と部品管理見える化</t>
  </si>
  <si>
    <t>NEO 契約№変更対応の帳票改修</t>
  </si>
  <si>
    <t>ストール充足率の見える化</t>
  </si>
  <si>
    <t>中項番</t>
  </si>
  <si>
    <t>小項番</t>
  </si>
  <si>
    <t>URL</t>
  </si>
  <si>
    <t>タイトル（自動作成）</t>
  </si>
  <si>
    <t>A</t>
  </si>
  <si>
    <t>事前準備</t>
  </si>
  <si>
    <t>Dataviz構成図整理</t>
  </si>
  <si>
    <t>インフラ</t>
  </si>
  <si>
    <t>Schiffer</t>
  </si>
  <si>
    <t>【DATA VIZ】コンポーネント図作成 | PROEVER</t>
  </si>
  <si>
    <t>B</t>
  </si>
  <si>
    <t>WBS作成</t>
  </si>
  <si>
    <t>木村</t>
  </si>
  <si>
    <t>【Data Viz】WBS詳細の作成 | PROEVER</t>
  </si>
  <si>
    <t>権限設計</t>
  </si>
  <si>
    <t>各販社のユーザー情報収集</t>
  </si>
  <si>
    <t>Ranger権限設定のデモのスクリプト作成とインフラチームへの説明セツメイ</t>
  </si>
  <si>
    <t>C</t>
  </si>
  <si>
    <t>Ranger権限設定のレビュー（Clouderaに連携）</t>
  </si>
  <si>
    <t>各販社ユーザー向けRangeロール作成（検証環境）ケンショウカンキョウ</t>
  </si>
  <si>
    <t>各販社ユーザー向けユーザ権限付与（検証環境）ケンゲンフヨ</t>
  </si>
  <si>
    <t>Salesforceデータ連携（1販社先行検証）</t>
  </si>
  <si>
    <t>外部依存・着手条件</t>
  </si>
  <si>
    <t>Salesforce Sandbox環境の準備</t>
  </si>
  <si>
    <t>Dataviz関連ユーザ権限設計レビュー（設計は６月にやった）カンレンケンゲンセッケイセッケイガツ</t>
  </si>
  <si>
    <t>Dataviz関連ユーザ権限設計検証カンレンケンゲンセッケイケンショウ</t>
  </si>
  <si>
    <t>D</t>
  </si>
  <si>
    <t>認証方式変更</t>
  </si>
  <si>
    <t>GAC申請</t>
  </si>
  <si>
    <r>
      <rPr>
        <rFont val="Yu Gothic UI"/>
        <color rgb="FF000000"/>
        <sz val="11.0"/>
      </rPr>
      <t xml:space="preserve">ATSC／GAC CDP導入（検証環境）
</t>
    </r>
    <r>
      <rPr>
        <rFont val="Meiryo UI"/>
        <color rgb="FFFF0000"/>
        <sz val="11.0"/>
      </rPr>
      <t>※望ましいのは7月末前に完了、できない場合、</t>
    </r>
    <r>
      <rPr>
        <rFont val="Noto Sans JP"/>
        <color rgb="FFFF0000"/>
        <sz val="11.0"/>
      </rPr>
      <t>8/7前</t>
    </r>
    <r>
      <rPr>
        <rFont val="Meiryo UI"/>
        <color rgb="FFFF0000"/>
        <sz val="11.0"/>
      </rPr>
      <t>に完了必須</t>
    </r>
  </si>
  <si>
    <t>ATSC／GAC  Web導入（検証環境）ドウニュウ</t>
  </si>
  <si>
    <t>TMCセキュリティ要件・個人情報取扱条件の提示</t>
  </si>
  <si>
    <t>中間テーブル</t>
  </si>
  <si>
    <t>JOB環境の申込カンキョウモウシコミ</t>
  </si>
  <si>
    <t>JOB環境の構築コウチク</t>
  </si>
  <si>
    <t>中間テーブル更新のJOB作成コウシンサクセイ</t>
  </si>
  <si>
    <t>テスト</t>
  </si>
  <si>
    <t>詳細設計書改修</t>
  </si>
  <si>
    <t>Salesforceアカウント・認証情報の準備</t>
  </si>
  <si>
    <t>資料整備</t>
  </si>
  <si>
    <t>マニュアル改修</t>
  </si>
  <si>
    <t>受入テスト対応</t>
  </si>
  <si>
    <t>受入テスト</t>
  </si>
  <si>
    <t>ユーザーアクセス権限の本番データ移行</t>
  </si>
  <si>
    <t>本番リリース</t>
  </si>
  <si>
    <t>本番情報設定（役割グループ、Ranger、Job）ホンバンジョウホウセッテイヤクワリ</t>
  </si>
  <si>
    <t>リリース準備と実施</t>
  </si>
  <si>
    <t>先行対象1販社・検証環境・Salesforce Orgの確定</t>
  </si>
  <si>
    <t>NiFi連携方式・CDP保存先・先行検証範囲の確定</t>
  </si>
  <si>
    <t>1販社先行検証の着手判定</t>
  </si>
  <si>
    <t>WBS・スケジュール・進捗管理</t>
  </si>
  <si>
    <t>課題・リスク管理</t>
  </si>
  <si>
    <t>Salesforce・基盤関係者調整</t>
  </si>
  <si>
    <t>設計・成果物レビュー管理</t>
  </si>
  <si>
    <t>試験・先行検証完了判定管理</t>
  </si>
  <si>
    <t>スコープ変更・後続展開課題管理</t>
  </si>
  <si>
    <t>要件定義</t>
  </si>
  <si>
    <t>1販社先行検証の目的・対象範囲の整理</t>
  </si>
  <si>
    <t>先行対象販社・Org・利用者の整理</t>
  </si>
  <si>
    <t>データ鮮度・更新頻度・保持期間の整理</t>
  </si>
  <si>
    <t>Salesforceデータ連携（1販社先行検証） WBSタスク補足情報</t>
  </si>
  <si>
    <t>基準前提：1販社先行検証・NiFi・検証環境・Salesforce→NiFi→CDP連携。基準工数は53.5人日（1販社見積57.5人日から号口リリース4人日を条件付きへ分離）。2026年8月3日～9月18日は、見積記載の作業L/T約1.5か月を反映した仮計画です。</t>
  </si>
  <si>
    <t>外部依存</t>
  </si>
  <si>
    <t>条件付き</t>
  </si>
  <si>
    <t>対象範囲確認</t>
  </si>
  <si>
    <t>将来対応</t>
  </si>
  <si>
    <t>マイルストーン</t>
  </si>
  <si>
    <t>通常作業</t>
  </si>
  <si>
    <t>ID</t>
  </si>
  <si>
    <t>区分</t>
  </si>
  <si>
    <t>主な作業内容</t>
  </si>
  <si>
    <t>完了条件</t>
  </si>
  <si>
    <t>工数区分</t>
  </si>
  <si>
    <t>根拠資料</t>
  </si>
  <si>
    <t>備考</t>
  </si>
  <si>
    <t>WBS行</t>
  </si>
  <si>
    <t>EXT-01</t>
  </si>
  <si>
    <t>調査・接続・試験で利用するSandboxを準備する</t>
  </si>
  <si>
    <t>対象Orgへ接続でき、必要なObjectを参照できる</t>
  </si>
  <si>
    <t>見積外・外部依存</t>
  </si>
  <si>
    <t>精緻化見積</t>
  </si>
  <si>
    <t>利用者・Salesforce側作業</t>
  </si>
  <si>
    <t>EXT-02</t>
  </si>
  <si>
    <t>認証、権限、暗号化、個人情報に関する条件を提示する</t>
  </si>
  <si>
    <t>設計に必要な条件が文書で提示されている</t>
  </si>
  <si>
    <t>TMC側作業</t>
  </si>
  <si>
    <t>EXT-03</t>
  </si>
  <si>
    <t>接続ユーザー、Connected App等の認証情報を準備する</t>
  </si>
  <si>
    <t>検証環境で認証に利用できる</t>
  </si>
  <si>
    <t>両資料</t>
  </si>
  <si>
    <t>秘密情報の受渡方法も確認</t>
  </si>
  <si>
    <t>先行検証・号口反映・追加販社展開の境界整理</t>
  </si>
  <si>
    <t>EXT-04</t>
  </si>
  <si>
    <t>先行対象となる1販社、検証環境、接続先Salesforce Orgを確定する</t>
  </si>
  <si>
    <t>先行販社・検証環境・Orgの対応表が完成している</t>
  </si>
  <si>
    <t>要件定義10人日枠</t>
  </si>
  <si>
    <t>先行販社名は未確定。号口・追加販社は先行検証後に判断</t>
  </si>
  <si>
    <t>EXT-05</t>
  </si>
  <si>
    <t>NiFiを用いたSalesforce→CDP連携の保存先、データ加工範囲、検証対象を決定する</t>
  </si>
  <si>
    <t>NiFi利用、CDP保存先、先行検証範囲が承認されている</t>
  </si>
  <si>
    <t>要件定義10人日／基本設計7人日内で配賦</t>
  </si>
  <si>
    <t>MTG議事録／両資料</t>
  </si>
  <si>
    <t>NiFi利用はMTG方針。CDP保存先・加工範囲は未確定</t>
  </si>
  <si>
    <t>EXT-06</t>
  </si>
  <si>
    <t>対象、権限、接続条件、保存先、検証完了条件を確認して先行検証の着手可否を判定する</t>
  </si>
  <si>
    <t>先行検証の着手条件が満たされ、判定結果が記録されている</t>
  </si>
  <si>
    <t>PM・PL10人日枠</t>
  </si>
  <si>
    <t>マイルストーンM1：先行検証着手判定</t>
  </si>
  <si>
    <t>PM-01</t>
  </si>
  <si>
    <t>通常</t>
  </si>
  <si>
    <t>WBS更新、予定・実績管理、遅延確認を行う</t>
  </si>
  <si>
    <t>WBSと進捗情報が最新状態になっている</t>
  </si>
  <si>
    <t>継続タスク</t>
  </si>
  <si>
    <t>PM-02</t>
  </si>
  <si>
    <t>課題、リスク、対応期限、担当を管理する</t>
  </si>
  <si>
    <t>未解決事項と対応状況が確認できる</t>
  </si>
  <si>
    <t>PM-03</t>
  </si>
  <si>
    <t>Salesforce、NiFi、インフラ、利用者との調整を行う</t>
  </si>
  <si>
    <t>必要な依頼・回答・判断が記録されている</t>
  </si>
  <si>
    <t>Salesforce窓口対応を統合</t>
  </si>
  <si>
    <t>PM-04</t>
  </si>
  <si>
    <t>設計書、試験書、手順書のレビューを管理する</t>
  </si>
  <si>
    <t>指摘対応とレビュー結果が記録されている</t>
  </si>
  <si>
    <t>PM-05</t>
  </si>
  <si>
    <t>単体・E2E試験の完了と先行検証の完了可否を管理する</t>
  </si>
  <si>
    <t>試験結果と先行検証完了判定が記録されている</t>
  </si>
  <si>
    <t>号口・追加販社のGo／No-Go判断を含む</t>
  </si>
  <si>
    <t>PM-06</t>
  </si>
  <si>
    <t>追加要件、対象外、号口反映、2販社目、追加販社展開の課題を管理する</t>
  </si>
  <si>
    <t>変更内容と後続展開事項が整理されている</t>
  </si>
  <si>
    <t>セレス案</t>
  </si>
  <si>
    <t>REQ-01</t>
  </si>
  <si>
    <t>1販社の先行検証で確認する目的、対象データ、対象外を整理する</t>
  </si>
  <si>
    <t>先行検証の目的、対象・対象外、成果物が明確になっている</t>
  </si>
  <si>
    <t>MTG議事録／セレス案</t>
  </si>
  <si>
    <t>1販社先行検証 工数再算定結果</t>
  </si>
  <si>
    <t>REQ-02</t>
  </si>
  <si>
    <t>基準は「概算お見積り_初期開発_1販社」の57.5人日です。今回のWBSは検証環境での1販社先行検証を対象とし、号口リリース4人日は条件付きへ分離したため、基準工数を53.5人日としています。</t>
  </si>
  <si>
    <t>先行対象1販社、Salesforce Org、データ利用者・確認者を整理する</t>
  </si>
  <si>
    <t>先行販社・Org・利用者・確認者が一覧化されている</t>
  </si>
  <si>
    <t>元見積合計</t>
  </si>
  <si>
    <t>列 1</t>
  </si>
  <si>
    <t>先行検証基準</t>
  </si>
  <si>
    <t>列 2</t>
  </si>
  <si>
    <t>REQ-03</t>
  </si>
  <si>
    <t>列 3</t>
  </si>
  <si>
    <t>作業L/T</t>
  </si>
  <si>
    <t>連携頻度、反映時刻、保持期間を整理する</t>
  </si>
  <si>
    <t>数値目標または判断基準が決定している</t>
  </si>
  <si>
    <t>列 4</t>
  </si>
  <si>
    <t>REQ-04</t>
  </si>
  <si>
    <t>約1.5か月</t>
  </si>
  <si>
    <t>先行検証で実施する範囲と、号口反映・2販社目・追加販社へ回す範囲を整理する</t>
  </si>
  <si>
    <t>先行検証と後続展開の境界が関係者間で合意されている</t>
  </si>
  <si>
    <t>1販社・検証＋号口</t>
  </si>
  <si>
    <t>1販社・検証環境</t>
  </si>
  <si>
    <t>号口リリース</t>
  </si>
  <si>
    <t>要件確定後</t>
  </si>
  <si>
    <t>REQ-05</t>
  </si>
  <si>
    <t>1販社先行検証要件書の作成・レビュー</t>
  </si>
  <si>
    <t>先行検証の目的、対象、連携条件、完了条件を要件書としてまとめる</t>
  </si>
  <si>
    <t>1販社先行検証要件書のレビューが完了している</t>
  </si>
  <si>
    <t>見積カテゴリ</t>
  </si>
  <si>
    <t>文書作成を含む</t>
  </si>
  <si>
    <t>元見積工数</t>
  </si>
  <si>
    <t>SFD-01</t>
  </si>
  <si>
    <t>WBS対応工程</t>
  </si>
  <si>
    <t>Salesforceデータ調査</t>
  </si>
  <si>
    <t>扱い</t>
  </si>
  <si>
    <t>対象Object・Fieldの洗い出し</t>
  </si>
  <si>
    <t>差分理由</t>
  </si>
  <si>
    <t>Standard／Custom Objectと対象Fieldを整理する</t>
  </si>
  <si>
    <t>Object・Field一覧が完成している</t>
  </si>
  <si>
    <t>根拠</t>
  </si>
  <si>
    <t>外部依存・要件定義・Salesforceデータ調査</t>
  </si>
  <si>
    <t>対象数確定後に再分割可能</t>
  </si>
  <si>
    <t>基準に含む</t>
  </si>
  <si>
    <t>1販社見積をそのまま採用</t>
  </si>
  <si>
    <t>SFD-02</t>
  </si>
  <si>
    <t>1販社見積</t>
  </si>
  <si>
    <t>基本設計</t>
  </si>
  <si>
    <t>キー・参照関係の調査</t>
  </si>
  <si>
    <t>Salesforce ID、業務キー、参照関係を確認する</t>
  </si>
  <si>
    <t>全体・非機能設計／IF設計／保存設計</t>
  </si>
  <si>
    <t>キー・参照関係一覧が完成している</t>
  </si>
  <si>
    <t>NiFi・CDP向けに読み替え</t>
  </si>
  <si>
    <t>1販社見積＋第一リリース作業一覧</t>
  </si>
  <si>
    <t>セキュリティ・ネットワーク</t>
  </si>
  <si>
    <t>関係者調整／Security／NW／接続／試験</t>
  </si>
  <si>
    <t>SFD-03</t>
  </si>
  <si>
    <t>検証環境でも必要</t>
  </si>
  <si>
    <t>データ件数・増加量・更新特性の調査</t>
  </si>
  <si>
    <t>データソース</t>
  </si>
  <si>
    <t>NiFi詳細設計／取得／保存／単体試験</t>
  </si>
  <si>
    <t>NiFi取得・CDP保存を対象</t>
  </si>
  <si>
    <t>件数、日次増加量、更新頻度を確認する</t>
  </si>
  <si>
    <t>結合テスト</t>
  </si>
  <si>
    <t>データ量・更新特性が整理されている</t>
  </si>
  <si>
    <t>結合・E2E試験</t>
  </si>
  <si>
    <t>1販社のSalesforce→NiFi→CDPを確認</t>
  </si>
  <si>
    <t>リリース対応</t>
  </si>
  <si>
    <t>プロジェクト管理／先行検証完了判定</t>
  </si>
  <si>
    <t>1.5か月の進行・調整・レビューを含む</t>
  </si>
  <si>
    <t>合計</t>
  </si>
  <si>
    <t>API設計の前提</t>
  </si>
  <si>
    <t>注意点</t>
  </si>
  <si>
    <t>SFD-04</t>
  </si>
  <si>
    <t>内容</t>
  </si>
  <si>
    <t>増分抽出候補項目の調査</t>
  </si>
  <si>
    <t>第一リリース資料51.5人日</t>
  </si>
  <si>
    <t>ADF・ADLS・Bronze・Silver・Gold・Power BIまで含む一方、NiFi構成とは異なるため、総工数としては採用・合算しない。作業漏れ確認とWBS分解の参考に使用する。</t>
  </si>
  <si>
    <t>運用・障害対応</t>
  </si>
  <si>
    <t>SystemModstamp等の利用可否を確認する</t>
  </si>
  <si>
    <t>1販社見積には独立した工数行がないため、基本設計・データソース詳細設計・結合試験・PM/PL内に含め、追加計上しない。</t>
  </si>
  <si>
    <t>条件付き作業</t>
  </si>
  <si>
    <t>Full／Incremental、Watermark、削除データ、Private接続、号口反映は採用条件が確定した時点で再見積する。</t>
  </si>
  <si>
    <t>Objectごとの候補項目と利用可否が整理されている</t>
  </si>
  <si>
    <t>Salesforce Sandbox準備、TMCセキュリティ要件提示など、利用者・関係者側作業は53.5人日に含めない。</t>
  </si>
  <si>
    <t>正式日程</t>
  </si>
  <si>
    <t>見積記載の作業L/T約1.5か月を基に仮日程を設定した。正式な開始日・納期は要件確定後に再確認する。</t>
  </si>
  <si>
    <t>実装採否は条件付き</t>
  </si>
  <si>
    <t>SFD-05</t>
  </si>
  <si>
    <t>削除データ・個人情報・機密項目の調査</t>
  </si>
  <si>
    <t>削除連携要否と機密項目を確認する</t>
  </si>
  <si>
    <t>削除要否と機密項目一覧が整理されている</t>
  </si>
  <si>
    <t>削除実装は条件付き</t>
  </si>
  <si>
    <t>SFD-06</t>
  </si>
  <si>
    <t>Salesforce調査結果一覧の作成・レビュー</t>
  </si>
  <si>
    <t>調査結果をObject／Field一覧として文書化する</t>
  </si>
  <si>
    <t>調査結果のレビューが完了している</t>
  </si>
  <si>
    <t>ARC-01</t>
  </si>
  <si>
    <t>全体・非機能設計</t>
  </si>
  <si>
    <t>Salesforce→NiFi→CDPのE2E構成・責務分界設計</t>
  </si>
  <si>
    <t>Salesforce、NiFi、CDP間のデータ流れと各担当の責務を設計する</t>
  </si>
  <si>
    <t>1販社先行検証のE2E構成と責務分界が定義されている</t>
  </si>
  <si>
    <t>基本設計7人日枠</t>
  </si>
  <si>
    <t>MTG方針に合わせSalesforce→NiFi→CDPを基準化</t>
  </si>
  <si>
    <t>ARC-02</t>
  </si>
  <si>
    <t>システム構成図の作成・レビュー</t>
  </si>
  <si>
    <t>接続関係、環境、通信経路を図示する</t>
  </si>
  <si>
    <t>構成図のレビューが完了している</t>
  </si>
  <si>
    <t>ARC-03</t>
  </si>
  <si>
    <t>先行検証で確認する共通化・販社固有観点の整理</t>
  </si>
  <si>
    <t>1販社で確認する共通化候補、販社固有設定、追加販社で変更が必要な観点を事前整理する</t>
  </si>
  <si>
    <t>先行検証で確認する共通化・固有観点のチェックリストが完成している</t>
  </si>
  <si>
    <t>最終的な標準化は先行検証後にFUT-03で整理</t>
  </si>
  <si>
    <t>ARC-04</t>
  </si>
  <si>
    <t>データ鮮度・処理時間目標の整理</t>
  </si>
  <si>
    <t>反映期限、バッチ処理時間の目標を設定する</t>
  </si>
  <si>
    <t>テストで確認可能な目標が定義されている</t>
  </si>
  <si>
    <t>ARC-05</t>
  </si>
  <si>
    <t>再実行・障害復旧・再取得方針の設計</t>
  </si>
  <si>
    <t>Retry、再取得、再加工、Recovery Pointを整理する</t>
  </si>
  <si>
    <t>障害時の処理方法と責任分界が定義されている</t>
  </si>
  <si>
    <t>ARC-06</t>
  </si>
  <si>
    <t>監視・通知・ログ・処理履歴方針の設計</t>
  </si>
  <si>
    <t>監視対象、通知、ログ、実行履歴を整理する</t>
  </si>
  <si>
    <t>運用で確認する項目と保存情報が定義されている</t>
  </si>
  <si>
    <t>ARC-07</t>
  </si>
  <si>
    <t>非機能・運用方針書の作成・レビュー</t>
  </si>
  <si>
    <t>非機能・障害復旧・監視方針を文書化する</t>
  </si>
  <si>
    <t>方針書のレビューが完了している</t>
  </si>
  <si>
    <t>SEC-01</t>
  </si>
  <si>
    <t>セキュリティ設計</t>
  </si>
  <si>
    <t>Salesforce認証方式の設計</t>
  </si>
  <si>
    <t>Salesforceデータ連携（1販社先行検証） WBS閲覧用</t>
  </si>
  <si>
    <t>接続ユーザー、Connected App、認証方式を決定する</t>
  </si>
  <si>
    <t>基準前提：1販社先行検証・NiFi・検証環境・Salesforce→NiFi→CDP連携。号口反映・2販社目・追加販社展開は先行検証後に判断します。開始日・終了日・担当者・小項目工数は、正式決定前の計画情報を含みます。
元の2販社対応WBSで通常作業としていた以下の作業を、条件付き・後続対応へ移したことで、計画上の開発期間を短縮できる。
その際の短縮版が下記のWBSとなる。</t>
  </si>
  <si>
    <t>採用する認証方式が定義されている</t>
  </si>
  <si>
    <t>総タスク 121件</t>
  </si>
  <si>
    <t>セキュリティ・NW9.5人日枠</t>
  </si>
  <si>
    <t>計画期間 2026/8/3 ～ 2026/9/18（仮）</t>
  </si>
  <si>
    <t>基準工数 53.5人日</t>
  </si>
  <si>
    <t>条件付き 20件</t>
  </si>
  <si>
    <t>対象範囲確認 8件</t>
  </si>
  <si>
    <t>将来対応 4件</t>
  </si>
  <si>
    <t>SEC-02</t>
  </si>
  <si>
    <t>連携基盤・保存先の認証認可設計</t>
  </si>
  <si>
    <t>タスク一覧</t>
  </si>
  <si>
    <t>NiFiと保存先の認証・権限を整理する</t>
  </si>
  <si>
    <t>週次ガント（各列は週初日）</t>
  </si>
  <si>
    <t>必要な権限と認証方法が定義されている</t>
  </si>
  <si>
    <t>No.</t>
  </si>
  <si>
    <t>保存先確定後に具体化</t>
  </si>
  <si>
    <t>SEC-03</t>
  </si>
  <si>
    <t>Credential・Secret管理方式の設計</t>
  </si>
  <si>
    <t>秘密情報の保管・参照方法を設計する</t>
  </si>
  <si>
    <t>コード等へ直接保持しない方式が定義されている</t>
  </si>
  <si>
    <t>特定製品は未確定</t>
  </si>
  <si>
    <t>SEC-04</t>
  </si>
  <si>
    <t>暗号化・機密データアクセス権の設計</t>
  </si>
  <si>
    <t>通信・保存時暗号化とアクセス範囲を決める</t>
  </si>
  <si>
    <t>暗号化・アクセス条件が定義されている</t>
  </si>
  <si>
    <t>SEC-05</t>
  </si>
  <si>
    <t>監査ログ・アクセスログ方針の設計</t>
  </si>
  <si>
    <t>記録するログ、保存期間、確認主体を整理する</t>
  </si>
  <si>
    <t>ログ取得方針が定義されている</t>
  </si>
  <si>
    <t>SEC-06</t>
  </si>
  <si>
    <t>セキュリティ設計書の作成・レビュー</t>
  </si>
  <si>
    <t>認証、権限、Secret、暗号化を文書化する</t>
  </si>
  <si>
    <t>設計書のレビューが完了している</t>
  </si>
  <si>
    <t>NW-01</t>
  </si>
  <si>
    <t>ネットワーク設計</t>
  </si>
  <si>
    <t>既存通信経路・接続方式の調査</t>
  </si>
  <si>
    <t>SalesforceからNiFi・保存先までの経路を確認する</t>
  </si>
  <si>
    <t>現行経路が図または一覧で確認できる</t>
  </si>
  <si>
    <t>NW-02</t>
  </si>
  <si>
    <t>Public／Private接続方式の決定</t>
  </si>
  <si>
    <t>通信方式とセキュリティ条件を確認する</t>
  </si>
  <si>
    <t>採用する接続方式が決定している</t>
  </si>
  <si>
    <t>NW-03</t>
  </si>
  <si>
    <t>接続先・Port・Protocolの整理</t>
  </si>
  <si>
    <t>通信要件を区間別に整理する</t>
  </si>
  <si>
    <t>通信要件一覧が完成している</t>
  </si>
  <si>
    <t>NW-04</t>
  </si>
  <si>
    <t>ネットワーク設定変更依頼内容の整理</t>
  </si>
  <si>
    <t>IP許可、Firewall等の依頼内容を作成する</t>
  </si>
  <si>
    <t>依頼に必要な情報が整理されている</t>
  </si>
  <si>
    <t>実際の設定変更主体は未確定</t>
  </si>
  <si>
    <t>NW-05</t>
  </si>
  <si>
    <t>区間別疎通試験方法の設計</t>
  </si>
  <si>
    <t>接続区間ごとの試験方法と期待結果を定義する</t>
  </si>
  <si>
    <t>疎通試験手順が作成されている</t>
  </si>
  <si>
    <t>NW-06</t>
  </si>
  <si>
    <t>ネットワーク・アプリ障害切り分け方式の設計</t>
  </si>
  <si>
    <t>障害時の確認順序と担当範囲を整理する</t>
  </si>
  <si>
    <t>一次切り分け方法が定義されている</t>
  </si>
  <si>
    <t>NW-07</t>
  </si>
  <si>
    <t>ネットワーク接続設計書の作成・レビュー</t>
  </si>
  <si>
    <t>通信経路・要件・試験方法を文書化する</t>
  </si>
  <si>
    <t>IF-01</t>
  </si>
  <si>
    <t>データ連携・IF設計</t>
  </si>
  <si>
    <t>Objectごとの取得方式・Load Typeの設計</t>
  </si>
  <si>
    <t>全件・差分等の取得方式をObject単位で決める</t>
  </si>
  <si>
    <t>Object別取得方式一覧が完成している</t>
  </si>
  <si>
    <t>基本設計7人日／データソース詳細設計3人日内で配賦</t>
  </si>
  <si>
    <t>IF-02</t>
  </si>
  <si>
    <t>Salesforce API制約を考慮した取得方式の設計</t>
  </si>
  <si>
    <t>API上限、ページング、取得量を考慮する</t>
  </si>
  <si>
    <t>API制約を満たす取得方法が定義されている</t>
  </si>
  <si>
    <t>IF-03</t>
  </si>
  <si>
    <t>冪等性・重複排除方式の設計</t>
  </si>
  <si>
    <t>再実行時の重複防止ルールを決める</t>
  </si>
  <si>
    <t>重複判定キーと処理方法が定義されている</t>
  </si>
  <si>
    <t>IF-04</t>
  </si>
  <si>
    <t>データマッピング設計</t>
  </si>
  <si>
    <t>Salesforce項目と保存先項目を対応付ける</t>
  </si>
  <si>
    <t>マッピング表が完成している</t>
  </si>
  <si>
    <t>データソース13人日枠</t>
  </si>
  <si>
    <t>IF-05</t>
  </si>
  <si>
    <t>データ変換ルールの設計</t>
  </si>
  <si>
    <t>型変換、NULL、コード、名称等のルールを決める</t>
  </si>
  <si>
    <t>変換ルールが文書化されている</t>
  </si>
  <si>
    <t>IF-06</t>
  </si>
  <si>
    <t>インターフェース設計書の作成・レビュー</t>
  </si>
  <si>
    <t>取得方式、API、エラー、再実行を文書化する</t>
  </si>
  <si>
    <t>IF-07</t>
  </si>
  <si>
    <t>データマッピング設計書の作成・レビュー</t>
  </si>
  <si>
    <t>マッピングと変換ルールを成果物化する</t>
  </si>
  <si>
    <t>DAT-01</t>
  </si>
  <si>
    <t>データ保存・テーブル設計</t>
  </si>
  <si>
    <t>Salesforceデータと保存先項目の対応設計</t>
  </si>
  <si>
    <t>Salesforce項目と保存先構造を対応付ける</t>
  </si>
  <si>
    <t>対応表が完成している</t>
  </si>
  <si>
    <t>DAT-02</t>
  </si>
  <si>
    <t>販社識別子・レコードキーの設計</t>
  </si>
  <si>
    <t>先行1販社のレコード識別に必要なキーと、将来の販社追加に備えた販社識別子を設計する</t>
  </si>
  <si>
    <t>レコードキーと販社識別方法が定義されている</t>
  </si>
  <si>
    <t>1販社先行。追加販社で変更できる設計とする</t>
  </si>
  <si>
    <t>DAT-03</t>
  </si>
  <si>
    <t>保存先テーブル定義書の作成・レビュー</t>
  </si>
  <si>
    <t>項目名、型、キー、説明を定義する</t>
  </si>
  <si>
    <t>テーブル定義書のレビューが完了している</t>
  </si>
  <si>
    <t>CON-01</t>
  </si>
  <si>
    <t>Salesforce接続設定</t>
  </si>
  <si>
    <t>Salesforce接続Credential・権限設定</t>
  </si>
  <si>
    <t>先行対象販社の検証環境でSalesforce接続Credentialと最小権限を設定する</t>
  </si>
  <si>
    <t>先行対象Orgへ認証でき、対象Objectを参照できる</t>
  </si>
  <si>
    <t>先行対象販社・検証環境で実施</t>
  </si>
  <si>
    <t>CON-02</t>
  </si>
  <si>
    <t>NiFi for Salesforce接続設定</t>
  </si>
  <si>
    <t>NiFiからSalesforceへ接続する設定を行う</t>
  </si>
  <si>
    <t>NiFiから接続できる</t>
  </si>
  <si>
    <t>NiFi基準</t>
  </si>
  <si>
    <t>CON-03</t>
  </si>
  <si>
    <t>対象Objectアクセス・サンプル取得確認</t>
  </si>
  <si>
    <t>対象Objectからサンプルデータを取得する</t>
  </si>
  <si>
    <t>サンプルデータを取得できる</t>
  </si>
  <si>
    <t>CON-04</t>
  </si>
  <si>
    <t>API接続・基本エラー動作確認</t>
  </si>
  <si>
    <t>正常接続と基本的な接続エラーを確認する</t>
  </si>
  <si>
    <t>正常時・異常時の結果が記録されている</t>
  </si>
  <si>
    <t>M3に対応</t>
  </si>
  <si>
    <t>DEV-01</t>
  </si>
  <si>
    <t>データ取得・保存開発</t>
  </si>
  <si>
    <t>NiFi共通データ取得フローの設計・実装</t>
  </si>
  <si>
    <t>複数Objectで共通利用する取得処理を実装する</t>
  </si>
  <si>
    <t>設定値によって対象Objectを変更できる</t>
  </si>
  <si>
    <t>DEV-02</t>
  </si>
  <si>
    <t>NiFiデータ保存フローの設計・実装</t>
  </si>
  <si>
    <t>取得データを指定された保存先へ格納する</t>
  </si>
  <si>
    <t>指定場所にデータが保存される</t>
  </si>
  <si>
    <t>DEV-03</t>
  </si>
  <si>
    <t>技術メタデータ付与処理の実装</t>
  </si>
  <si>
    <t>実行日時、販社、処理ID等を付与する</t>
  </si>
  <si>
    <t>必要な技術情報が保存される</t>
  </si>
  <si>
    <t>DEV-04</t>
  </si>
  <si>
    <t>成功・失敗ステータス管理の実装</t>
  </si>
  <si>
    <t>実行結果とエラー情報を記録する</t>
  </si>
  <si>
    <t>処理結果を追跡できる</t>
  </si>
  <si>
    <t>DEV-05</t>
  </si>
  <si>
    <t>Retry・再実行・重複防止処理の実装</t>
  </si>
  <si>
    <t>失敗時再実行と重複防止を実装する</t>
  </si>
  <si>
    <t>再実行後も重複が発生しない</t>
  </si>
  <si>
    <t>DEV-06</t>
  </si>
  <si>
    <t>先行検証に必要な設定の外部化</t>
  </si>
  <si>
    <t>接続先、Object、Field、保存先など、先行検証で変更が想定される設定を外部化する</t>
  </si>
  <si>
    <t>先行販社の設定変更をコード改修なし、または最小変更で行える</t>
  </si>
  <si>
    <t>複数販社向けの最終標準化ではなく、先行検証に必要な範囲</t>
  </si>
  <si>
    <t>DEV-07</t>
  </si>
  <si>
    <t>先行1販社のデータ取得・CDP保存設定</t>
  </si>
  <si>
    <t>先行対象1販社向けにSalesforceデータ取得とCDP保存の設定を作成する</t>
  </si>
  <si>
    <t>先行1販社の対象データをNiFiで取得し、CDPへ保存できる</t>
  </si>
  <si>
    <t>MTG議事録／精緻化見積</t>
  </si>
  <si>
    <t>先行販社名・対象Objectは未確定</t>
  </si>
  <si>
    <t>DEV-08</t>
  </si>
  <si>
    <t>2販社目のデータ取得・保存設定（先行検証後）</t>
  </si>
  <si>
    <t>先行1販社の検証結果と後続展開の承認後に、2販社目向け設定を展開する</t>
  </si>
  <si>
    <t>実施承認後、2販社目の対象データを取得・保存できる</t>
  </si>
  <si>
    <t>先行検証後に再見積</t>
  </si>
  <si>
    <t>既存2販社見積／MTG議事録</t>
  </si>
  <si>
    <t>実施条件：先行検証完了・2販社目展開のGo判断</t>
  </si>
  <si>
    <t>UT-01</t>
  </si>
  <si>
    <t>単体試験</t>
  </si>
  <si>
    <t>単体テスト項目・期待値・合否基準の作成</t>
  </si>
  <si>
    <t>取得・保存・エラー処理の試験内容を作成する</t>
  </si>
  <si>
    <t>単体テスト仕様書が完成している</t>
  </si>
  <si>
    <t>UT-02</t>
  </si>
  <si>
    <t>Salesforceデータ取得・再実行試験</t>
  </si>
  <si>
    <t>Object取得、Retry、重複防止を確認する</t>
  </si>
  <si>
    <t>期待値どおりに取得・再実行できる</t>
  </si>
  <si>
    <t>データソース単体テスト2人日枠</t>
  </si>
  <si>
    <t>先行対象1販社で実施</t>
  </si>
  <si>
    <t>UT-03</t>
  </si>
  <si>
    <t>データ保存・技術メタデータ試験</t>
  </si>
  <si>
    <t>保存先、件数、技術情報を確認する</t>
  </si>
  <si>
    <t>保存結果が設計と一致している</t>
  </si>
  <si>
    <t>UT-04</t>
  </si>
  <si>
    <t>データ変換・NULL・重複・境界ケース試験</t>
  </si>
  <si>
    <t>変換ルールと異常データを確認する</t>
  </si>
  <si>
    <t>期待する変換結果になっている</t>
  </si>
  <si>
    <t>変換実装範囲に応じる</t>
  </si>
  <si>
    <t>UT-05</t>
  </si>
  <si>
    <t>データ件数・キー・主要項目確認</t>
  </si>
  <si>
    <t>先行販社のSalesforce元データとCDP保存データの件数・キー・主要項目を確認する</t>
  </si>
  <si>
    <t>先行販社の件数・キー・主要値が一致している</t>
  </si>
  <si>
    <t>UT-06</t>
  </si>
  <si>
    <t>単体試験結果・Evidence・報告書の整理</t>
  </si>
  <si>
    <t>試験結果と証跡をまとめる</t>
  </si>
  <si>
    <t>単体試験報告書が完成している</t>
  </si>
  <si>
    <t>M5に対応</t>
  </si>
  <si>
    <t>IT-01</t>
  </si>
  <si>
    <t>1販社先行検証の結合テストシナリオ・期待値作成</t>
  </si>
  <si>
    <t>先行1販社についてSalesforce→NiFi→CDPの連携全体を確認する試験を設計する</t>
  </si>
  <si>
    <t>1販社先行検証の結合テスト設計書が完成している</t>
  </si>
  <si>
    <t>結合テスト4人日枠</t>
  </si>
  <si>
    <t>IT-02</t>
  </si>
  <si>
    <t>Salesforce元データ・保存データの件数値突合</t>
  </si>
  <si>
    <t>先行販社のSalesforce元データとCDP保存データを比較する</t>
  </si>
  <si>
    <t>先行販社の対象件数・主要値が一致している</t>
  </si>
  <si>
    <t>IT-03</t>
  </si>
  <si>
    <t>処理間のデータ追跡確認</t>
  </si>
  <si>
    <t>先行販社のSalesforce取得からNiFi処理、CDP保存までを追跡する</t>
  </si>
  <si>
    <t>先行販社の対象レコードについて処理経路を確認できる</t>
  </si>
  <si>
    <t>IT-04</t>
  </si>
  <si>
    <t>障害・再実行・正常復旧シナリオ試験</t>
  </si>
  <si>
    <t>途中失敗後の復旧動作を確認する</t>
  </si>
  <si>
    <t>欠落・重複なく復旧できる</t>
  </si>
  <si>
    <t>IT-05</t>
  </si>
  <si>
    <t>E2E処理時間の確認</t>
  </si>
  <si>
    <t>取得開始から保存完了までの時間を確認する</t>
  </si>
  <si>
    <t>目標または許容時間内で完了する</t>
  </si>
  <si>
    <t>IT-06</t>
  </si>
  <si>
    <t>結合試験結果・Evidence・報告書の整理</t>
  </si>
  <si>
    <t>結合試験結果を成果物化する</t>
  </si>
  <si>
    <t>結合試験報告書が完成している</t>
  </si>
  <si>
    <t>M6に対応</t>
  </si>
  <si>
    <t>ST-01</t>
  </si>
  <si>
    <t>セキュリティ・ネットワーク試験</t>
  </si>
  <si>
    <t>Salesforce接続権限の確認</t>
  </si>
  <si>
    <t>接続ユーザーの権限範囲を確認する</t>
  </si>
  <si>
    <t>必要なObjectのみ参照できる</t>
  </si>
  <si>
    <t>セキュリティ・NW単体1.5人日枠</t>
  </si>
  <si>
    <t>ST-02</t>
  </si>
  <si>
    <t>連携基盤・保存先アクセス権限の確認</t>
  </si>
  <si>
    <t>NiFiと保存先の権限を確認する</t>
  </si>
  <si>
    <t>必要な操作のみ実行できる</t>
  </si>
  <si>
    <t>ST-03</t>
  </si>
  <si>
    <t>Credential・Secret管理状態の確認</t>
  </si>
  <si>
    <t>秘密情報の保存・参照状態を確認する</t>
  </si>
  <si>
    <t>設計どおり安全に管理されている</t>
  </si>
  <si>
    <t>ST-04</t>
  </si>
  <si>
    <t>システム間疎通確認</t>
  </si>
  <si>
    <t>先行販社のSalesforceからNiFi、CDP保存先までの疎通を確認する</t>
  </si>
  <si>
    <t>先行検証に必要な全区間で疎通できる</t>
  </si>
  <si>
    <t>ST-05</t>
  </si>
  <si>
    <t>不要権限・不要通信経路の確認</t>
  </si>
  <si>
    <t>必要以上の権限・経路がないか確認する</t>
  </si>
  <si>
    <t>不要設定がない、または是正済み</t>
  </si>
  <si>
    <t>ST-06</t>
  </si>
  <si>
    <t>セキュリティ・NW確認結果の整理</t>
  </si>
  <si>
    <t>試験結果と指摘事項をまとめる</t>
  </si>
  <si>
    <t>確認結果がレビューされている</t>
  </si>
  <si>
    <t>OPS-01</t>
  </si>
  <si>
    <t>先行検証運用・障害対応設計</t>
  </si>
  <si>
    <t>先行検証処理の正常性確認手順作成</t>
  </si>
  <si>
    <t>先行検証の実行結果、件数、ログを確認する方法を整理する</t>
  </si>
  <si>
    <t>先行検証の正常時確認手順が作成されている</t>
  </si>
  <si>
    <t>既存見積内に内包（追加計上なし）</t>
  </si>
  <si>
    <t>精緻化見積への明記弱</t>
  </si>
  <si>
    <t>OPS-02</t>
  </si>
  <si>
    <t>先行検証時の処理遅延・件数異常確認手順作成</t>
  </si>
  <si>
    <t>先行検証で遅延・件数差異を検知する方法を整理する</t>
  </si>
  <si>
    <t>判断基準と対応方法が定義されている</t>
  </si>
  <si>
    <t>OPS-03</t>
  </si>
  <si>
    <t>NiFi・Salesforce API障害時の検証対応手順作成</t>
  </si>
  <si>
    <t>取得失敗・APIエラー時の対応を整理する</t>
  </si>
  <si>
    <t>エラー別対応手順が作成されている</t>
  </si>
  <si>
    <t>OPS-04</t>
  </si>
  <si>
    <t>先行検証データの再処理手順作成</t>
  </si>
  <si>
    <t>保存済みデータから再処理する方法を整理する</t>
  </si>
  <si>
    <t>再処理手順が作成されている</t>
  </si>
  <si>
    <t>OPS-05</t>
  </si>
  <si>
    <t>一次切り分け・エスカレーション手順作成</t>
  </si>
  <si>
    <t>担当範囲、連絡先、引継ぎ方法を整理する</t>
  </si>
  <si>
    <t>障害連絡・切り分け手順が作成されている</t>
  </si>
  <si>
    <t>OPS-06</t>
  </si>
  <si>
    <t>先行検証運用・障害対応手順書の作成・レビュー</t>
  </si>
  <si>
    <t>運用手順を成果物としてまとめる</t>
  </si>
  <si>
    <t>先行検証用の手順書レビューが完了している</t>
  </si>
  <si>
    <t>先行検証完了判定の確認資料</t>
  </si>
  <si>
    <t>REL-01</t>
  </si>
  <si>
    <t>号口反映・後続展開（条件付き）</t>
  </si>
  <si>
    <t>号口反映・後続展開の実施可否判定と計画作成</t>
  </si>
  <si>
    <t>先行検証結果を基に、号口反映・後続展開の実施可否、作業順、担当、確認方法を整理する</t>
  </si>
  <si>
    <t>実施可否と後続計画が承認されている</t>
  </si>
  <si>
    <t>リリース4人日枠（条件付き・基準53.5人日には含めない）</t>
  </si>
  <si>
    <t>実施条件：1販社先行検証完了・関係者のGo判断</t>
  </si>
  <si>
    <t>REL-02</t>
  </si>
  <si>
    <t>号口反映時の切り戻し・Recovery手順作成</t>
  </si>
  <si>
    <t>号口反映を行う場合の切り戻し条件と復旧手順を整理する</t>
  </si>
  <si>
    <t>号口反映時の切り戻し条件・手順が定義されている</t>
  </si>
  <si>
    <t>REL-03</t>
  </si>
  <si>
    <t>号口環境Credential・Connection設定（条件付き）</t>
  </si>
  <si>
    <t>実施承認後、先行販社の号口接続CredentialとConnectionを設定する</t>
  </si>
  <si>
    <t>号口環境へ接続できる</t>
  </si>
  <si>
    <t>REL-04</t>
  </si>
  <si>
    <t>NiFi連携・CDP保存処理の号口反映（条件付き）</t>
  </si>
  <si>
    <t>実施承認後、検証済みNiFiフローとCDP保存設定を号口へ反映する</t>
  </si>
  <si>
    <t>対象資材の号口反映が完了している</t>
  </si>
  <si>
    <t>REL-05</t>
  </si>
  <si>
    <t>号口環境での初回データ取得（条件付き）</t>
  </si>
  <si>
    <t>実施承認後、号口環境で初回データを取得・保存する</t>
  </si>
  <si>
    <t>号口の初回処理が正常完了している</t>
  </si>
  <si>
    <t>REL-06</t>
  </si>
  <si>
    <t>号口データ件数・主要項目確認（条件付き）</t>
  </si>
  <si>
    <t>実施承認後、Salesforceと号口CDP保存データを確認する</t>
  </si>
  <si>
    <t>号口データの件数・主要値が一致している</t>
  </si>
  <si>
    <t>REL-07</t>
  </si>
  <si>
    <t>定期実行スケジュールの有効化（条件付き）</t>
  </si>
  <si>
    <t>実施承認後、号口の定期処理を開始する</t>
  </si>
  <si>
    <t>次回実行予定が設定されている</t>
  </si>
  <si>
    <t>REL-08</t>
  </si>
  <si>
    <t>号口反映後の初期監視（条件付き）</t>
  </si>
  <si>
    <t>実施承認後、号口の初回・定期処理の正常性を確認する</t>
  </si>
  <si>
    <t>所定の初期監視が完了している</t>
  </si>
  <si>
    <t>REL-09</t>
  </si>
  <si>
    <t>先行検証評価・後続展開判定</t>
  </si>
  <si>
    <t>先行検証完了・号口／追加販社展開判定</t>
  </si>
  <si>
    <t>1販社の検証結果、課題、残対応、号口反映・2販社目・追加販社展開の可否をまとめる</t>
  </si>
  <si>
    <t>先行検証完了と後続展開のGo／No-Go判定結果が記録されている</t>
  </si>
  <si>
    <t>先行検証の最終マイルストーン。日付は仮</t>
  </si>
  <si>
    <t>OPT-01</t>
  </si>
  <si>
    <t>Watermark項目・管理方式の設計</t>
  </si>
  <si>
    <t>差分連携を採用する場合に、Watermark項目と管理方式を設計する</t>
  </si>
  <si>
    <t>Watermark項目と更新方式が定義されている</t>
  </si>
  <si>
    <t>条件確定後</t>
  </si>
  <si>
    <t>採用条件：差分連携を採用</t>
  </si>
  <si>
    <t>OPT-02</t>
  </si>
  <si>
    <t>Overlap・取得期間境界の設計</t>
  </si>
  <si>
    <t>差分取得の取りこぼしを防ぐ取得期間境界を設計する</t>
  </si>
  <si>
    <t>取得期間条件が定義されている</t>
  </si>
  <si>
    <t>OPT-03</t>
  </si>
  <si>
    <t>Initial Full Load処理の実装</t>
  </si>
  <si>
    <t>初回全件取得処理を実装する</t>
  </si>
  <si>
    <t>全件取得が正常完了する</t>
  </si>
  <si>
    <t>採用条件：初回全件取得を行う</t>
  </si>
  <si>
    <t>OPT-04</t>
  </si>
  <si>
    <t>Incremental Load処理の実装</t>
  </si>
  <si>
    <t>更新分のみを取得する処理を実装する</t>
  </si>
  <si>
    <t>更新分だけを取得できる</t>
  </si>
  <si>
    <t>OPT-05</t>
  </si>
  <si>
    <t>Watermark正常・異常時制御の実装</t>
  </si>
  <si>
    <t>成功時更新・失敗時維持の制御を実装する</t>
  </si>
  <si>
    <t>成功時のみWatermarkが更新される</t>
  </si>
  <si>
    <t>採用条件：Watermark方式を採用</t>
  </si>
  <si>
    <t>OPT-06</t>
  </si>
  <si>
    <t>増分データ反映試験</t>
  </si>
  <si>
    <t>増分データの取得・保存結果を確認する</t>
  </si>
  <si>
    <t>増分データが保存先へ反映される</t>
  </si>
  <si>
    <t>OPT-07</t>
  </si>
  <si>
    <t>削除データ取得・反映方式の設計</t>
  </si>
  <si>
    <t>削除データの取得・保存・反映方法を設計する</t>
  </si>
  <si>
    <t>削除データの取得・反映方式が定義されている</t>
  </si>
  <si>
    <t>採用条件：削除データを対象とする</t>
  </si>
  <si>
    <t>OPT-08</t>
  </si>
  <si>
    <t>削除データ取得処理の実装</t>
  </si>
  <si>
    <t>削除データ取得処理を実装する</t>
  </si>
  <si>
    <t>削除データを取得できる</t>
  </si>
  <si>
    <t>OPT-09</t>
  </si>
  <si>
    <t>削除データ反映試験</t>
  </si>
  <si>
    <t>削除データの保存・反映結果を確認する</t>
  </si>
  <si>
    <t>削除結果が保存先へ反映される</t>
  </si>
  <si>
    <t>OPT-10</t>
  </si>
  <si>
    <t>Private接続追加設計</t>
  </si>
  <si>
    <t>Private Endpoint等の追加接続を設計する</t>
  </si>
  <si>
    <t>追加接続設計が完成している</t>
  </si>
  <si>
    <t>採用条件：新規Private接続が必要</t>
  </si>
  <si>
    <t>OPT-11</t>
  </si>
  <si>
    <t>Firewall・NSG等の追加設定確認</t>
  </si>
  <si>
    <t>追加設定の反映と疎通を確認する</t>
  </si>
  <si>
    <t>設定反映と疎通確認が完了している</t>
  </si>
  <si>
    <t>採用条件：既存設定変更が必要</t>
  </si>
  <si>
    <t>SCP-01</t>
  </si>
  <si>
    <t>対象範囲確認：データ加工基盤</t>
  </si>
  <si>
    <t>ADLS Landing／Raw</t>
  </si>
  <si>
    <t>NiFi保存先としてADLSを構築するか確認する</t>
  </si>
  <si>
    <t>対象範囲への採否と見積上の扱いが決定している</t>
  </si>
  <si>
    <t>統合再見積対象</t>
  </si>
  <si>
    <t>基準WBSでは未採用</t>
  </si>
  <si>
    <t>SCP-02</t>
  </si>
  <si>
    <t>Bronze構築</t>
  </si>
  <si>
    <t>ClouderaでObject別Bronzeを構築するか確認する</t>
  </si>
  <si>
    <t>SCP-03</t>
  </si>
  <si>
    <t>Silver構築</t>
  </si>
  <si>
    <t>標準化・最新化・結合処理を構築するか確認する</t>
  </si>
  <si>
    <t>SCP-04</t>
  </si>
  <si>
    <t>Gold構築</t>
  </si>
  <si>
    <t>分析用データ・KPIモデルを構築するか確認する</t>
  </si>
  <si>
    <t>SCP-05</t>
  </si>
  <si>
    <t>対象範囲確認：Power BI（別ワークストリーム）</t>
  </si>
  <si>
    <t>Power BI接続</t>
  </si>
  <si>
    <t>Power BIからCloudera等へ接続するか確認する</t>
  </si>
  <si>
    <t>追加見積対象</t>
  </si>
  <si>
    <t>1販社先行検証の必須範囲外。PBIP運用ヒアリングとは別途管理</t>
  </si>
  <si>
    <t>SCP-06</t>
  </si>
  <si>
    <t>Semantic Model・KPI</t>
  </si>
  <si>
    <t>データモデル・Measureを構築するか確認する</t>
  </si>
  <si>
    <t>SCP-07</t>
  </si>
  <si>
    <t>Power BIレポート作成範囲</t>
  </si>
  <si>
    <t>Salesforce先行検証とは別に、レポート作成を対象範囲へ含むか確認する</t>
  </si>
  <si>
    <t>SCP-08</t>
  </si>
  <si>
    <t>Power BI本番反映</t>
  </si>
  <si>
    <t>本番ワークスペースへの反映を含むか確認する</t>
  </si>
  <si>
    <t>FUT-01</t>
  </si>
  <si>
    <t>CDCへの拡張方針整理</t>
  </si>
  <si>
    <t>将来のCDC対応に向けた拡張方針を整理する</t>
  </si>
  <si>
    <t>方針と前提条件が整理されている</t>
  </si>
  <si>
    <t>方針整理のみ。実装しない</t>
  </si>
  <si>
    <t>FUT-02</t>
  </si>
  <si>
    <t>Streamingへの拡張方針整理</t>
  </si>
  <si>
    <t>将来のStreaming対応に向けた拡張方針を整理する</t>
  </si>
  <si>
    <t>FUT-03</t>
  </si>
  <si>
    <t>先行検証結果を基にした追加販社展開方式の改善・標準化</t>
  </si>
  <si>
    <t>先行1販社の結果を基に、共通化範囲、販社固有設定、追加販社の展開方式を改善する</t>
  </si>
  <si>
    <t>追加販社向けの改善事項と標準化案が整理されている</t>
  </si>
  <si>
    <t>先行検証結果を受けて後続で実施</t>
  </si>
  <si>
    <t>FUT-04</t>
  </si>
  <si>
    <t>先行検証の課題・改善事項を後続展開へ引継ぎ</t>
  </si>
  <si>
    <t>1販社先行検証で確認した残課題、改善事項、追加販社への注意点を引き継ぐ</t>
  </si>
  <si>
    <t>後続展開で対応する事項が一覧化されている</t>
  </si>
  <si>
    <t>先行検証完了時に整理</t>
  </si>
  <si>
    <t>Salesforceデータ連携 WBS方針変更記録</t>
  </si>
  <si>
    <t>議事録で確認された1販社先行検証方針をWBSへ反映した記録です。議事録で確定していない工数・正式日程・号口実施可否は未確定として扱います。</t>
  </si>
  <si>
    <t>項目</t>
  </si>
  <si>
    <t>MTG方針</t>
  </si>
  <si>
    <t>まず1販社を対象にSalesforce→NiFi→CDPのデータ連携を調査・準備・検証する。</t>
  </si>
  <si>
    <t>WBS基準</t>
  </si>
  <si>
    <t>2販社・検証＋号口から、1販社先行検証・検証環境中心へ変更。</t>
  </si>
  <si>
    <t>後続作業</t>
  </si>
  <si>
    <t>2販社目・号口反映・追加販社展開は、先行検証完了後のGo判断を開始条件とする。</t>
  </si>
  <si>
    <t>工数</t>
  </si>
  <si>
    <t>既存69人日は2販社見積の参考値。1販社先行検証は対象範囲確定後に再見積する</t>
  </si>
  <si>
    <t>変更対象</t>
  </si>
  <si>
    <t>変更前</t>
  </si>
  <si>
    <t>変更後</t>
  </si>
  <si>
    <t>理由</t>
  </si>
  <si>
    <t>関連タスク</t>
  </si>
  <si>
    <t>日程の扱い</t>
  </si>
  <si>
    <t>基準対象</t>
  </si>
  <si>
    <t>2販社</t>
  </si>
  <si>
    <t>1販社先行検証</t>
  </si>
  <si>
    <t>EXT-04、REQ-02、DEV-07</t>
  </si>
  <si>
    <t>既存日程は仮</t>
  </si>
  <si>
    <t>要再見積</t>
  </si>
  <si>
    <t>先行販社名は未確定</t>
  </si>
  <si>
    <t>連携経路</t>
  </si>
  <si>
    <t>NiFi基準だが保存先未確定</t>
  </si>
  <si>
    <t>Salesforce→NiFi→CDP</t>
  </si>
  <si>
    <t>MTGでNiFi・CDP先行検証を確認</t>
  </si>
  <si>
    <t>EXT-05、ARC-01、DEV-02</t>
  </si>
  <si>
    <t>CDPの具体的保存先は未確定</t>
  </si>
  <si>
    <t>2販社目</t>
  </si>
  <si>
    <t>先行検証後の条件付き</t>
  </si>
  <si>
    <t>先行検証結果から展開判断</t>
  </si>
  <si>
    <t>日程未設定</t>
  </si>
  <si>
    <t>Go判断後に開始</t>
  </si>
  <si>
    <t>号口反映</t>
  </si>
  <si>
    <t>議事録では号口実施が未確定</t>
  </si>
  <si>
    <t>REL-01～REL-08</t>
  </si>
  <si>
    <t>関係者承認が開始条件</t>
  </si>
  <si>
    <t>完了判定</t>
  </si>
  <si>
    <t>第一リリース完了判定</t>
  </si>
  <si>
    <t>先行検証完了・後続展開判定</t>
  </si>
  <si>
    <t>今回の目的に合わせる</t>
  </si>
  <si>
    <t>2026/10/16は仮</t>
  </si>
  <si>
    <t>Go／No-Goを記録</t>
  </si>
  <si>
    <t>別ワークストリームとして継続確認</t>
  </si>
  <si>
    <t>PBIX→PBIP変換検証は一旦中止</t>
  </si>
  <si>
    <t>SCP-05～SCP-08</t>
  </si>
  <si>
    <t>未設定</t>
  </si>
  <si>
    <t>先行検証の必須範囲外</t>
  </si>
  <si>
    <t>未確定事項</t>
  </si>
  <si>
    <t>WBS修正後も確認が必要な内容</t>
  </si>
  <si>
    <t>先行販社</t>
  </si>
  <si>
    <t>具体的な販社名・Salesforce Org</t>
  </si>
  <si>
    <t>対象データ</t>
  </si>
  <si>
    <t>Object、Field、データ量、更新特性</t>
  </si>
  <si>
    <t>CDP保存先</t>
  </si>
  <si>
    <t>DB・テーブル・ファイル形式等</t>
  </si>
  <si>
    <t>取得方式</t>
  </si>
  <si>
    <t>全件・差分・Watermark・削除データ</t>
  </si>
  <si>
    <t>検証完了条件</t>
  </si>
  <si>
    <t>件数、主要項目、処理時間、Evidence、承認者</t>
  </si>
  <si>
    <t>開始日、完了希望日、外部依存期限</t>
  </si>
  <si>
    <t>先行検証工数</t>
  </si>
  <si>
    <t>既存69人日とは別に再見積</t>
  </si>
  <si>
    <t>後続展開</t>
  </si>
  <si>
    <t>号口反映、2販社目、追加販社の実施可否・開始時期</t>
  </si>
  <si>
    <t>工数再算定</t>
  </si>
  <si>
    <t>対象</t>
  </si>
  <si>
    <t>日程</t>
  </si>
  <si>
    <t>53.5人日</t>
  </si>
  <si>
    <t>1販社見積57.5－号口リリース4</t>
  </si>
  <si>
    <t>先行1販社・検証環境</t>
  </si>
  <si>
    <t>2026/8/3～9/18（仮）</t>
  </si>
  <si>
    <t>号口4人日</t>
  </si>
  <si>
    <t>正式納期は要件確定後</t>
  </si>
  <si>
    <t>リリース</t>
  </si>
  <si>
    <t>条件付き4.0人日</t>
  </si>
  <si>
    <t>見積の設計2＋実施2</t>
  </si>
  <si>
    <t>REL-01～08</t>
  </si>
  <si>
    <t>Go判断後に再計上</t>
  </si>
  <si>
    <t>先行検証基準外</t>
  </si>
  <si>
    <t>第一リリース51.5</t>
  </si>
  <si>
    <t>参考対象</t>
  </si>
  <si>
    <t>作業分解・漏れ確認に限定</t>
  </si>
  <si>
    <t>ADF/ADLS/加工/PBIを含む別構成</t>
  </si>
  <si>
    <t>全WBS</t>
  </si>
  <si>
    <t>合算しない</t>
  </si>
  <si>
    <t>各対象範囲で判断</t>
  </si>
  <si>
    <t>総工数として採用しない</t>
  </si>
  <si>
    <t>WBS日程</t>
  </si>
  <si>
    <t>～2026/10/16</t>
  </si>
  <si>
    <t>～2026/9/18</t>
  </si>
  <si>
    <t>見積L/T約1.5か月</t>
  </si>
  <si>
    <t>通常作業・検証完了</t>
  </si>
  <si>
    <t>仮計画</t>
  </si>
  <si>
    <t>条件付き作業は未設定</t>
  </si>
  <si>
    <t>担当体制で再確認</t>
  </si>
  <si>
    <t>1販社先行検証 WBS工数配賦</t>
  </si>
  <si>
    <t>工数は見積書の行単位で配賦しています。WBS小項目ごとの細かな割当は、担当者・対象Object数・実装方式の確定後に行います。</t>
  </si>
  <si>
    <t>見積タスク</t>
  </si>
  <si>
    <t>元工数</t>
  </si>
  <si>
    <t>関連WBS ID</t>
  </si>
  <si>
    <t>配賦先・対象作業</t>
  </si>
  <si>
    <t>補足</t>
  </si>
  <si>
    <t>調査</t>
  </si>
  <si>
    <t>EXT-04～05、REQ-01～04、SFD-01～05、NW-01、CON-03</t>
  </si>
  <si>
    <t>接続要件、対象データ、通信経路、サンプル取得の調査</t>
  </si>
  <si>
    <t>複数WBSへ横断配賦</t>
  </si>
  <si>
    <t>定義書作成</t>
  </si>
  <si>
    <t>EXT-06、REQ-05、SFD-06</t>
  </si>
  <si>
    <t>目的、対象、連携概要、認証、API制約の文書化・レビュー</t>
  </si>
  <si>
    <t>要件定義成果物</t>
  </si>
  <si>
    <t>構成図作成</t>
  </si>
  <si>
    <t>ARC-01～02</t>
  </si>
  <si>
    <t>Salesforce→NiFi→CDP構成と責務分界</t>
  </si>
  <si>
    <t>ADF等は対象外</t>
  </si>
  <si>
    <t>設計書作成</t>
  </si>
  <si>
    <t>ARC-03～07、IF-01～07、DAT-01～03</t>
  </si>
  <si>
    <t>IF、マッピング、非機能、保存設計の文書化</t>
  </si>
  <si>
    <t>第一リリース作業一覧を分解参考に使用</t>
  </si>
  <si>
    <t>Security/NW</t>
  </si>
  <si>
    <t>窓口・調整</t>
  </si>
  <si>
    <t>Salesforce・基盤・インフラ関係者との調整</t>
  </si>
  <si>
    <t>PM/PLとは別に元見積へ計上済み</t>
  </si>
  <si>
    <t>詳細設計</t>
  </si>
  <si>
    <t>SEC-01～06、NW-01～07</t>
  </si>
  <si>
    <t>認証認可、IP、通信経路、Secret、ログの設計</t>
  </si>
  <si>
    <t>検証環境向け</t>
  </si>
  <si>
    <t>実装</t>
  </si>
  <si>
    <t>CON-01～04、NW-04</t>
  </si>
  <si>
    <t>Credential、接続、必要な設定反映</t>
  </si>
  <si>
    <t>Sandbox準備自体は外部依存</t>
  </si>
  <si>
    <t>単体テスト</t>
  </si>
  <si>
    <t>ST-01～06</t>
  </si>
  <si>
    <t>権限、Secret、疎通、不要経路の確認</t>
  </si>
  <si>
    <t>Evidenceを含む</t>
  </si>
  <si>
    <t>IF-01～07、DAT-01～03、DEV-01～02、UT-01</t>
  </si>
  <si>
    <t>API、変換、Recovery、保存、単体試験設計</t>
  </si>
  <si>
    <t>基本設計との重複は成果物単位で管理</t>
  </si>
  <si>
    <t>NiFiデータ取得</t>
  </si>
  <si>
    <t>DEV-01、DEV-03～07</t>
  </si>
  <si>
    <t>NiFiでSalesforceデータを取得する処理</t>
  </si>
  <si>
    <t>先行1販社</t>
  </si>
  <si>
    <t>NiFiデータ保存</t>
  </si>
  <si>
    <t>DEV-02～07</t>
  </si>
  <si>
    <t>取得データをCDPへ保存する処理</t>
  </si>
  <si>
    <t>CDP保存先確定後に具体化</t>
  </si>
  <si>
    <t>UT-02～06</t>
  </si>
  <si>
    <t>取得、保存、変換、件数、再実行の試験</t>
  </si>
  <si>
    <t>テスト設計</t>
  </si>
  <si>
    <t>E2E、整合性、Recoveryの試験設計</t>
  </si>
  <si>
    <t>テスト実施</t>
  </si>
  <si>
    <t>IT-02～06</t>
  </si>
  <si>
    <t>件数・値突合、追跡、復旧、処理時間、報告</t>
  </si>
  <si>
    <t>設計</t>
  </si>
  <si>
    <t>REL-01～02</t>
  </si>
  <si>
    <t>号口移行・切り戻し設計</t>
  </si>
  <si>
    <t>先行検証完了後のGo判断で再計上</t>
  </si>
  <si>
    <t>実施</t>
  </si>
  <si>
    <t>REL-03～08</t>
  </si>
  <si>
    <t>号口設定・反映・初回取得・初期監視</t>
  </si>
  <si>
    <t>PM</t>
  </si>
  <si>
    <t>PM-01～06、REL-09</t>
  </si>
  <si>
    <t>進行、課題、調整、判定、スコープ管理</t>
  </si>
  <si>
    <t>PLと合わせて10人日</t>
  </si>
  <si>
    <t>PL</t>
  </si>
  <si>
    <t>PM-01～06、REL-09、FUT-04</t>
  </si>
  <si>
    <t>技術判断、成果物レビュー、検証完了判定</t>
  </si>
  <si>
    <t>PMと合わせて10人日</t>
  </si>
  <si>
    <t>条件付き4.0人日は除外</t>
  </si>
  <si>
    <t>第一リリース作業一覧と1販社先行検証WBSの突合</t>
  </si>
  <si>
    <t>「概算お見積り（第一リリース）」の51.5人日は、ADF・ADLS・Cloudera加工・Power BIを含む別構成です。本表では総工数を合算せず、作業の含有・除外・条件付き判断だけに使用しています。</t>
  </si>
  <si>
    <t>カテゴリ</t>
  </si>
  <si>
    <t>タスク</t>
  </si>
  <si>
    <t>資料工数</t>
  </si>
  <si>
    <t>WBSでの扱い</t>
  </si>
  <si>
    <t>関連WBS</t>
  </si>
  <si>
    <t>判断</t>
  </si>
  <si>
    <t>工数への扱い</t>
  </si>
  <si>
    <t>対象範囲・利用要件整理</t>
  </si>
  <si>
    <t>Power BI要件を除き採用</t>
  </si>
  <si>
    <t>REQ-01～05</t>
  </si>
  <si>
    <t>一部採用</t>
  </si>
  <si>
    <t>先行検証の目的・範囲・鮮度は必要。Power BI指標は別ワークストリーム</t>
  </si>
  <si>
    <t>53.5人日に内包</t>
  </si>
  <si>
    <t>採用</t>
  </si>
  <si>
    <t>SFD-01～06</t>
  </si>
  <si>
    <t>Object・Field・件数・更新特性はNiFi設計の前提</t>
  </si>
  <si>
    <t>全体設計</t>
  </si>
  <si>
    <t>グランドデザイン</t>
  </si>
  <si>
    <t>ARC-01～03</t>
  </si>
  <si>
    <t>ADF・ADLS・Power BIレイヤーは対象外。E2E構成・責務は必要</t>
  </si>
  <si>
    <t>非機能・運用方針</t>
  </si>
  <si>
    <t>ARC-04～07、OPS-01～06</t>
  </si>
  <si>
    <t>採用・内包</t>
  </si>
  <si>
    <t>Retry、Recovery、監視、履歴は先行検証でも必要</t>
  </si>
  <si>
    <t>追加計上しない</t>
  </si>
  <si>
    <t>セキュリティ</t>
  </si>
  <si>
    <t>認証・認可設計</t>
  </si>
  <si>
    <t>SEC-01～06</t>
  </si>
  <si>
    <t>Azure固有方式は除外し、Salesforce・NiFi・CDPを対象</t>
  </si>
  <si>
    <t>9.5人日枠に内包</t>
  </si>
  <si>
    <t>ネットワーク</t>
  </si>
  <si>
    <t>接続・通信設計</t>
  </si>
  <si>
    <t>関連経路だけ採用</t>
  </si>
  <si>
    <t>NW-01～07</t>
  </si>
  <si>
    <t>ADF・ADLS・Power BI区間は対象外</t>
  </si>
  <si>
    <t>IF設計</t>
  </si>
  <si>
    <t>データ連携方式設計</t>
  </si>
  <si>
    <t>基本方式は採用、増分・削除は条件付き</t>
  </si>
  <si>
    <t>IF-01～07、OPT-01～09</t>
  </si>
  <si>
    <t>Full/Incremental等は対象データ確定後に採否判断</t>
  </si>
  <si>
    <t>基本設計に内包／条件確定後再見積</t>
  </si>
  <si>
    <t>格納設計</t>
  </si>
  <si>
    <t>ADLSデータ配置設計</t>
  </si>
  <si>
    <t>CDP保存先設計へ読み替え</t>
  </si>
  <si>
    <t>DAT-01～03、SCP-01</t>
  </si>
  <si>
    <t>ADLS採用は未確定。保存形式・技術メタデータ設計は必要</t>
  </si>
  <si>
    <t>データ設計</t>
  </si>
  <si>
    <t>CDPデータモデル設計</t>
  </si>
  <si>
    <t>保存テーブル・Key設計のみ採用</t>
  </si>
  <si>
    <t>DAT-01～03、SCP-02～04</t>
  </si>
  <si>
    <t>Bronze/Silver/Gold構築は先行検証の基準外</t>
  </si>
  <si>
    <t>データ収集</t>
  </si>
  <si>
    <t>Salesforce接続</t>
  </si>
  <si>
    <t>NiFi接続として採用</t>
  </si>
  <si>
    <t>CON-01～04</t>
  </si>
  <si>
    <t>ADF ConnectionではなくNiFi接続を実施</t>
  </si>
  <si>
    <t>ADF共通Pipeline</t>
  </si>
  <si>
    <t>NiFi共通取得・保存フローへ置換</t>
  </si>
  <si>
    <t>DEV-01～07</t>
  </si>
  <si>
    <t>置換採用</t>
  </si>
  <si>
    <t>製品は異なるが、共通処理・Parameter化の考え方は利用</t>
  </si>
  <si>
    <t>13人日枠に内包</t>
  </si>
  <si>
    <t>増分取得実装</t>
  </si>
  <si>
    <t>OPT-01～06</t>
  </si>
  <si>
    <t>差分要件が確定していない</t>
  </si>
  <si>
    <t>採用時に再見積</t>
  </si>
  <si>
    <t>データ格納</t>
  </si>
  <si>
    <t>ADLS Landing/Raw</t>
  </si>
  <si>
    <t>基準外</t>
  </si>
  <si>
    <t>CDP保存先がADLSとは確定していない</t>
  </si>
  <si>
    <t>基準工数に加算しない</t>
  </si>
  <si>
    <t>データ加工</t>
  </si>
  <si>
    <t>NiFi→CDP保存の先行検証を超える</t>
  </si>
  <si>
    <t>標準化・結合・最新化は別スコープ</t>
  </si>
  <si>
    <t>分析モデルは別スコープ</t>
  </si>
  <si>
    <t>可視化</t>
  </si>
  <si>
    <t>別ワークストリーム</t>
  </si>
  <si>
    <t>SCP-05～08</t>
  </si>
  <si>
    <t>PBIP運用ヒアリングと併せて別途判断</t>
  </si>
  <si>
    <t>NiFi・CDP範囲へ読み替え</t>
  </si>
  <si>
    <t>UT-01～06、ST-01～06</t>
  </si>
  <si>
    <t>ADF/加工/PBI試験を除き取得・保存・権限を確認</t>
  </si>
  <si>
    <t>見積のデータソース2＋Security/NW1.5に対応</t>
  </si>
  <si>
    <t>Salesforce→NiFi→CDPへ読み替え</t>
  </si>
  <si>
    <t>IT-01～06</t>
  </si>
  <si>
    <t>先行1販社の件数・値・追跡・復旧を確認</t>
  </si>
  <si>
    <t>結合テスト4人日内</t>
  </si>
  <si>
    <t>Security/NW試験</t>
  </si>
  <si>
    <t>Security/NW1.5人日内</t>
  </si>
  <si>
    <t>運用</t>
  </si>
  <si>
    <t>運用・障害対応設計</t>
  </si>
  <si>
    <t>採用するが追加計上しない</t>
  </si>
  <si>
    <t>OPS-01～06</t>
  </si>
  <si>
    <t>内包</t>
  </si>
  <si>
    <t>1販社見積の基本設計・詳細設計・結合試験で吸収</t>
  </si>
  <si>
    <t>本番移行</t>
  </si>
  <si>
    <t>今回の議事録では号口実施が未確定</t>
  </si>
  <si>
    <t>別途4人日を条件付き</t>
  </si>
  <si>
    <t>PM/PL</t>
  </si>
  <si>
    <t>1販社見積ではPM5＋PL5を基準とする</t>
  </si>
  <si>
    <t>10人日を採用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</si>
</sst>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7">
    <numFmt numFmtId="164" formatCode="m/d"/>
    <numFmt numFmtId="165" formatCode="m&quot;月&quot;d&quot;日&quot;"/>
    <numFmt numFmtId="166" formatCode="yyyy-mm-dd"/>
    <numFmt numFmtId="167" formatCode="0.0&quot;人日&quot;"/>
    <numFmt numFmtId="168" formatCode="&quot;週初 &quot;m/d"/>
    <numFmt numFmtId="169" formatCode="yyyy/m/d"/>
    <numFmt numFmtId="170" formatCode=";;;"/>
  </numFmts>
  <fonts count="38">
    <font>
      <sz val="11.0"/>
      <color theme="1"/>
      <name val="Calibri"/>
      <scheme val="minor"/>
    </font>
    <font>
      <sz val="11.0"/>
      <color theme="1"/>
      <name val="Yu Gothic UI"/>
    </font>
    <font>
      <b/>
      <sz val="10.0"/>
      <color rgb="FFFFFFFF"/>
      <name val="Aptos"/>
    </font>
    <font>
      <b/>
      <sz val="10.0"/>
      <color rgb="FF1F1F1F"/>
      <name val="Aptos"/>
    </font>
    <font>
      <sz val="10.0"/>
      <color theme="1"/>
      <name val="Aptos"/>
    </font>
    <font>
      <sz val="9.0"/>
      <color theme="1"/>
      <name val="Aptos"/>
    </font>
    <font>
      <sz val="9.0"/>
      <color rgb="FF002060"/>
      <name val="Yu Gothic UI"/>
    </font>
    <font>
      <b/>
      <sz val="11.0"/>
      <color theme="1"/>
      <name val="Yu Gothic UI"/>
    </font>
    <font>
      <b/>
      <sz val="11.0"/>
      <color rgb="FFC55A11"/>
      <name val="Yu Gothic UI"/>
    </font>
    <font>
      <b/>
      <sz val="11.0"/>
      <color rgb="FFC00000"/>
      <name val="Yu Gothic UI"/>
    </font>
    <font>
      <b/>
      <sz val="11.0"/>
      <color rgb="FF1F4E78"/>
      <name val="游ゴシック"/>
    </font>
    <font>
      <sz val="11.0"/>
      <color theme="1"/>
      <name val="游ゴシック"/>
    </font>
    <font>
      <sz val="8.0"/>
      <color rgb="FF000000"/>
      <name val="Yu Gothic UI"/>
    </font>
    <font>
      <b/>
      <sz val="11.0"/>
      <color rgb="FF385723"/>
      <name val="游ゴシック"/>
    </font>
    <font>
      <sz val="9.0"/>
      <color rgb="FF002060"/>
      <name val="Aptos"/>
    </font>
    <font>
      <b/>
      <sz val="9.0"/>
      <color rgb="FFFFFFFF"/>
      <name val="Aptos"/>
    </font>
    <font>
      <b/>
      <sz val="8.0"/>
      <color rgb="FF1F1F1F"/>
      <name val="Aptos"/>
    </font>
    <font>
      <b/>
      <sz val="9.0"/>
      <color rgb="FF1F1F1F"/>
      <name val="Aptos"/>
    </font>
    <font>
      <sz val="11.0"/>
      <color theme="10"/>
      <name val="游ゴシック"/>
    </font>
    <font>
      <sz val="11.0"/>
      <color rgb="FF000000"/>
      <name val="Yu Gothic UI"/>
    </font>
    <font>
      <b/>
      <sz val="9.0"/>
      <color rgb="FF9C5700"/>
      <name val="Aptos"/>
    </font>
    <font>
      <sz val="9.0"/>
      <color rgb="FF1F1F1F"/>
      <name val="Aptos"/>
    </font>
    <font>
      <i/>
      <sz val="9.0"/>
      <color theme="1"/>
      <name val="Aptos"/>
    </font>
    <font>
      <b/>
      <sz val="16.0"/>
      <color rgb="FFFFFFFF"/>
      <name val="Aptos"/>
    </font>
    <font>
      <b/>
      <sz val="10.0"/>
      <color rgb="FF1F4E78"/>
      <name val="Aptos"/>
    </font>
    <font>
      <b/>
      <sz val="10.0"/>
      <color rgb="FF385723"/>
      <name val="Aptos"/>
    </font>
    <font>
      <b/>
      <sz val="10.0"/>
      <color rgb="FF9C5700"/>
      <name val="Aptos"/>
    </font>
    <font>
      <b/>
      <sz val="10.0"/>
      <color rgb="FF404040"/>
      <name val="Aptos"/>
    </font>
    <font>
      <b/>
      <sz val="11.0"/>
      <color rgb="FF1F4E78"/>
      <name val="Aptos"/>
    </font>
    <font>
      <b/>
      <sz val="11.0"/>
      <color rgb="FF385723"/>
      <name val="Aptos"/>
    </font>
    <font>
      <b/>
      <sz val="11.0"/>
      <color rgb="FF7F6000"/>
      <name val="Aptos"/>
    </font>
    <font>
      <b/>
      <sz val="11.0"/>
      <color rgb="FF595959"/>
      <name val="Aptos"/>
    </font>
    <font>
      <b/>
      <sz val="9.0"/>
      <color rgb="FF274E13"/>
      <name val="Aptos"/>
    </font>
    <font>
      <b/>
      <sz val="11.0"/>
      <color rgb="FFFFFFFF"/>
      <name val="游ゴシック"/>
    </font>
    <font>
      <b/>
      <sz val="11.0"/>
      <color rgb="FF9C5700"/>
      <name val="游ゴシック"/>
    </font>
    <font>
      <i/>
      <sz val="10.0"/>
      <color rgb="FF1F1F1F"/>
      <name val="Arial"/>
    </font>
    <font>
      <b/>
      <sz val="11.0"/>
      <color rgb="FF9C5700"/>
      <name val="Aptos"/>
    </font>
    <font>
      <color theme="1"/>
      <name val="Calibri"/>
      <scheme val="minor"/>
    </font>
  </fonts>
  <fills count="23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D6DCE4"/>
        <bgColor rgb="FFD6DCE4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E2F0D9"/>
        <bgColor rgb="FFE2F0D9"/>
      </patternFill>
    </fill>
    <fill>
      <patternFill patternType="solid">
        <fgColor rgb="FF5B9BD5"/>
        <bgColor rgb="FF5B9BD5"/>
      </patternFill>
    </fill>
    <fill>
      <patternFill patternType="solid">
        <fgColor rgb="FF4472C4"/>
        <bgColor rgb="FF4472C4"/>
      </patternFill>
    </fill>
    <fill>
      <patternFill patternType="solid">
        <fgColor rgb="FFD9E2F3"/>
        <bgColor rgb="FFD9E2F3"/>
      </patternFill>
    </fill>
    <fill>
      <patternFill patternType="solid">
        <fgColor rgb="FFEAF2F8"/>
        <bgColor rgb="FFEAF2F8"/>
      </patternFill>
    </fill>
    <fill>
      <patternFill patternType="solid">
        <fgColor rgb="FFFCE4D6"/>
        <bgColor rgb="FFFCE4D6"/>
      </patternFill>
    </fill>
    <fill>
      <patternFill patternType="solid">
        <fgColor rgb="FFF7F9FC"/>
        <bgColor rgb="FFF7F9FC"/>
      </patternFill>
    </fill>
    <fill>
      <patternFill patternType="solid">
        <fgColor rgb="FFF3F6FA"/>
        <bgColor rgb="FFF3F6FA"/>
      </patternFill>
    </fill>
    <fill>
      <patternFill patternType="solid">
        <fgColor rgb="FFDDEBF7"/>
        <bgColor rgb="FFDDEBF7"/>
      </patternFill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EDEDED"/>
        <bgColor rgb="FFEDEDED"/>
      </patternFill>
    </fill>
    <fill>
      <patternFill patternType="solid">
        <fgColor rgb="FFE7E6E6"/>
        <bgColor rgb="FFE7E6E6"/>
      </patternFill>
    </fill>
    <fill>
      <patternFill patternType="solid">
        <fgColor rgb="FFD9EAD3"/>
        <bgColor rgb="FFD9EAD3"/>
      </patternFill>
    </fill>
    <fill>
      <patternFill patternType="solid">
        <fgColor rgb="FFED7D31"/>
        <bgColor rgb="FFED7D31"/>
      </patternFill>
    </fill>
    <fill>
      <patternFill patternType="solid">
        <fgColor rgb="FFF4B183"/>
        <bgColor rgb="FFF4B183"/>
      </patternFill>
    </fill>
  </fills>
  <borders count="51">
    <border/>
    <border>
      <bottom style="thin">
        <color rgb="FFD2D2D2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right style="dotted">
        <color rgb="FF000000"/>
      </right>
      <bottom style="dotted">
        <color rgb="FF000000"/>
      </bottom>
    </border>
    <border>
      <left style="dotted">
        <color rgb="FF000000"/>
      </left>
      <right style="dotted">
        <color rgb="FF000000"/>
      </right>
      <bottom style="dotted">
        <color rgb="FF000000"/>
      </bottom>
    </border>
    <border>
      <left style="dotted">
        <color rgb="FF000000"/>
      </left>
      <right style="thin">
        <color rgb="FF000000"/>
      </right>
      <bottom style="dotted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top style="dotted">
        <color rgb="FF000000"/>
      </top>
      <bottom style="double">
        <color rgb="FF000000"/>
      </bottom>
    </border>
    <border>
      <left style="thin">
        <color rgb="FF000000"/>
      </left>
      <right style="dotted">
        <color rgb="FF000000"/>
      </right>
      <top style="dotted">
        <color rgb="FF000000"/>
      </top>
      <bottom style="double">
        <color rgb="FF000000"/>
      </bottom>
    </border>
    <border>
      <right style="dotted">
        <color rgb="FF000000"/>
      </right>
      <top style="dotted">
        <color rgb="FF000000"/>
      </top>
      <bottom style="double">
        <color rgb="FF000000"/>
      </bottom>
    </border>
    <border>
      <right style="thin">
        <color rgb="FF000000"/>
      </right>
      <top style="dotted">
        <color rgb="FF000000"/>
      </top>
      <bottom style="double">
        <color rgb="FF000000"/>
      </bottom>
    </border>
    <border>
      <left style="dotted">
        <color rgb="FF000000"/>
      </left>
      <right style="thin">
        <color rgb="FF000000"/>
      </right>
      <top style="dotted">
        <color rgb="FF000000"/>
      </top>
      <bottom style="double">
        <color rgb="FF000000"/>
      </bottom>
    </border>
    <border>
      <left style="dotted">
        <color rgb="FF000000"/>
      </left>
      <right style="dotted">
        <color rgb="FF000000"/>
      </right>
      <top style="dotted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</border>
    <border>
      <right style="dotted">
        <color rgb="FF000000"/>
      </right>
    </border>
    <border>
      <right style="dotted">
        <color rgb="FF000000"/>
      </right>
      <top style="dotted">
        <color rgb="FF000000"/>
      </top>
    </border>
    <border>
      <right style="thin">
        <color rgb="FF000000"/>
      </right>
      <top style="dotted">
        <color rgb="FF000000"/>
      </top>
    </border>
    <border>
      <left style="dotted">
        <color rgb="FF000000"/>
      </left>
      <right style="thin">
        <color rgb="FF000000"/>
      </right>
      <top style="dotted">
        <color rgb="FF000000"/>
      </top>
    </border>
    <border>
      <left style="dotted">
        <color rgb="FF000000"/>
      </left>
      <right style="dotted">
        <color rgb="FF000000"/>
      </right>
      <top style="dotted">
        <color rgb="FF000000"/>
      </top>
    </border>
    <border>
      <right style="dotted">
        <color rgb="FF000000"/>
      </right>
      <top style="thin">
        <color rgb="FF000000"/>
      </top>
      <bottom style="dotted">
        <color rgb="FF000000"/>
      </bottom>
    </border>
    <border>
      <right style="dotted">
        <color rgb="FF000000"/>
      </right>
      <top style="thin">
        <color rgb="FF000000"/>
      </top>
    </border>
    <border>
      <right style="thin">
        <color rgb="FF000000"/>
      </right>
      <top style="thin">
        <color rgb="FF000000"/>
      </top>
      <bottom style="dotted">
        <color rgb="FF000000"/>
      </bottom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</border>
    <border>
      <left style="dotted">
        <color rgb="FF000000"/>
      </left>
      <right style="dotted">
        <color rgb="FF000000"/>
      </right>
      <top style="thin">
        <color rgb="FF000000"/>
      </top>
      <bottom style="dotted">
        <color rgb="FF000000"/>
      </bottom>
    </border>
    <border>
      <right style="dotted">
        <color rgb="FF000000"/>
      </right>
      <top style="dotted">
        <color rgb="FF000000"/>
      </top>
      <bottom style="thin">
        <color rgb="FF000000"/>
      </bottom>
    </border>
    <border>
      <right style="dotted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thin">
        <color rgb="FF000000"/>
      </bottom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</border>
    <border>
      <left style="dotted">
        <color rgb="FF000000"/>
      </left>
      <right style="dotted">
        <color rgb="FF000000"/>
      </right>
      <top style="dotted">
        <color rgb="FF000000"/>
      </top>
      <bottom style="thin">
        <color rgb="FF000000"/>
      </bottom>
    </border>
    <border>
      <right style="thin">
        <color rgb="FF000000"/>
      </right>
    </border>
    <border>
      <left style="dotted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dotted">
        <color rgb="FF000000"/>
      </left>
      <right style="dotted">
        <color rgb="FF000000"/>
      </right>
    </border>
    <border>
      <left style="dotted">
        <color rgb="FF000000"/>
      </left>
      <right style="thin">
        <color rgb="FF000000"/>
      </right>
      <top style="thin">
        <color rgb="FF000000"/>
      </top>
    </border>
    <border>
      <left style="dotted">
        <color rgb="FF000000"/>
      </left>
      <right style="dotted">
        <color rgb="FF000000"/>
      </right>
      <top style="thin">
        <color rgb="FF000000"/>
      </top>
    </border>
    <border>
      <right style="dotted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top style="dotted">
        <color rgb="FF000000"/>
      </top>
      <bottom style="double">
        <color rgb="FF000000"/>
      </bottom>
    </border>
    <border>
      <left style="dotted">
        <color rgb="FF000000"/>
      </left>
      <top style="dotted">
        <color rgb="FF000000"/>
      </top>
      <bottom style="double">
        <color rgb="FF000000"/>
      </bottom>
    </border>
    <border>
      <right style="dotted">
        <color rgb="FF000000"/>
      </right>
      <top style="thin">
        <color rgb="FF000000"/>
      </top>
      <bottom style="thin">
        <color rgb="FF000000"/>
      </bottom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dotted">
        <color rgb="FF000000"/>
      </left>
      <right style="dotted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28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2" fontId="2" numFmtId="0" xfId="0" applyAlignment="1" applyFill="1" applyFont="1">
      <alignment horizontal="center" vertical="center"/>
    </xf>
    <xf borderId="0" fillId="0" fontId="1" numFmtId="0" xfId="0" applyAlignment="1" applyFont="1">
      <alignment shrinkToFit="0" wrapText="1"/>
    </xf>
    <xf borderId="1" fillId="0" fontId="1" numFmtId="0" xfId="0" applyBorder="1" applyFont="1"/>
    <xf borderId="0" fillId="0" fontId="1" numFmtId="164" xfId="0" applyFont="1" applyNumberFormat="1"/>
    <xf borderId="0" fillId="3" fontId="3" numFmtId="0" xfId="0" applyAlignment="1" applyFill="1" applyFont="1">
      <alignment horizontal="center" vertical="center"/>
    </xf>
    <xf borderId="0" fillId="0" fontId="4" numFmtId="0" xfId="0" applyAlignment="1" applyFont="1">
      <alignment shrinkToFit="0" vertical="center" wrapText="1"/>
    </xf>
    <xf borderId="0" fillId="2" fontId="2" numFmtId="164" xfId="0" applyAlignment="1" applyFont="1" applyNumberFormat="1">
      <alignment horizontal="center" vertical="center"/>
    </xf>
    <xf borderId="1" fillId="0" fontId="1" numFmtId="165" xfId="0" applyBorder="1" applyFont="1" applyNumberFormat="1"/>
    <xf borderId="0" fillId="0" fontId="5" numFmtId="0" xfId="0" applyFont="1"/>
    <xf borderId="0" fillId="0" fontId="6" numFmtId="0" xfId="0" applyFont="1"/>
    <xf borderId="2" fillId="4" fontId="7" numFmtId="0" xfId="0" applyBorder="1" applyFill="1" applyFont="1"/>
    <xf borderId="3" fillId="4" fontId="7" numFmtId="0" xfId="0" applyBorder="1" applyFont="1"/>
    <xf borderId="4" fillId="4" fontId="7" numFmtId="0" xfId="0" applyBorder="1" applyFont="1"/>
    <xf borderId="3" fillId="4" fontId="1" numFmtId="0" xfId="0" applyBorder="1" applyFont="1"/>
    <xf borderId="3" fillId="4" fontId="8" numFmtId="0" xfId="0" applyBorder="1" applyFont="1"/>
    <xf borderId="4" fillId="4" fontId="8" numFmtId="0" xfId="0" applyBorder="1" applyFont="1"/>
    <xf borderId="5" fillId="0" fontId="7" numFmtId="0" xfId="0" applyBorder="1" applyFont="1"/>
    <xf borderId="6" fillId="0" fontId="7" numFmtId="0" xfId="0" applyBorder="1" applyFont="1"/>
    <xf borderId="7" fillId="0" fontId="7" numFmtId="0" xfId="0" applyAlignment="1" applyBorder="1" applyFont="1">
      <alignment shrinkToFit="0" wrapText="1"/>
    </xf>
    <xf borderId="7" fillId="0" fontId="7" numFmtId="0" xfId="0" applyBorder="1" applyFont="1"/>
    <xf borderId="6" fillId="0" fontId="7" numFmtId="164" xfId="0" applyBorder="1" applyFont="1" applyNumberFormat="1"/>
    <xf borderId="7" fillId="0" fontId="7" numFmtId="164" xfId="0" applyBorder="1" applyFont="1" applyNumberFormat="1"/>
    <xf borderId="8" fillId="0" fontId="1" numFmtId="164" xfId="0" applyAlignment="1" applyBorder="1" applyFont="1" applyNumberFormat="1">
      <alignment horizontal="center"/>
    </xf>
    <xf borderId="9" fillId="0" fontId="1" numFmtId="164" xfId="0" applyAlignment="1" applyBorder="1" applyFont="1" applyNumberFormat="1">
      <alignment horizontal="center"/>
    </xf>
    <xf borderId="9" fillId="0" fontId="9" numFmtId="164" xfId="0" applyAlignment="1" applyBorder="1" applyFont="1" applyNumberFormat="1">
      <alignment horizontal="center"/>
    </xf>
    <xf borderId="10" fillId="0" fontId="1" numFmtId="164" xfId="0" applyAlignment="1" applyBorder="1" applyFont="1" applyNumberFormat="1">
      <alignment horizontal="center"/>
    </xf>
    <xf borderId="8" fillId="5" fontId="1" numFmtId="164" xfId="0" applyAlignment="1" applyBorder="1" applyFill="1" applyFont="1" applyNumberFormat="1">
      <alignment horizontal="center"/>
    </xf>
    <xf borderId="0" fillId="3" fontId="10" numFmtId="0" xfId="0" applyAlignment="1" applyFont="1">
      <alignment shrinkToFit="0" wrapText="1"/>
    </xf>
    <xf borderId="0" fillId="0" fontId="11" numFmtId="0" xfId="0" applyAlignment="1" applyFont="1">
      <alignment shrinkToFit="0" wrapText="1"/>
    </xf>
    <xf borderId="9" fillId="6" fontId="1" numFmtId="164" xfId="0" applyAlignment="1" applyBorder="1" applyFill="1" applyFont="1" applyNumberFormat="1">
      <alignment horizontal="center"/>
    </xf>
    <xf borderId="9" fillId="5" fontId="1" numFmtId="164" xfId="0" applyAlignment="1" applyBorder="1" applyFont="1" applyNumberFormat="1">
      <alignment horizontal="center"/>
    </xf>
    <xf borderId="0" fillId="0" fontId="1" numFmtId="165" xfId="0" applyFont="1" applyNumberFormat="1"/>
    <xf borderId="11" fillId="0" fontId="1" numFmtId="164" xfId="0" applyAlignment="1" applyBorder="1" applyFont="1" applyNumberFormat="1">
      <alignment horizontal="center"/>
    </xf>
    <xf borderId="0" fillId="0" fontId="12" numFmtId="0" xfId="0" applyFont="1"/>
    <xf borderId="12" fillId="0" fontId="1" numFmtId="0" xfId="0" applyBorder="1" applyFont="1"/>
    <xf borderId="13" fillId="0" fontId="1" numFmtId="0" xfId="0" applyBorder="1" applyFont="1"/>
    <xf borderId="14" fillId="0" fontId="1" numFmtId="0" xfId="0" applyBorder="1" applyFont="1"/>
    <xf borderId="15" fillId="0" fontId="1" numFmtId="0" xfId="0" applyAlignment="1" applyBorder="1" applyFont="1">
      <alignment shrinkToFit="0" wrapText="1"/>
    </xf>
    <xf borderId="16" fillId="0" fontId="1" numFmtId="0" xfId="0" applyBorder="1" applyFont="1"/>
    <xf borderId="15" fillId="0" fontId="1" numFmtId="0" xfId="0" applyBorder="1" applyFont="1"/>
    <xf borderId="14" fillId="0" fontId="1" numFmtId="164" xfId="0" applyBorder="1" applyFont="1" applyNumberFormat="1"/>
    <xf borderId="16" fillId="0" fontId="1" numFmtId="164" xfId="0" applyBorder="1" applyFont="1" applyNumberFormat="1"/>
    <xf borderId="14" fillId="0" fontId="1" numFmtId="0" xfId="0" applyAlignment="1" applyBorder="1" applyFont="1">
      <alignment horizontal="center"/>
    </xf>
    <xf borderId="17" fillId="0" fontId="1" numFmtId="0" xfId="0" applyAlignment="1" applyBorder="1" applyFont="1">
      <alignment horizontal="center"/>
    </xf>
    <xf borderId="17" fillId="0" fontId="9" numFmtId="0" xfId="0" applyAlignment="1" applyBorder="1" applyFont="1">
      <alignment horizontal="center"/>
    </xf>
    <xf borderId="0" fillId="7" fontId="13" numFmtId="0" xfId="0" applyAlignment="1" applyFill="1" applyFont="1">
      <alignment shrinkToFit="0" wrapText="1"/>
    </xf>
    <xf borderId="16" fillId="0" fontId="1" numFmtId="0" xfId="0" applyAlignment="1" applyBorder="1" applyFont="1">
      <alignment horizontal="center"/>
    </xf>
    <xf borderId="14" fillId="5" fontId="1" numFmtId="0" xfId="0" applyAlignment="1" applyBorder="1" applyFont="1">
      <alignment horizontal="center"/>
    </xf>
    <xf borderId="17" fillId="6" fontId="1" numFmtId="0" xfId="0" applyAlignment="1" applyBorder="1" applyFont="1">
      <alignment horizontal="center"/>
    </xf>
    <xf borderId="17" fillId="5" fontId="1" numFmtId="0" xfId="0" applyAlignment="1" applyBorder="1" applyFont="1">
      <alignment horizontal="center"/>
    </xf>
    <xf borderId="15" fillId="0" fontId="1" numFmtId="0" xfId="0" applyAlignment="1" applyBorder="1" applyFont="1">
      <alignment horizontal="center"/>
    </xf>
    <xf borderId="0" fillId="0" fontId="14" numFmtId="0" xfId="0" applyFont="1"/>
    <xf borderId="0" fillId="0" fontId="5" numFmtId="164" xfId="0" applyFont="1" applyNumberFormat="1"/>
    <xf borderId="0" fillId="8" fontId="15" numFmtId="0" xfId="0" applyAlignment="1" applyFill="1" applyFont="1">
      <alignment horizontal="center" vertical="center"/>
    </xf>
    <xf borderId="18" fillId="0" fontId="1" numFmtId="0" xfId="0" applyBorder="1" applyFont="1"/>
    <xf borderId="8" fillId="0" fontId="1" numFmtId="0" xfId="0" applyAlignment="1" applyBorder="1" applyFont="1">
      <alignment horizontal="right" vertical="top"/>
    </xf>
    <xf borderId="19" fillId="0" fontId="1" numFmtId="0" xfId="0" applyBorder="1" applyFont="1"/>
    <xf borderId="11" fillId="0" fontId="1" numFmtId="0" xfId="0" applyAlignment="1" applyBorder="1" applyFont="1">
      <alignment shrinkToFit="0" wrapText="1"/>
    </xf>
    <xf borderId="8" fillId="0" fontId="1" numFmtId="0" xfId="0" applyBorder="1" applyFont="1"/>
    <xf borderId="10" fillId="0" fontId="1" numFmtId="0" xfId="0" applyBorder="1" applyFont="1"/>
    <xf borderId="11" fillId="0" fontId="1" numFmtId="0" xfId="0" applyBorder="1" applyFont="1"/>
    <xf borderId="11" fillId="0" fontId="1" numFmtId="0" xfId="0" applyAlignment="1" applyBorder="1" applyFont="1">
      <alignment horizontal="center"/>
    </xf>
    <xf borderId="9" fillId="0" fontId="1" numFmtId="0" xfId="0" applyBorder="1" applyFont="1"/>
    <xf borderId="8" fillId="5" fontId="1" numFmtId="0" xfId="0" applyBorder="1" applyFont="1"/>
    <xf borderId="9" fillId="6" fontId="1" numFmtId="0" xfId="0" applyBorder="1" applyFont="1"/>
    <xf borderId="9" fillId="5" fontId="1" numFmtId="0" xfId="0" applyBorder="1" applyFont="1"/>
    <xf borderId="20" fillId="0" fontId="1" numFmtId="0" xfId="0" applyAlignment="1" applyBorder="1" applyFont="1">
      <alignment horizontal="right" vertical="top"/>
    </xf>
    <xf borderId="21" fillId="0" fontId="1" numFmtId="0" xfId="0" applyAlignment="1" applyBorder="1" applyFont="1">
      <alignment shrinkToFit="0" wrapText="1"/>
    </xf>
    <xf borderId="20" fillId="0" fontId="1" numFmtId="0" xfId="0" applyBorder="1" applyFont="1"/>
    <xf borderId="22" fillId="0" fontId="1" numFmtId="0" xfId="0" applyBorder="1" applyFont="1"/>
    <xf borderId="21" fillId="0" fontId="1" numFmtId="0" xfId="0" applyBorder="1" applyFont="1"/>
    <xf borderId="20" fillId="0" fontId="1" numFmtId="164" xfId="0" applyAlignment="1" applyBorder="1" applyFont="1" applyNumberFormat="1">
      <alignment horizontal="center"/>
    </xf>
    <xf borderId="22" fillId="0" fontId="1" numFmtId="164" xfId="0" applyAlignment="1" applyBorder="1" applyFont="1" applyNumberFormat="1">
      <alignment horizontal="center"/>
    </xf>
    <xf borderId="21" fillId="0" fontId="1" numFmtId="0" xfId="0" applyAlignment="1" applyBorder="1" applyFont="1">
      <alignment horizontal="center"/>
    </xf>
    <xf borderId="23" fillId="0" fontId="1" numFmtId="0" xfId="0" applyBorder="1" applyFont="1"/>
    <xf borderId="20" fillId="5" fontId="1" numFmtId="0" xfId="0" applyBorder="1" applyFont="1"/>
    <xf borderId="23" fillId="6" fontId="1" numFmtId="0" xfId="0" applyBorder="1" applyFont="1"/>
    <xf borderId="23" fillId="5" fontId="1" numFmtId="0" xfId="0" applyBorder="1" applyFont="1"/>
    <xf borderId="18" fillId="0" fontId="1" numFmtId="0" xfId="0" applyAlignment="1" applyBorder="1" applyFont="1">
      <alignment shrinkToFit="0" wrapText="1"/>
    </xf>
    <xf borderId="24" fillId="0" fontId="1" numFmtId="0" xfId="0" applyAlignment="1" applyBorder="1" applyFont="1">
      <alignment horizontal="right" vertical="top"/>
    </xf>
    <xf borderId="25" fillId="0" fontId="1" numFmtId="0" xfId="0" applyBorder="1" applyFont="1"/>
    <xf borderId="26" fillId="0" fontId="1" numFmtId="0" xfId="0" applyAlignment="1" applyBorder="1" applyFont="1">
      <alignment shrinkToFit="0" wrapText="1"/>
    </xf>
    <xf borderId="24" fillId="0" fontId="1" numFmtId="0" xfId="0" applyBorder="1" applyFont="1"/>
    <xf borderId="27" fillId="0" fontId="1" numFmtId="0" xfId="0" applyBorder="1" applyFont="1"/>
    <xf borderId="26" fillId="0" fontId="1" numFmtId="0" xfId="0" applyBorder="1" applyFont="1"/>
    <xf borderId="24" fillId="0" fontId="1" numFmtId="164" xfId="0" applyAlignment="1" applyBorder="1" applyFont="1" applyNumberFormat="1">
      <alignment horizontal="center"/>
    </xf>
    <xf borderId="27" fillId="0" fontId="1" numFmtId="164" xfId="0" applyAlignment="1" applyBorder="1" applyFont="1" applyNumberFormat="1">
      <alignment horizontal="center"/>
    </xf>
    <xf borderId="26" fillId="0" fontId="1" numFmtId="0" xfId="0" applyAlignment="1" applyBorder="1" applyFont="1">
      <alignment horizontal="center"/>
    </xf>
    <xf borderId="28" fillId="0" fontId="1" numFmtId="0" xfId="0" applyBorder="1" applyFont="1"/>
    <xf borderId="24" fillId="5" fontId="1" numFmtId="0" xfId="0" applyBorder="1" applyFont="1"/>
    <xf borderId="28" fillId="6" fontId="1" numFmtId="0" xfId="0" applyBorder="1" applyFont="1"/>
    <xf borderId="28" fillId="5" fontId="1" numFmtId="0" xfId="0" applyBorder="1" applyFont="1"/>
    <xf borderId="29" fillId="0" fontId="1" numFmtId="0" xfId="0" applyAlignment="1" applyBorder="1" applyFont="1">
      <alignment horizontal="right" vertical="top"/>
    </xf>
    <xf borderId="30" fillId="0" fontId="1" numFmtId="0" xfId="0" applyBorder="1" applyFont="1"/>
    <xf borderId="31" fillId="0" fontId="1" numFmtId="0" xfId="0" applyAlignment="1" applyBorder="1" applyFont="1">
      <alignment shrinkToFit="0" wrapText="1"/>
    </xf>
    <xf borderId="29" fillId="0" fontId="1" numFmtId="0" xfId="0" applyBorder="1" applyFont="1"/>
    <xf borderId="32" fillId="0" fontId="1" numFmtId="0" xfId="0" applyBorder="1" applyFont="1"/>
    <xf borderId="31" fillId="0" fontId="1" numFmtId="0" xfId="0" applyBorder="1" applyFont="1"/>
    <xf borderId="29" fillId="0" fontId="1" numFmtId="164" xfId="0" applyAlignment="1" applyBorder="1" applyFont="1" applyNumberFormat="1">
      <alignment horizontal="center"/>
    </xf>
    <xf borderId="32" fillId="0" fontId="1" numFmtId="164" xfId="0" applyAlignment="1" applyBorder="1" applyFont="1" applyNumberFormat="1">
      <alignment horizontal="center"/>
    </xf>
    <xf borderId="31" fillId="0" fontId="1" numFmtId="0" xfId="0" applyAlignment="1" applyBorder="1" applyFont="1">
      <alignment horizontal="center"/>
    </xf>
    <xf borderId="33" fillId="0" fontId="1" numFmtId="0" xfId="0" applyBorder="1" applyFont="1"/>
    <xf borderId="29" fillId="5" fontId="1" numFmtId="0" xfId="0" applyBorder="1" applyFont="1"/>
    <xf borderId="33" fillId="6" fontId="1" numFmtId="0" xfId="0" applyBorder="1" applyFont="1"/>
    <xf borderId="33" fillId="5" fontId="1" numFmtId="0" xfId="0" applyBorder="1" applyFont="1"/>
    <xf borderId="19" fillId="0" fontId="1" numFmtId="0" xfId="0" applyAlignment="1" applyBorder="1" applyFont="1">
      <alignment horizontal="right" vertical="top"/>
    </xf>
    <xf borderId="0" fillId="9" fontId="15" numFmtId="0" xfId="0" applyAlignment="1" applyFill="1" applyFont="1">
      <alignment horizontal="center" shrinkToFit="0" vertical="center" wrapText="1"/>
    </xf>
    <xf borderId="34" fillId="0" fontId="1" numFmtId="0" xfId="0" applyAlignment="1" applyBorder="1" applyFont="1">
      <alignment shrinkToFit="0" wrapText="1"/>
    </xf>
    <xf borderId="35" fillId="0" fontId="1" numFmtId="0" xfId="0" applyBorder="1" applyFont="1"/>
    <xf borderId="36" fillId="9" fontId="15" numFmtId="0" xfId="0" applyAlignment="1" applyBorder="1" applyFont="1">
      <alignment horizontal="center" shrinkToFit="0" vertical="center" wrapText="1"/>
    </xf>
    <xf borderId="34" fillId="0" fontId="1" numFmtId="0" xfId="0" applyBorder="1" applyFont="1"/>
    <xf borderId="19" fillId="0" fontId="1" numFmtId="164" xfId="0" applyAlignment="1" applyBorder="1" applyFont="1" applyNumberFormat="1">
      <alignment horizontal="center"/>
    </xf>
    <xf borderId="6" fillId="9" fontId="15" numFmtId="0" xfId="0" applyAlignment="1" applyBorder="1" applyFont="1">
      <alignment horizontal="center" shrinkToFit="0" vertical="center" wrapText="1"/>
    </xf>
    <xf borderId="35" fillId="0" fontId="1" numFmtId="164" xfId="0" applyAlignment="1" applyBorder="1" applyFont="1" applyNumberFormat="1">
      <alignment horizontal="center"/>
    </xf>
    <xf borderId="34" fillId="0" fontId="1" numFmtId="0" xfId="0" applyAlignment="1" applyBorder="1" applyFont="1">
      <alignment horizontal="center"/>
    </xf>
    <xf borderId="37" fillId="0" fontId="1" numFmtId="0" xfId="0" applyBorder="1" applyFont="1"/>
    <xf borderId="7" fillId="9" fontId="15" numFmtId="0" xfId="0" applyAlignment="1" applyBorder="1" applyFont="1">
      <alignment horizontal="center" shrinkToFit="0" vertical="center" wrapText="1"/>
    </xf>
    <xf borderId="5" fillId="9" fontId="15" numFmtId="0" xfId="0" applyAlignment="1" applyBorder="1" applyFont="1">
      <alignment horizontal="center" shrinkToFit="0" vertical="center" wrapText="1"/>
    </xf>
    <xf borderId="19" fillId="5" fontId="1" numFmtId="0" xfId="0" applyBorder="1" applyFont="1"/>
    <xf borderId="5" fillId="9" fontId="15" numFmtId="164" xfId="0" applyAlignment="1" applyBorder="1" applyFont="1" applyNumberFormat="1">
      <alignment horizontal="center" shrinkToFit="0" vertical="center" wrapText="1"/>
    </xf>
    <xf borderId="7" fillId="9" fontId="15" numFmtId="164" xfId="0" applyAlignment="1" applyBorder="1" applyFont="1" applyNumberFormat="1">
      <alignment horizontal="center" shrinkToFit="0" vertical="center" wrapText="1"/>
    </xf>
    <xf borderId="0" fillId="10" fontId="16" numFmtId="164" xfId="0" applyAlignment="1" applyFill="1" applyFont="1" applyNumberFormat="1">
      <alignment horizontal="center" vertical="center"/>
    </xf>
    <xf borderId="37" fillId="6" fontId="1" numFmtId="0" xfId="0" applyBorder="1" applyFont="1"/>
    <xf borderId="37" fillId="5" fontId="1" numFmtId="0" xfId="0" applyBorder="1" applyFont="1"/>
    <xf borderId="25" fillId="0" fontId="1" numFmtId="0" xfId="0" applyAlignment="1" applyBorder="1" applyFont="1">
      <alignment horizontal="right" vertical="top"/>
    </xf>
    <xf borderId="7" fillId="0" fontId="1" numFmtId="0" xfId="0" applyAlignment="1" applyBorder="1" applyFont="1">
      <alignment shrinkToFit="0" wrapText="1"/>
    </xf>
    <xf borderId="38" fillId="0" fontId="1" numFmtId="0" xfId="0" applyBorder="1" applyFont="1"/>
    <xf borderId="7" fillId="0" fontId="1" numFmtId="0" xfId="0" applyBorder="1" applyFont="1"/>
    <xf borderId="25" fillId="0" fontId="1" numFmtId="164" xfId="0" applyAlignment="1" applyBorder="1" applyFont="1" applyNumberFormat="1">
      <alignment horizontal="center"/>
    </xf>
    <xf borderId="38" fillId="0" fontId="1" numFmtId="164" xfId="0" applyAlignment="1" applyBorder="1" applyFont="1" applyNumberFormat="1">
      <alignment horizontal="center"/>
    </xf>
    <xf borderId="7" fillId="0" fontId="1" numFmtId="0" xfId="0" applyAlignment="1" applyBorder="1" applyFont="1">
      <alignment horizontal="center"/>
    </xf>
    <xf borderId="39" fillId="0" fontId="1" numFmtId="0" xfId="0" applyBorder="1" applyFont="1"/>
    <xf borderId="25" fillId="5" fontId="1" numFmtId="0" xfId="0" applyBorder="1" applyFont="1"/>
    <xf borderId="39" fillId="6" fontId="1" numFmtId="0" xfId="0" applyBorder="1" applyFont="1"/>
    <xf borderId="39" fillId="5" fontId="1" numFmtId="0" xfId="0" applyBorder="1" applyFont="1"/>
    <xf borderId="40" fillId="0" fontId="1" numFmtId="0" xfId="0" applyAlignment="1" applyBorder="1" applyFont="1">
      <alignment horizontal="right" vertical="top"/>
    </xf>
    <xf borderId="41" fillId="0" fontId="1" numFmtId="0" xfId="0" applyAlignment="1" applyBorder="1" applyFont="1">
      <alignment shrinkToFit="0" wrapText="1"/>
    </xf>
    <xf borderId="40" fillId="0" fontId="1" numFmtId="0" xfId="0" applyBorder="1" applyFont="1"/>
    <xf borderId="42" fillId="0" fontId="1" numFmtId="0" xfId="0" applyBorder="1" applyFont="1"/>
    <xf borderId="41" fillId="0" fontId="1" numFmtId="0" xfId="0" applyBorder="1" applyFont="1"/>
    <xf borderId="40" fillId="0" fontId="1" numFmtId="164" xfId="0" applyAlignment="1" applyBorder="1" applyFont="1" applyNumberFormat="1">
      <alignment horizontal="center"/>
    </xf>
    <xf borderId="42" fillId="0" fontId="1" numFmtId="164" xfId="0" applyAlignment="1" applyBorder="1" applyFont="1" applyNumberFormat="1">
      <alignment horizontal="center"/>
    </xf>
    <xf borderId="41" fillId="0" fontId="1" numFmtId="0" xfId="0" applyAlignment="1" applyBorder="1" applyFont="1">
      <alignment horizontal="center"/>
    </xf>
    <xf borderId="43" fillId="0" fontId="1" numFmtId="0" xfId="0" applyBorder="1" applyFont="1"/>
    <xf borderId="40" fillId="5" fontId="1" numFmtId="0" xfId="0" applyBorder="1" applyFont="1"/>
    <xf borderId="43" fillId="6" fontId="1" numFmtId="0" xfId="0" applyBorder="1" applyFont="1"/>
    <xf borderId="43" fillId="5" fontId="1" numFmtId="0" xfId="0" applyBorder="1" applyFont="1"/>
    <xf borderId="0" fillId="10" fontId="17" numFmtId="0" xfId="0" applyAlignment="1" applyFont="1">
      <alignment horizontal="center" shrinkToFit="0" vertical="center" wrapText="1"/>
    </xf>
    <xf borderId="44" fillId="10" fontId="17" numFmtId="0" xfId="0" applyAlignment="1" applyBorder="1" applyFont="1">
      <alignment horizontal="center" shrinkToFit="0" vertical="center" wrapText="1"/>
    </xf>
    <xf borderId="14" fillId="10" fontId="17" numFmtId="0" xfId="0" applyAlignment="1" applyBorder="1" applyFont="1">
      <alignment horizontal="center" shrinkToFit="0" vertical="center" wrapText="1"/>
    </xf>
    <xf borderId="45" fillId="10" fontId="17" numFmtId="0" xfId="0" applyAlignment="1" applyBorder="1" applyFont="1">
      <alignment horizontal="center" shrinkToFit="0" vertical="center" wrapText="1"/>
    </xf>
    <xf borderId="16" fillId="10" fontId="17" numFmtId="0" xfId="0" applyAlignment="1" applyBorder="1" applyFont="1">
      <alignment horizontal="center" shrinkToFit="0" vertical="center" wrapText="1"/>
    </xf>
    <xf borderId="46" fillId="10" fontId="17" numFmtId="0" xfId="0" applyAlignment="1" applyBorder="1" applyFont="1">
      <alignment horizontal="center" shrinkToFit="0" vertical="center" wrapText="1"/>
    </xf>
    <xf borderId="13" fillId="10" fontId="17" numFmtId="0" xfId="0" applyAlignment="1" applyBorder="1" applyFont="1">
      <alignment horizontal="center" shrinkToFit="0" vertical="center" wrapText="1"/>
    </xf>
    <xf borderId="13" fillId="10" fontId="17" numFmtId="164" xfId="0" applyAlignment="1" applyBorder="1" applyFont="1" applyNumberFormat="1">
      <alignment horizontal="center" shrinkToFit="0" vertical="center" wrapText="1"/>
    </xf>
    <xf borderId="16" fillId="10" fontId="17" numFmtId="164" xfId="0" applyAlignment="1" applyBorder="1" applyFont="1" applyNumberFormat="1">
      <alignment horizontal="center" shrinkToFit="0" vertical="center" wrapText="1"/>
    </xf>
    <xf borderId="0" fillId="11" fontId="16" numFmtId="0" xfId="0" applyAlignment="1" applyFill="1" applyFont="1">
      <alignment horizontal="center" vertical="center"/>
    </xf>
    <xf borderId="26" fillId="0" fontId="18" numFmtId="0" xfId="0" applyBorder="1" applyFont="1"/>
    <xf borderId="0" fillId="0" fontId="19" numFmtId="0" xfId="0" applyAlignment="1" applyFont="1">
      <alignment horizontal="center"/>
    </xf>
    <xf borderId="31" fillId="0" fontId="18" numFmtId="0" xfId="0" applyBorder="1" applyFont="1"/>
    <xf borderId="40" fillId="0" fontId="19" numFmtId="0" xfId="0" applyBorder="1" applyFont="1"/>
    <xf borderId="42" fillId="0" fontId="9" numFmtId="0" xfId="0" applyBorder="1" applyFont="1"/>
    <xf borderId="0" fillId="12" fontId="17" numFmtId="0" xfId="0" applyAlignment="1" applyFill="1" applyFont="1">
      <alignment shrinkToFit="0" vertical="center" wrapText="1"/>
    </xf>
    <xf borderId="0" fillId="12" fontId="17" numFmtId="0" xfId="0" applyAlignment="1" applyFont="1">
      <alignment horizontal="center" shrinkToFit="0" vertical="center" wrapText="1"/>
    </xf>
    <xf borderId="29" fillId="0" fontId="19" numFmtId="0" xfId="0" applyBorder="1" applyFont="1"/>
    <xf borderId="0" fillId="13" fontId="17" numFmtId="0" xfId="0" applyAlignment="1" applyFill="1" applyFont="1">
      <alignment shrinkToFit="0" vertical="center" wrapText="1"/>
    </xf>
    <xf borderId="0" fillId="14" fontId="17" numFmtId="0" xfId="0" applyAlignment="1" applyFill="1" applyFont="1">
      <alignment shrinkToFit="0" vertical="center" wrapText="1"/>
    </xf>
    <xf borderId="0" fillId="12" fontId="17" numFmtId="164" xfId="0" applyAlignment="1" applyFont="1" applyNumberFormat="1">
      <alignment horizontal="center" vertical="center"/>
    </xf>
    <xf borderId="0" fillId="12" fontId="20" numFmtId="0" xfId="0" applyAlignment="1" applyFont="1">
      <alignment horizontal="center" vertical="center"/>
    </xf>
    <xf borderId="0" fillId="5" fontId="5" numFmtId="0" xfId="0" applyFont="1"/>
    <xf borderId="0" fillId="6" fontId="5" numFmtId="0" xfId="0" applyFont="1"/>
    <xf borderId="8" fillId="0" fontId="19" numFmtId="0" xfId="0" applyBorder="1" applyFont="1"/>
    <xf borderId="10" fillId="0" fontId="9" numFmtId="0" xfId="0" applyBorder="1" applyFont="1"/>
    <xf borderId="0" fillId="12" fontId="21" numFmtId="0" xfId="0" applyAlignment="1" applyFont="1">
      <alignment shrinkToFit="0" vertical="center" wrapText="1"/>
    </xf>
    <xf borderId="0" fillId="12" fontId="21" numFmtId="0" xfId="0" applyAlignment="1" applyFont="1">
      <alignment horizontal="center" shrinkToFit="0" vertical="center" wrapText="1"/>
    </xf>
    <xf borderId="0" fillId="13" fontId="21" numFmtId="0" xfId="0" applyAlignment="1" applyFont="1">
      <alignment shrinkToFit="0" vertical="center" wrapText="1"/>
    </xf>
    <xf borderId="0" fillId="14" fontId="21" numFmtId="0" xfId="0" applyAlignment="1" applyFont="1">
      <alignment shrinkToFit="0" vertical="center" wrapText="1"/>
    </xf>
    <xf borderId="0" fillId="12" fontId="21" numFmtId="164" xfId="0" applyAlignment="1" applyFont="1" applyNumberFormat="1">
      <alignment horizontal="center" vertical="center"/>
    </xf>
    <xf borderId="47" fillId="0" fontId="1" numFmtId="0" xfId="0" applyBorder="1" applyFont="1"/>
    <xf borderId="48" fillId="0" fontId="1" numFmtId="0" xfId="0" applyBorder="1" applyFont="1"/>
    <xf borderId="4" fillId="0" fontId="1" numFmtId="0" xfId="0" applyBorder="1" applyFont="1"/>
    <xf borderId="47" fillId="0" fontId="1" numFmtId="164" xfId="0" applyAlignment="1" applyBorder="1" applyFont="1" applyNumberFormat="1">
      <alignment horizontal="center"/>
    </xf>
    <xf borderId="48" fillId="0" fontId="1" numFmtId="164" xfId="0" applyAlignment="1" applyBorder="1" applyFont="1" applyNumberFormat="1">
      <alignment horizontal="center"/>
    </xf>
    <xf borderId="4" fillId="0" fontId="1" numFmtId="0" xfId="0" applyAlignment="1" applyBorder="1" applyFont="1">
      <alignment horizontal="center"/>
    </xf>
    <xf borderId="49" fillId="0" fontId="1" numFmtId="0" xfId="0" applyBorder="1" applyFont="1"/>
    <xf borderId="47" fillId="5" fontId="1" numFmtId="0" xfId="0" applyBorder="1" applyFont="1"/>
    <xf borderId="49" fillId="6" fontId="1" numFmtId="0" xfId="0" applyBorder="1" applyFont="1"/>
    <xf borderId="49" fillId="5" fontId="1" numFmtId="0" xfId="0" applyBorder="1" applyFont="1"/>
    <xf borderId="50" fillId="0" fontId="1" numFmtId="0" xfId="0" applyBorder="1" applyFont="1"/>
    <xf borderId="0" fillId="0" fontId="1" numFmtId="0" xfId="0" applyAlignment="1" applyFont="1">
      <alignment horizontal="right" vertical="top"/>
    </xf>
    <xf borderId="0" fillId="0" fontId="1" numFmtId="164" xfId="0" applyAlignment="1" applyFont="1" applyNumberFormat="1">
      <alignment horizontal="center"/>
    </xf>
    <xf borderId="0" fillId="0" fontId="1" numFmtId="0" xfId="0" applyAlignment="1" applyFont="1">
      <alignment horizontal="center"/>
    </xf>
    <xf borderId="0" fillId="7" fontId="17" numFmtId="0" xfId="0" applyAlignment="1" applyFont="1">
      <alignment shrinkToFit="0" vertical="center" wrapText="1"/>
    </xf>
    <xf borderId="0" fillId="7" fontId="17" numFmtId="0" xfId="0" applyAlignment="1" applyFont="1">
      <alignment horizontal="center" shrinkToFit="0" vertical="center" wrapText="1"/>
    </xf>
    <xf borderId="0" fillId="7" fontId="17" numFmtId="164" xfId="0" applyAlignment="1" applyFont="1" applyNumberFormat="1">
      <alignment horizontal="center" vertical="center"/>
    </xf>
    <xf borderId="0" fillId="15" fontId="17" numFmtId="0" xfId="0" applyAlignment="1" applyFill="1" applyFont="1">
      <alignment shrinkToFit="0" vertical="center" wrapText="1"/>
    </xf>
    <xf borderId="0" fillId="15" fontId="17" numFmtId="0" xfId="0" applyAlignment="1" applyFont="1">
      <alignment horizontal="center" shrinkToFit="0" vertical="center" wrapText="1"/>
    </xf>
    <xf borderId="0" fillId="15" fontId="17" numFmtId="164" xfId="0" applyAlignment="1" applyFont="1" applyNumberFormat="1">
      <alignment horizontal="center" vertical="center"/>
    </xf>
    <xf borderId="0" fillId="16" fontId="21" numFmtId="0" xfId="0" applyAlignment="1" applyFill="1" applyFont="1">
      <alignment shrinkToFit="0" vertical="center" wrapText="1"/>
    </xf>
    <xf borderId="0" fillId="13" fontId="21" numFmtId="0" xfId="0" applyAlignment="1" applyFont="1">
      <alignment horizontal="center" shrinkToFit="0" vertical="center" wrapText="1"/>
    </xf>
    <xf borderId="0" fillId="16" fontId="21" numFmtId="164" xfId="0" applyAlignment="1" applyFont="1" applyNumberFormat="1">
      <alignment horizontal="center" vertical="center"/>
    </xf>
    <xf borderId="0" fillId="2" fontId="15" numFmtId="0" xfId="0" applyAlignment="1" applyFont="1">
      <alignment horizontal="center" vertical="center"/>
    </xf>
    <xf borderId="0" fillId="3" fontId="22" numFmtId="0" xfId="0" applyAlignment="1" applyFont="1">
      <alignment shrinkToFit="0" wrapText="1"/>
    </xf>
    <xf borderId="0" fillId="12" fontId="17" numFmtId="0" xfId="0" applyAlignment="1" applyFont="1">
      <alignment horizontal="center" vertical="center"/>
    </xf>
    <xf borderId="0" fillId="17" fontId="17" numFmtId="0" xfId="0" applyAlignment="1" applyFill="1" applyFont="1">
      <alignment horizontal="center" vertical="center"/>
    </xf>
    <xf borderId="0" fillId="15" fontId="17" numFmtId="0" xfId="0" applyAlignment="1" applyFont="1">
      <alignment horizontal="center" vertical="center"/>
    </xf>
    <xf borderId="0" fillId="7" fontId="17" numFmtId="0" xfId="0" applyAlignment="1" applyFont="1">
      <alignment horizontal="center" vertical="center"/>
    </xf>
    <xf borderId="0" fillId="16" fontId="17" numFmtId="0" xfId="0" applyAlignment="1" applyFont="1">
      <alignment horizontal="center" vertical="center"/>
    </xf>
    <xf borderId="0" fillId="9" fontId="15" numFmtId="0" xfId="0" applyAlignment="1" applyFont="1">
      <alignment horizontal="center" readingOrder="0" shrinkToFit="0" vertical="center" wrapText="1"/>
    </xf>
    <xf borderId="0" fillId="0" fontId="5" numFmtId="0" xfId="0" applyAlignment="1" applyFont="1">
      <alignment horizontal="center" shrinkToFit="0" vertical="center" wrapText="1"/>
    </xf>
    <xf borderId="0" fillId="0" fontId="5" numFmtId="0" xfId="0" applyAlignment="1" applyFont="1">
      <alignment shrinkToFit="0" vertical="center" wrapText="1"/>
    </xf>
    <xf borderId="0" fillId="0" fontId="5" numFmtId="0" xfId="0" applyAlignment="1" applyFont="1">
      <alignment shrinkToFit="0" vertical="top" wrapText="1"/>
    </xf>
    <xf borderId="0" fillId="0" fontId="5" numFmtId="166" xfId="0" applyAlignment="1" applyFont="1" applyNumberFormat="1">
      <alignment horizontal="center" shrinkToFit="0" vertical="center" wrapText="1"/>
    </xf>
    <xf borderId="0" fillId="2" fontId="23" numFmtId="0" xfId="0" applyAlignment="1" applyFont="1">
      <alignment horizontal="center" vertical="center"/>
    </xf>
    <xf borderId="0" fillId="3" fontId="24" numFmtId="0" xfId="0" applyAlignment="1" applyFont="1">
      <alignment shrinkToFit="0" vertical="center" wrapText="1"/>
    </xf>
    <xf borderId="0" fillId="3" fontId="24" numFmtId="0" xfId="0" applyAlignment="1" applyFont="1">
      <alignment horizontal="center" vertical="center"/>
    </xf>
    <xf borderId="0" fillId="7" fontId="25" numFmtId="0" xfId="0" applyAlignment="1" applyFont="1">
      <alignment horizontal="center" vertical="center"/>
    </xf>
    <xf borderId="0" fillId="17" fontId="26" numFmtId="0" xfId="0" applyAlignment="1" applyFont="1">
      <alignment horizontal="center" vertical="center"/>
    </xf>
    <xf borderId="0" fillId="18" fontId="27" numFmtId="0" xfId="0" applyAlignment="1" applyFill="1" applyFont="1">
      <alignment horizontal="center" vertical="center"/>
    </xf>
    <xf borderId="0" fillId="3" fontId="28" numFmtId="0" xfId="0" applyAlignment="1" applyFont="1">
      <alignment horizontal="center" readingOrder="0" shrinkToFit="0" vertical="center" wrapText="1"/>
    </xf>
    <xf borderId="0" fillId="7" fontId="29" numFmtId="0" xfId="0" applyAlignment="1" applyFont="1">
      <alignment horizontal="center" readingOrder="0" shrinkToFit="0" vertical="center" wrapText="1"/>
    </xf>
    <xf borderId="0" fillId="17" fontId="30" numFmtId="0" xfId="0" applyAlignment="1" applyFont="1">
      <alignment horizontal="center" readingOrder="0" shrinkToFit="0" vertical="center" wrapText="1"/>
    </xf>
    <xf borderId="0" fillId="19" fontId="31" numFmtId="0" xfId="0" applyAlignment="1" applyFill="1" applyFont="1">
      <alignment horizontal="center" readingOrder="0" shrinkToFit="0" vertical="center" wrapText="1"/>
    </xf>
    <xf borderId="0" fillId="3" fontId="28" numFmtId="0" xfId="0" applyAlignment="1" applyFont="1">
      <alignment horizontal="center" shrinkToFit="0" vertical="center" wrapText="1"/>
    </xf>
    <xf borderId="0" fillId="7" fontId="29" numFmtId="167" xfId="0" applyAlignment="1" applyFont="1" applyNumberFormat="1">
      <alignment horizontal="center" shrinkToFit="0" vertical="center" wrapText="1"/>
    </xf>
    <xf borderId="0" fillId="7" fontId="29" numFmtId="0" xfId="0" applyAlignment="1" applyFont="1">
      <alignment horizontal="center" shrinkToFit="0" vertical="center" wrapText="1"/>
    </xf>
    <xf borderId="0" fillId="17" fontId="30" numFmtId="0" xfId="0" applyAlignment="1" applyFont="1">
      <alignment horizontal="center" shrinkToFit="0" vertical="center" wrapText="1"/>
    </xf>
    <xf borderId="0" fillId="17" fontId="30" numFmtId="167" xfId="0" applyAlignment="1" applyFont="1" applyNumberFormat="1">
      <alignment horizontal="center" shrinkToFit="0" vertical="center" wrapText="1"/>
    </xf>
    <xf borderId="0" fillId="19" fontId="31" numFmtId="167" xfId="0" applyAlignment="1" applyFont="1" applyNumberFormat="1">
      <alignment horizontal="center" shrinkToFit="0" vertical="center" wrapText="1"/>
    </xf>
    <xf borderId="0" fillId="19" fontId="31" numFmtId="0" xfId="0" applyAlignment="1" applyFont="1">
      <alignment horizontal="center" shrinkToFit="0" vertical="center" wrapText="1"/>
    </xf>
    <xf borderId="0" fillId="0" fontId="5" numFmtId="167" xfId="0" applyAlignment="1" applyFont="1" applyNumberFormat="1">
      <alignment horizontal="right" shrinkToFit="0" vertical="center" wrapText="1"/>
    </xf>
    <xf borderId="0" fillId="0" fontId="5" numFmtId="167" xfId="0" applyAlignment="1" applyFont="1" applyNumberFormat="1">
      <alignment horizontal="center" shrinkToFit="0" vertical="center" wrapText="1"/>
    </xf>
    <xf borderId="0" fillId="9" fontId="15" numFmtId="0" xfId="0" applyAlignment="1" applyFont="1">
      <alignment horizontal="center" shrinkToFit="0" vertical="center" wrapText="1"/>
    </xf>
    <xf borderId="0" fillId="9" fontId="15" numFmtId="167" xfId="0" applyAlignment="1" applyFont="1" applyNumberFormat="1">
      <alignment horizontal="center" shrinkToFit="0" vertical="center" wrapText="1"/>
    </xf>
    <xf borderId="0" fillId="0" fontId="21" numFmtId="0" xfId="0" applyAlignment="1" applyFont="1">
      <alignment shrinkToFit="0" vertical="center" wrapText="1"/>
    </xf>
    <xf borderId="0" fillId="0" fontId="21" numFmtId="167" xfId="0" applyAlignment="1" applyFont="1" applyNumberFormat="1">
      <alignment shrinkToFit="0" vertical="center" wrapText="1"/>
    </xf>
    <xf borderId="0" fillId="0" fontId="21" numFmtId="167" xfId="0" applyAlignment="1" applyFont="1" applyNumberFormat="1">
      <alignment horizontal="right" shrinkToFit="0" vertical="center" wrapText="1"/>
    </xf>
    <xf borderId="0" fillId="0" fontId="21" numFmtId="0" xfId="0" applyAlignment="1" applyFont="1">
      <alignment horizontal="center" shrinkToFit="0" vertical="center" wrapText="1"/>
    </xf>
    <xf borderId="0" fillId="0" fontId="21" numFmtId="167" xfId="0" applyAlignment="1" applyFont="1" applyNumberFormat="1">
      <alignment horizontal="center" shrinkToFit="0" vertical="center" wrapText="1"/>
    </xf>
    <xf borderId="0" fillId="20" fontId="17" numFmtId="0" xfId="0" applyAlignment="1" applyFill="1" applyFont="1">
      <alignment shrinkToFit="0" vertical="center" wrapText="1"/>
    </xf>
    <xf borderId="0" fillId="20" fontId="17" numFmtId="167" xfId="0" applyAlignment="1" applyFont="1" applyNumberFormat="1">
      <alignment horizontal="right" shrinkToFit="0" vertical="center" wrapText="1"/>
    </xf>
    <xf borderId="0" fillId="20" fontId="17" numFmtId="167" xfId="0" applyAlignment="1" applyFont="1" applyNumberFormat="1">
      <alignment shrinkToFit="0" vertical="center" wrapText="1"/>
    </xf>
    <xf borderId="0" fillId="20" fontId="17" numFmtId="0" xfId="0" applyAlignment="1" applyFont="1">
      <alignment horizontal="center" shrinkToFit="0" vertical="center" wrapText="1"/>
    </xf>
    <xf borderId="0" fillId="20" fontId="17" numFmtId="167" xfId="0" applyAlignment="1" applyFont="1" applyNumberFormat="1">
      <alignment horizontal="center" shrinkToFit="0" vertical="center" wrapText="1"/>
    </xf>
    <xf borderId="0" fillId="0" fontId="21" numFmtId="0" xfId="0" applyAlignment="1" applyFont="1">
      <alignment shrinkToFit="0" vertical="center" wrapText="1"/>
    </xf>
    <xf borderId="0" fillId="0" fontId="21" numFmtId="167" xfId="0" applyAlignment="1" applyFont="1" applyNumberFormat="1">
      <alignment shrinkToFit="0" vertical="center" wrapText="1"/>
    </xf>
    <xf borderId="0" fillId="9" fontId="17" numFmtId="0" xfId="0" applyAlignment="1" applyFont="1">
      <alignment horizontal="center" shrinkToFit="0" vertical="center" wrapText="1"/>
    </xf>
    <xf borderId="0" fillId="3" fontId="17" numFmtId="0" xfId="0" applyAlignment="1" applyFont="1">
      <alignment shrinkToFit="0" vertical="center" wrapText="1"/>
    </xf>
    <xf borderId="0" fillId="3" fontId="17" numFmtId="167" xfId="0" applyAlignment="1" applyFont="1" applyNumberFormat="1">
      <alignment shrinkToFit="0" vertical="center" wrapText="1"/>
    </xf>
    <xf borderId="0" fillId="20" fontId="32" numFmtId="0" xfId="0" applyAlignment="1" applyFont="1">
      <alignment shrinkToFit="0" vertical="center" wrapText="1"/>
    </xf>
    <xf borderId="0" fillId="21" fontId="33" numFmtId="0" xfId="0" applyAlignment="1" applyFill="1" applyFont="1">
      <alignment shrinkToFit="0" wrapText="1"/>
    </xf>
    <xf borderId="0" fillId="21" fontId="33" numFmtId="0" xfId="0" applyFont="1"/>
    <xf borderId="0" fillId="12" fontId="34" numFmtId="0" xfId="0" applyAlignment="1" applyFont="1">
      <alignment shrinkToFit="0" wrapText="1"/>
    </xf>
    <xf borderId="0" fillId="3" fontId="35" numFmtId="0" xfId="0" applyAlignment="1" applyFont="1">
      <alignment horizontal="left" readingOrder="0" shrinkToFit="0" vertical="center" wrapText="1"/>
    </xf>
    <xf borderId="0" fillId="3" fontId="28" numFmtId="0" xfId="0" applyAlignment="1" applyFont="1">
      <alignment horizontal="center" shrinkToFit="0" vertical="center" wrapText="1"/>
    </xf>
    <xf borderId="0" fillId="7" fontId="29" numFmtId="0" xfId="0" applyAlignment="1" applyFont="1">
      <alignment horizontal="center" shrinkToFit="0" vertical="center" wrapText="1"/>
    </xf>
    <xf borderId="0" fillId="12" fontId="36" numFmtId="0" xfId="0" applyAlignment="1" applyFont="1">
      <alignment horizontal="center" shrinkToFit="0" vertical="center" wrapText="1"/>
    </xf>
    <xf borderId="0" fillId="17" fontId="36" numFmtId="0" xfId="0" applyAlignment="1" applyFont="1">
      <alignment horizontal="center" shrinkToFit="0" vertical="center" wrapText="1"/>
    </xf>
    <xf borderId="0" fillId="15" fontId="28" numFmtId="0" xfId="0" applyAlignment="1" applyFont="1">
      <alignment horizontal="center" shrinkToFit="0" vertical="center" wrapText="1"/>
    </xf>
    <xf borderId="0" fillId="22" fontId="30" numFmtId="0" xfId="0" applyAlignment="1" applyFill="1" applyFont="1">
      <alignment horizontal="center" shrinkToFit="0" vertical="center" wrapText="1"/>
    </xf>
    <xf borderId="0" fillId="9" fontId="2" numFmtId="0" xfId="0" applyAlignment="1" applyFont="1">
      <alignment horizontal="center" vertical="center"/>
    </xf>
    <xf borderId="0" fillId="8" fontId="2" numFmtId="0" xfId="0" applyAlignment="1" applyFont="1">
      <alignment horizontal="center" vertical="center"/>
    </xf>
    <xf borderId="0" fillId="10" fontId="17" numFmtId="0" xfId="0" applyAlignment="1" applyFont="1">
      <alignment horizontal="center" readingOrder="0" shrinkToFit="0" vertical="center" wrapText="1"/>
    </xf>
    <xf borderId="0" fillId="10" fontId="17" numFmtId="168" xfId="0" applyAlignment="1" applyFont="1" applyNumberFormat="1">
      <alignment horizontal="center" shrinkToFit="0" vertical="center" wrapText="1"/>
    </xf>
    <xf borderId="0" fillId="0" fontId="21" numFmtId="169" xfId="0" applyAlignment="1" applyFont="1" applyNumberFormat="1">
      <alignment horizontal="center" shrinkToFit="0" vertical="center" wrapText="1"/>
    </xf>
    <xf borderId="0" fillId="0" fontId="11" numFmtId="170" xfId="0" applyFont="1" applyNumberFormat="1"/>
    <xf borderId="0" fillId="17" fontId="34" numFmtId="0" xfId="0" applyAlignment="1" applyFont="1">
      <alignment shrinkToFit="0" vertical="center" wrapText="1"/>
    </xf>
    <xf borderId="0" fillId="9" fontId="33" numFmtId="0" xfId="0" applyAlignment="1" applyFont="1">
      <alignment horizontal="center" shrinkToFit="0" wrapText="1"/>
    </xf>
    <xf borderId="0" fillId="0" fontId="11" numFmtId="0" xfId="0" applyAlignment="1" applyFont="1">
      <alignment readingOrder="0" shrinkToFit="0" wrapText="1"/>
    </xf>
    <xf borderId="0" fillId="0" fontId="37" numFmtId="0" xfId="0" applyFont="1"/>
    <xf borderId="0" fillId="9" fontId="33" numFmtId="0" xfId="0" applyAlignment="1" applyFont="1">
      <alignment horizontal="center" shrinkToFit="0" vertical="center" wrapText="1"/>
    </xf>
    <xf borderId="0" fillId="2" fontId="23" numFmtId="0" xfId="0" applyAlignment="1" applyFont="1">
      <alignment horizontal="center"/>
    </xf>
    <xf borderId="0" fillId="17" fontId="34" numFmtId="0" xfId="0" applyAlignment="1" applyFont="1">
      <alignment shrinkToFit="0" wrapText="1"/>
    </xf>
    <xf borderId="0" fillId="17" fontId="17" numFmtId="0" xfId="0" applyAlignment="1" applyFont="1">
      <alignment shrinkToFit="0" vertical="center" wrapText="1"/>
    </xf>
    <xf borderId="0" fillId="17" fontId="17" numFmtId="0" xfId="0" applyAlignment="1" applyFont="1">
      <alignment horizontal="center" shrinkToFit="0" vertical="center" wrapText="1"/>
    </xf>
    <xf borderId="0" fillId="17" fontId="17" numFmtId="164" xfId="0" applyAlignment="1" applyFont="1" applyNumberFormat="1">
      <alignment horizontal="center" vertical="center"/>
    </xf>
    <xf borderId="0" fillId="17" fontId="21" numFmtId="0" xfId="0" applyAlignment="1" applyFont="1">
      <alignment shrinkToFit="0" vertical="center" wrapText="1"/>
    </xf>
    <xf borderId="0" fillId="17" fontId="21" numFmtId="0" xfId="0" applyAlignment="1" applyFont="1">
      <alignment horizontal="center" shrinkToFit="0" vertical="center" wrapText="1"/>
    </xf>
    <xf borderId="0" fillId="17" fontId="21" numFmtId="164" xfId="0" applyAlignment="1" applyFont="1" applyNumberFormat="1">
      <alignment horizontal="center" vertical="center"/>
    </xf>
    <xf borderId="0" fillId="15" fontId="21" numFmtId="0" xfId="0" applyAlignment="1" applyFont="1">
      <alignment shrinkToFit="0" vertical="center" wrapText="1"/>
    </xf>
    <xf borderId="0" fillId="15" fontId="21" numFmtId="0" xfId="0" applyAlignment="1" applyFont="1">
      <alignment horizontal="center" shrinkToFit="0" vertical="center" wrapText="1"/>
    </xf>
    <xf borderId="0" fillId="15" fontId="21" numFmtId="164" xfId="0" applyAlignment="1" applyFont="1" applyNumberFormat="1">
      <alignment horizontal="center" vertical="center"/>
    </xf>
    <xf borderId="0" fillId="7" fontId="21" numFmtId="0" xfId="0" applyAlignment="1" applyFont="1">
      <alignment shrinkToFit="0" vertical="center" wrapText="1"/>
    </xf>
    <xf borderId="0" fillId="7" fontId="21" numFmtId="0" xfId="0" applyAlignment="1" applyFont="1">
      <alignment horizontal="center" shrinkToFit="0" vertical="center" wrapText="1"/>
    </xf>
    <xf borderId="0" fillId="7" fontId="21" numFmtId="164" xfId="0" applyAlignment="1" applyFont="1" applyNumberFormat="1">
      <alignment horizontal="center" vertical="center"/>
    </xf>
    <xf borderId="0" fillId="0" fontId="5" numFmtId="0" xfId="0" applyAlignment="1" applyFont="1">
      <alignment horizontal="right" vertical="top"/>
    </xf>
    <xf borderId="0" fillId="0" fontId="5" numFmtId="0" xfId="0" applyAlignment="1" applyFont="1">
      <alignment shrinkToFit="0" wrapText="1"/>
    </xf>
  </cellXfs>
  <cellStyles count="1">
    <cellStyle xfId="0" name="Normal" builtinId="0"/>
  </cellStyles>
  <dxfs count="41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9C5700"/>
      </font>
      <fill>
        <patternFill patternType="solid">
          <fgColor rgb="FFFFF2CC"/>
          <bgColor rgb="FFFFF2CC"/>
        </patternFill>
      </fill>
      <border/>
    </dxf>
    <dxf>
      <font>
        <b/>
        <color rgb="FF1F4E78"/>
      </font>
      <fill>
        <patternFill patternType="solid">
          <fgColor rgb="FFD9EAF7"/>
          <bgColor rgb="FFD9EAF7"/>
        </patternFill>
      </fill>
      <border/>
    </dxf>
    <dxf>
      <font>
        <b/>
        <color rgb="FF385723"/>
      </font>
      <fill>
        <patternFill patternType="solid">
          <fgColor rgb="FFE2F0D9"/>
          <bgColor rgb="FFE2F0D9"/>
        </patternFill>
      </fill>
      <border/>
    </dxf>
    <dxf>
      <font/>
      <fill>
        <patternFill patternType="solid">
          <fgColor rgb="FFFCE4D6"/>
          <bgColor rgb="FFFCE4D6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DDEBF7"/>
          <bgColor rgb="FFDDEBF7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  <dxf>
      <font>
        <b/>
      </font>
      <fill>
        <patternFill patternType="solid">
          <fgColor rgb="FFE2F0D9"/>
          <bgColor rgb="FFE2F0D9"/>
        </patternFill>
      </fill>
      <border/>
    </dxf>
    <dxf>
      <font>
        <b/>
        <color rgb="FF9C5700"/>
      </font>
      <fill>
        <patternFill patternType="solid">
          <fgColor rgb="FFFCE4D6"/>
          <bgColor rgb="FFFCE4D6"/>
        </patternFill>
      </fill>
      <border/>
    </dxf>
    <dxf>
      <font/>
      <fill>
        <patternFill patternType="solid">
          <fgColor rgb="FFF4B183"/>
          <bgColor rgb="FFF4B183"/>
        </patternFill>
      </fill>
      <border/>
    </dxf>
    <dxf>
      <font/>
      <fill>
        <patternFill patternType="solid">
          <fgColor rgb="FF5B9BD5"/>
          <bgColor rgb="FF5B9BD5"/>
        </patternFill>
      </fill>
      <border/>
    </dxf>
    <dxf>
      <font/>
      <fill>
        <patternFill patternType="solid">
          <fgColor rgb="FF70AD47"/>
          <bgColor rgb="FF70AD47"/>
        </patternFill>
      </fill>
      <border/>
    </dxf>
    <dxf>
      <font>
        <b/>
        <color rgb="FF9C0006"/>
      </font>
      <fill>
        <patternFill patternType="solid">
          <fgColor rgb="FFF4CCCC"/>
          <bgColor rgb="FFF4CCCC"/>
        </patternFill>
      </fill>
      <border/>
    </dxf>
    <dxf>
      <font>
        <color rgb="FFA5A5A5"/>
      </font>
      <fill>
        <patternFill patternType="none"/>
      </fill>
      <border/>
    </dxf>
    <dxf>
      <font>
        <color theme="1"/>
      </font>
      <fill>
        <patternFill patternType="solid">
          <fgColor rgb="FFF2F2F2"/>
          <bgColor rgb="FFF2F2F2"/>
        </patternFill>
      </fill>
      <border/>
    </dxf>
    <dxf>
      <font>
        <color theme="1"/>
      </font>
      <fill>
        <patternFill patternType="solid">
          <fgColor rgb="FFD8D8D8"/>
          <bgColor rgb="FFD8D8D8"/>
        </patternFill>
      </fill>
      <border/>
    </dxf>
    <dxf>
      <font>
        <color theme="1"/>
      </font>
      <fill>
        <patternFill patternType="solid">
          <fgColor rgb="FFD9E2F3"/>
          <bgColor rgb="FFD9E2F3"/>
        </patternFill>
      </fill>
      <border/>
    </dxf>
    <dxf>
      <font>
        <color theme="1"/>
      </font>
      <fill>
        <patternFill patternType="solid">
          <fgColor rgb="FFFFF2CB"/>
          <bgColor rgb="FFFFF2CB"/>
        </patternFill>
      </fill>
      <border/>
    </dxf>
    <dxf>
      <font>
        <b/>
        <color rgb="FFC00000"/>
      </font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FBE4D5"/>
          <bgColor rgb="FFFBE4D5"/>
        </patternFill>
      </fill>
      <border/>
    </dxf>
    <dxf>
      <font>
        <color rgb="FF006100"/>
      </font>
      <fill>
        <patternFill patternType="solid">
          <fgColor rgb="FFC6EFCE"/>
          <bgColor rgb="FFC6EFCE"/>
        </patternFill>
      </fill>
      <border/>
    </dxf>
    <dxf>
      <font>
        <color rgb="FF002060"/>
      </font>
      <fill>
        <patternFill patternType="solid">
          <fgColor rgb="FFDEEAF6"/>
          <bgColor rgb="FFDEEAF6"/>
        </patternFill>
      </fill>
      <border/>
    </dxf>
    <dxf>
      <font>
        <color theme="1"/>
      </font>
      <fill>
        <patternFill patternType="solid">
          <fgColor rgb="FFFBE4D5"/>
          <bgColor rgb="FFFBE4D5"/>
        </patternFill>
      </fill>
      <border/>
    </dxf>
    <dxf>
      <font>
        <color theme="1"/>
      </font>
      <fill>
        <patternFill patternType="solid">
          <fgColor rgb="FFE2EFD9"/>
          <bgColor rgb="FFE2EFD9"/>
        </patternFill>
      </fill>
      <border/>
    </dxf>
    <dxf>
      <font>
        <color theme="1"/>
      </font>
      <fill>
        <patternFill patternType="solid">
          <fgColor theme="0"/>
          <bgColor theme="0"/>
        </patternFill>
      </fill>
      <border>
        <left style="dotted">
          <color rgb="FF000000"/>
        </left>
        <right style="dotted">
          <color rgb="FF000000"/>
        </right>
        <bottom style="dotted">
          <color rgb="FF000000"/>
        </bottom>
      </border>
    </dxf>
    <dxf>
      <font/>
      <fill>
        <patternFill patternType="none"/>
      </fill>
      <border>
        <right style="thin">
          <color rgb="FF000000"/>
        </right>
      </border>
    </dxf>
    <dxf>
      <font/>
      <fill>
        <patternFill patternType="none"/>
      </fill>
      <border>
        <left style="thin">
          <color rgb="FF000000"/>
        </left>
      </border>
    </dxf>
    <dxf>
      <font/>
      <fill>
        <patternFill patternType="none"/>
      </fill>
      <border>
        <left style="thin">
          <color rgb="FF000000"/>
        </left>
        <right style="dotted">
          <color rgb="FF000000"/>
        </right>
      </border>
    </dxf>
    <dxf>
      <font/>
      <fill>
        <patternFill patternType="none"/>
      </fill>
      <border>
        <bottom style="thin">
          <color rgb="FF000000"/>
        </bottom>
      </border>
    </dxf>
    <dxf>
      <font/>
      <fill>
        <patternFill patternType="none"/>
      </fill>
      <border>
        <top style="thin">
          <color rgb="FF000000"/>
        </top>
        <bottom style="dotted">
          <color rgb="FF000000"/>
        </bottom>
      </border>
    </dxf>
    <dxf>
      <font/>
      <fill>
        <patternFill patternType="none"/>
      </fill>
      <border>
        <top style="thin">
          <color rgb="FF000000"/>
        </top>
      </border>
    </dxf>
    <dxf>
      <font/>
      <fill>
        <patternFill patternType="none"/>
      </fill>
      <border>
        <right style="dotted">
          <color rgb="FF000000"/>
        </right>
      </border>
    </dxf>
    <dxf>
      <font>
        <b/>
        <color rgb="FF9C0006"/>
      </font>
      <fill>
        <patternFill patternType="none"/>
      </fill>
      <border/>
    </dxf>
    <dxf>
      <font>
        <b/>
      </font>
      <fill>
        <patternFill patternType="solid">
          <fgColor rgb="FFD9E2F3"/>
          <bgColor rgb="FFD9E2F3"/>
        </patternFill>
      </fill>
      <border/>
    </dxf>
    <dxf>
      <font/>
      <fill>
        <patternFill patternType="solid">
          <fgColor rgb="FFE7E6E6"/>
          <bgColor rgb="FFE7E6E6"/>
        </patternFill>
      </fill>
      <border/>
    </dxf>
    <dxf>
      <font>
        <color rgb="FF595959"/>
      </font>
      <fill>
        <patternFill patternType="solid">
          <fgColor rgb="FFD9D9D9"/>
          <bgColor rgb="FFD9D9D9"/>
        </patternFill>
      </fill>
      <border/>
    </dxf>
  </dxfs>
  <tableStyles count="3">
    <tableStyle count="4" pivot="0" name="WBS_タスク補足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見積工数対応表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WBS_閲覧用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4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5:O126" displayName="TaskDetailTable" name="TaskDetailTable" id="1">
  <tableColumns count="15">
    <tableColumn name="ID" id="1"/>
    <tableColumn name="大項目" id="2"/>
    <tableColumn name="中項目" id="3"/>
    <tableColumn name="小項目" id="4"/>
    <tableColumn name="区分" id="5"/>
    <tableColumn name="主な作業内容" id="6"/>
    <tableColumn name="完了条件" id="7"/>
    <tableColumn name="チーム" id="8"/>
    <tableColumn name="担当者" id="9"/>
    <tableColumn name="工数区分" id="10"/>
    <tableColumn name="開始日" id="11"/>
    <tableColumn name="終了日" id="12"/>
    <tableColumn name="根拠資料" id="13"/>
    <tableColumn name="備考" id="14"/>
    <tableColumn name="WBS行" id="15"/>
  </tableColumns>
  <tableStyleInfo name="WBS_タスク補足-style" showColumnStripes="0" showFirstColumn="1" showLastColumn="1" showRowStripes="1"/>
</table>
</file>

<file path=xl/tables/table2.xml><?xml version="1.0" encoding="utf-8"?>
<table xmlns="http://schemas.openxmlformats.org/spreadsheetml/2006/main" ref="A4:H11" displayName="EstimateAllocationTable" name="EstimateAllocationTable" id="2">
  <tableColumns count="8">
    <tableColumn name="元見積合計" id="1"/>
    <tableColumn name="列 1" id="2"/>
    <tableColumn name="先行検証基準" id="3"/>
    <tableColumn name="列 2" id="4"/>
    <tableColumn name="条件付き工数" id="5"/>
    <tableColumn name="列 3" id="6"/>
    <tableColumn name="作業L/T" id="7"/>
    <tableColumn name="列 4" id="8"/>
  </tableColumns>
  <tableStyleInfo name="見積工数対応表-style" showColumnStripes="0" showFirstColumn="1" showLastColumn="1" showRowStripes="1"/>
</table>
</file>

<file path=xl/tables/table3.xml><?xml version="1.0" encoding="utf-8"?>
<table xmlns="http://schemas.openxmlformats.org/spreadsheetml/2006/main" ref="A6:K127" displayName="WBSViewTable" name="WBSViewTable" id="3">
  <tableColumns count="11">
    <tableColumn name="No." id="1"/>
    <tableColumn name="ID" id="2"/>
    <tableColumn name="中項目" id="3"/>
    <tableColumn name="小項目" id="4"/>
    <tableColumn name="区分" id="5"/>
    <tableColumn name="チーム" id="6"/>
    <tableColumn name="担当者" id="7"/>
    <tableColumn name="開始日" id="8"/>
    <tableColumn name="終了日" id="9"/>
    <tableColumn name="ステータス" id="10"/>
    <tableColumn name="備考" id="11"/>
  </tableColumns>
  <tableStyleInfo name="WBS_閲覧用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1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2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3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6" width="9.0"/>
    <col customWidth="1" min="7" max="26" width="8.71"/>
  </cols>
  <sheetData>
    <row r="1" ht="25.5" customHeight="1">
      <c r="A1" s="2" t="s">
        <v>2</v>
      </c>
      <c r="B1" s="2" t="s">
        <v>3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24.75" customHeight="1">
      <c r="A2" s="7" t="s">
        <v>8</v>
      </c>
      <c r="B2" s="7" t="s">
        <v>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24.75" customHeight="1">
      <c r="A3" s="7" t="s">
        <v>11</v>
      </c>
      <c r="B3" s="7" t="s">
        <v>12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24.75" customHeight="1">
      <c r="A4" s="7" t="s">
        <v>14</v>
      </c>
      <c r="B4" s="7" t="s">
        <v>15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24.75" customHeight="1">
      <c r="A5" s="7" t="s">
        <v>18</v>
      </c>
      <c r="B5" s="7" t="s">
        <v>19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24.75" customHeight="1">
      <c r="A6" s="7" t="s">
        <v>24</v>
      </c>
      <c r="B6" s="7" t="s">
        <v>25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24.75" customHeight="1">
      <c r="A7" s="7" t="s">
        <v>28</v>
      </c>
      <c r="B7" s="7" t="s">
        <v>29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24.75" customHeight="1">
      <c r="A8" s="7" t="s">
        <v>33</v>
      </c>
      <c r="B8" s="7" t="s">
        <v>35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24.75" customHeight="1">
      <c r="A9" s="7" t="s">
        <v>40</v>
      </c>
      <c r="B9" s="7" t="s">
        <v>41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24.75" customHeight="1">
      <c r="A10" s="7" t="s">
        <v>44</v>
      </c>
      <c r="B10" s="7" t="s">
        <v>45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24.75" customHeight="1">
      <c r="A11" s="7" t="s">
        <v>48</v>
      </c>
      <c r="B11" s="7" t="s">
        <v>49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24.75" customHeight="1">
      <c r="A12" s="7" t="s">
        <v>58</v>
      </c>
      <c r="B12" s="7" t="s">
        <v>59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27.75" customHeight="1">
      <c r="A13" s="7" t="s">
        <v>65</v>
      </c>
      <c r="B13" s="7" t="s">
        <v>66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27.75" customHeight="1">
      <c r="A14" s="7" t="s">
        <v>69</v>
      </c>
      <c r="B14" s="7" t="s">
        <v>70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36.0" customHeight="1">
      <c r="A15" s="29" t="s">
        <v>72</v>
      </c>
      <c r="B15" s="30" t="s">
        <v>74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36.0" customHeight="1">
      <c r="A16" s="29" t="s">
        <v>76</v>
      </c>
      <c r="B16" s="30" t="s">
        <v>77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36.0" customHeight="1">
      <c r="A17" s="29" t="s">
        <v>79</v>
      </c>
      <c r="B17" s="30" t="s">
        <v>80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36.0" customHeight="1">
      <c r="A18" s="29" t="s">
        <v>82</v>
      </c>
      <c r="B18" s="30" t="s">
        <v>83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36.0" customHeight="1">
      <c r="A19" s="29" t="s">
        <v>85</v>
      </c>
      <c r="B19" s="30" t="s">
        <v>87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36.0" customHeight="1">
      <c r="A20" s="29" t="s">
        <v>89</v>
      </c>
      <c r="B20" s="30" t="s">
        <v>90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36.0" customHeight="1">
      <c r="A21" s="29" t="s">
        <v>93</v>
      </c>
      <c r="B21" s="30" t="s">
        <v>94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36.0" customHeight="1">
      <c r="A22" s="29" t="s">
        <v>97</v>
      </c>
      <c r="B22" s="30" t="s">
        <v>99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33.75" customHeight="1">
      <c r="A23" s="47" t="s">
        <v>102</v>
      </c>
      <c r="B23" s="30" t="s">
        <v>104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33.75" customHeight="1">
      <c r="A24" s="47" t="s">
        <v>105</v>
      </c>
      <c r="B24" s="30" t="s">
        <v>106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33.75" customHeight="1">
      <c r="A25" s="47" t="s">
        <v>107</v>
      </c>
      <c r="B25" s="30" t="s">
        <v>108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33.75" customHeight="1">
      <c r="A26" s="47" t="s">
        <v>109</v>
      </c>
      <c r="B26" s="30" t="s">
        <v>110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33.75" customHeight="1">
      <c r="A27" s="47" t="s">
        <v>111</v>
      </c>
      <c r="B27" s="30" t="s">
        <v>112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6.5" customHeight="1"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6.5" customHeight="1"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6.5" customHeight="1"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6.5" customHeight="1"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6.5" customHeight="1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6.5" customHeight="1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6.5" customHeight="1"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6.5" customHeight="1"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6.5" customHeight="1"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6.5" customHeight="1"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6.5" customHeight="1"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6.5" customHeight="1"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6.5" customHeight="1"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6.5" customHeight="1"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6.5" customHeight="1"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6.5" customHeight="1"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6.5" customHeight="1"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6.5" customHeight="1"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6.5" customHeight="1"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6.5" customHeight="1"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6.5" customHeight="1"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6.5" customHeight="1"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6.5" customHeight="1"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6.5" customHeight="1"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6.5" customHeight="1"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6.5" customHeight="1"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6.5" customHeight="1"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6.5" customHeight="1"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6.5" customHeight="1"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6.5" customHeight="1"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6.5" customHeight="1"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6.5" customHeight="1"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6.5" customHeight="1"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6.5" customHeight="1"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6.5" customHeight="1"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6.5" customHeight="1"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6.5" customHeight="1"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6.5" customHeight="1"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6.5" customHeight="1"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6.5" customHeight="1"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6.5" customHeight="1"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6.5" customHeight="1"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6.5" customHeight="1"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6.5" customHeight="1"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6.5" customHeight="1"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6.5" customHeight="1"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6.5" customHeight="1"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6.5" customHeight="1"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6.5" customHeight="1"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6.5" customHeight="1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6.5" customHeight="1"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6.5" customHeight="1"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6.5" customHeight="1"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6.5" customHeight="1"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6.5" customHeight="1"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6.5" customHeight="1"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6.5" customHeight="1"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6.5" customHeight="1"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6.5" customHeight="1"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6.5" customHeight="1"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6.5" customHeight="1"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6.5" customHeight="1"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6.5" customHeight="1"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6.5" customHeight="1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6.5" customHeight="1"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6.5" customHeight="1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6.5" customHeight="1"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6.5" customHeight="1"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6.5" customHeight="1"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6.5" customHeight="1"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6.5" customHeight="1"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6.5" customHeight="1"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6.5" customHeight="1"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6.5" customHeight="1"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6.5" customHeight="1"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6.5" customHeight="1"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6.5" customHeight="1"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6.5" customHeight="1"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6.5" customHeight="1"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6.5" customHeight="1"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6.5" customHeight="1"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6.5" customHeight="1"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6.5" customHeight="1"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6.5" customHeight="1"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6.5" customHeight="1"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6.5" customHeight="1"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6.5" customHeight="1"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6.5" customHeight="1"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6.5" customHeight="1"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6.5" customHeight="1"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6.5" customHeight="1"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6.5" customHeight="1"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6.5" customHeight="1"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6.5" customHeight="1"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6.5" customHeight="1"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6.5" customHeight="1"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6.5" customHeight="1"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6.5" customHeight="1"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6.5" customHeight="1"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6.5" customHeight="1"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6.5" customHeight="1"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6.5" customHeight="1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6.5" customHeight="1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6.5" customHeight="1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6.5" customHeight="1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6.5" customHeight="1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6.5" customHeight="1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6.5" customHeight="1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6.5" customHeight="1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6.5" customHeight="1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6.5" customHeight="1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6.5" customHeight="1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6.5" customHeight="1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6.5" customHeight="1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6.5" customHeight="1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6.5" customHeight="1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6.5" customHeight="1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6.5" customHeight="1"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6.5" customHeight="1"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6.5" customHeight="1"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6.5" customHeight="1"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6.5" customHeight="1"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6.5" customHeight="1"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6.5" customHeight="1"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6.5" customHeight="1"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6.5" customHeight="1"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6.5" customHeight="1"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6.5" customHeight="1"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6.5" customHeight="1"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6.5" customHeight="1"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6.5" customHeight="1"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6.5" customHeight="1"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6.5" customHeight="1"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6.5" customHeight="1"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6.5" customHeight="1"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6.5" customHeight="1"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6.5" customHeight="1"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6.5" customHeight="1"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6.5" customHeight="1"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6.5" customHeight="1"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6.5" customHeight="1"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6.5" customHeight="1"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6.5" customHeight="1"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6.5" customHeight="1"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6.5" customHeight="1"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6.5" customHeight="1"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6.5" customHeight="1"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6.5" customHeight="1"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6.5" customHeight="1"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6.5" customHeight="1"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6.5" customHeight="1"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6.5" customHeight="1"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6.5" customHeight="1"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6.5" customHeight="1"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6.5" customHeight="1"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6.5" customHeight="1"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6.5" customHeight="1"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6.5" customHeight="1"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6.5" customHeight="1"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6.5" customHeight="1"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6.5" customHeight="1"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6.5" customHeight="1"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6.5" customHeight="1"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6.5" customHeight="1"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6.5" customHeight="1"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6.5" customHeight="1"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6.5" customHeight="1"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6.5" customHeight="1"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6.5" customHeight="1"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6.5" customHeight="1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6.5" customHeight="1"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6.5" customHeight="1"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6.5" customHeight="1"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6.5" customHeight="1"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6.5" customHeight="1"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6.5" customHeight="1"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6.5" customHeight="1"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6.5" customHeight="1"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6.5" customHeight="1"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6.5" customHeight="1"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6.5" customHeight="1"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6.5" customHeight="1"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6.5" customHeight="1"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6.5" customHeight="1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6.5" customHeight="1"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6.5" customHeight="1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6.5" customHeight="1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6.5" customHeight="1"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6.5" customHeight="1"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6.5" customHeight="1"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6.5" customHeight="1"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6.5" customHeight="1"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6.5" customHeight="1"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6.5" customHeight="1"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6.5" customHeight="1"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6.5" customHeight="1"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6.5" customHeight="1"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6.5" customHeight="1"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6.5" customHeight="1"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6.5" customHeight="1"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6.5" customHeight="1"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6.5" customHeight="1"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6.5" customHeight="1"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6.5" customHeight="1"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6.5" customHeight="1"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6.5" customHeight="1"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6.5" customHeight="1"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6.5" customHeight="1"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6.5" customHeight="1"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6.5" customHeight="1"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6.5" customHeight="1"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6.5" customHeight="1"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6.5" customHeight="1"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6.5" customHeight="1"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6.5" customHeight="1"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6.5" customHeight="1"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6.5" customHeight="1"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6.5" customHeight="1"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6.5" customHeight="1"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6.5" customHeight="1"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6.5" customHeight="1"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6.5" customHeight="1"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6.5" customHeight="1"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6.5" customHeight="1"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6.5" customHeight="1"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6.5" customHeight="1"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6.5" customHeight="1"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6.5" customHeight="1"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6.5" customHeight="1"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6.5" customHeight="1"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6.5" customHeight="1"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6.5" customHeight="1"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6.5" customHeight="1"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6.5" customHeight="1"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6.5" customHeight="1"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6.5" customHeight="1"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6.5" customHeight="1"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6.5" customHeight="1"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6.5" customHeight="1"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6.5" customHeight="1"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6.5" customHeight="1"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6.5" customHeight="1"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6.5" customHeight="1"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6.5" customHeight="1"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6.5" customHeight="1"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6.5" customHeight="1"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6.5" customHeight="1"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6.5" customHeight="1"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6.5" customHeight="1"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6.5" customHeight="1"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6.5" customHeight="1"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6.5" customHeight="1"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6.5" customHeight="1"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6.5" customHeight="1"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6.5" customHeight="1"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6.5" customHeight="1"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6.5" customHeight="1"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6.5" customHeight="1"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6.5" customHeight="1"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6.5" customHeight="1"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6.5" customHeight="1"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6.5" customHeight="1"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6.5" customHeight="1"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6.5" customHeight="1"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6.5" customHeight="1"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6.5" customHeight="1"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6.5" customHeight="1"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6.5" customHeight="1"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6.5" customHeight="1"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6.5" customHeight="1"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6.5" customHeight="1"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6.5" customHeight="1"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6.5" customHeight="1"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6.5" customHeight="1"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6.5" customHeight="1"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6.5" customHeight="1"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6.5" customHeight="1"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6.5" customHeight="1"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6.5" customHeight="1"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6.5" customHeight="1"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6.5" customHeight="1"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6.5" customHeight="1"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6.5" customHeight="1"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6.5" customHeight="1"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6.5" customHeight="1"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6.5" customHeight="1"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6.5" customHeight="1"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6.5" customHeight="1"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6.5" customHeight="1"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6.5" customHeight="1"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6.5" customHeight="1"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6.5" customHeight="1"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6.5" customHeight="1"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6.5" customHeight="1"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6.5" customHeight="1"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6.5" customHeight="1"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6.5" customHeight="1"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6.5" customHeight="1"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6.5" customHeight="1"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6.5" customHeight="1"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6.5" customHeight="1"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6.5" customHeight="1"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6.5" customHeight="1"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6.5" customHeight="1"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6.5" customHeight="1"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6.5" customHeight="1"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6.5" customHeight="1"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6.5" customHeight="1"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6.5" customHeight="1"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6.5" customHeight="1"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6.5" customHeight="1"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6.5" customHeight="1"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6.5" customHeight="1"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6.5" customHeight="1"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6.5" customHeight="1"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6.5" customHeight="1"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6.5" customHeight="1"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6.5" customHeight="1"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6.5" customHeight="1"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6.5" customHeight="1"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6.5" customHeight="1"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6.5" customHeight="1"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6.5" customHeight="1"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6.5" customHeight="1"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6.5" customHeight="1"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6.5" customHeight="1"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6.5" customHeight="1"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6.5" customHeight="1"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6.5" customHeight="1"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6.5" customHeight="1"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6.5" customHeight="1"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6.5" customHeight="1"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6.5" customHeight="1"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6.5" customHeight="1"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6.5" customHeight="1"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6.5" customHeight="1"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6.5" customHeight="1"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6.5" customHeight="1"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6.5" customHeight="1"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6.5" customHeight="1"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6.5" customHeight="1"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6.5" customHeight="1"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6.5" customHeight="1"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6.5" customHeight="1"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6.5" customHeight="1"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6.5" customHeight="1"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6.5" customHeight="1"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6.5" customHeight="1"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6.5" customHeight="1"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6.5" customHeight="1"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6.5" customHeight="1"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6.5" customHeight="1"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6.5" customHeight="1"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6.5" customHeight="1"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6.5" customHeight="1"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6.5" customHeight="1"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6.5" customHeight="1"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6.5" customHeight="1"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6.5" customHeight="1"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6.5" customHeight="1"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6.5" customHeight="1"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6.5" customHeight="1"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6.5" customHeight="1"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6.5" customHeight="1"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6.5" customHeight="1"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6.5" customHeight="1"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6.5" customHeight="1"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6.5" customHeight="1"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6.5" customHeight="1"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6.5" customHeight="1"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6.5" customHeight="1"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6.5" customHeight="1"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6.5" customHeight="1"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6.5" customHeight="1"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6.5" customHeight="1"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6.5" customHeight="1"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6.5" customHeight="1"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6.5" customHeight="1"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6.5" customHeight="1"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6.5" customHeight="1"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6.5" customHeight="1"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6.5" customHeight="1"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6.5" customHeight="1"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6.5" customHeight="1"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6.5" customHeight="1"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6.5" customHeight="1"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6.5" customHeight="1"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6.5" customHeight="1"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6.5" customHeight="1"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6.5" customHeight="1"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6.5" customHeight="1"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6.5" customHeight="1"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6.5" customHeight="1"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6.5" customHeight="1"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6.5" customHeight="1"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6.5" customHeight="1"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6.5" customHeight="1"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6.5" customHeight="1"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6.5" customHeight="1"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6.5" customHeight="1"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6.5" customHeight="1"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6.5" customHeight="1"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6.5" customHeight="1"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6.5" customHeight="1"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6.5" customHeight="1"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6.5" customHeight="1"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6.5" customHeight="1"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6.5" customHeight="1"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6.5" customHeight="1"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6.5" customHeight="1"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6.5" customHeight="1"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6.5" customHeight="1"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6.5" customHeight="1"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6.5" customHeight="1"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6.5" customHeight="1"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6.5" customHeight="1"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6.5" customHeight="1"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6.5" customHeight="1"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6.5" customHeight="1"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6.5" customHeight="1"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6.5" customHeight="1"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6.5" customHeight="1"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6.5" customHeight="1"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6.5" customHeight="1"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6.5" customHeight="1"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6.5" customHeight="1"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6.5" customHeight="1"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6.5" customHeight="1"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6.5" customHeight="1"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6.5" customHeight="1"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6.5" customHeight="1"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6.5" customHeight="1"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6.5" customHeight="1"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6.5" customHeight="1"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6.5" customHeight="1"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6.5" customHeight="1"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6.5" customHeight="1"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6.5" customHeight="1"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6.5" customHeight="1"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6.5" customHeight="1"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6.5" customHeight="1"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6.5" customHeight="1"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6.5" customHeight="1"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6.5" customHeight="1"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6.5" customHeight="1"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6.5" customHeight="1"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6.5" customHeight="1"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6.5" customHeight="1"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6.5" customHeight="1"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6.5" customHeight="1"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6.5" customHeight="1"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6.5" customHeight="1"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6.5" customHeight="1"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6.5" customHeight="1"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6.5" customHeight="1"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6.5" customHeight="1"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6.5" customHeight="1"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6.5" customHeight="1"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6.5" customHeight="1"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6.5" customHeight="1"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6.5" customHeight="1"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6.5" customHeight="1"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6.5" customHeight="1"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6.5" customHeight="1"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6.5" customHeight="1"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6.5" customHeight="1"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6.5" customHeight="1"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6.5" customHeight="1"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6.5" customHeight="1"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6.5" customHeight="1"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6.5" customHeight="1"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6.5" customHeight="1"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6.5" customHeight="1"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6.5" customHeight="1"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6.5" customHeight="1"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6.5" customHeight="1"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6.5" customHeight="1"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6.5" customHeight="1"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6.5" customHeight="1"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6.5" customHeight="1"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6.5" customHeight="1"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6.5" customHeight="1"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6.5" customHeight="1"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6.5" customHeight="1"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6.5" customHeight="1"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6.5" customHeight="1"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6.5" customHeight="1"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6.5" customHeight="1"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6.5" customHeight="1"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6.5" customHeight="1"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6.5" customHeight="1"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6.5" customHeight="1"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6.5" customHeight="1"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6.5" customHeight="1"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6.5" customHeight="1"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6.5" customHeight="1"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6.5" customHeight="1"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6.5" customHeight="1"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6.5" customHeight="1"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6.5" customHeight="1"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6.5" customHeight="1"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6.5" customHeight="1"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6.5" customHeight="1"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6.5" customHeight="1"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6.5" customHeight="1"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6.5" customHeight="1"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6.5" customHeight="1"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6.5" customHeight="1"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6.5" customHeight="1"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6.5" customHeight="1"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6.5" customHeight="1"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6.5" customHeight="1"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6.5" customHeight="1"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6.5" customHeight="1"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6.5" customHeight="1"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6.5" customHeight="1"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6.5" customHeight="1"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6.5" customHeight="1"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6.5" customHeight="1"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6.5" customHeight="1"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6.5" customHeight="1"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6.5" customHeight="1"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6.5" customHeight="1"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6.5" customHeight="1"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6.5" customHeight="1"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6.5" customHeight="1"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6.5" customHeight="1"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6.5" customHeight="1"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6.5" customHeight="1"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6.5" customHeight="1"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6.5" customHeight="1"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6.5" customHeight="1"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6.5" customHeight="1"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6.5" customHeight="1"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6.5" customHeight="1"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6.5" customHeight="1"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6.5" customHeight="1"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6.5" customHeight="1"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6.5" customHeight="1"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6.5" customHeight="1"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6.5" customHeight="1"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6.5" customHeight="1"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6.5" customHeight="1"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6.5" customHeight="1"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6.5" customHeight="1"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6.5" customHeight="1"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6.5" customHeight="1"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6.5" customHeight="1"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6.5" customHeight="1"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6.5" customHeight="1"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6.5" customHeight="1"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6.5" customHeight="1"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6.5" customHeight="1"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6.5" customHeight="1"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6.5" customHeight="1"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6.5" customHeight="1"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6.5" customHeight="1"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6.5" customHeight="1"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6.5" customHeight="1"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6.5" customHeight="1"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6.5" customHeight="1"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6.5" customHeight="1"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6.5" customHeight="1"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6.5" customHeight="1"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6.5" customHeight="1"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6.5" customHeight="1"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6.5" customHeight="1"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6.5" customHeight="1"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6.5" customHeight="1"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6.5" customHeight="1"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6.5" customHeight="1"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6.5" customHeight="1"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6.5" customHeight="1"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6.5" customHeight="1"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6.5" customHeight="1"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6.5" customHeight="1"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6.5" customHeight="1"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6.5" customHeight="1"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6.5" customHeight="1"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6.5" customHeight="1"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6.5" customHeight="1"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6.5" customHeight="1"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6.5" customHeight="1"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6.5" customHeight="1"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6.5" customHeight="1"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6.5" customHeight="1"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6.5" customHeight="1"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6.5" customHeight="1"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6.5" customHeight="1"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6.5" customHeight="1"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6.5" customHeight="1"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6.5" customHeight="1"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6.5" customHeight="1"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6.5" customHeight="1"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6.5" customHeight="1"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6.5" customHeight="1"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6.5" customHeight="1"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6.5" customHeight="1"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6.5" customHeight="1"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6.5" customHeight="1"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6.5" customHeight="1"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6.5" customHeight="1"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6.5" customHeight="1"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6.5" customHeight="1"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6.5" customHeight="1"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6.5" customHeight="1"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6.5" customHeight="1"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6.5" customHeight="1"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6.5" customHeight="1"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6.5" customHeight="1"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6.5" customHeight="1"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6.5" customHeight="1"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6.5" customHeight="1"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6.5" customHeight="1"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6.5" customHeight="1"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6.5" customHeight="1"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6.5" customHeight="1"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6.5" customHeight="1"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6.5" customHeight="1"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6.5" customHeight="1"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6.5" customHeight="1"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6.5" customHeight="1"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6.5" customHeight="1"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6.5" customHeight="1"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6.5" customHeight="1"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6.5" customHeight="1"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6.5" customHeight="1"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6.5" customHeight="1"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6.5" customHeight="1"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6.5" customHeight="1"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6.5" customHeight="1"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6.5" customHeight="1"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6.5" customHeight="1"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6.5" customHeight="1"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6.5" customHeight="1"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6.5" customHeight="1"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6.5" customHeight="1"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6.5" customHeight="1"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6.5" customHeight="1"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6.5" customHeight="1"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6.5" customHeight="1"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6.5" customHeight="1"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6.5" customHeight="1"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6.5" customHeight="1"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6.5" customHeight="1"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6.5" customHeight="1"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6.5" customHeight="1"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6.5" customHeight="1"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6.5" customHeight="1"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6.5" customHeight="1"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6.5" customHeight="1"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6.5" customHeight="1"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6.5" customHeight="1"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6.5" customHeight="1"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6.5" customHeight="1"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6.5" customHeight="1"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6.5" customHeight="1"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6.5" customHeight="1"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6.5" customHeight="1"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6.5" customHeight="1"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6.5" customHeight="1"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6.5" customHeight="1"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6.5" customHeight="1"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6.5" customHeight="1"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6.5" customHeight="1"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6.5" customHeight="1"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6.5" customHeight="1"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6.5" customHeight="1"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6.5" customHeight="1"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6.5" customHeight="1"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6.5" customHeight="1"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6.5" customHeight="1"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6.5" customHeight="1"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6.5" customHeight="1"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6.5" customHeight="1"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6.5" customHeight="1"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6.5" customHeight="1"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6.5" customHeight="1"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6.5" customHeight="1"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6.5" customHeight="1"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6.5" customHeight="1"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6.5" customHeight="1"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6.5" customHeight="1"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6.5" customHeight="1"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6.5" customHeight="1"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6.5" customHeight="1"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6.5" customHeight="1"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6.5" customHeight="1"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6.5" customHeight="1"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6.5" customHeight="1"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6.5" customHeight="1"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6.5" customHeight="1"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6.5" customHeight="1"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6.5" customHeight="1"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6.5" customHeight="1"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6.5" customHeight="1"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6.5" customHeight="1"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6.5" customHeight="1"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6.5" customHeight="1"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6.5" customHeight="1"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6.5" customHeight="1"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6.5" customHeight="1"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6.5" customHeight="1"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6.5" customHeight="1"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6.5" customHeight="1"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6.5" customHeight="1"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6.5" customHeight="1"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6.5" customHeight="1"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6.5" customHeight="1"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6.5" customHeight="1"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6.5" customHeight="1"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6.5" customHeight="1"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6.5" customHeight="1"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6.5" customHeight="1"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6.5" customHeight="1"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6.5" customHeight="1"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6.5" customHeight="1"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6.5" customHeight="1"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6.5" customHeight="1"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6.5" customHeight="1"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6.5" customHeight="1"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6.5" customHeight="1"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6.5" customHeight="1"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6.5" customHeight="1"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6.5" customHeight="1"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6.5" customHeight="1"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6.5" customHeight="1"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6.5" customHeight="1"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6.5" customHeight="1"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6.5" customHeight="1"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6.5" customHeight="1"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6.5" customHeight="1"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6.5" customHeight="1"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6.5" customHeight="1"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6.5" customHeight="1"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6.5" customHeight="1"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6.5" customHeight="1"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6.5" customHeight="1"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6.5" customHeight="1"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6.5" customHeight="1"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6.5" customHeight="1"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6.5" customHeight="1"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6.5" customHeight="1"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6.5" customHeight="1"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6.5" customHeight="1"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6.5" customHeight="1"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6.5" customHeight="1"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6.5" customHeight="1"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6.5" customHeight="1"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6.5" customHeight="1"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6.5" customHeight="1"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6.5" customHeight="1"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6.5" customHeight="1"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6.5" customHeight="1"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6.5" customHeight="1"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6.5" customHeight="1"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6.5" customHeight="1"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6.5" customHeight="1"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6.5" customHeight="1"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6.5" customHeight="1"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6.5" customHeight="1"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6.5" customHeight="1"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6.5" customHeight="1"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6.5" customHeight="1"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6.5" customHeight="1"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6.5" customHeight="1"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6.5" customHeight="1"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6.5" customHeight="1"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6.5" customHeight="1"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6.5" customHeight="1"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6.5" customHeight="1"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6.5" customHeight="1"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6.5" customHeight="1"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6.5" customHeight="1"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6.5" customHeight="1"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6.5" customHeight="1"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6.5" customHeight="1"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6.5" customHeight="1"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6.5" customHeight="1"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6.5" customHeight="1"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6.5" customHeight="1"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6.5" customHeight="1"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6.5" customHeight="1"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6.5" customHeight="1"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6.5" customHeight="1"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6.5" customHeight="1"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6.5" customHeight="1"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6.5" customHeight="1"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6.5" customHeight="1"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6.5" customHeight="1"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6.5" customHeight="1"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6.5" customHeight="1"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6.5" customHeight="1"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6.5" customHeight="1"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6.5" customHeight="1"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6.5" customHeight="1"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6.5" customHeight="1"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6.5" customHeight="1"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6.5" customHeight="1"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6.5" customHeight="1"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6.5" customHeight="1"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6.5" customHeight="1"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6.5" customHeight="1"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6.5" customHeight="1"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6.5" customHeight="1"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6.5" customHeight="1"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6.5" customHeight="1"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6.5" customHeight="1"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6.5" customHeight="1"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6.5" customHeight="1"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6.5" customHeight="1"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6.5" customHeight="1"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6.5" customHeight="1"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6.5" customHeight="1"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6.5" customHeight="1"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6.5" customHeight="1"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6.5" customHeight="1"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6.5" customHeight="1"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6.5" customHeight="1"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6.5" customHeight="1"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6.5" customHeight="1"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6.5" customHeight="1"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6.5" customHeight="1"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6.5" customHeight="1"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6.5" customHeight="1"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6.5" customHeight="1"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6.5" customHeight="1"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6.5" customHeight="1"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6.5" customHeight="1"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6.5" customHeight="1"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6.5" customHeight="1"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6.5" customHeight="1"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6.5" customHeight="1"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6.5" customHeight="1"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6.5" customHeight="1"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6.5" customHeight="1"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6.5" customHeight="1"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6.5" customHeight="1"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6.5" customHeight="1"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6.5" customHeight="1"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6.5" customHeight="1"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6.5" customHeight="1"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6.5" customHeight="1"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6.5" customHeight="1"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6.5" customHeight="1"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6.5" customHeight="1"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6.5" customHeight="1"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6.5" customHeight="1"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6.5" customHeight="1"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6.5" customHeight="1"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6.5" customHeight="1"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6.5" customHeight="1"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6.5" customHeight="1"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6.5" customHeight="1"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6.5" customHeight="1"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6.5" customHeight="1"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6.5" customHeight="1"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6.5" customHeight="1"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6.5" customHeight="1"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6.5" customHeight="1"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6.5" customHeight="1"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6.5" customHeight="1"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6.5" customHeight="1"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6.5" customHeight="1"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6.5" customHeight="1"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6.5" customHeight="1"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6.5" customHeight="1"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6.5" customHeight="1"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6.5" customHeight="1"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6.5" customHeight="1"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6.5" customHeight="1"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6.5" customHeight="1"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6.5" customHeight="1"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6.5" customHeight="1"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6.5" customHeight="1"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6.5" customHeight="1"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6.5" customHeight="1"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6.5" customHeight="1"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6.5" customHeight="1"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6.5" customHeight="1"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6.5" customHeight="1"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6.5" customHeight="1"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6.5" customHeight="1"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6.5" customHeight="1"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6.5" customHeight="1"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6.5" customHeight="1"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6.5" customHeight="1"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6.5" customHeight="1"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6.5" customHeight="1"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6.5" customHeight="1"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6.5" customHeight="1"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6.5" customHeight="1"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6.5" customHeight="1"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6.5" customHeight="1"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6.5" customHeight="1"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6.5" customHeight="1"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6.5" customHeight="1"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6.5" customHeight="1"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6.5" customHeight="1"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6.5" customHeight="1"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6.5" customHeight="1"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6.5" customHeight="1"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6.5" customHeight="1"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6.5" customHeight="1"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6.5" customHeight="1"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6.5" customHeight="1"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6.5" customHeight="1"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6.5" customHeight="1"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6.5" customHeight="1"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6.5" customHeight="1"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6.5" customHeight="1"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6.5" customHeight="1"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6.5" customHeight="1"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6.5" customHeight="1"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6.5" customHeight="1"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6.5" customHeight="1"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6.5" customHeight="1"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6.5" customHeight="1"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6.5" customHeight="1"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6.5" customHeight="1"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6.5" customHeight="1"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6.5" customHeight="1"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6.5" customHeight="1"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6.5" customHeight="1"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6.5" customHeight="1"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6.5" customHeight="1"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6.5" customHeight="1"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6.5" customHeight="1"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6.5" customHeight="1"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6.5" customHeight="1"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6.5" customHeight="1"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6.5" customHeight="1"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6.5" customHeight="1"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6.5" customHeight="1"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6.5" customHeight="1"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6.5" customHeight="1"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6.5" customHeight="1"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6.5" customHeight="1"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6.5" customHeight="1"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6.5" customHeight="1"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6.5" customHeight="1"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6.5" customHeight="1"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6.5" customHeight="1"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6.5" customHeight="1"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6.5" customHeight="1"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6.5" customHeight="1"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6.5" customHeight="1"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6.5" customHeight="1"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6.5" customHeight="1"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6.5" customHeight="1"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6.5" customHeight="1"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6.5" customHeight="1"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6.5" customHeight="1"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6.5" customHeight="1"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6.5" customHeight="1"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6.5" customHeight="1"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6.5" customHeight="1"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6.5" customHeight="1"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6.5" customHeight="1"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6.5" customHeight="1"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6.5" customHeight="1"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6.5" customHeight="1"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6.5" customHeight="1"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6.5" customHeight="1"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6.5" customHeight="1"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6.5" customHeight="1"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6.5" customHeight="1"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6.5" customHeight="1"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6.5" customHeight="1"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6.5" customHeight="1"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6.5" customHeight="1"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6.5" customHeight="1"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6.5" customHeight="1"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7.0"/>
    <col customWidth="1" min="2" max="2" width="24.0"/>
    <col customWidth="1" min="3" max="3" width="40.0"/>
    <col customWidth="1" min="4" max="4" width="26.0"/>
    <col customWidth="1" min="5" max="5" width="7.0"/>
    <col customWidth="1" min="6" max="6" width="23.0"/>
    <col customWidth="1" min="7" max="7" width="7.0"/>
    <col customWidth="1" min="8" max="8" width="38.0"/>
    <col customWidth="1" min="9" max="10" width="11.57"/>
    <col customWidth="1" min="11" max="11" width="18.0"/>
    <col customWidth="1" min="12" max="12" width="48.0"/>
    <col customWidth="1" min="13" max="14" width="6.43"/>
    <col customWidth="1" min="15" max="15" width="11.0"/>
    <col customWidth="1" min="16" max="100" width="4.43"/>
    <col customWidth="1" min="101" max="702" width="9.0"/>
  </cols>
  <sheetData>
    <row r="1" ht="21.75" customHeight="1">
      <c r="A1" s="6" t="s">
        <v>1</v>
      </c>
      <c r="B1" s="6"/>
      <c r="C1" s="6"/>
      <c r="D1" s="2" t="s">
        <v>4</v>
      </c>
      <c r="E1" s="2"/>
      <c r="F1" s="2"/>
      <c r="G1" s="2"/>
      <c r="H1" s="2"/>
      <c r="I1" s="2"/>
      <c r="J1" s="2"/>
      <c r="K1" s="2"/>
      <c r="L1" s="2"/>
      <c r="M1" s="8"/>
      <c r="N1" s="8"/>
      <c r="O1" s="2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</row>
    <row r="2" ht="21.0" customHeight="1">
      <c r="A2" s="10"/>
      <c r="B2" s="10"/>
      <c r="C2" s="10"/>
      <c r="D2" s="10"/>
      <c r="E2" s="53"/>
      <c r="F2" s="10"/>
      <c r="G2" s="10"/>
      <c r="H2" s="10"/>
      <c r="I2" s="10"/>
      <c r="J2" s="10"/>
      <c r="K2" s="10"/>
      <c r="L2" s="10"/>
      <c r="M2" s="54"/>
      <c r="N2" s="54"/>
      <c r="O2" s="10"/>
      <c r="P2" s="55" t="s">
        <v>21</v>
      </c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 t="s">
        <v>27</v>
      </c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 t="s">
        <v>30</v>
      </c>
      <c r="AS2" s="55"/>
      <c r="AT2" s="55"/>
      <c r="AU2" s="55"/>
      <c r="AV2" s="55"/>
      <c r="AW2" s="55" t="s">
        <v>116</v>
      </c>
      <c r="AX2" s="55"/>
      <c r="AY2" s="55"/>
      <c r="AZ2" s="55"/>
      <c r="BA2" s="55"/>
      <c r="BB2" s="55"/>
      <c r="BC2" s="55"/>
      <c r="BD2" s="55"/>
      <c r="BE2" s="55"/>
      <c r="BF2" s="55" t="s">
        <v>39</v>
      </c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 t="s">
        <v>42</v>
      </c>
      <c r="CH2" s="55" t="s">
        <v>47</v>
      </c>
      <c r="CV2" s="55" t="s">
        <v>51</v>
      </c>
      <c r="DJ2" s="55" t="s">
        <v>119</v>
      </c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</row>
    <row r="3" ht="24.75" customHeight="1">
      <c r="A3" s="108" t="s">
        <v>52</v>
      </c>
      <c r="B3" s="108" t="s">
        <v>54</v>
      </c>
      <c r="C3" s="108" t="s">
        <v>55</v>
      </c>
      <c r="D3" s="111" t="s">
        <v>56</v>
      </c>
      <c r="E3" s="114" t="s">
        <v>57</v>
      </c>
      <c r="F3" s="114"/>
      <c r="G3" s="114"/>
      <c r="H3" s="118"/>
      <c r="I3" s="114" t="s">
        <v>60</v>
      </c>
      <c r="J3" s="114"/>
      <c r="K3" s="119" t="s">
        <v>125</v>
      </c>
      <c r="L3" s="114"/>
      <c r="M3" s="121" t="s">
        <v>63</v>
      </c>
      <c r="N3" s="122"/>
      <c r="O3" s="114" t="s">
        <v>67</v>
      </c>
      <c r="P3" s="123">
        <v>46209.0</v>
      </c>
      <c r="Q3" s="123">
        <v>46210.0</v>
      </c>
      <c r="R3" s="123">
        <v>46211.0</v>
      </c>
      <c r="S3" s="123">
        <v>46212.0</v>
      </c>
      <c r="T3" s="123">
        <v>46213.0</v>
      </c>
      <c r="U3" s="123">
        <v>46214.0</v>
      </c>
      <c r="V3" s="123">
        <v>46215.0</v>
      </c>
      <c r="W3" s="123">
        <v>46216.0</v>
      </c>
      <c r="X3" s="123">
        <v>46217.0</v>
      </c>
      <c r="Y3" s="123">
        <v>46218.0</v>
      </c>
      <c r="Z3" s="123">
        <v>46219.0</v>
      </c>
      <c r="AA3" s="123">
        <v>46220.0</v>
      </c>
      <c r="AB3" s="123">
        <v>46221.0</v>
      </c>
      <c r="AC3" s="123">
        <v>46222.0</v>
      </c>
      <c r="AD3" s="123">
        <v>46223.0</v>
      </c>
      <c r="AE3" s="123">
        <v>46224.0</v>
      </c>
      <c r="AF3" s="123">
        <v>46225.0</v>
      </c>
      <c r="AG3" s="123">
        <v>46226.0</v>
      </c>
      <c r="AH3" s="123">
        <v>46227.0</v>
      </c>
      <c r="AI3" s="123">
        <v>46228.0</v>
      </c>
      <c r="AJ3" s="123">
        <v>46229.0</v>
      </c>
      <c r="AK3" s="123">
        <v>46230.0</v>
      </c>
      <c r="AL3" s="123">
        <v>46231.0</v>
      </c>
      <c r="AM3" s="123">
        <v>46232.0</v>
      </c>
      <c r="AN3" s="123">
        <v>46233.0</v>
      </c>
      <c r="AO3" s="123">
        <v>46234.0</v>
      </c>
      <c r="AP3" s="123">
        <v>46235.0</v>
      </c>
      <c r="AQ3" s="123">
        <v>46236.0</v>
      </c>
      <c r="AR3" s="123">
        <v>46237.0</v>
      </c>
      <c r="AS3" s="123">
        <v>46238.0</v>
      </c>
      <c r="AT3" s="123">
        <v>46239.0</v>
      </c>
      <c r="AU3" s="123">
        <v>46240.0</v>
      </c>
      <c r="AV3" s="123">
        <v>46241.0</v>
      </c>
      <c r="AW3" s="123">
        <v>46242.0</v>
      </c>
      <c r="AX3" s="123">
        <v>46243.0</v>
      </c>
      <c r="AY3" s="123">
        <v>46244.0</v>
      </c>
      <c r="AZ3" s="123">
        <v>46245.0</v>
      </c>
      <c r="BA3" s="123">
        <v>46246.0</v>
      </c>
      <c r="BB3" s="123">
        <v>46247.0</v>
      </c>
      <c r="BC3" s="123">
        <v>46248.0</v>
      </c>
      <c r="BD3" s="123">
        <v>46249.0</v>
      </c>
      <c r="BE3" s="123">
        <v>46250.0</v>
      </c>
      <c r="BF3" s="123">
        <v>46251.0</v>
      </c>
      <c r="BG3" s="123">
        <v>46252.0</v>
      </c>
      <c r="BH3" s="123">
        <v>46253.0</v>
      </c>
      <c r="BI3" s="123">
        <v>46254.0</v>
      </c>
      <c r="BJ3" s="123">
        <v>46255.0</v>
      </c>
      <c r="BK3" s="123">
        <v>46256.0</v>
      </c>
      <c r="BL3" s="123">
        <v>46257.0</v>
      </c>
      <c r="BM3" s="123">
        <v>46258.0</v>
      </c>
      <c r="BN3" s="123">
        <v>46259.0</v>
      </c>
      <c r="BO3" s="123">
        <v>46260.0</v>
      </c>
      <c r="BP3" s="123">
        <v>46261.0</v>
      </c>
      <c r="BQ3" s="123">
        <v>46262.0</v>
      </c>
      <c r="BR3" s="123">
        <v>46263.0</v>
      </c>
      <c r="BS3" s="123">
        <v>46264.0</v>
      </c>
      <c r="BT3" s="123">
        <v>46265.0</v>
      </c>
      <c r="BU3" s="123">
        <v>46266.0</v>
      </c>
      <c r="BV3" s="123">
        <v>46267.0</v>
      </c>
      <c r="BW3" s="123">
        <v>46268.0</v>
      </c>
      <c r="BX3" s="123">
        <v>46269.0</v>
      </c>
      <c r="BY3" s="123">
        <v>46270.0</v>
      </c>
      <c r="BZ3" s="123">
        <v>46271.0</v>
      </c>
      <c r="CA3" s="123">
        <v>46272.0</v>
      </c>
      <c r="CB3" s="123">
        <v>46273.0</v>
      </c>
      <c r="CC3" s="123">
        <v>46274.0</v>
      </c>
      <c r="CD3" s="123">
        <v>46275.0</v>
      </c>
      <c r="CE3" s="123">
        <v>46276.0</v>
      </c>
      <c r="CF3" s="123">
        <v>46277.0</v>
      </c>
      <c r="CG3" s="123">
        <v>46278.0</v>
      </c>
      <c r="CH3" s="123">
        <v>46279.0</v>
      </c>
      <c r="CI3" s="123">
        <v>46280.0</v>
      </c>
      <c r="CJ3" s="123">
        <v>46281.0</v>
      </c>
      <c r="CK3" s="123">
        <v>46282.0</v>
      </c>
      <c r="CL3" s="123">
        <v>46283.0</v>
      </c>
      <c r="CM3" s="123">
        <v>46284.0</v>
      </c>
      <c r="CN3" s="123">
        <v>46285.0</v>
      </c>
      <c r="CO3" s="123">
        <v>46286.0</v>
      </c>
      <c r="CP3" s="123">
        <v>46287.0</v>
      </c>
      <c r="CQ3" s="123">
        <v>46288.0</v>
      </c>
      <c r="CR3" s="123">
        <v>46289.0</v>
      </c>
      <c r="CS3" s="123">
        <v>46290.0</v>
      </c>
      <c r="CT3" s="123">
        <v>46291.0</v>
      </c>
      <c r="CU3" s="123">
        <v>46292.0</v>
      </c>
      <c r="CV3" s="123">
        <v>46293.0</v>
      </c>
      <c r="CW3" s="123">
        <v>46294.0</v>
      </c>
      <c r="CX3" s="123">
        <v>46295.0</v>
      </c>
      <c r="CY3" s="123">
        <v>46296.0</v>
      </c>
      <c r="CZ3" s="123">
        <v>46297.0</v>
      </c>
      <c r="DA3" s="123">
        <v>46298.0</v>
      </c>
      <c r="DB3" s="123">
        <v>46299.0</v>
      </c>
      <c r="DC3" s="123">
        <v>46300.0</v>
      </c>
      <c r="DD3" s="123">
        <v>46301.0</v>
      </c>
      <c r="DE3" s="123">
        <v>46302.0</v>
      </c>
      <c r="DF3" s="123">
        <v>46303.0</v>
      </c>
      <c r="DG3" s="123">
        <v>46304.0</v>
      </c>
      <c r="DH3" s="123">
        <v>46305.0</v>
      </c>
      <c r="DI3" s="123">
        <v>46306.0</v>
      </c>
      <c r="DJ3" s="123">
        <v>46307.0</v>
      </c>
      <c r="DK3" s="123">
        <v>46308.0</v>
      </c>
      <c r="DL3" s="123">
        <v>46309.0</v>
      </c>
      <c r="DM3" s="123">
        <v>46310.0</v>
      </c>
      <c r="DN3" s="123">
        <v>46311.0</v>
      </c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</row>
    <row r="4" ht="27.0" customHeight="1">
      <c r="A4" s="149"/>
      <c r="B4" s="149" t="s">
        <v>92</v>
      </c>
      <c r="C4" s="149" t="s">
        <v>92</v>
      </c>
      <c r="D4" s="150" t="s">
        <v>52</v>
      </c>
      <c r="E4" s="151" t="s">
        <v>136</v>
      </c>
      <c r="F4" s="151" t="s">
        <v>54</v>
      </c>
      <c r="G4" s="152" t="s">
        <v>137</v>
      </c>
      <c r="H4" s="153" t="s">
        <v>55</v>
      </c>
      <c r="I4" s="151" t="s">
        <v>95</v>
      </c>
      <c r="J4" s="154" t="s">
        <v>96</v>
      </c>
      <c r="K4" s="155" t="s">
        <v>138</v>
      </c>
      <c r="L4" s="154" t="s">
        <v>139</v>
      </c>
      <c r="M4" s="156" t="s">
        <v>100</v>
      </c>
      <c r="N4" s="157" t="s">
        <v>101</v>
      </c>
      <c r="O4" s="152" t="s">
        <v>98</v>
      </c>
      <c r="P4" s="158" t="str">
        <f t="shared" ref="P4:ZZ4" si="1">IF(P3="","",TEXT(P3,"aaa"))</f>
        <v>aaa</v>
      </c>
      <c r="Q4" s="158" t="str">
        <f t="shared" si="1"/>
        <v>aaa</v>
      </c>
      <c r="R4" s="158" t="str">
        <f t="shared" si="1"/>
        <v>aaa</v>
      </c>
      <c r="S4" s="158" t="str">
        <f t="shared" si="1"/>
        <v>aaa</v>
      </c>
      <c r="T4" s="158" t="str">
        <f t="shared" si="1"/>
        <v>aaa</v>
      </c>
      <c r="U4" s="158" t="str">
        <f t="shared" si="1"/>
        <v>aaa</v>
      </c>
      <c r="V4" s="158" t="str">
        <f t="shared" si="1"/>
        <v>aaa</v>
      </c>
      <c r="W4" s="158" t="str">
        <f t="shared" si="1"/>
        <v>aaa</v>
      </c>
      <c r="X4" s="158" t="str">
        <f t="shared" si="1"/>
        <v>aaa</v>
      </c>
      <c r="Y4" s="158" t="str">
        <f t="shared" si="1"/>
        <v>aaa</v>
      </c>
      <c r="Z4" s="158" t="str">
        <f t="shared" si="1"/>
        <v>aaa</v>
      </c>
      <c r="AA4" s="158" t="str">
        <f t="shared" si="1"/>
        <v>aaa</v>
      </c>
      <c r="AB4" s="158" t="str">
        <f t="shared" si="1"/>
        <v>aaa</v>
      </c>
      <c r="AC4" s="158" t="str">
        <f t="shared" si="1"/>
        <v>aaa</v>
      </c>
      <c r="AD4" s="158" t="str">
        <f t="shared" si="1"/>
        <v>aaa</v>
      </c>
      <c r="AE4" s="158" t="str">
        <f t="shared" si="1"/>
        <v>aaa</v>
      </c>
      <c r="AF4" s="158" t="str">
        <f t="shared" si="1"/>
        <v>aaa</v>
      </c>
      <c r="AG4" s="158" t="str">
        <f t="shared" si="1"/>
        <v>aaa</v>
      </c>
      <c r="AH4" s="158" t="str">
        <f t="shared" si="1"/>
        <v>aaa</v>
      </c>
      <c r="AI4" s="158" t="str">
        <f t="shared" si="1"/>
        <v>aaa</v>
      </c>
      <c r="AJ4" s="158" t="str">
        <f t="shared" si="1"/>
        <v>aaa</v>
      </c>
      <c r="AK4" s="158" t="str">
        <f t="shared" si="1"/>
        <v>aaa</v>
      </c>
      <c r="AL4" s="158" t="str">
        <f t="shared" si="1"/>
        <v>aaa</v>
      </c>
      <c r="AM4" s="158" t="str">
        <f t="shared" si="1"/>
        <v>aaa</v>
      </c>
      <c r="AN4" s="158" t="str">
        <f t="shared" si="1"/>
        <v>aaa</v>
      </c>
      <c r="AO4" s="158" t="str">
        <f t="shared" si="1"/>
        <v>aaa</v>
      </c>
      <c r="AP4" s="158" t="str">
        <f t="shared" si="1"/>
        <v>aaa</v>
      </c>
      <c r="AQ4" s="158" t="str">
        <f t="shared" si="1"/>
        <v>aaa</v>
      </c>
      <c r="AR4" s="158" t="str">
        <f t="shared" si="1"/>
        <v>aaa</v>
      </c>
      <c r="AS4" s="158" t="str">
        <f t="shared" si="1"/>
        <v>aaa</v>
      </c>
      <c r="AT4" s="158" t="str">
        <f t="shared" si="1"/>
        <v>aaa</v>
      </c>
      <c r="AU4" s="158" t="str">
        <f t="shared" si="1"/>
        <v>aaa</v>
      </c>
      <c r="AV4" s="158" t="str">
        <f t="shared" si="1"/>
        <v>aaa</v>
      </c>
      <c r="AW4" s="158" t="str">
        <f t="shared" si="1"/>
        <v>aaa</v>
      </c>
      <c r="AX4" s="158" t="str">
        <f t="shared" si="1"/>
        <v>aaa</v>
      </c>
      <c r="AY4" s="158" t="str">
        <f t="shared" si="1"/>
        <v>aaa</v>
      </c>
      <c r="AZ4" s="158" t="str">
        <f t="shared" si="1"/>
        <v>aaa</v>
      </c>
      <c r="BA4" s="158" t="str">
        <f t="shared" si="1"/>
        <v>aaa</v>
      </c>
      <c r="BB4" s="158" t="str">
        <f t="shared" si="1"/>
        <v>aaa</v>
      </c>
      <c r="BC4" s="158" t="str">
        <f t="shared" si="1"/>
        <v>aaa</v>
      </c>
      <c r="BD4" s="158" t="str">
        <f t="shared" si="1"/>
        <v>aaa</v>
      </c>
      <c r="BE4" s="158" t="str">
        <f t="shared" si="1"/>
        <v>aaa</v>
      </c>
      <c r="BF4" s="158" t="str">
        <f t="shared" si="1"/>
        <v>aaa</v>
      </c>
      <c r="BG4" s="158" t="str">
        <f t="shared" si="1"/>
        <v>aaa</v>
      </c>
      <c r="BH4" s="158" t="str">
        <f t="shared" si="1"/>
        <v>aaa</v>
      </c>
      <c r="BI4" s="158" t="str">
        <f t="shared" si="1"/>
        <v>aaa</v>
      </c>
      <c r="BJ4" s="158" t="str">
        <f t="shared" si="1"/>
        <v>aaa</v>
      </c>
      <c r="BK4" s="158" t="str">
        <f t="shared" si="1"/>
        <v>aaa</v>
      </c>
      <c r="BL4" s="158" t="str">
        <f t="shared" si="1"/>
        <v>aaa</v>
      </c>
      <c r="BM4" s="158" t="str">
        <f t="shared" si="1"/>
        <v>aaa</v>
      </c>
      <c r="BN4" s="158" t="str">
        <f t="shared" si="1"/>
        <v>aaa</v>
      </c>
      <c r="BO4" s="158" t="str">
        <f t="shared" si="1"/>
        <v>aaa</v>
      </c>
      <c r="BP4" s="158" t="str">
        <f t="shared" si="1"/>
        <v>aaa</v>
      </c>
      <c r="BQ4" s="158" t="str">
        <f t="shared" si="1"/>
        <v>aaa</v>
      </c>
      <c r="BR4" s="158" t="str">
        <f t="shared" si="1"/>
        <v>aaa</v>
      </c>
      <c r="BS4" s="158" t="str">
        <f t="shared" si="1"/>
        <v>aaa</v>
      </c>
      <c r="BT4" s="158" t="str">
        <f t="shared" si="1"/>
        <v>aaa</v>
      </c>
      <c r="BU4" s="158" t="str">
        <f t="shared" si="1"/>
        <v>aaa</v>
      </c>
      <c r="BV4" s="158" t="str">
        <f t="shared" si="1"/>
        <v>aaa</v>
      </c>
      <c r="BW4" s="158" t="str">
        <f t="shared" si="1"/>
        <v>aaa</v>
      </c>
      <c r="BX4" s="158" t="str">
        <f t="shared" si="1"/>
        <v>aaa</v>
      </c>
      <c r="BY4" s="158" t="str">
        <f t="shared" si="1"/>
        <v>aaa</v>
      </c>
      <c r="BZ4" s="158" t="str">
        <f t="shared" si="1"/>
        <v>aaa</v>
      </c>
      <c r="CA4" s="158" t="str">
        <f t="shared" si="1"/>
        <v>aaa</v>
      </c>
      <c r="CB4" s="158" t="str">
        <f t="shared" si="1"/>
        <v>aaa</v>
      </c>
      <c r="CC4" s="158" t="str">
        <f t="shared" si="1"/>
        <v>aaa</v>
      </c>
      <c r="CD4" s="158" t="str">
        <f t="shared" si="1"/>
        <v>aaa</v>
      </c>
      <c r="CE4" s="158" t="str">
        <f t="shared" si="1"/>
        <v>aaa</v>
      </c>
      <c r="CF4" s="158" t="str">
        <f t="shared" si="1"/>
        <v>aaa</v>
      </c>
      <c r="CG4" s="158" t="str">
        <f t="shared" si="1"/>
        <v>aaa</v>
      </c>
      <c r="CH4" s="158" t="str">
        <f t="shared" si="1"/>
        <v>aaa</v>
      </c>
      <c r="CI4" s="158" t="str">
        <f t="shared" si="1"/>
        <v>aaa</v>
      </c>
      <c r="CJ4" s="158" t="str">
        <f t="shared" si="1"/>
        <v>aaa</v>
      </c>
      <c r="CK4" s="158" t="str">
        <f t="shared" si="1"/>
        <v>aaa</v>
      </c>
      <c r="CL4" s="158" t="str">
        <f t="shared" si="1"/>
        <v>aaa</v>
      </c>
      <c r="CM4" s="158" t="str">
        <f t="shared" si="1"/>
        <v>aaa</v>
      </c>
      <c r="CN4" s="158" t="str">
        <f t="shared" si="1"/>
        <v>aaa</v>
      </c>
      <c r="CO4" s="158" t="str">
        <f t="shared" si="1"/>
        <v>aaa</v>
      </c>
      <c r="CP4" s="158" t="str">
        <f t="shared" si="1"/>
        <v>aaa</v>
      </c>
      <c r="CQ4" s="158" t="str">
        <f t="shared" si="1"/>
        <v>aaa</v>
      </c>
      <c r="CR4" s="158" t="str">
        <f t="shared" si="1"/>
        <v>aaa</v>
      </c>
      <c r="CS4" s="158" t="str">
        <f t="shared" si="1"/>
        <v>aaa</v>
      </c>
      <c r="CT4" s="158" t="str">
        <f t="shared" si="1"/>
        <v>aaa</v>
      </c>
      <c r="CU4" s="158" t="str">
        <f t="shared" si="1"/>
        <v>aaa</v>
      </c>
      <c r="CV4" s="158" t="str">
        <f t="shared" si="1"/>
        <v>aaa</v>
      </c>
      <c r="CW4" s="158" t="str">
        <f t="shared" si="1"/>
        <v>aaa</v>
      </c>
      <c r="CX4" s="158" t="str">
        <f t="shared" si="1"/>
        <v>aaa</v>
      </c>
      <c r="CY4" s="158" t="str">
        <f t="shared" si="1"/>
        <v>aaa</v>
      </c>
      <c r="CZ4" s="158" t="str">
        <f t="shared" si="1"/>
        <v>aaa</v>
      </c>
      <c r="DA4" s="158" t="str">
        <f t="shared" si="1"/>
        <v>aaa</v>
      </c>
      <c r="DB4" s="158" t="str">
        <f t="shared" si="1"/>
        <v>aaa</v>
      </c>
      <c r="DC4" s="158" t="str">
        <f t="shared" si="1"/>
        <v>aaa</v>
      </c>
      <c r="DD4" s="158" t="str">
        <f t="shared" si="1"/>
        <v>aaa</v>
      </c>
      <c r="DE4" s="158" t="str">
        <f t="shared" si="1"/>
        <v>aaa</v>
      </c>
      <c r="DF4" s="158" t="str">
        <f t="shared" si="1"/>
        <v>aaa</v>
      </c>
      <c r="DG4" s="158" t="str">
        <f t="shared" si="1"/>
        <v>aaa</v>
      </c>
      <c r="DH4" s="158" t="str">
        <f t="shared" si="1"/>
        <v>aaa</v>
      </c>
      <c r="DI4" s="158" t="str">
        <f t="shared" si="1"/>
        <v>aaa</v>
      </c>
      <c r="DJ4" s="158" t="str">
        <f t="shared" si="1"/>
        <v>aaa</v>
      </c>
      <c r="DK4" s="158" t="str">
        <f t="shared" si="1"/>
        <v>aaa</v>
      </c>
      <c r="DL4" s="158" t="str">
        <f t="shared" si="1"/>
        <v>aaa</v>
      </c>
      <c r="DM4" s="158" t="str">
        <f t="shared" si="1"/>
        <v>aaa</v>
      </c>
      <c r="DN4" s="158" t="str">
        <f t="shared" si="1"/>
        <v>aaa</v>
      </c>
      <c r="DO4" s="160" t="str">
        <f t="shared" si="1"/>
        <v/>
      </c>
      <c r="DP4" s="160" t="str">
        <f t="shared" si="1"/>
        <v/>
      </c>
      <c r="DQ4" s="160" t="str">
        <f t="shared" si="1"/>
        <v/>
      </c>
      <c r="DR4" s="160" t="str">
        <f t="shared" si="1"/>
        <v/>
      </c>
      <c r="DS4" s="160" t="str">
        <f t="shared" si="1"/>
        <v/>
      </c>
      <c r="DT4" s="160" t="str">
        <f t="shared" si="1"/>
        <v/>
      </c>
      <c r="DU4" s="160" t="str">
        <f t="shared" si="1"/>
        <v/>
      </c>
      <c r="DV4" s="160" t="str">
        <f t="shared" si="1"/>
        <v/>
      </c>
      <c r="DW4" s="160" t="str">
        <f t="shared" si="1"/>
        <v/>
      </c>
      <c r="DX4" s="160" t="str">
        <f t="shared" si="1"/>
        <v/>
      </c>
      <c r="DY4" s="160" t="str">
        <f t="shared" si="1"/>
        <v/>
      </c>
      <c r="DZ4" s="160" t="str">
        <f t="shared" si="1"/>
        <v/>
      </c>
      <c r="EA4" s="160" t="str">
        <f t="shared" si="1"/>
        <v/>
      </c>
      <c r="EB4" s="160" t="str">
        <f t="shared" si="1"/>
        <v/>
      </c>
      <c r="EC4" s="160" t="str">
        <f t="shared" si="1"/>
        <v/>
      </c>
      <c r="ED4" s="160" t="str">
        <f t="shared" si="1"/>
        <v/>
      </c>
      <c r="EE4" s="160" t="str">
        <f t="shared" si="1"/>
        <v/>
      </c>
      <c r="EF4" s="160" t="str">
        <f t="shared" si="1"/>
        <v/>
      </c>
      <c r="EG4" s="160" t="str">
        <f t="shared" si="1"/>
        <v/>
      </c>
      <c r="EH4" s="160" t="str">
        <f t="shared" si="1"/>
        <v/>
      </c>
      <c r="EI4" s="160" t="str">
        <f t="shared" si="1"/>
        <v/>
      </c>
      <c r="EJ4" s="160" t="str">
        <f t="shared" si="1"/>
        <v/>
      </c>
      <c r="EK4" s="160" t="str">
        <f t="shared" si="1"/>
        <v/>
      </c>
      <c r="EL4" s="160" t="str">
        <f t="shared" si="1"/>
        <v/>
      </c>
      <c r="EM4" s="160" t="str">
        <f t="shared" si="1"/>
        <v/>
      </c>
      <c r="EN4" s="160" t="str">
        <f t="shared" si="1"/>
        <v/>
      </c>
      <c r="EO4" s="160" t="str">
        <f t="shared" si="1"/>
        <v/>
      </c>
      <c r="EP4" s="160" t="str">
        <f t="shared" si="1"/>
        <v/>
      </c>
      <c r="EQ4" s="160" t="str">
        <f t="shared" si="1"/>
        <v/>
      </c>
      <c r="ER4" s="160" t="str">
        <f t="shared" si="1"/>
        <v/>
      </c>
      <c r="ES4" s="160" t="str">
        <f t="shared" si="1"/>
        <v/>
      </c>
      <c r="ET4" s="160" t="str">
        <f t="shared" si="1"/>
        <v/>
      </c>
      <c r="EU4" s="160" t="str">
        <f t="shared" si="1"/>
        <v/>
      </c>
      <c r="EV4" s="160" t="str">
        <f t="shared" si="1"/>
        <v/>
      </c>
      <c r="EW4" s="160" t="str">
        <f t="shared" si="1"/>
        <v/>
      </c>
      <c r="EX4" s="160" t="str">
        <f t="shared" si="1"/>
        <v/>
      </c>
      <c r="EY4" s="160" t="str">
        <f t="shared" si="1"/>
        <v/>
      </c>
      <c r="EZ4" s="160" t="str">
        <f t="shared" si="1"/>
        <v/>
      </c>
      <c r="FA4" s="160" t="str">
        <f t="shared" si="1"/>
        <v/>
      </c>
      <c r="FB4" s="160" t="str">
        <f t="shared" si="1"/>
        <v/>
      </c>
      <c r="FC4" s="160" t="str">
        <f t="shared" si="1"/>
        <v/>
      </c>
      <c r="FD4" s="160" t="str">
        <f t="shared" si="1"/>
        <v/>
      </c>
      <c r="FE4" s="160" t="str">
        <f t="shared" si="1"/>
        <v/>
      </c>
      <c r="FF4" s="160" t="str">
        <f t="shared" si="1"/>
        <v/>
      </c>
      <c r="FG4" s="160" t="str">
        <f t="shared" si="1"/>
        <v/>
      </c>
      <c r="FH4" s="160" t="str">
        <f t="shared" si="1"/>
        <v/>
      </c>
      <c r="FI4" s="160" t="str">
        <f t="shared" si="1"/>
        <v/>
      </c>
      <c r="FJ4" s="160" t="str">
        <f t="shared" si="1"/>
        <v/>
      </c>
      <c r="FK4" s="160" t="str">
        <f t="shared" si="1"/>
        <v/>
      </c>
      <c r="FL4" s="160" t="str">
        <f t="shared" si="1"/>
        <v/>
      </c>
      <c r="FM4" s="160" t="str">
        <f t="shared" si="1"/>
        <v/>
      </c>
      <c r="FN4" s="160" t="str">
        <f t="shared" si="1"/>
        <v/>
      </c>
      <c r="FO4" s="160" t="str">
        <f t="shared" si="1"/>
        <v/>
      </c>
      <c r="FP4" s="160" t="str">
        <f t="shared" si="1"/>
        <v/>
      </c>
      <c r="FQ4" s="160" t="str">
        <f t="shared" si="1"/>
        <v/>
      </c>
      <c r="FR4" s="160" t="str">
        <f t="shared" si="1"/>
        <v/>
      </c>
      <c r="FS4" s="160" t="str">
        <f t="shared" si="1"/>
        <v/>
      </c>
      <c r="FT4" s="160" t="str">
        <f t="shared" si="1"/>
        <v/>
      </c>
      <c r="FU4" s="160" t="str">
        <f t="shared" si="1"/>
        <v/>
      </c>
      <c r="FV4" s="160" t="str">
        <f t="shared" si="1"/>
        <v/>
      </c>
      <c r="FW4" s="160" t="str">
        <f t="shared" si="1"/>
        <v/>
      </c>
      <c r="FX4" s="160" t="str">
        <f t="shared" si="1"/>
        <v/>
      </c>
      <c r="FY4" s="160" t="str">
        <f t="shared" si="1"/>
        <v/>
      </c>
      <c r="FZ4" s="160" t="str">
        <f t="shared" si="1"/>
        <v/>
      </c>
      <c r="GA4" s="160" t="str">
        <f t="shared" si="1"/>
        <v/>
      </c>
      <c r="GB4" s="160" t="str">
        <f t="shared" si="1"/>
        <v/>
      </c>
      <c r="GC4" s="160" t="str">
        <f t="shared" si="1"/>
        <v/>
      </c>
      <c r="GD4" s="160" t="str">
        <f t="shared" si="1"/>
        <v/>
      </c>
      <c r="GE4" s="160" t="str">
        <f t="shared" si="1"/>
        <v/>
      </c>
      <c r="GF4" s="160" t="str">
        <f t="shared" si="1"/>
        <v/>
      </c>
      <c r="GG4" s="160" t="str">
        <f t="shared" si="1"/>
        <v/>
      </c>
      <c r="GH4" s="160" t="str">
        <f t="shared" si="1"/>
        <v/>
      </c>
      <c r="GI4" s="160" t="str">
        <f t="shared" si="1"/>
        <v/>
      </c>
      <c r="GJ4" s="160" t="str">
        <f t="shared" si="1"/>
        <v/>
      </c>
      <c r="GK4" s="160" t="str">
        <f t="shared" si="1"/>
        <v/>
      </c>
      <c r="GL4" s="160" t="str">
        <f t="shared" si="1"/>
        <v/>
      </c>
      <c r="GM4" s="160" t="str">
        <f t="shared" si="1"/>
        <v/>
      </c>
      <c r="GN4" s="160" t="str">
        <f t="shared" si="1"/>
        <v/>
      </c>
      <c r="GO4" s="160" t="str">
        <f t="shared" si="1"/>
        <v/>
      </c>
      <c r="GP4" s="160" t="str">
        <f t="shared" si="1"/>
        <v/>
      </c>
      <c r="GQ4" s="160" t="str">
        <f t="shared" si="1"/>
        <v/>
      </c>
      <c r="GR4" s="160" t="str">
        <f t="shared" si="1"/>
        <v/>
      </c>
      <c r="GS4" s="160" t="str">
        <f t="shared" si="1"/>
        <v/>
      </c>
      <c r="GT4" s="160" t="str">
        <f t="shared" si="1"/>
        <v/>
      </c>
      <c r="GU4" s="160" t="str">
        <f t="shared" si="1"/>
        <v/>
      </c>
      <c r="GV4" s="160" t="str">
        <f t="shared" si="1"/>
        <v/>
      </c>
      <c r="GW4" s="160" t="str">
        <f t="shared" si="1"/>
        <v/>
      </c>
      <c r="GX4" s="160" t="str">
        <f t="shared" si="1"/>
        <v/>
      </c>
      <c r="GY4" s="160" t="str">
        <f t="shared" si="1"/>
        <v/>
      </c>
      <c r="GZ4" s="160" t="str">
        <f t="shared" si="1"/>
        <v/>
      </c>
      <c r="HA4" s="160" t="str">
        <f t="shared" si="1"/>
        <v/>
      </c>
      <c r="HB4" s="160" t="str">
        <f t="shared" si="1"/>
        <v/>
      </c>
      <c r="HC4" s="160" t="str">
        <f t="shared" si="1"/>
        <v/>
      </c>
      <c r="HD4" s="160" t="str">
        <f t="shared" si="1"/>
        <v/>
      </c>
      <c r="HE4" s="160" t="str">
        <f t="shared" si="1"/>
        <v/>
      </c>
      <c r="HF4" s="160" t="str">
        <f t="shared" si="1"/>
        <v/>
      </c>
      <c r="HG4" s="160" t="str">
        <f t="shared" si="1"/>
        <v/>
      </c>
      <c r="HH4" s="160" t="str">
        <f t="shared" si="1"/>
        <v/>
      </c>
      <c r="HI4" s="160" t="str">
        <f t="shared" si="1"/>
        <v/>
      </c>
      <c r="HJ4" s="160" t="str">
        <f t="shared" si="1"/>
        <v/>
      </c>
      <c r="HK4" s="160" t="str">
        <f t="shared" si="1"/>
        <v/>
      </c>
      <c r="HL4" s="160" t="str">
        <f t="shared" si="1"/>
        <v/>
      </c>
      <c r="HM4" s="160" t="str">
        <f t="shared" si="1"/>
        <v/>
      </c>
      <c r="HN4" s="160" t="str">
        <f t="shared" si="1"/>
        <v/>
      </c>
      <c r="HO4" s="160" t="str">
        <f t="shared" si="1"/>
        <v/>
      </c>
      <c r="HP4" s="160" t="str">
        <f t="shared" si="1"/>
        <v/>
      </c>
      <c r="HQ4" s="160" t="str">
        <f t="shared" si="1"/>
        <v/>
      </c>
      <c r="HR4" s="160" t="str">
        <f t="shared" si="1"/>
        <v/>
      </c>
      <c r="HS4" s="160" t="str">
        <f t="shared" si="1"/>
        <v/>
      </c>
      <c r="HT4" s="160" t="str">
        <f t="shared" si="1"/>
        <v/>
      </c>
      <c r="HU4" s="160" t="str">
        <f t="shared" si="1"/>
        <v/>
      </c>
      <c r="HV4" s="160" t="str">
        <f t="shared" si="1"/>
        <v/>
      </c>
      <c r="HW4" s="160" t="str">
        <f t="shared" si="1"/>
        <v/>
      </c>
      <c r="HX4" s="160" t="str">
        <f t="shared" si="1"/>
        <v/>
      </c>
      <c r="HY4" s="160" t="str">
        <f t="shared" si="1"/>
        <v/>
      </c>
      <c r="HZ4" s="160" t="str">
        <f t="shared" si="1"/>
        <v/>
      </c>
      <c r="IA4" s="160" t="str">
        <f t="shared" si="1"/>
        <v/>
      </c>
      <c r="IB4" s="160" t="str">
        <f t="shared" si="1"/>
        <v/>
      </c>
      <c r="IC4" s="160" t="str">
        <f t="shared" si="1"/>
        <v/>
      </c>
      <c r="ID4" s="160" t="str">
        <f t="shared" si="1"/>
        <v/>
      </c>
      <c r="IE4" s="160" t="str">
        <f t="shared" si="1"/>
        <v/>
      </c>
      <c r="IF4" s="160" t="str">
        <f t="shared" si="1"/>
        <v/>
      </c>
      <c r="IG4" s="160" t="str">
        <f t="shared" si="1"/>
        <v/>
      </c>
      <c r="IH4" s="160" t="str">
        <f t="shared" si="1"/>
        <v/>
      </c>
      <c r="II4" s="160" t="str">
        <f t="shared" si="1"/>
        <v/>
      </c>
      <c r="IJ4" s="160" t="str">
        <f t="shared" si="1"/>
        <v/>
      </c>
      <c r="IK4" s="160" t="str">
        <f t="shared" si="1"/>
        <v/>
      </c>
      <c r="IL4" s="160" t="str">
        <f t="shared" si="1"/>
        <v/>
      </c>
      <c r="IM4" s="160" t="str">
        <f t="shared" si="1"/>
        <v/>
      </c>
      <c r="IN4" s="160" t="str">
        <f t="shared" si="1"/>
        <v/>
      </c>
      <c r="IO4" s="160" t="str">
        <f t="shared" si="1"/>
        <v/>
      </c>
      <c r="IP4" s="160" t="str">
        <f t="shared" si="1"/>
        <v/>
      </c>
      <c r="IQ4" s="160" t="str">
        <f t="shared" si="1"/>
        <v/>
      </c>
      <c r="IR4" s="160" t="str">
        <f t="shared" si="1"/>
        <v/>
      </c>
      <c r="IS4" s="160" t="str">
        <f t="shared" si="1"/>
        <v/>
      </c>
      <c r="IT4" s="160" t="str">
        <f t="shared" si="1"/>
        <v/>
      </c>
      <c r="IU4" s="160" t="str">
        <f t="shared" si="1"/>
        <v/>
      </c>
      <c r="IV4" s="160" t="str">
        <f t="shared" si="1"/>
        <v/>
      </c>
      <c r="IW4" s="160" t="str">
        <f t="shared" si="1"/>
        <v/>
      </c>
      <c r="IX4" s="160" t="str">
        <f t="shared" si="1"/>
        <v/>
      </c>
      <c r="IY4" s="160" t="str">
        <f t="shared" si="1"/>
        <v/>
      </c>
      <c r="IZ4" s="160" t="str">
        <f t="shared" si="1"/>
        <v/>
      </c>
      <c r="JA4" s="160" t="str">
        <f t="shared" si="1"/>
        <v/>
      </c>
      <c r="JB4" s="160" t="str">
        <f t="shared" si="1"/>
        <v/>
      </c>
      <c r="JC4" s="160" t="str">
        <f t="shared" si="1"/>
        <v/>
      </c>
      <c r="JD4" s="160" t="str">
        <f t="shared" si="1"/>
        <v/>
      </c>
      <c r="JE4" s="160" t="str">
        <f t="shared" si="1"/>
        <v/>
      </c>
      <c r="JF4" s="160" t="str">
        <f t="shared" si="1"/>
        <v/>
      </c>
      <c r="JG4" s="160" t="str">
        <f t="shared" si="1"/>
        <v/>
      </c>
      <c r="JH4" s="160" t="str">
        <f t="shared" si="1"/>
        <v/>
      </c>
      <c r="JI4" s="160" t="str">
        <f t="shared" si="1"/>
        <v/>
      </c>
      <c r="JJ4" s="160" t="str">
        <f t="shared" si="1"/>
        <v/>
      </c>
      <c r="JK4" s="160" t="str">
        <f t="shared" si="1"/>
        <v/>
      </c>
      <c r="JL4" s="160" t="str">
        <f t="shared" si="1"/>
        <v/>
      </c>
      <c r="JM4" s="160" t="str">
        <f t="shared" si="1"/>
        <v/>
      </c>
      <c r="JN4" s="160" t="str">
        <f t="shared" si="1"/>
        <v/>
      </c>
      <c r="JO4" s="160" t="str">
        <f t="shared" si="1"/>
        <v/>
      </c>
      <c r="JP4" s="160" t="str">
        <f t="shared" si="1"/>
        <v/>
      </c>
      <c r="JQ4" s="160" t="str">
        <f t="shared" si="1"/>
        <v/>
      </c>
      <c r="JR4" s="160" t="str">
        <f t="shared" si="1"/>
        <v/>
      </c>
      <c r="JS4" s="160" t="str">
        <f t="shared" si="1"/>
        <v/>
      </c>
      <c r="JT4" s="160" t="str">
        <f t="shared" si="1"/>
        <v/>
      </c>
      <c r="JU4" s="160" t="str">
        <f t="shared" si="1"/>
        <v/>
      </c>
      <c r="JV4" s="160" t="str">
        <f t="shared" si="1"/>
        <v/>
      </c>
      <c r="JW4" s="160" t="str">
        <f t="shared" si="1"/>
        <v/>
      </c>
      <c r="JX4" s="160" t="str">
        <f t="shared" si="1"/>
        <v/>
      </c>
      <c r="JY4" s="160" t="str">
        <f t="shared" si="1"/>
        <v/>
      </c>
      <c r="JZ4" s="160" t="str">
        <f t="shared" si="1"/>
        <v/>
      </c>
      <c r="KA4" s="160" t="str">
        <f t="shared" si="1"/>
        <v/>
      </c>
      <c r="KB4" s="160" t="str">
        <f t="shared" si="1"/>
        <v/>
      </c>
      <c r="KC4" s="160" t="str">
        <f t="shared" si="1"/>
        <v/>
      </c>
      <c r="KD4" s="160" t="str">
        <f t="shared" si="1"/>
        <v/>
      </c>
      <c r="KE4" s="160" t="str">
        <f t="shared" si="1"/>
        <v/>
      </c>
      <c r="KF4" s="160" t="str">
        <f t="shared" si="1"/>
        <v/>
      </c>
      <c r="KG4" s="160" t="str">
        <f t="shared" si="1"/>
        <v/>
      </c>
      <c r="KH4" s="160" t="str">
        <f t="shared" si="1"/>
        <v/>
      </c>
      <c r="KI4" s="160" t="str">
        <f t="shared" si="1"/>
        <v/>
      </c>
      <c r="KJ4" s="160" t="str">
        <f t="shared" si="1"/>
        <v/>
      </c>
      <c r="KK4" s="160" t="str">
        <f t="shared" si="1"/>
        <v/>
      </c>
      <c r="KL4" s="160" t="str">
        <f t="shared" si="1"/>
        <v/>
      </c>
      <c r="KM4" s="160" t="str">
        <f t="shared" si="1"/>
        <v/>
      </c>
      <c r="KN4" s="160" t="str">
        <f t="shared" si="1"/>
        <v/>
      </c>
      <c r="KO4" s="160" t="str">
        <f t="shared" si="1"/>
        <v/>
      </c>
      <c r="KP4" s="160" t="str">
        <f t="shared" si="1"/>
        <v/>
      </c>
      <c r="KQ4" s="160" t="str">
        <f t="shared" si="1"/>
        <v/>
      </c>
      <c r="KR4" s="160" t="str">
        <f t="shared" si="1"/>
        <v/>
      </c>
      <c r="KS4" s="160" t="str">
        <f t="shared" si="1"/>
        <v/>
      </c>
      <c r="KT4" s="160" t="str">
        <f t="shared" si="1"/>
        <v/>
      </c>
      <c r="KU4" s="160" t="str">
        <f t="shared" si="1"/>
        <v/>
      </c>
      <c r="KV4" s="160" t="str">
        <f t="shared" si="1"/>
        <v/>
      </c>
      <c r="KW4" s="160" t="str">
        <f t="shared" si="1"/>
        <v/>
      </c>
      <c r="KX4" s="160" t="str">
        <f t="shared" si="1"/>
        <v/>
      </c>
      <c r="KY4" s="160" t="str">
        <f t="shared" si="1"/>
        <v/>
      </c>
      <c r="KZ4" s="160" t="str">
        <f t="shared" si="1"/>
        <v/>
      </c>
      <c r="LA4" s="160" t="str">
        <f t="shared" si="1"/>
        <v/>
      </c>
      <c r="LB4" s="160" t="str">
        <f t="shared" si="1"/>
        <v/>
      </c>
      <c r="LC4" s="160" t="str">
        <f t="shared" si="1"/>
        <v/>
      </c>
      <c r="LD4" s="160" t="str">
        <f t="shared" si="1"/>
        <v/>
      </c>
      <c r="LE4" s="160" t="str">
        <f t="shared" si="1"/>
        <v/>
      </c>
      <c r="LF4" s="160" t="str">
        <f t="shared" si="1"/>
        <v/>
      </c>
      <c r="LG4" s="160" t="str">
        <f t="shared" si="1"/>
        <v/>
      </c>
      <c r="LH4" s="160" t="str">
        <f t="shared" si="1"/>
        <v/>
      </c>
      <c r="LI4" s="160" t="str">
        <f t="shared" si="1"/>
        <v/>
      </c>
      <c r="LJ4" s="160" t="str">
        <f t="shared" si="1"/>
        <v/>
      </c>
      <c r="LK4" s="160" t="str">
        <f t="shared" si="1"/>
        <v/>
      </c>
      <c r="LL4" s="160" t="str">
        <f t="shared" si="1"/>
        <v/>
      </c>
      <c r="LM4" s="160" t="str">
        <f t="shared" si="1"/>
        <v/>
      </c>
      <c r="LN4" s="160" t="str">
        <f t="shared" si="1"/>
        <v/>
      </c>
      <c r="LO4" s="160" t="str">
        <f t="shared" si="1"/>
        <v/>
      </c>
      <c r="LP4" s="160" t="str">
        <f t="shared" si="1"/>
        <v/>
      </c>
      <c r="LQ4" s="160" t="str">
        <f t="shared" si="1"/>
        <v/>
      </c>
      <c r="LR4" s="160" t="str">
        <f t="shared" si="1"/>
        <v/>
      </c>
      <c r="LS4" s="160" t="str">
        <f t="shared" si="1"/>
        <v/>
      </c>
      <c r="LT4" s="160" t="str">
        <f t="shared" si="1"/>
        <v/>
      </c>
      <c r="LU4" s="160" t="str">
        <f t="shared" si="1"/>
        <v/>
      </c>
      <c r="LV4" s="160" t="str">
        <f t="shared" si="1"/>
        <v/>
      </c>
      <c r="LW4" s="160" t="str">
        <f t="shared" si="1"/>
        <v/>
      </c>
      <c r="LX4" s="160" t="str">
        <f t="shared" si="1"/>
        <v/>
      </c>
      <c r="LY4" s="160" t="str">
        <f t="shared" si="1"/>
        <v/>
      </c>
      <c r="LZ4" s="160" t="str">
        <f t="shared" si="1"/>
        <v/>
      </c>
      <c r="MA4" s="160" t="str">
        <f t="shared" si="1"/>
        <v/>
      </c>
      <c r="MB4" s="160" t="str">
        <f t="shared" si="1"/>
        <v/>
      </c>
      <c r="MC4" s="160" t="str">
        <f t="shared" si="1"/>
        <v/>
      </c>
      <c r="MD4" s="160" t="str">
        <f t="shared" si="1"/>
        <v/>
      </c>
      <c r="ME4" s="160" t="str">
        <f t="shared" si="1"/>
        <v/>
      </c>
      <c r="MF4" s="160" t="str">
        <f t="shared" si="1"/>
        <v/>
      </c>
      <c r="MG4" s="160" t="str">
        <f t="shared" si="1"/>
        <v/>
      </c>
      <c r="MH4" s="160" t="str">
        <f t="shared" si="1"/>
        <v/>
      </c>
      <c r="MI4" s="160" t="str">
        <f t="shared" si="1"/>
        <v/>
      </c>
      <c r="MJ4" s="160" t="str">
        <f t="shared" si="1"/>
        <v/>
      </c>
      <c r="MK4" s="160" t="str">
        <f t="shared" si="1"/>
        <v/>
      </c>
      <c r="ML4" s="160" t="str">
        <f t="shared" si="1"/>
        <v/>
      </c>
      <c r="MM4" s="160" t="str">
        <f t="shared" si="1"/>
        <v/>
      </c>
      <c r="MN4" s="160" t="str">
        <f t="shared" si="1"/>
        <v/>
      </c>
      <c r="MO4" s="160" t="str">
        <f t="shared" si="1"/>
        <v/>
      </c>
      <c r="MP4" s="160" t="str">
        <f t="shared" si="1"/>
        <v/>
      </c>
      <c r="MQ4" s="160" t="str">
        <f t="shared" si="1"/>
        <v/>
      </c>
      <c r="MR4" s="160" t="str">
        <f t="shared" si="1"/>
        <v/>
      </c>
      <c r="MS4" s="160" t="str">
        <f t="shared" si="1"/>
        <v/>
      </c>
      <c r="MT4" s="160" t="str">
        <f t="shared" si="1"/>
        <v/>
      </c>
      <c r="MU4" s="160" t="str">
        <f t="shared" si="1"/>
        <v/>
      </c>
      <c r="MV4" s="160" t="str">
        <f t="shared" si="1"/>
        <v/>
      </c>
      <c r="MW4" s="160" t="str">
        <f t="shared" si="1"/>
        <v/>
      </c>
      <c r="MX4" s="160" t="str">
        <f t="shared" si="1"/>
        <v/>
      </c>
      <c r="MY4" s="160" t="str">
        <f t="shared" si="1"/>
        <v/>
      </c>
      <c r="MZ4" s="160" t="str">
        <f t="shared" si="1"/>
        <v/>
      </c>
      <c r="NA4" s="160" t="str">
        <f t="shared" si="1"/>
        <v/>
      </c>
      <c r="NB4" s="160" t="str">
        <f t="shared" si="1"/>
        <v/>
      </c>
      <c r="NC4" s="160" t="str">
        <f t="shared" si="1"/>
        <v/>
      </c>
      <c r="ND4" s="160" t="str">
        <f t="shared" si="1"/>
        <v/>
      </c>
      <c r="NE4" s="160" t="str">
        <f t="shared" si="1"/>
        <v/>
      </c>
      <c r="NF4" s="160" t="str">
        <f t="shared" si="1"/>
        <v/>
      </c>
      <c r="NG4" s="160" t="str">
        <f t="shared" si="1"/>
        <v/>
      </c>
      <c r="NH4" s="160" t="str">
        <f t="shared" si="1"/>
        <v/>
      </c>
      <c r="NI4" s="160" t="str">
        <f t="shared" si="1"/>
        <v/>
      </c>
      <c r="NJ4" s="160" t="str">
        <f t="shared" si="1"/>
        <v/>
      </c>
      <c r="NK4" s="160" t="str">
        <f t="shared" si="1"/>
        <v/>
      </c>
      <c r="NL4" s="160" t="str">
        <f t="shared" si="1"/>
        <v/>
      </c>
      <c r="NM4" s="160" t="str">
        <f t="shared" si="1"/>
        <v/>
      </c>
      <c r="NN4" s="160" t="str">
        <f t="shared" si="1"/>
        <v/>
      </c>
      <c r="NO4" s="160" t="str">
        <f t="shared" si="1"/>
        <v/>
      </c>
      <c r="NP4" s="160" t="str">
        <f t="shared" si="1"/>
        <v/>
      </c>
      <c r="NQ4" s="160" t="str">
        <f t="shared" si="1"/>
        <v/>
      </c>
      <c r="NR4" s="160" t="str">
        <f t="shared" si="1"/>
        <v/>
      </c>
      <c r="NS4" s="160" t="str">
        <f t="shared" si="1"/>
        <v/>
      </c>
      <c r="NT4" s="160" t="str">
        <f t="shared" si="1"/>
        <v/>
      </c>
      <c r="NU4" s="160" t="str">
        <f t="shared" si="1"/>
        <v/>
      </c>
      <c r="NV4" s="160" t="str">
        <f t="shared" si="1"/>
        <v/>
      </c>
      <c r="NW4" s="160" t="str">
        <f t="shared" si="1"/>
        <v/>
      </c>
      <c r="NX4" s="160" t="str">
        <f t="shared" si="1"/>
        <v/>
      </c>
      <c r="NY4" s="160" t="str">
        <f t="shared" si="1"/>
        <v/>
      </c>
      <c r="NZ4" s="160" t="str">
        <f t="shared" si="1"/>
        <v/>
      </c>
      <c r="OA4" s="160" t="str">
        <f t="shared" si="1"/>
        <v/>
      </c>
      <c r="OB4" s="160" t="str">
        <f t="shared" si="1"/>
        <v/>
      </c>
      <c r="OC4" s="160" t="str">
        <f t="shared" si="1"/>
        <v/>
      </c>
      <c r="OD4" s="160" t="str">
        <f t="shared" si="1"/>
        <v/>
      </c>
      <c r="OE4" s="160" t="str">
        <f t="shared" si="1"/>
        <v/>
      </c>
      <c r="OF4" s="160" t="str">
        <f t="shared" si="1"/>
        <v/>
      </c>
      <c r="OG4" s="160" t="str">
        <f t="shared" si="1"/>
        <v/>
      </c>
      <c r="OH4" s="160" t="str">
        <f t="shared" si="1"/>
        <v/>
      </c>
      <c r="OI4" s="160" t="str">
        <f t="shared" si="1"/>
        <v/>
      </c>
      <c r="OJ4" s="160" t="str">
        <f t="shared" si="1"/>
        <v/>
      </c>
      <c r="OK4" s="160" t="str">
        <f t="shared" si="1"/>
        <v/>
      </c>
      <c r="OL4" s="160" t="str">
        <f t="shared" si="1"/>
        <v/>
      </c>
      <c r="OM4" s="160" t="str">
        <f t="shared" si="1"/>
        <v/>
      </c>
      <c r="ON4" s="160" t="str">
        <f t="shared" si="1"/>
        <v/>
      </c>
      <c r="OO4" s="160" t="str">
        <f t="shared" si="1"/>
        <v/>
      </c>
      <c r="OP4" s="160" t="str">
        <f t="shared" si="1"/>
        <v/>
      </c>
      <c r="OQ4" s="160" t="str">
        <f t="shared" si="1"/>
        <v/>
      </c>
      <c r="OR4" s="160" t="str">
        <f t="shared" si="1"/>
        <v/>
      </c>
      <c r="OS4" s="160" t="str">
        <f t="shared" si="1"/>
        <v/>
      </c>
      <c r="OT4" s="160" t="str">
        <f t="shared" si="1"/>
        <v/>
      </c>
      <c r="OU4" s="160" t="str">
        <f t="shared" si="1"/>
        <v/>
      </c>
      <c r="OV4" s="160" t="str">
        <f t="shared" si="1"/>
        <v/>
      </c>
      <c r="OW4" s="160" t="str">
        <f t="shared" si="1"/>
        <v/>
      </c>
      <c r="OX4" s="160" t="str">
        <f t="shared" si="1"/>
        <v/>
      </c>
      <c r="OY4" s="160" t="str">
        <f t="shared" si="1"/>
        <v/>
      </c>
      <c r="OZ4" s="160" t="str">
        <f t="shared" si="1"/>
        <v/>
      </c>
      <c r="PA4" s="160" t="str">
        <f t="shared" si="1"/>
        <v/>
      </c>
      <c r="PB4" s="160" t="str">
        <f t="shared" si="1"/>
        <v/>
      </c>
      <c r="PC4" s="160" t="str">
        <f t="shared" si="1"/>
        <v/>
      </c>
      <c r="PD4" s="160" t="str">
        <f t="shared" si="1"/>
        <v/>
      </c>
      <c r="PE4" s="160" t="str">
        <f t="shared" si="1"/>
        <v/>
      </c>
      <c r="PF4" s="160" t="str">
        <f t="shared" si="1"/>
        <v/>
      </c>
      <c r="PG4" s="160" t="str">
        <f t="shared" si="1"/>
        <v/>
      </c>
      <c r="PH4" s="160" t="str">
        <f t="shared" si="1"/>
        <v/>
      </c>
      <c r="PI4" s="160" t="str">
        <f t="shared" si="1"/>
        <v/>
      </c>
      <c r="PJ4" s="160" t="str">
        <f t="shared" si="1"/>
        <v/>
      </c>
      <c r="PK4" s="160" t="str">
        <f t="shared" si="1"/>
        <v/>
      </c>
      <c r="PL4" s="160" t="str">
        <f t="shared" si="1"/>
        <v/>
      </c>
      <c r="PM4" s="160" t="str">
        <f t="shared" si="1"/>
        <v/>
      </c>
      <c r="PN4" s="160" t="str">
        <f t="shared" si="1"/>
        <v/>
      </c>
      <c r="PO4" s="160" t="str">
        <f t="shared" si="1"/>
        <v/>
      </c>
      <c r="PP4" s="160" t="str">
        <f t="shared" si="1"/>
        <v/>
      </c>
      <c r="PQ4" s="160" t="str">
        <f t="shared" si="1"/>
        <v/>
      </c>
      <c r="PR4" s="160" t="str">
        <f t="shared" si="1"/>
        <v/>
      </c>
      <c r="PS4" s="160" t="str">
        <f t="shared" si="1"/>
        <v/>
      </c>
      <c r="PT4" s="160" t="str">
        <f t="shared" si="1"/>
        <v/>
      </c>
      <c r="PU4" s="160" t="str">
        <f t="shared" si="1"/>
        <v/>
      </c>
      <c r="PV4" s="160" t="str">
        <f t="shared" si="1"/>
        <v/>
      </c>
      <c r="PW4" s="160" t="str">
        <f t="shared" si="1"/>
        <v/>
      </c>
      <c r="PX4" s="160" t="str">
        <f t="shared" si="1"/>
        <v/>
      </c>
      <c r="PY4" s="160" t="str">
        <f t="shared" si="1"/>
        <v/>
      </c>
      <c r="PZ4" s="160" t="str">
        <f t="shared" si="1"/>
        <v/>
      </c>
      <c r="QA4" s="160" t="str">
        <f t="shared" si="1"/>
        <v/>
      </c>
      <c r="QB4" s="160" t="str">
        <f t="shared" si="1"/>
        <v/>
      </c>
      <c r="QC4" s="160" t="str">
        <f t="shared" si="1"/>
        <v/>
      </c>
      <c r="QD4" s="160" t="str">
        <f t="shared" si="1"/>
        <v/>
      </c>
      <c r="QE4" s="160" t="str">
        <f t="shared" si="1"/>
        <v/>
      </c>
      <c r="QF4" s="160" t="str">
        <f t="shared" si="1"/>
        <v/>
      </c>
      <c r="QG4" s="160" t="str">
        <f t="shared" si="1"/>
        <v/>
      </c>
      <c r="QH4" s="160" t="str">
        <f t="shared" si="1"/>
        <v/>
      </c>
      <c r="QI4" s="160" t="str">
        <f t="shared" si="1"/>
        <v/>
      </c>
      <c r="QJ4" s="160" t="str">
        <f t="shared" si="1"/>
        <v/>
      </c>
      <c r="QK4" s="160" t="str">
        <f t="shared" si="1"/>
        <v/>
      </c>
      <c r="QL4" s="160" t="str">
        <f t="shared" si="1"/>
        <v/>
      </c>
      <c r="QM4" s="160" t="str">
        <f t="shared" si="1"/>
        <v/>
      </c>
      <c r="QN4" s="160" t="str">
        <f t="shared" si="1"/>
        <v/>
      </c>
      <c r="QO4" s="160" t="str">
        <f t="shared" si="1"/>
        <v/>
      </c>
      <c r="QP4" s="160" t="str">
        <f t="shared" si="1"/>
        <v/>
      </c>
      <c r="QQ4" s="160" t="str">
        <f t="shared" si="1"/>
        <v/>
      </c>
      <c r="QR4" s="160" t="str">
        <f t="shared" si="1"/>
        <v/>
      </c>
      <c r="QS4" s="160" t="str">
        <f t="shared" si="1"/>
        <v/>
      </c>
      <c r="QT4" s="160" t="str">
        <f t="shared" si="1"/>
        <v/>
      </c>
      <c r="QU4" s="160" t="str">
        <f t="shared" si="1"/>
        <v/>
      </c>
      <c r="QV4" s="160" t="str">
        <f t="shared" si="1"/>
        <v/>
      </c>
      <c r="QW4" s="160" t="str">
        <f t="shared" si="1"/>
        <v/>
      </c>
      <c r="QX4" s="160" t="str">
        <f t="shared" si="1"/>
        <v/>
      </c>
      <c r="QY4" s="160" t="str">
        <f t="shared" si="1"/>
        <v/>
      </c>
      <c r="QZ4" s="160" t="str">
        <f t="shared" si="1"/>
        <v/>
      </c>
      <c r="RA4" s="160" t="str">
        <f t="shared" si="1"/>
        <v/>
      </c>
      <c r="RB4" s="160" t="str">
        <f t="shared" si="1"/>
        <v/>
      </c>
      <c r="RC4" s="160" t="str">
        <f t="shared" si="1"/>
        <v/>
      </c>
      <c r="RD4" s="160" t="str">
        <f t="shared" si="1"/>
        <v/>
      </c>
      <c r="RE4" s="160" t="str">
        <f t="shared" si="1"/>
        <v/>
      </c>
      <c r="RF4" s="160" t="str">
        <f t="shared" si="1"/>
        <v/>
      </c>
      <c r="RG4" s="160" t="str">
        <f t="shared" si="1"/>
        <v/>
      </c>
      <c r="RH4" s="160" t="str">
        <f t="shared" si="1"/>
        <v/>
      </c>
      <c r="RI4" s="160" t="str">
        <f t="shared" si="1"/>
        <v/>
      </c>
      <c r="RJ4" s="160" t="str">
        <f t="shared" si="1"/>
        <v/>
      </c>
      <c r="RK4" s="160" t="str">
        <f t="shared" si="1"/>
        <v/>
      </c>
      <c r="RL4" s="160" t="str">
        <f t="shared" si="1"/>
        <v/>
      </c>
      <c r="RM4" s="160" t="str">
        <f t="shared" si="1"/>
        <v/>
      </c>
      <c r="RN4" s="160" t="str">
        <f t="shared" si="1"/>
        <v/>
      </c>
      <c r="RO4" s="160" t="str">
        <f t="shared" si="1"/>
        <v/>
      </c>
      <c r="RP4" s="160" t="str">
        <f t="shared" si="1"/>
        <v/>
      </c>
      <c r="RQ4" s="160" t="str">
        <f t="shared" si="1"/>
        <v/>
      </c>
      <c r="RR4" s="160" t="str">
        <f t="shared" si="1"/>
        <v/>
      </c>
      <c r="RS4" s="160" t="str">
        <f t="shared" si="1"/>
        <v/>
      </c>
      <c r="RT4" s="160" t="str">
        <f t="shared" si="1"/>
        <v/>
      </c>
      <c r="RU4" s="160" t="str">
        <f t="shared" si="1"/>
        <v/>
      </c>
      <c r="RV4" s="160" t="str">
        <f t="shared" si="1"/>
        <v/>
      </c>
      <c r="RW4" s="160" t="str">
        <f t="shared" si="1"/>
        <v/>
      </c>
      <c r="RX4" s="160" t="str">
        <f t="shared" si="1"/>
        <v/>
      </c>
      <c r="RY4" s="160" t="str">
        <f t="shared" si="1"/>
        <v/>
      </c>
      <c r="RZ4" s="160" t="str">
        <f t="shared" si="1"/>
        <v/>
      </c>
      <c r="SA4" s="160" t="str">
        <f t="shared" si="1"/>
        <v/>
      </c>
      <c r="SB4" s="160" t="str">
        <f t="shared" si="1"/>
        <v/>
      </c>
      <c r="SC4" s="160" t="str">
        <f t="shared" si="1"/>
        <v/>
      </c>
      <c r="SD4" s="160" t="str">
        <f t="shared" si="1"/>
        <v/>
      </c>
      <c r="SE4" s="160" t="str">
        <f t="shared" si="1"/>
        <v/>
      </c>
      <c r="SF4" s="160" t="str">
        <f t="shared" si="1"/>
        <v/>
      </c>
      <c r="SG4" s="160" t="str">
        <f t="shared" si="1"/>
        <v/>
      </c>
      <c r="SH4" s="160" t="str">
        <f t="shared" si="1"/>
        <v/>
      </c>
      <c r="SI4" s="160" t="str">
        <f t="shared" si="1"/>
        <v/>
      </c>
      <c r="SJ4" s="160" t="str">
        <f t="shared" si="1"/>
        <v/>
      </c>
      <c r="SK4" s="160" t="str">
        <f t="shared" si="1"/>
        <v/>
      </c>
      <c r="SL4" s="160" t="str">
        <f t="shared" si="1"/>
        <v/>
      </c>
      <c r="SM4" s="160" t="str">
        <f t="shared" si="1"/>
        <v/>
      </c>
      <c r="SN4" s="160" t="str">
        <f t="shared" si="1"/>
        <v/>
      </c>
      <c r="SO4" s="160" t="str">
        <f t="shared" si="1"/>
        <v/>
      </c>
      <c r="SP4" s="160" t="str">
        <f t="shared" si="1"/>
        <v/>
      </c>
      <c r="SQ4" s="160" t="str">
        <f t="shared" si="1"/>
        <v/>
      </c>
      <c r="SR4" s="160" t="str">
        <f t="shared" si="1"/>
        <v/>
      </c>
      <c r="SS4" s="160" t="str">
        <f t="shared" si="1"/>
        <v/>
      </c>
      <c r="ST4" s="160" t="str">
        <f t="shared" si="1"/>
        <v/>
      </c>
      <c r="SU4" s="160" t="str">
        <f t="shared" si="1"/>
        <v/>
      </c>
      <c r="SV4" s="160" t="str">
        <f t="shared" si="1"/>
        <v/>
      </c>
      <c r="SW4" s="160" t="str">
        <f t="shared" si="1"/>
        <v/>
      </c>
      <c r="SX4" s="160" t="str">
        <f t="shared" si="1"/>
        <v/>
      </c>
      <c r="SY4" s="160" t="str">
        <f t="shared" si="1"/>
        <v/>
      </c>
      <c r="SZ4" s="160" t="str">
        <f t="shared" si="1"/>
        <v/>
      </c>
      <c r="TA4" s="160" t="str">
        <f t="shared" si="1"/>
        <v/>
      </c>
      <c r="TB4" s="160" t="str">
        <f t="shared" si="1"/>
        <v/>
      </c>
      <c r="TC4" s="160" t="str">
        <f t="shared" si="1"/>
        <v/>
      </c>
      <c r="TD4" s="160" t="str">
        <f t="shared" si="1"/>
        <v/>
      </c>
      <c r="TE4" s="160" t="str">
        <f t="shared" si="1"/>
        <v/>
      </c>
      <c r="TF4" s="160" t="str">
        <f t="shared" si="1"/>
        <v/>
      </c>
      <c r="TG4" s="160" t="str">
        <f t="shared" si="1"/>
        <v/>
      </c>
      <c r="TH4" s="160" t="str">
        <f t="shared" si="1"/>
        <v/>
      </c>
      <c r="TI4" s="160" t="str">
        <f t="shared" si="1"/>
        <v/>
      </c>
      <c r="TJ4" s="160" t="str">
        <f t="shared" si="1"/>
        <v/>
      </c>
      <c r="TK4" s="160" t="str">
        <f t="shared" si="1"/>
        <v/>
      </c>
      <c r="TL4" s="160" t="str">
        <f t="shared" si="1"/>
        <v/>
      </c>
      <c r="TM4" s="160" t="str">
        <f t="shared" si="1"/>
        <v/>
      </c>
      <c r="TN4" s="160" t="str">
        <f t="shared" si="1"/>
        <v/>
      </c>
      <c r="TO4" s="160" t="str">
        <f t="shared" si="1"/>
        <v/>
      </c>
      <c r="TP4" s="160" t="str">
        <f t="shared" si="1"/>
        <v/>
      </c>
      <c r="TQ4" s="160" t="str">
        <f t="shared" si="1"/>
        <v/>
      </c>
      <c r="TR4" s="160" t="str">
        <f t="shared" si="1"/>
        <v/>
      </c>
      <c r="TS4" s="160" t="str">
        <f t="shared" si="1"/>
        <v/>
      </c>
      <c r="TT4" s="160" t="str">
        <f t="shared" si="1"/>
        <v/>
      </c>
      <c r="TU4" s="160" t="str">
        <f t="shared" si="1"/>
        <v/>
      </c>
      <c r="TV4" s="160" t="str">
        <f t="shared" si="1"/>
        <v/>
      </c>
      <c r="TW4" s="160" t="str">
        <f t="shared" si="1"/>
        <v/>
      </c>
      <c r="TX4" s="160" t="str">
        <f t="shared" si="1"/>
        <v/>
      </c>
      <c r="TY4" s="160" t="str">
        <f t="shared" si="1"/>
        <v/>
      </c>
      <c r="TZ4" s="160" t="str">
        <f t="shared" si="1"/>
        <v/>
      </c>
      <c r="UA4" s="160" t="str">
        <f t="shared" si="1"/>
        <v/>
      </c>
      <c r="UB4" s="160" t="str">
        <f t="shared" si="1"/>
        <v/>
      </c>
      <c r="UC4" s="160" t="str">
        <f t="shared" si="1"/>
        <v/>
      </c>
      <c r="UD4" s="160" t="str">
        <f t="shared" si="1"/>
        <v/>
      </c>
      <c r="UE4" s="160" t="str">
        <f t="shared" si="1"/>
        <v/>
      </c>
      <c r="UF4" s="160" t="str">
        <f t="shared" si="1"/>
        <v/>
      </c>
      <c r="UG4" s="160" t="str">
        <f t="shared" si="1"/>
        <v/>
      </c>
      <c r="UH4" s="160" t="str">
        <f t="shared" si="1"/>
        <v/>
      </c>
      <c r="UI4" s="160" t="str">
        <f t="shared" si="1"/>
        <v/>
      </c>
      <c r="UJ4" s="160" t="str">
        <f t="shared" si="1"/>
        <v/>
      </c>
      <c r="UK4" s="160" t="str">
        <f t="shared" si="1"/>
        <v/>
      </c>
      <c r="UL4" s="160" t="str">
        <f t="shared" si="1"/>
        <v/>
      </c>
      <c r="UM4" s="160" t="str">
        <f t="shared" si="1"/>
        <v/>
      </c>
      <c r="UN4" s="160" t="str">
        <f t="shared" si="1"/>
        <v/>
      </c>
      <c r="UO4" s="160" t="str">
        <f t="shared" si="1"/>
        <v/>
      </c>
      <c r="UP4" s="160" t="str">
        <f t="shared" si="1"/>
        <v/>
      </c>
      <c r="UQ4" s="160" t="str">
        <f t="shared" si="1"/>
        <v/>
      </c>
      <c r="UR4" s="160" t="str">
        <f t="shared" si="1"/>
        <v/>
      </c>
      <c r="US4" s="160" t="str">
        <f t="shared" si="1"/>
        <v/>
      </c>
      <c r="UT4" s="160" t="str">
        <f t="shared" si="1"/>
        <v/>
      </c>
      <c r="UU4" s="160" t="str">
        <f t="shared" si="1"/>
        <v/>
      </c>
      <c r="UV4" s="160" t="str">
        <f t="shared" si="1"/>
        <v/>
      </c>
      <c r="UW4" s="160" t="str">
        <f t="shared" si="1"/>
        <v/>
      </c>
      <c r="UX4" s="160" t="str">
        <f t="shared" si="1"/>
        <v/>
      </c>
      <c r="UY4" s="160" t="str">
        <f t="shared" si="1"/>
        <v/>
      </c>
      <c r="UZ4" s="160" t="str">
        <f t="shared" si="1"/>
        <v/>
      </c>
      <c r="VA4" s="160" t="str">
        <f t="shared" si="1"/>
        <v/>
      </c>
      <c r="VB4" s="160" t="str">
        <f t="shared" si="1"/>
        <v/>
      </c>
      <c r="VC4" s="160" t="str">
        <f t="shared" si="1"/>
        <v/>
      </c>
      <c r="VD4" s="160" t="str">
        <f t="shared" si="1"/>
        <v/>
      </c>
      <c r="VE4" s="160" t="str">
        <f t="shared" si="1"/>
        <v/>
      </c>
      <c r="VF4" s="160" t="str">
        <f t="shared" si="1"/>
        <v/>
      </c>
      <c r="VG4" s="160" t="str">
        <f t="shared" si="1"/>
        <v/>
      </c>
      <c r="VH4" s="160" t="str">
        <f t="shared" si="1"/>
        <v/>
      </c>
      <c r="VI4" s="160" t="str">
        <f t="shared" si="1"/>
        <v/>
      </c>
      <c r="VJ4" s="160" t="str">
        <f t="shared" si="1"/>
        <v/>
      </c>
      <c r="VK4" s="160" t="str">
        <f t="shared" si="1"/>
        <v/>
      </c>
      <c r="VL4" s="160" t="str">
        <f t="shared" si="1"/>
        <v/>
      </c>
      <c r="VM4" s="160" t="str">
        <f t="shared" si="1"/>
        <v/>
      </c>
      <c r="VN4" s="160" t="str">
        <f t="shared" si="1"/>
        <v/>
      </c>
      <c r="VO4" s="160" t="str">
        <f t="shared" si="1"/>
        <v/>
      </c>
      <c r="VP4" s="160" t="str">
        <f t="shared" si="1"/>
        <v/>
      </c>
      <c r="VQ4" s="160" t="str">
        <f t="shared" si="1"/>
        <v/>
      </c>
      <c r="VR4" s="160" t="str">
        <f t="shared" si="1"/>
        <v/>
      </c>
      <c r="VS4" s="160" t="str">
        <f t="shared" si="1"/>
        <v/>
      </c>
      <c r="VT4" s="160" t="str">
        <f t="shared" si="1"/>
        <v/>
      </c>
      <c r="VU4" s="160" t="str">
        <f t="shared" si="1"/>
        <v/>
      </c>
      <c r="VV4" s="160" t="str">
        <f t="shared" si="1"/>
        <v/>
      </c>
      <c r="VW4" s="160" t="str">
        <f t="shared" si="1"/>
        <v/>
      </c>
      <c r="VX4" s="160" t="str">
        <f t="shared" si="1"/>
        <v/>
      </c>
      <c r="VY4" s="160" t="str">
        <f t="shared" si="1"/>
        <v/>
      </c>
      <c r="VZ4" s="160" t="str">
        <f t="shared" si="1"/>
        <v/>
      </c>
      <c r="WA4" s="160" t="str">
        <f t="shared" si="1"/>
        <v/>
      </c>
      <c r="WB4" s="160" t="str">
        <f t="shared" si="1"/>
        <v/>
      </c>
      <c r="WC4" s="160" t="str">
        <f t="shared" si="1"/>
        <v/>
      </c>
      <c r="WD4" s="160" t="str">
        <f t="shared" si="1"/>
        <v/>
      </c>
      <c r="WE4" s="160" t="str">
        <f t="shared" si="1"/>
        <v/>
      </c>
      <c r="WF4" s="160" t="str">
        <f t="shared" si="1"/>
        <v/>
      </c>
      <c r="WG4" s="160" t="str">
        <f t="shared" si="1"/>
        <v/>
      </c>
      <c r="WH4" s="160" t="str">
        <f t="shared" si="1"/>
        <v/>
      </c>
      <c r="WI4" s="160" t="str">
        <f t="shared" si="1"/>
        <v/>
      </c>
      <c r="WJ4" s="160" t="str">
        <f t="shared" si="1"/>
        <v/>
      </c>
      <c r="WK4" s="160" t="str">
        <f t="shared" si="1"/>
        <v/>
      </c>
      <c r="WL4" s="160" t="str">
        <f t="shared" si="1"/>
        <v/>
      </c>
      <c r="WM4" s="160" t="str">
        <f t="shared" si="1"/>
        <v/>
      </c>
      <c r="WN4" s="160" t="str">
        <f t="shared" si="1"/>
        <v/>
      </c>
      <c r="WO4" s="160" t="str">
        <f t="shared" si="1"/>
        <v/>
      </c>
      <c r="WP4" s="160" t="str">
        <f t="shared" si="1"/>
        <v/>
      </c>
      <c r="WQ4" s="160" t="str">
        <f t="shared" si="1"/>
        <v/>
      </c>
      <c r="WR4" s="160" t="str">
        <f t="shared" si="1"/>
        <v/>
      </c>
      <c r="WS4" s="160" t="str">
        <f t="shared" si="1"/>
        <v/>
      </c>
      <c r="WT4" s="160" t="str">
        <f t="shared" si="1"/>
        <v/>
      </c>
      <c r="WU4" s="160" t="str">
        <f t="shared" si="1"/>
        <v/>
      </c>
      <c r="WV4" s="160" t="str">
        <f t="shared" si="1"/>
        <v/>
      </c>
      <c r="WW4" s="160" t="str">
        <f t="shared" si="1"/>
        <v/>
      </c>
      <c r="WX4" s="160" t="str">
        <f t="shared" si="1"/>
        <v/>
      </c>
      <c r="WY4" s="160" t="str">
        <f t="shared" si="1"/>
        <v/>
      </c>
      <c r="WZ4" s="160" t="str">
        <f t="shared" si="1"/>
        <v/>
      </c>
      <c r="XA4" s="160" t="str">
        <f t="shared" si="1"/>
        <v/>
      </c>
      <c r="XB4" s="160" t="str">
        <f t="shared" si="1"/>
        <v/>
      </c>
      <c r="XC4" s="160" t="str">
        <f t="shared" si="1"/>
        <v/>
      </c>
      <c r="XD4" s="160" t="str">
        <f t="shared" si="1"/>
        <v/>
      </c>
      <c r="XE4" s="160" t="str">
        <f t="shared" si="1"/>
        <v/>
      </c>
      <c r="XF4" s="160" t="str">
        <f t="shared" si="1"/>
        <v/>
      </c>
      <c r="XG4" s="160" t="str">
        <f t="shared" si="1"/>
        <v/>
      </c>
      <c r="XH4" s="160" t="str">
        <f t="shared" si="1"/>
        <v/>
      </c>
      <c r="XI4" s="160" t="str">
        <f t="shared" si="1"/>
        <v/>
      </c>
      <c r="XJ4" s="160" t="str">
        <f t="shared" si="1"/>
        <v/>
      </c>
      <c r="XK4" s="160" t="str">
        <f t="shared" si="1"/>
        <v/>
      </c>
      <c r="XL4" s="160" t="str">
        <f t="shared" si="1"/>
        <v/>
      </c>
      <c r="XM4" s="160" t="str">
        <f t="shared" si="1"/>
        <v/>
      </c>
      <c r="XN4" s="160" t="str">
        <f t="shared" si="1"/>
        <v/>
      </c>
      <c r="XO4" s="160" t="str">
        <f t="shared" si="1"/>
        <v/>
      </c>
      <c r="XP4" s="160" t="str">
        <f t="shared" si="1"/>
        <v/>
      </c>
      <c r="XQ4" s="160" t="str">
        <f t="shared" si="1"/>
        <v/>
      </c>
      <c r="XR4" s="160" t="str">
        <f t="shared" si="1"/>
        <v/>
      </c>
      <c r="XS4" s="160" t="str">
        <f t="shared" si="1"/>
        <v/>
      </c>
      <c r="XT4" s="160" t="str">
        <f t="shared" si="1"/>
        <v/>
      </c>
      <c r="XU4" s="160" t="str">
        <f t="shared" si="1"/>
        <v/>
      </c>
      <c r="XV4" s="160" t="str">
        <f t="shared" si="1"/>
        <v/>
      </c>
      <c r="XW4" s="160" t="str">
        <f t="shared" si="1"/>
        <v/>
      </c>
      <c r="XX4" s="160" t="str">
        <f t="shared" si="1"/>
        <v/>
      </c>
      <c r="XY4" s="160" t="str">
        <f t="shared" si="1"/>
        <v/>
      </c>
      <c r="XZ4" s="160" t="str">
        <f t="shared" si="1"/>
        <v/>
      </c>
      <c r="YA4" s="160" t="str">
        <f t="shared" si="1"/>
        <v/>
      </c>
      <c r="YB4" s="160" t="str">
        <f t="shared" si="1"/>
        <v/>
      </c>
      <c r="YC4" s="160" t="str">
        <f t="shared" si="1"/>
        <v/>
      </c>
      <c r="YD4" s="160" t="str">
        <f t="shared" si="1"/>
        <v/>
      </c>
      <c r="YE4" s="160" t="str">
        <f t="shared" si="1"/>
        <v/>
      </c>
      <c r="YF4" s="160" t="str">
        <f t="shared" si="1"/>
        <v/>
      </c>
      <c r="YG4" s="160" t="str">
        <f t="shared" si="1"/>
        <v/>
      </c>
      <c r="YH4" s="160" t="str">
        <f t="shared" si="1"/>
        <v/>
      </c>
      <c r="YI4" s="160" t="str">
        <f t="shared" si="1"/>
        <v/>
      </c>
      <c r="YJ4" s="160" t="str">
        <f t="shared" si="1"/>
        <v/>
      </c>
      <c r="YK4" s="160" t="str">
        <f t="shared" si="1"/>
        <v/>
      </c>
      <c r="YL4" s="160" t="str">
        <f t="shared" si="1"/>
        <v/>
      </c>
      <c r="YM4" s="160" t="str">
        <f t="shared" si="1"/>
        <v/>
      </c>
      <c r="YN4" s="160" t="str">
        <f t="shared" si="1"/>
        <v/>
      </c>
      <c r="YO4" s="160" t="str">
        <f t="shared" si="1"/>
        <v/>
      </c>
      <c r="YP4" s="160" t="str">
        <f t="shared" si="1"/>
        <v/>
      </c>
      <c r="YQ4" s="160" t="str">
        <f t="shared" si="1"/>
        <v/>
      </c>
      <c r="YR4" s="160" t="str">
        <f t="shared" si="1"/>
        <v/>
      </c>
      <c r="YS4" s="160" t="str">
        <f t="shared" si="1"/>
        <v/>
      </c>
      <c r="YT4" s="160" t="str">
        <f t="shared" si="1"/>
        <v/>
      </c>
      <c r="YU4" s="160" t="str">
        <f t="shared" si="1"/>
        <v/>
      </c>
      <c r="YV4" s="160" t="str">
        <f t="shared" si="1"/>
        <v/>
      </c>
      <c r="YW4" s="160" t="str">
        <f t="shared" si="1"/>
        <v/>
      </c>
      <c r="YX4" s="160" t="str">
        <f t="shared" si="1"/>
        <v/>
      </c>
      <c r="YY4" s="160" t="str">
        <f t="shared" si="1"/>
        <v/>
      </c>
      <c r="YZ4" s="160" t="str">
        <f t="shared" si="1"/>
        <v/>
      </c>
      <c r="ZA4" s="160" t="str">
        <f t="shared" si="1"/>
        <v/>
      </c>
      <c r="ZB4" s="160" t="str">
        <f t="shared" si="1"/>
        <v/>
      </c>
      <c r="ZC4" s="160" t="str">
        <f t="shared" si="1"/>
        <v/>
      </c>
      <c r="ZD4" s="160" t="str">
        <f t="shared" si="1"/>
        <v/>
      </c>
      <c r="ZE4" s="160" t="str">
        <f t="shared" si="1"/>
        <v/>
      </c>
      <c r="ZF4" s="160" t="str">
        <f t="shared" si="1"/>
        <v/>
      </c>
      <c r="ZG4" s="160" t="str">
        <f t="shared" si="1"/>
        <v/>
      </c>
      <c r="ZH4" s="160" t="str">
        <f t="shared" si="1"/>
        <v/>
      </c>
      <c r="ZI4" s="160" t="str">
        <f t="shared" si="1"/>
        <v/>
      </c>
      <c r="ZJ4" s="160" t="str">
        <f t="shared" si="1"/>
        <v/>
      </c>
      <c r="ZK4" s="160" t="str">
        <f t="shared" si="1"/>
        <v/>
      </c>
      <c r="ZL4" s="160" t="str">
        <f t="shared" si="1"/>
        <v/>
      </c>
      <c r="ZM4" s="160" t="str">
        <f t="shared" si="1"/>
        <v/>
      </c>
      <c r="ZN4" s="160" t="str">
        <f t="shared" si="1"/>
        <v/>
      </c>
      <c r="ZO4" s="160" t="str">
        <f t="shared" si="1"/>
        <v/>
      </c>
      <c r="ZP4" s="160" t="str">
        <f t="shared" si="1"/>
        <v/>
      </c>
      <c r="ZQ4" s="160" t="str">
        <f t="shared" si="1"/>
        <v/>
      </c>
      <c r="ZR4" s="160" t="str">
        <f t="shared" si="1"/>
        <v/>
      </c>
      <c r="ZS4" s="160" t="str">
        <f t="shared" si="1"/>
        <v/>
      </c>
      <c r="ZT4" s="160" t="str">
        <f t="shared" si="1"/>
        <v/>
      </c>
      <c r="ZU4" s="160" t="str">
        <f t="shared" si="1"/>
        <v/>
      </c>
      <c r="ZV4" s="160" t="str">
        <f t="shared" si="1"/>
        <v/>
      </c>
      <c r="ZW4" s="160" t="str">
        <f t="shared" si="1"/>
        <v/>
      </c>
      <c r="ZX4" s="160" t="str">
        <f t="shared" si="1"/>
        <v/>
      </c>
      <c r="ZY4" s="160" t="str">
        <f t="shared" si="1"/>
        <v/>
      </c>
      <c r="ZZ4" s="160" t="str">
        <f t="shared" si="1"/>
        <v/>
      </c>
    </row>
    <row r="5" ht="39.75" customHeight="1">
      <c r="A5" s="164" t="s">
        <v>157</v>
      </c>
      <c r="B5" s="164" t="s">
        <v>158</v>
      </c>
      <c r="C5" s="164" t="s">
        <v>159</v>
      </c>
      <c r="D5" s="164" t="str">
        <f t="shared" ref="D5:D200" si="2">IF(A5&lt;&gt;"",IF(A5=A4,"",A5),"")</f>
        <v>Salesforceデータ連携（1販社先行検証）</v>
      </c>
      <c r="E5" s="165">
        <f t="array" ref="E5">IF(B5="","",IF(B5&lt;&gt;B4,SUMPRODUCT(($B$5:B5&lt;&gt;$B$4:B4)*($B$5:B5&lt;&gt;"")),""))</f>
        <v>1</v>
      </c>
      <c r="F5" s="165" t="str">
        <f t="shared" ref="F5:F200" si="3">IF(B5&lt;&gt;"",IF(B5=B4,"",B5),"")</f>
        <v>外部依存・着手条件</v>
      </c>
      <c r="G5" s="165">
        <f t="shared" ref="G5:G200" si="4">IF(C5="","",COUNTIF($B$5:B5,B5))</f>
        <v>1</v>
      </c>
      <c r="H5" s="167" t="str">
        <f t="shared" ref="H5:H200" si="5">IF(AND(C5&lt;&gt;"",OR(C5&lt;&gt;C4,B5&lt;&gt;B4)),C5,"")</f>
        <v>Salesforce Sandbox環境の準備</v>
      </c>
      <c r="I5" s="164"/>
      <c r="J5" s="164"/>
      <c r="K5" s="164"/>
      <c r="L5" s="168" t="str">
        <f t="shared" ref="L5:L200" si="6">IF(C5="","","【"&amp;A5&amp;"】"&amp;MAX($E$5:E5)&amp;"-"&amp;G5&amp;"_"&amp;B5&amp;"_"&amp;C5)</f>
        <v>【Salesforceデータ連携（1販社先行検証）】1-1_外部依存・着手条件_Salesforce Sandbox環境の準備</v>
      </c>
      <c r="M5" s="169">
        <v>46237.0</v>
      </c>
      <c r="N5" s="169">
        <v>46248.0</v>
      </c>
      <c r="O5" s="170" t="s">
        <v>130</v>
      </c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71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72"/>
      <c r="AZ5" s="171"/>
      <c r="BA5" s="172"/>
      <c r="BB5" s="172"/>
      <c r="BC5" s="172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</row>
    <row r="6" ht="36.0" customHeight="1">
      <c r="A6" s="175" t="s">
        <v>157</v>
      </c>
      <c r="B6" s="175" t="s">
        <v>158</v>
      </c>
      <c r="C6" s="175" t="s">
        <v>167</v>
      </c>
      <c r="D6" s="175" t="str">
        <f t="shared" si="2"/>
        <v/>
      </c>
      <c r="E6" s="176" t="str">
        <f t="array" ref="E6">IF(B6="","",IF(B6&lt;&gt;B5,SUMPRODUCT(($B$5:B6&lt;&gt;$B$4:B5)*($B$5:B6&lt;&gt;"")),""))</f>
        <v/>
      </c>
      <c r="F6" s="176" t="str">
        <f t="shared" si="3"/>
        <v/>
      </c>
      <c r="G6" s="176">
        <f t="shared" si="4"/>
        <v>2</v>
      </c>
      <c r="H6" s="177" t="str">
        <f t="shared" si="5"/>
        <v>TMCセキュリティ要件・個人情報取扱条件の提示</v>
      </c>
      <c r="I6" s="175"/>
      <c r="J6" s="175"/>
      <c r="K6" s="175"/>
      <c r="L6" s="178" t="str">
        <f t="shared" si="6"/>
        <v>【Salesforceデータ連携（1販社先行検証）】1-2_外部依存・着手条件_TMCセキュリティ要件・個人情報取扱条件の提示</v>
      </c>
      <c r="M6" s="179">
        <v>46237.0</v>
      </c>
      <c r="N6" s="179">
        <v>46246.0</v>
      </c>
      <c r="O6" s="170" t="s">
        <v>130</v>
      </c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</row>
    <row r="7" ht="36.0" customHeight="1">
      <c r="A7" s="175" t="s">
        <v>157</v>
      </c>
      <c r="B7" s="175" t="s">
        <v>158</v>
      </c>
      <c r="C7" s="175" t="s">
        <v>174</v>
      </c>
      <c r="D7" s="175" t="str">
        <f t="shared" si="2"/>
        <v/>
      </c>
      <c r="E7" s="176" t="str">
        <f t="array" ref="E7">IF(B7="","",IF(B7&lt;&gt;B6,SUMPRODUCT(($B$5:B7&lt;&gt;$B$4:B6)*($B$5:B7&lt;&gt;"")),""))</f>
        <v/>
      </c>
      <c r="F7" s="176" t="str">
        <f t="shared" si="3"/>
        <v/>
      </c>
      <c r="G7" s="176">
        <f t="shared" si="4"/>
        <v>3</v>
      </c>
      <c r="H7" s="177" t="str">
        <f t="shared" si="5"/>
        <v>Salesforceアカウント・認証情報の準備</v>
      </c>
      <c r="I7" s="175"/>
      <c r="J7" s="175"/>
      <c r="K7" s="175"/>
      <c r="L7" s="178" t="str">
        <f t="shared" si="6"/>
        <v>【Salesforceデータ連携（1販社先行検証）】1-3_外部依存・着手条件_Salesforceアカウント・認証情報の準備</v>
      </c>
      <c r="M7" s="179">
        <v>46237.0</v>
      </c>
      <c r="N7" s="179">
        <v>46248.0</v>
      </c>
      <c r="O7" s="170" t="s">
        <v>130</v>
      </c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</row>
    <row r="8" ht="36.0" customHeight="1">
      <c r="A8" s="175" t="s">
        <v>157</v>
      </c>
      <c r="B8" s="175" t="s">
        <v>158</v>
      </c>
      <c r="C8" s="175" t="s">
        <v>183</v>
      </c>
      <c r="D8" s="175" t="str">
        <f t="shared" si="2"/>
        <v/>
      </c>
      <c r="E8" s="176" t="str">
        <f t="array" ref="E8">IF(B8="","",IF(B8&lt;&gt;B7,SUMPRODUCT(($B$5:B8&lt;&gt;$B$4:B7)*($B$5:B8&lt;&gt;"")),""))</f>
        <v/>
      </c>
      <c r="F8" s="176" t="str">
        <f t="shared" si="3"/>
        <v/>
      </c>
      <c r="G8" s="176">
        <f t="shared" si="4"/>
        <v>4</v>
      </c>
      <c r="H8" s="177" t="str">
        <f t="shared" si="5"/>
        <v>先行対象1販社・検証環境・Salesforce Orgの確定</v>
      </c>
      <c r="I8" s="175"/>
      <c r="J8" s="175"/>
      <c r="K8" s="175"/>
      <c r="L8" s="178" t="str">
        <f t="shared" si="6"/>
        <v>【Salesforceデータ連携（1販社先行検証）】1-4_外部依存・着手条件_先行対象1販社・検証環境・Salesforce Orgの確定</v>
      </c>
      <c r="M8" s="179">
        <v>46237.0</v>
      </c>
      <c r="N8" s="179">
        <v>46241.0</v>
      </c>
      <c r="O8" s="170" t="s">
        <v>130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</row>
    <row r="9" ht="36.0" customHeight="1">
      <c r="A9" s="175" t="s">
        <v>157</v>
      </c>
      <c r="B9" s="175" t="s">
        <v>158</v>
      </c>
      <c r="C9" s="175" t="s">
        <v>184</v>
      </c>
      <c r="D9" s="175" t="str">
        <f t="shared" si="2"/>
        <v/>
      </c>
      <c r="E9" s="176" t="str">
        <f t="array" ref="E9">IF(B9="","",IF(B9&lt;&gt;B8,SUMPRODUCT(($B$5:B9&lt;&gt;$B$4:B8)*($B$5:B9&lt;&gt;"")),""))</f>
        <v/>
      </c>
      <c r="F9" s="176" t="str">
        <f t="shared" si="3"/>
        <v/>
      </c>
      <c r="G9" s="176">
        <f t="shared" si="4"/>
        <v>5</v>
      </c>
      <c r="H9" s="177" t="str">
        <f t="shared" si="5"/>
        <v>NiFi連携方式・CDP保存先・先行検証範囲の確定</v>
      </c>
      <c r="I9" s="175"/>
      <c r="J9" s="175"/>
      <c r="K9" s="175"/>
      <c r="L9" s="178" t="str">
        <f t="shared" si="6"/>
        <v>【Salesforceデータ連携（1販社先行検証）】1-5_外部依存・着手条件_NiFi連携方式・CDP保存先・先行検証範囲の確定</v>
      </c>
      <c r="M9" s="179">
        <v>46237.0</v>
      </c>
      <c r="N9" s="179">
        <v>46246.0</v>
      </c>
      <c r="O9" s="170" t="s">
        <v>130</v>
      </c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</row>
    <row r="10" ht="36.0" customHeight="1">
      <c r="A10" s="194" t="s">
        <v>157</v>
      </c>
      <c r="B10" s="194" t="s">
        <v>158</v>
      </c>
      <c r="C10" s="194" t="s">
        <v>185</v>
      </c>
      <c r="D10" s="194" t="str">
        <f t="shared" si="2"/>
        <v/>
      </c>
      <c r="E10" s="195" t="str">
        <f t="array" ref="E10">IF(B10="","",IF(B10&lt;&gt;B9,SUMPRODUCT(($B$5:B10&lt;&gt;$B$4:B9)*($B$5:B10&lt;&gt;"")),""))</f>
        <v/>
      </c>
      <c r="F10" s="195" t="str">
        <f t="shared" si="3"/>
        <v/>
      </c>
      <c r="G10" s="195">
        <f t="shared" si="4"/>
        <v>6</v>
      </c>
      <c r="H10" s="167" t="str">
        <f t="shared" si="5"/>
        <v>1販社先行検証の着手判定</v>
      </c>
      <c r="I10" s="194"/>
      <c r="J10" s="194"/>
      <c r="K10" s="194"/>
      <c r="L10" s="168" t="str">
        <f t="shared" si="6"/>
        <v>【Salesforceデータ連携（1販社先行検証）】1-6_外部依存・着手条件_1販社先行検証の着手判定</v>
      </c>
      <c r="M10" s="196">
        <v>46248.0</v>
      </c>
      <c r="N10" s="196">
        <v>46248.0</v>
      </c>
      <c r="O10" s="170" t="s">
        <v>130</v>
      </c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</row>
    <row r="11" ht="39.75" customHeight="1">
      <c r="A11" s="197" t="s">
        <v>157</v>
      </c>
      <c r="B11" s="197" t="s">
        <v>114</v>
      </c>
      <c r="C11" s="197" t="s">
        <v>186</v>
      </c>
      <c r="D11" s="197" t="str">
        <f t="shared" si="2"/>
        <v/>
      </c>
      <c r="E11" s="198">
        <f t="array" ref="E11">IF(B11="","",IF(B11&lt;&gt;B10,SUMPRODUCT(($B$5:B11&lt;&gt;$B$4:B10)*($B$5:B11&lt;&gt;"")),""))</f>
        <v>2</v>
      </c>
      <c r="F11" s="198" t="str">
        <f t="shared" si="3"/>
        <v>プロジェクト管理</v>
      </c>
      <c r="G11" s="198">
        <f t="shared" si="4"/>
        <v>1</v>
      </c>
      <c r="H11" s="167" t="str">
        <f t="shared" si="5"/>
        <v>WBS・スケジュール・進捗管理</v>
      </c>
      <c r="I11" s="197"/>
      <c r="J11" s="197"/>
      <c r="K11" s="197"/>
      <c r="L11" s="168" t="str">
        <f t="shared" si="6"/>
        <v>【Salesforceデータ連携（1販社先行検証）】2-1_プロジェクト管理_WBS・スケジュール・進捗管理</v>
      </c>
      <c r="M11" s="199">
        <v>46237.0</v>
      </c>
      <c r="N11" s="199">
        <v>46283.0</v>
      </c>
      <c r="O11" s="170" t="s">
        <v>130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</row>
    <row r="12" ht="36.0" customHeight="1">
      <c r="A12" s="200" t="s">
        <v>157</v>
      </c>
      <c r="B12" s="200" t="s">
        <v>114</v>
      </c>
      <c r="C12" s="200" t="s">
        <v>187</v>
      </c>
      <c r="D12" s="177" t="str">
        <f t="shared" si="2"/>
        <v/>
      </c>
      <c r="E12" s="201" t="str">
        <f t="array" ref="E12">IF(B12="","",IF(B12&lt;&gt;B11,SUMPRODUCT(($B$5:B12&lt;&gt;$B$4:B11)*($B$5:B12&lt;&gt;"")),""))</f>
        <v/>
      </c>
      <c r="F12" s="201" t="str">
        <f t="shared" si="3"/>
        <v/>
      </c>
      <c r="G12" s="201">
        <f t="shared" si="4"/>
        <v>2</v>
      </c>
      <c r="H12" s="177" t="str">
        <f t="shared" si="5"/>
        <v>課題・リスク管理</v>
      </c>
      <c r="I12" s="200"/>
      <c r="J12" s="200"/>
      <c r="K12" s="200"/>
      <c r="L12" s="178" t="str">
        <f t="shared" si="6"/>
        <v>【Salesforceデータ連携（1販社先行検証）】2-2_プロジェクト管理_課題・リスク管理</v>
      </c>
      <c r="M12" s="202">
        <v>46237.0</v>
      </c>
      <c r="N12" s="202">
        <v>46283.0</v>
      </c>
      <c r="O12" s="170" t="s">
        <v>130</v>
      </c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</row>
    <row r="13" ht="36.0" customHeight="1">
      <c r="A13" s="200" t="s">
        <v>157</v>
      </c>
      <c r="B13" s="200" t="s">
        <v>114</v>
      </c>
      <c r="C13" s="200" t="s">
        <v>188</v>
      </c>
      <c r="D13" s="177" t="str">
        <f t="shared" si="2"/>
        <v/>
      </c>
      <c r="E13" s="201" t="str">
        <f t="array" ref="E13">IF(B13="","",IF(B13&lt;&gt;B12,SUMPRODUCT(($B$5:B13&lt;&gt;$B$4:B12)*($B$5:B13&lt;&gt;"")),""))</f>
        <v/>
      </c>
      <c r="F13" s="201" t="str">
        <f t="shared" si="3"/>
        <v/>
      </c>
      <c r="G13" s="201">
        <f t="shared" si="4"/>
        <v>3</v>
      </c>
      <c r="H13" s="177" t="str">
        <f t="shared" si="5"/>
        <v>Salesforce・基盤関係者調整</v>
      </c>
      <c r="I13" s="200"/>
      <c r="J13" s="200"/>
      <c r="K13" s="200"/>
      <c r="L13" s="178" t="str">
        <f t="shared" si="6"/>
        <v>【Salesforceデータ連携（1販社先行検証）】2-3_プロジェクト管理_Salesforce・基盤関係者調整</v>
      </c>
      <c r="M13" s="202">
        <v>46237.0</v>
      </c>
      <c r="N13" s="202">
        <v>46283.0</v>
      </c>
      <c r="O13" s="170" t="s">
        <v>130</v>
      </c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</row>
    <row r="14" ht="36.0" customHeight="1">
      <c r="A14" s="200" t="s">
        <v>157</v>
      </c>
      <c r="B14" s="200" t="s">
        <v>114</v>
      </c>
      <c r="C14" s="200" t="s">
        <v>189</v>
      </c>
      <c r="D14" s="177" t="str">
        <f t="shared" si="2"/>
        <v/>
      </c>
      <c r="E14" s="201" t="str">
        <f t="array" ref="E14">IF(B14="","",IF(B14&lt;&gt;B13,SUMPRODUCT(($B$5:B14&lt;&gt;$B$4:B13)*($B$5:B14&lt;&gt;"")),""))</f>
        <v/>
      </c>
      <c r="F14" s="201" t="str">
        <f t="shared" si="3"/>
        <v/>
      </c>
      <c r="G14" s="201">
        <f t="shared" si="4"/>
        <v>4</v>
      </c>
      <c r="H14" s="177" t="str">
        <f t="shared" si="5"/>
        <v>設計・成果物レビュー管理</v>
      </c>
      <c r="I14" s="200"/>
      <c r="J14" s="200"/>
      <c r="K14" s="200"/>
      <c r="L14" s="178" t="str">
        <f t="shared" si="6"/>
        <v>【Salesforceデータ連携（1販社先行検証）】2-4_プロジェクト管理_設計・成果物レビュー管理</v>
      </c>
      <c r="M14" s="202">
        <v>46244.0</v>
      </c>
      <c r="N14" s="202">
        <v>46281.0</v>
      </c>
      <c r="O14" s="170" t="s">
        <v>130</v>
      </c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</row>
    <row r="15" ht="36.0" customHeight="1">
      <c r="A15" s="200" t="s">
        <v>157</v>
      </c>
      <c r="B15" s="200" t="s">
        <v>114</v>
      </c>
      <c r="C15" s="200" t="s">
        <v>190</v>
      </c>
      <c r="D15" s="177" t="str">
        <f t="shared" si="2"/>
        <v/>
      </c>
      <c r="E15" s="201" t="str">
        <f t="array" ref="E15">IF(B15="","",IF(B15&lt;&gt;B14,SUMPRODUCT(($B$5:B15&lt;&gt;$B$4:B14)*($B$5:B15&lt;&gt;"")),""))</f>
        <v/>
      </c>
      <c r="F15" s="201" t="str">
        <f t="shared" si="3"/>
        <v/>
      </c>
      <c r="G15" s="201">
        <f t="shared" si="4"/>
        <v>5</v>
      </c>
      <c r="H15" s="177" t="str">
        <f t="shared" si="5"/>
        <v>試験・先行検証完了判定管理</v>
      </c>
      <c r="I15" s="200"/>
      <c r="J15" s="200"/>
      <c r="K15" s="200"/>
      <c r="L15" s="178" t="str">
        <f t="shared" si="6"/>
        <v>【Salesforceデータ連携（1販社先行検証）】2-5_プロジェクト管理_試験・先行検証完了判定管理</v>
      </c>
      <c r="M15" s="202">
        <v>46265.0</v>
      </c>
      <c r="N15" s="202">
        <v>46283.0</v>
      </c>
      <c r="O15" s="170" t="s">
        <v>130</v>
      </c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</row>
    <row r="16" ht="36.0" customHeight="1">
      <c r="A16" s="200" t="s">
        <v>157</v>
      </c>
      <c r="B16" s="200" t="s">
        <v>114</v>
      </c>
      <c r="C16" s="200" t="s">
        <v>191</v>
      </c>
      <c r="D16" s="177" t="str">
        <f t="shared" si="2"/>
        <v/>
      </c>
      <c r="E16" s="201" t="str">
        <f t="array" ref="E16">IF(B16="","",IF(B16&lt;&gt;B15,SUMPRODUCT(($B$5:B16&lt;&gt;$B$4:B15)*($B$5:B16&lt;&gt;"")),""))</f>
        <v/>
      </c>
      <c r="F16" s="201" t="str">
        <f t="shared" si="3"/>
        <v/>
      </c>
      <c r="G16" s="201">
        <f t="shared" si="4"/>
        <v>6</v>
      </c>
      <c r="H16" s="177" t="str">
        <f t="shared" si="5"/>
        <v>スコープ変更・後続展開課題管理</v>
      </c>
      <c r="I16" s="200"/>
      <c r="J16" s="200"/>
      <c r="K16" s="200"/>
      <c r="L16" s="178" t="str">
        <f t="shared" si="6"/>
        <v>【Salesforceデータ連携（1販社先行検証）】2-6_プロジェクト管理_スコープ変更・後続展開課題管理</v>
      </c>
      <c r="M16" s="202">
        <v>46237.0</v>
      </c>
      <c r="N16" s="202">
        <v>46283.0</v>
      </c>
      <c r="O16" s="170" t="s">
        <v>130</v>
      </c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</row>
    <row r="17" ht="39.75" customHeight="1">
      <c r="A17" s="197" t="s">
        <v>157</v>
      </c>
      <c r="B17" s="197" t="s">
        <v>192</v>
      </c>
      <c r="C17" s="197" t="s">
        <v>193</v>
      </c>
      <c r="D17" s="197" t="str">
        <f t="shared" si="2"/>
        <v/>
      </c>
      <c r="E17" s="198">
        <f t="array" ref="E17">IF(B17="","",IF(B17&lt;&gt;B16,SUMPRODUCT(($B$5:B17&lt;&gt;$B$4:B16)*($B$5:B17&lt;&gt;"")),""))</f>
        <v>3</v>
      </c>
      <c r="F17" s="198" t="str">
        <f t="shared" si="3"/>
        <v>要件定義</v>
      </c>
      <c r="G17" s="198">
        <f t="shared" si="4"/>
        <v>1</v>
      </c>
      <c r="H17" s="167" t="str">
        <f t="shared" si="5"/>
        <v>1販社先行検証の目的・対象範囲の整理</v>
      </c>
      <c r="I17" s="197"/>
      <c r="J17" s="197"/>
      <c r="K17" s="197"/>
      <c r="L17" s="168" t="str">
        <f t="shared" si="6"/>
        <v>【Salesforceデータ連携（1販社先行検証）】3-1_要件定義_1販社先行検証の目的・対象範囲の整理</v>
      </c>
      <c r="M17" s="199">
        <v>46237.0</v>
      </c>
      <c r="N17" s="199">
        <v>46246.0</v>
      </c>
      <c r="O17" s="170" t="s">
        <v>130</v>
      </c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</row>
    <row r="18" ht="36.0" customHeight="1">
      <c r="A18" s="200" t="s">
        <v>157</v>
      </c>
      <c r="B18" s="200" t="s">
        <v>192</v>
      </c>
      <c r="C18" s="200" t="s">
        <v>194</v>
      </c>
      <c r="D18" s="177" t="str">
        <f t="shared" si="2"/>
        <v/>
      </c>
      <c r="E18" s="201" t="str">
        <f t="array" ref="E18">IF(B18="","",IF(B18&lt;&gt;B17,SUMPRODUCT(($B$5:B18&lt;&gt;$B$4:B17)*($B$5:B18&lt;&gt;"")),""))</f>
        <v/>
      </c>
      <c r="F18" s="201" t="str">
        <f t="shared" si="3"/>
        <v/>
      </c>
      <c r="G18" s="201">
        <f t="shared" si="4"/>
        <v>2</v>
      </c>
      <c r="H18" s="177" t="str">
        <f t="shared" si="5"/>
        <v>先行対象販社・Org・利用者の整理</v>
      </c>
      <c r="I18" s="200"/>
      <c r="J18" s="200"/>
      <c r="K18" s="200"/>
      <c r="L18" s="178" t="str">
        <f t="shared" si="6"/>
        <v>【Salesforceデータ連携（1販社先行検証）】3-2_要件定義_先行対象販社・Org・利用者の整理</v>
      </c>
      <c r="M18" s="202">
        <v>46237.0</v>
      </c>
      <c r="N18" s="202">
        <v>46246.0</v>
      </c>
      <c r="O18" s="170" t="s">
        <v>130</v>
      </c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</row>
    <row r="19" ht="36.0" customHeight="1">
      <c r="A19" s="200" t="s">
        <v>157</v>
      </c>
      <c r="B19" s="200" t="s">
        <v>192</v>
      </c>
      <c r="C19" s="200" t="s">
        <v>195</v>
      </c>
      <c r="D19" s="177" t="str">
        <f t="shared" si="2"/>
        <v/>
      </c>
      <c r="E19" s="201" t="str">
        <f t="array" ref="E19">IF(B19="","",IF(B19&lt;&gt;B18,SUMPRODUCT(($B$5:B19&lt;&gt;$B$4:B18)*($B$5:B19&lt;&gt;"")),""))</f>
        <v/>
      </c>
      <c r="F19" s="201" t="str">
        <f t="shared" si="3"/>
        <v/>
      </c>
      <c r="G19" s="201">
        <f t="shared" si="4"/>
        <v>3</v>
      </c>
      <c r="H19" s="177" t="str">
        <f t="shared" si="5"/>
        <v>データ鮮度・更新頻度・保持期間の整理</v>
      </c>
      <c r="I19" s="200"/>
      <c r="J19" s="200"/>
      <c r="K19" s="200"/>
      <c r="L19" s="178" t="str">
        <f t="shared" si="6"/>
        <v>【Salesforceデータ連携（1販社先行検証）】3-3_要件定義_データ鮮度・更新頻度・保持期間の整理</v>
      </c>
      <c r="M19" s="202">
        <v>46237.0</v>
      </c>
      <c r="N19" s="202">
        <v>46246.0</v>
      </c>
      <c r="O19" s="170" t="s">
        <v>130</v>
      </c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  <c r="VH19" s="1"/>
      <c r="VI19" s="1"/>
      <c r="VJ19" s="1"/>
      <c r="VK19" s="1"/>
      <c r="VL19" s="1"/>
      <c r="VM19" s="1"/>
      <c r="VN19" s="1"/>
      <c r="VO19" s="1"/>
      <c r="VP19" s="1"/>
      <c r="VQ19" s="1"/>
      <c r="VR19" s="1"/>
      <c r="VS19" s="1"/>
      <c r="VT19" s="1"/>
      <c r="VU19" s="1"/>
      <c r="VV19" s="1"/>
      <c r="VW19" s="1"/>
      <c r="VX19" s="1"/>
      <c r="VY19" s="1"/>
      <c r="VZ19" s="1"/>
      <c r="WA19" s="1"/>
      <c r="WB19" s="1"/>
      <c r="WC19" s="1"/>
      <c r="WD19" s="1"/>
      <c r="WE19" s="1"/>
      <c r="WF19" s="1"/>
      <c r="WG19" s="1"/>
      <c r="WH19" s="1"/>
      <c r="WI19" s="1"/>
      <c r="WJ19" s="1"/>
      <c r="WK19" s="1"/>
      <c r="WL19" s="1"/>
      <c r="WM19" s="1"/>
      <c r="WN19" s="1"/>
      <c r="WO19" s="1"/>
      <c r="WP19" s="1"/>
      <c r="WQ19" s="1"/>
      <c r="WR19" s="1"/>
      <c r="WS19" s="1"/>
      <c r="WT19" s="1"/>
      <c r="WU19" s="1"/>
      <c r="WV19" s="1"/>
      <c r="WW19" s="1"/>
      <c r="WX19" s="1"/>
      <c r="WY19" s="1"/>
      <c r="WZ19" s="1"/>
      <c r="XA19" s="1"/>
      <c r="XB19" s="1"/>
      <c r="XC19" s="1"/>
      <c r="XD19" s="1"/>
      <c r="XE19" s="1"/>
      <c r="XF19" s="1"/>
      <c r="XG19" s="1"/>
      <c r="XH19" s="1"/>
      <c r="XI19" s="1"/>
      <c r="XJ19" s="1"/>
      <c r="XK19" s="1"/>
      <c r="XL19" s="1"/>
      <c r="XM19" s="1"/>
      <c r="XN19" s="1"/>
      <c r="XO19" s="1"/>
      <c r="XP19" s="1"/>
      <c r="XQ19" s="1"/>
      <c r="XR19" s="1"/>
      <c r="XS19" s="1"/>
      <c r="XT19" s="1"/>
      <c r="XU19" s="1"/>
      <c r="XV19" s="1"/>
      <c r="XW19" s="1"/>
      <c r="XX19" s="1"/>
      <c r="XY19" s="1"/>
      <c r="XZ19" s="1"/>
      <c r="YA19" s="1"/>
      <c r="YB19" s="1"/>
      <c r="YC19" s="1"/>
      <c r="YD19" s="1"/>
      <c r="YE19" s="1"/>
      <c r="YF19" s="1"/>
      <c r="YG19" s="1"/>
      <c r="YH19" s="1"/>
      <c r="YI19" s="1"/>
      <c r="YJ19" s="1"/>
      <c r="YK19" s="1"/>
      <c r="YL19" s="1"/>
      <c r="YM19" s="1"/>
      <c r="YN19" s="1"/>
      <c r="YO19" s="1"/>
      <c r="YP19" s="1"/>
      <c r="YQ19" s="1"/>
      <c r="YR19" s="1"/>
      <c r="YS19" s="1"/>
      <c r="YT19" s="1"/>
      <c r="YU19" s="1"/>
      <c r="YV19" s="1"/>
      <c r="YW19" s="1"/>
      <c r="YX19" s="1"/>
      <c r="YY19" s="1"/>
      <c r="YZ19" s="1"/>
      <c r="ZA19" s="1"/>
      <c r="ZB19" s="1"/>
      <c r="ZC19" s="1"/>
      <c r="ZD19" s="1"/>
      <c r="ZE19" s="1"/>
      <c r="ZF19" s="1"/>
      <c r="ZG19" s="1"/>
      <c r="ZH19" s="1"/>
      <c r="ZI19" s="1"/>
      <c r="ZJ19" s="1"/>
      <c r="ZK19" s="1"/>
      <c r="ZL19" s="1"/>
      <c r="ZM19" s="1"/>
      <c r="ZN19" s="1"/>
      <c r="ZO19" s="1"/>
      <c r="ZP19" s="1"/>
      <c r="ZQ19" s="1"/>
      <c r="ZR19" s="1"/>
      <c r="ZS19" s="1"/>
      <c r="ZT19" s="1"/>
      <c r="ZU19" s="1"/>
      <c r="ZV19" s="1"/>
      <c r="ZW19" s="1"/>
      <c r="ZX19" s="1"/>
      <c r="ZY19" s="1"/>
      <c r="ZZ19" s="1"/>
    </row>
    <row r="20" ht="36.0" customHeight="1">
      <c r="A20" s="200" t="s">
        <v>157</v>
      </c>
      <c r="B20" s="200" t="s">
        <v>192</v>
      </c>
      <c r="C20" s="200" t="s">
        <v>227</v>
      </c>
      <c r="D20" s="177" t="str">
        <f t="shared" si="2"/>
        <v/>
      </c>
      <c r="E20" s="201" t="str">
        <f t="array" ref="E20">IF(B20="","",IF(B20&lt;&gt;B19,SUMPRODUCT(($B$5:B20&lt;&gt;$B$4:B19)*($B$5:B20&lt;&gt;"")),""))</f>
        <v/>
      </c>
      <c r="F20" s="201" t="str">
        <f t="shared" si="3"/>
        <v/>
      </c>
      <c r="G20" s="201">
        <f t="shared" si="4"/>
        <v>4</v>
      </c>
      <c r="H20" s="177" t="str">
        <f t="shared" si="5"/>
        <v>先行検証・号口反映・追加販社展開の境界整理</v>
      </c>
      <c r="I20" s="200"/>
      <c r="J20" s="200"/>
      <c r="K20" s="200"/>
      <c r="L20" s="178" t="str">
        <f t="shared" si="6"/>
        <v>【Salesforceデータ連携（1販社先行検証）】3-4_要件定義_先行検証・号口反映・追加販社展開の境界整理</v>
      </c>
      <c r="M20" s="202">
        <v>46237.0</v>
      </c>
      <c r="N20" s="202">
        <v>46246.0</v>
      </c>
      <c r="O20" s="170" t="s">
        <v>130</v>
      </c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</row>
    <row r="21" ht="36.0" customHeight="1">
      <c r="A21" s="200" t="s">
        <v>157</v>
      </c>
      <c r="B21" s="200" t="s">
        <v>192</v>
      </c>
      <c r="C21" s="200" t="s">
        <v>295</v>
      </c>
      <c r="D21" s="177" t="str">
        <f t="shared" si="2"/>
        <v/>
      </c>
      <c r="E21" s="201" t="str">
        <f t="array" ref="E21">IF(B21="","",IF(B21&lt;&gt;B20,SUMPRODUCT(($B$5:B21&lt;&gt;$B$4:B20)*($B$5:B21&lt;&gt;"")),""))</f>
        <v/>
      </c>
      <c r="F21" s="201" t="str">
        <f t="shared" si="3"/>
        <v/>
      </c>
      <c r="G21" s="201">
        <f t="shared" si="4"/>
        <v>5</v>
      </c>
      <c r="H21" s="177" t="str">
        <f t="shared" si="5"/>
        <v>1販社先行検証要件書の作成・レビュー</v>
      </c>
      <c r="I21" s="200"/>
      <c r="J21" s="200"/>
      <c r="K21" s="200"/>
      <c r="L21" s="178" t="str">
        <f t="shared" si="6"/>
        <v>【Salesforceデータ連携（1販社先行検証）】3-5_要件定義_1販社先行検証要件書の作成・レビュー</v>
      </c>
      <c r="M21" s="202">
        <v>46244.0</v>
      </c>
      <c r="N21" s="202">
        <v>46248.0</v>
      </c>
      <c r="O21" s="170" t="s">
        <v>130</v>
      </c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</row>
    <row r="22" ht="39.75" customHeight="1">
      <c r="A22" s="197" t="s">
        <v>157</v>
      </c>
      <c r="B22" s="197" t="s">
        <v>303</v>
      </c>
      <c r="C22" s="197" t="s">
        <v>305</v>
      </c>
      <c r="D22" s="197" t="str">
        <f t="shared" si="2"/>
        <v/>
      </c>
      <c r="E22" s="198">
        <f t="array" ref="E22">IF(B22="","",IF(B22&lt;&gt;B21,SUMPRODUCT(($B$5:B22&lt;&gt;$B$4:B21)*($B$5:B22&lt;&gt;"")),""))</f>
        <v>4</v>
      </c>
      <c r="F22" s="198" t="str">
        <f t="shared" si="3"/>
        <v>Salesforceデータ調査</v>
      </c>
      <c r="G22" s="198">
        <f t="shared" si="4"/>
        <v>1</v>
      </c>
      <c r="H22" s="167" t="str">
        <f t="shared" si="5"/>
        <v>対象Object・Fieldの洗い出し</v>
      </c>
      <c r="I22" s="197"/>
      <c r="J22" s="197"/>
      <c r="K22" s="197"/>
      <c r="L22" s="168" t="str">
        <f t="shared" si="6"/>
        <v>【Salesforceデータ連携（1販社先行検証）】4-1_Salesforceデータ調査_対象Object・Fieldの洗い出し</v>
      </c>
      <c r="M22" s="199">
        <v>46237.0</v>
      </c>
      <c r="N22" s="199">
        <v>46246.0</v>
      </c>
      <c r="O22" s="170" t="s">
        <v>130</v>
      </c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</row>
    <row r="23" ht="36.0" customHeight="1">
      <c r="A23" s="200" t="s">
        <v>157</v>
      </c>
      <c r="B23" s="200" t="s">
        <v>303</v>
      </c>
      <c r="C23" s="200" t="s">
        <v>317</v>
      </c>
      <c r="D23" s="177" t="str">
        <f t="shared" si="2"/>
        <v/>
      </c>
      <c r="E23" s="201" t="str">
        <f t="array" ref="E23">IF(B23="","",IF(B23&lt;&gt;B22,SUMPRODUCT(($B$5:B23&lt;&gt;$B$4:B22)*($B$5:B23&lt;&gt;"")),""))</f>
        <v/>
      </c>
      <c r="F23" s="201" t="str">
        <f t="shared" si="3"/>
        <v/>
      </c>
      <c r="G23" s="201">
        <f t="shared" si="4"/>
        <v>2</v>
      </c>
      <c r="H23" s="177" t="str">
        <f t="shared" si="5"/>
        <v>キー・参照関係の調査</v>
      </c>
      <c r="I23" s="200"/>
      <c r="J23" s="200"/>
      <c r="K23" s="200"/>
      <c r="L23" s="178" t="str">
        <f t="shared" si="6"/>
        <v>【Salesforceデータ連携（1販社先行検証）】4-2_Salesforceデータ調査_キー・参照関係の調査</v>
      </c>
      <c r="M23" s="202">
        <v>46237.0</v>
      </c>
      <c r="N23" s="202">
        <v>46246.0</v>
      </c>
      <c r="O23" s="170" t="s">
        <v>130</v>
      </c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</row>
    <row r="24" ht="36.0" customHeight="1">
      <c r="A24" s="200" t="s">
        <v>157</v>
      </c>
      <c r="B24" s="200" t="s">
        <v>303</v>
      </c>
      <c r="C24" s="200" t="s">
        <v>327</v>
      </c>
      <c r="D24" s="177" t="str">
        <f t="shared" si="2"/>
        <v/>
      </c>
      <c r="E24" s="201" t="str">
        <f t="array" ref="E24">IF(B24="","",IF(B24&lt;&gt;B23,SUMPRODUCT(($B$5:B24&lt;&gt;$B$4:B23)*($B$5:B24&lt;&gt;"")),""))</f>
        <v/>
      </c>
      <c r="F24" s="201" t="str">
        <f t="shared" si="3"/>
        <v/>
      </c>
      <c r="G24" s="201">
        <f t="shared" si="4"/>
        <v>3</v>
      </c>
      <c r="H24" s="177" t="str">
        <f t="shared" si="5"/>
        <v>データ件数・増加量・更新特性の調査</v>
      </c>
      <c r="I24" s="200"/>
      <c r="J24" s="200"/>
      <c r="K24" s="200"/>
      <c r="L24" s="178" t="str">
        <f t="shared" si="6"/>
        <v>【Salesforceデータ連携（1販社先行検証）】4-3_Salesforceデータ調査_データ件数・増加量・更新特性の調査</v>
      </c>
      <c r="M24" s="202">
        <v>46237.0</v>
      </c>
      <c r="N24" s="202">
        <v>46246.0</v>
      </c>
      <c r="O24" s="170" t="s">
        <v>130</v>
      </c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</row>
    <row r="25" ht="36.0" customHeight="1">
      <c r="A25" s="200" t="s">
        <v>157</v>
      </c>
      <c r="B25" s="200" t="s">
        <v>303</v>
      </c>
      <c r="C25" s="200" t="s">
        <v>344</v>
      </c>
      <c r="D25" s="177" t="str">
        <f t="shared" si="2"/>
        <v/>
      </c>
      <c r="E25" s="201" t="str">
        <f t="array" ref="E25">IF(B25="","",IF(B25&lt;&gt;B24,SUMPRODUCT(($B$5:B25&lt;&gt;$B$4:B24)*($B$5:B25&lt;&gt;"")),""))</f>
        <v/>
      </c>
      <c r="F25" s="201" t="str">
        <f t="shared" si="3"/>
        <v/>
      </c>
      <c r="G25" s="201">
        <f t="shared" si="4"/>
        <v>4</v>
      </c>
      <c r="H25" s="177" t="str">
        <f t="shared" si="5"/>
        <v>増分抽出候補項目の調査</v>
      </c>
      <c r="I25" s="200"/>
      <c r="J25" s="200"/>
      <c r="K25" s="200"/>
      <c r="L25" s="178" t="str">
        <f t="shared" si="6"/>
        <v>【Salesforceデータ連携（1販社先行検証）】4-4_Salesforceデータ調査_増分抽出候補項目の調査</v>
      </c>
      <c r="M25" s="202">
        <v>46237.0</v>
      </c>
      <c r="N25" s="202">
        <v>46246.0</v>
      </c>
      <c r="O25" s="170" t="s">
        <v>130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  <c r="VA25" s="1"/>
      <c r="VB25" s="1"/>
      <c r="VC25" s="1"/>
      <c r="VD25" s="1"/>
      <c r="VE25" s="1"/>
      <c r="VF25" s="1"/>
      <c r="VG25" s="1"/>
      <c r="VH25" s="1"/>
      <c r="VI25" s="1"/>
      <c r="VJ25" s="1"/>
      <c r="VK25" s="1"/>
      <c r="VL25" s="1"/>
      <c r="VM25" s="1"/>
      <c r="VN25" s="1"/>
      <c r="VO25" s="1"/>
      <c r="VP25" s="1"/>
      <c r="VQ25" s="1"/>
      <c r="VR25" s="1"/>
      <c r="VS25" s="1"/>
      <c r="VT25" s="1"/>
      <c r="VU25" s="1"/>
      <c r="VV25" s="1"/>
      <c r="VW25" s="1"/>
      <c r="VX25" s="1"/>
      <c r="VY25" s="1"/>
      <c r="VZ25" s="1"/>
      <c r="WA25" s="1"/>
      <c r="WB25" s="1"/>
      <c r="WC25" s="1"/>
      <c r="WD25" s="1"/>
      <c r="WE25" s="1"/>
      <c r="WF25" s="1"/>
      <c r="WG25" s="1"/>
      <c r="WH25" s="1"/>
      <c r="WI25" s="1"/>
      <c r="WJ25" s="1"/>
      <c r="WK25" s="1"/>
      <c r="WL25" s="1"/>
      <c r="WM25" s="1"/>
      <c r="WN25" s="1"/>
      <c r="WO25" s="1"/>
      <c r="WP25" s="1"/>
      <c r="WQ25" s="1"/>
      <c r="WR25" s="1"/>
      <c r="WS25" s="1"/>
      <c r="WT25" s="1"/>
      <c r="WU25" s="1"/>
      <c r="WV25" s="1"/>
      <c r="WW25" s="1"/>
      <c r="WX25" s="1"/>
      <c r="WY25" s="1"/>
      <c r="WZ25" s="1"/>
      <c r="XA25" s="1"/>
      <c r="XB25" s="1"/>
      <c r="XC25" s="1"/>
      <c r="XD25" s="1"/>
      <c r="XE25" s="1"/>
      <c r="XF25" s="1"/>
      <c r="XG25" s="1"/>
      <c r="XH25" s="1"/>
      <c r="XI25" s="1"/>
      <c r="XJ25" s="1"/>
      <c r="XK25" s="1"/>
      <c r="XL25" s="1"/>
      <c r="XM25" s="1"/>
      <c r="XN25" s="1"/>
      <c r="XO25" s="1"/>
      <c r="XP25" s="1"/>
      <c r="XQ25" s="1"/>
      <c r="XR25" s="1"/>
      <c r="XS25" s="1"/>
      <c r="XT25" s="1"/>
      <c r="XU25" s="1"/>
      <c r="XV25" s="1"/>
      <c r="XW25" s="1"/>
      <c r="XX25" s="1"/>
      <c r="XY25" s="1"/>
      <c r="XZ25" s="1"/>
      <c r="YA25" s="1"/>
      <c r="YB25" s="1"/>
      <c r="YC25" s="1"/>
      <c r="YD25" s="1"/>
      <c r="YE25" s="1"/>
      <c r="YF25" s="1"/>
      <c r="YG25" s="1"/>
      <c r="YH25" s="1"/>
      <c r="YI25" s="1"/>
      <c r="YJ25" s="1"/>
      <c r="YK25" s="1"/>
      <c r="YL25" s="1"/>
      <c r="YM25" s="1"/>
      <c r="YN25" s="1"/>
      <c r="YO25" s="1"/>
      <c r="YP25" s="1"/>
      <c r="YQ25" s="1"/>
      <c r="YR25" s="1"/>
      <c r="YS25" s="1"/>
      <c r="YT25" s="1"/>
      <c r="YU25" s="1"/>
      <c r="YV25" s="1"/>
      <c r="YW25" s="1"/>
      <c r="YX25" s="1"/>
      <c r="YY25" s="1"/>
      <c r="YZ25" s="1"/>
      <c r="ZA25" s="1"/>
      <c r="ZB25" s="1"/>
      <c r="ZC25" s="1"/>
      <c r="ZD25" s="1"/>
      <c r="ZE25" s="1"/>
      <c r="ZF25" s="1"/>
      <c r="ZG25" s="1"/>
      <c r="ZH25" s="1"/>
      <c r="ZI25" s="1"/>
      <c r="ZJ25" s="1"/>
      <c r="ZK25" s="1"/>
      <c r="ZL25" s="1"/>
      <c r="ZM25" s="1"/>
      <c r="ZN25" s="1"/>
      <c r="ZO25" s="1"/>
      <c r="ZP25" s="1"/>
      <c r="ZQ25" s="1"/>
      <c r="ZR25" s="1"/>
      <c r="ZS25" s="1"/>
      <c r="ZT25" s="1"/>
      <c r="ZU25" s="1"/>
      <c r="ZV25" s="1"/>
      <c r="ZW25" s="1"/>
      <c r="ZX25" s="1"/>
      <c r="ZY25" s="1"/>
      <c r="ZZ25" s="1"/>
    </row>
    <row r="26" ht="36.0" customHeight="1">
      <c r="A26" s="200" t="s">
        <v>157</v>
      </c>
      <c r="B26" s="200" t="s">
        <v>303</v>
      </c>
      <c r="C26" s="200" t="s">
        <v>358</v>
      </c>
      <c r="D26" s="177" t="str">
        <f t="shared" si="2"/>
        <v/>
      </c>
      <c r="E26" s="201" t="str">
        <f t="array" ref="E26">IF(B26="","",IF(B26&lt;&gt;B25,SUMPRODUCT(($B$5:B26&lt;&gt;$B$4:B25)*($B$5:B26&lt;&gt;"")),""))</f>
        <v/>
      </c>
      <c r="F26" s="201" t="str">
        <f t="shared" si="3"/>
        <v/>
      </c>
      <c r="G26" s="201">
        <f t="shared" si="4"/>
        <v>5</v>
      </c>
      <c r="H26" s="177" t="str">
        <f t="shared" si="5"/>
        <v>削除データ・個人情報・機密項目の調査</v>
      </c>
      <c r="I26" s="200"/>
      <c r="J26" s="200"/>
      <c r="K26" s="200"/>
      <c r="L26" s="178" t="str">
        <f t="shared" si="6"/>
        <v>【Salesforceデータ連携（1販社先行検証）】4-5_Salesforceデータ調査_削除データ・個人情報・機密項目の調査</v>
      </c>
      <c r="M26" s="202">
        <v>46237.0</v>
      </c>
      <c r="N26" s="202">
        <v>46246.0</v>
      </c>
      <c r="O26" s="170" t="s">
        <v>130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</row>
    <row r="27" ht="36.0" customHeight="1">
      <c r="A27" s="200" t="s">
        <v>157</v>
      </c>
      <c r="B27" s="200" t="s">
        <v>303</v>
      </c>
      <c r="C27" s="200" t="s">
        <v>363</v>
      </c>
      <c r="D27" s="177" t="str">
        <f t="shared" si="2"/>
        <v/>
      </c>
      <c r="E27" s="201" t="str">
        <f t="array" ref="E27">IF(B27="","",IF(B27&lt;&gt;B26,SUMPRODUCT(($B$5:B27&lt;&gt;$B$4:B26)*($B$5:B27&lt;&gt;"")),""))</f>
        <v/>
      </c>
      <c r="F27" s="201" t="str">
        <f t="shared" si="3"/>
        <v/>
      </c>
      <c r="G27" s="201">
        <f t="shared" si="4"/>
        <v>6</v>
      </c>
      <c r="H27" s="177" t="str">
        <f t="shared" si="5"/>
        <v>Salesforce調査結果一覧の作成・レビュー</v>
      </c>
      <c r="I27" s="200"/>
      <c r="J27" s="200"/>
      <c r="K27" s="200"/>
      <c r="L27" s="178" t="str">
        <f t="shared" si="6"/>
        <v>【Salesforceデータ連携（1販社先行検証）】4-6_Salesforceデータ調査_Salesforce調査結果一覧の作成・レビュー</v>
      </c>
      <c r="M27" s="202">
        <v>46244.0</v>
      </c>
      <c r="N27" s="202">
        <v>46248.0</v>
      </c>
      <c r="O27" s="170" t="s">
        <v>130</v>
      </c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</row>
    <row r="28" ht="39.75" customHeight="1">
      <c r="A28" s="197" t="s">
        <v>157</v>
      </c>
      <c r="B28" s="197" t="s">
        <v>367</v>
      </c>
      <c r="C28" s="197" t="s">
        <v>368</v>
      </c>
      <c r="D28" s="197" t="str">
        <f t="shared" si="2"/>
        <v/>
      </c>
      <c r="E28" s="198">
        <f t="array" ref="E28">IF(B28="","",IF(B28&lt;&gt;B27,SUMPRODUCT(($B$5:B28&lt;&gt;$B$4:B27)*($B$5:B28&lt;&gt;"")),""))</f>
        <v>5</v>
      </c>
      <c r="F28" s="198" t="str">
        <f t="shared" si="3"/>
        <v>全体・非機能設計</v>
      </c>
      <c r="G28" s="198">
        <f t="shared" si="4"/>
        <v>1</v>
      </c>
      <c r="H28" s="167" t="str">
        <f t="shared" si="5"/>
        <v>Salesforce→NiFi→CDPのE2E構成・責務分界設計</v>
      </c>
      <c r="I28" s="197"/>
      <c r="J28" s="197"/>
      <c r="K28" s="197"/>
      <c r="L28" s="168" t="str">
        <f t="shared" si="6"/>
        <v>【Salesforceデータ連携（1販社先行検証）】5-1_全体・非機能設計_Salesforce→NiFi→CDPのE2E構成・責務分界設計</v>
      </c>
      <c r="M28" s="199">
        <v>46244.0</v>
      </c>
      <c r="N28" s="199">
        <v>46253.0</v>
      </c>
      <c r="O28" s="170" t="s">
        <v>130</v>
      </c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</row>
    <row r="29" ht="36.0" customHeight="1">
      <c r="A29" s="200" t="s">
        <v>157</v>
      </c>
      <c r="B29" s="200" t="s">
        <v>367</v>
      </c>
      <c r="C29" s="200" t="s">
        <v>374</v>
      </c>
      <c r="D29" s="177" t="str">
        <f t="shared" si="2"/>
        <v/>
      </c>
      <c r="E29" s="201" t="str">
        <f t="array" ref="E29">IF(B29="","",IF(B29&lt;&gt;B28,SUMPRODUCT(($B$5:B29&lt;&gt;$B$4:B28)*($B$5:B29&lt;&gt;"")),""))</f>
        <v/>
      </c>
      <c r="F29" s="201" t="str">
        <f t="shared" si="3"/>
        <v/>
      </c>
      <c r="G29" s="201">
        <f t="shared" si="4"/>
        <v>2</v>
      </c>
      <c r="H29" s="177" t="str">
        <f t="shared" si="5"/>
        <v>システム構成図の作成・レビュー</v>
      </c>
      <c r="I29" s="200"/>
      <c r="J29" s="200"/>
      <c r="K29" s="200"/>
      <c r="L29" s="178" t="str">
        <f t="shared" si="6"/>
        <v>【Salesforceデータ連携（1販社先行検証）】5-2_全体・非機能設計_システム構成図の作成・レビュー</v>
      </c>
      <c r="M29" s="202">
        <v>46244.0</v>
      </c>
      <c r="N29" s="202">
        <v>46253.0</v>
      </c>
      <c r="O29" s="170" t="s">
        <v>130</v>
      </c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</row>
    <row r="30" ht="36.0" customHeight="1">
      <c r="A30" s="200" t="s">
        <v>157</v>
      </c>
      <c r="B30" s="200" t="s">
        <v>367</v>
      </c>
      <c r="C30" s="200" t="s">
        <v>378</v>
      </c>
      <c r="D30" s="177" t="str">
        <f t="shared" si="2"/>
        <v/>
      </c>
      <c r="E30" s="201" t="str">
        <f t="array" ref="E30">IF(B30="","",IF(B30&lt;&gt;B29,SUMPRODUCT(($B$5:B30&lt;&gt;$B$4:B29)*($B$5:B30&lt;&gt;"")),""))</f>
        <v/>
      </c>
      <c r="F30" s="201" t="str">
        <f t="shared" si="3"/>
        <v/>
      </c>
      <c r="G30" s="201">
        <f t="shared" si="4"/>
        <v>3</v>
      </c>
      <c r="H30" s="177" t="str">
        <f t="shared" si="5"/>
        <v>先行検証で確認する共通化・販社固有観点の整理</v>
      </c>
      <c r="I30" s="200"/>
      <c r="J30" s="200"/>
      <c r="K30" s="200"/>
      <c r="L30" s="178" t="str">
        <f t="shared" si="6"/>
        <v>【Salesforceデータ連携（1販社先行検証）】5-3_全体・非機能設計_先行検証で確認する共通化・販社固有観点の整理</v>
      </c>
      <c r="M30" s="202">
        <v>46244.0</v>
      </c>
      <c r="N30" s="202">
        <v>46253.0</v>
      </c>
      <c r="O30" s="170" t="s">
        <v>130</v>
      </c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</row>
    <row r="31" ht="36.0" customHeight="1">
      <c r="A31" s="200" t="s">
        <v>157</v>
      </c>
      <c r="B31" s="200" t="s">
        <v>367</v>
      </c>
      <c r="C31" s="200" t="s">
        <v>383</v>
      </c>
      <c r="D31" s="177" t="str">
        <f t="shared" si="2"/>
        <v/>
      </c>
      <c r="E31" s="201" t="str">
        <f t="array" ref="E31">IF(B31="","",IF(B31&lt;&gt;B30,SUMPRODUCT(($B$5:B31&lt;&gt;$B$4:B30)*($B$5:B31&lt;&gt;"")),""))</f>
        <v/>
      </c>
      <c r="F31" s="201" t="str">
        <f t="shared" si="3"/>
        <v/>
      </c>
      <c r="G31" s="201">
        <f t="shared" si="4"/>
        <v>4</v>
      </c>
      <c r="H31" s="177" t="str">
        <f t="shared" si="5"/>
        <v>データ鮮度・処理時間目標の整理</v>
      </c>
      <c r="I31" s="200"/>
      <c r="J31" s="200"/>
      <c r="K31" s="200"/>
      <c r="L31" s="178" t="str">
        <f t="shared" si="6"/>
        <v>【Salesforceデータ連携（1販社先行検証）】5-4_全体・非機能設計_データ鮮度・処理時間目標の整理</v>
      </c>
      <c r="M31" s="202">
        <v>46244.0</v>
      </c>
      <c r="N31" s="202">
        <v>46253.0</v>
      </c>
      <c r="O31" s="170" t="s">
        <v>130</v>
      </c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</row>
    <row r="32" ht="36.0" customHeight="1">
      <c r="A32" s="200" t="s">
        <v>157</v>
      </c>
      <c r="B32" s="200" t="s">
        <v>367</v>
      </c>
      <c r="C32" s="200" t="s">
        <v>387</v>
      </c>
      <c r="D32" s="177" t="str">
        <f t="shared" si="2"/>
        <v/>
      </c>
      <c r="E32" s="201" t="str">
        <f t="array" ref="E32">IF(B32="","",IF(B32&lt;&gt;B31,SUMPRODUCT(($B$5:B32&lt;&gt;$B$4:B31)*($B$5:B32&lt;&gt;"")),""))</f>
        <v/>
      </c>
      <c r="F32" s="201" t="str">
        <f t="shared" si="3"/>
        <v/>
      </c>
      <c r="G32" s="201">
        <f t="shared" si="4"/>
        <v>5</v>
      </c>
      <c r="H32" s="177" t="str">
        <f t="shared" si="5"/>
        <v>再実行・障害復旧・再取得方針の設計</v>
      </c>
      <c r="I32" s="200"/>
      <c r="J32" s="200"/>
      <c r="K32" s="200"/>
      <c r="L32" s="178" t="str">
        <f t="shared" si="6"/>
        <v>【Salesforceデータ連携（1販社先行検証）】5-5_全体・非機能設計_再実行・障害復旧・再取得方針の設計</v>
      </c>
      <c r="M32" s="202">
        <v>46244.0</v>
      </c>
      <c r="N32" s="202">
        <v>46253.0</v>
      </c>
      <c r="O32" s="170" t="s">
        <v>130</v>
      </c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</row>
    <row r="33" ht="36.0" customHeight="1">
      <c r="A33" s="200" t="s">
        <v>157</v>
      </c>
      <c r="B33" s="200" t="s">
        <v>367</v>
      </c>
      <c r="C33" s="200" t="s">
        <v>391</v>
      </c>
      <c r="D33" s="177" t="str">
        <f t="shared" si="2"/>
        <v/>
      </c>
      <c r="E33" s="201" t="str">
        <f t="array" ref="E33">IF(B33="","",IF(B33&lt;&gt;B32,SUMPRODUCT(($B$5:B33&lt;&gt;$B$4:B32)*($B$5:B33&lt;&gt;"")),""))</f>
        <v/>
      </c>
      <c r="F33" s="201" t="str">
        <f t="shared" si="3"/>
        <v/>
      </c>
      <c r="G33" s="201">
        <f t="shared" si="4"/>
        <v>6</v>
      </c>
      <c r="H33" s="177" t="str">
        <f t="shared" si="5"/>
        <v>監視・通知・ログ・処理履歴方針の設計</v>
      </c>
      <c r="I33" s="200"/>
      <c r="J33" s="200"/>
      <c r="K33" s="200"/>
      <c r="L33" s="178" t="str">
        <f t="shared" si="6"/>
        <v>【Salesforceデータ連携（1販社先行検証）】5-6_全体・非機能設計_監視・通知・ログ・処理履歴方針の設計</v>
      </c>
      <c r="M33" s="202">
        <v>46251.0</v>
      </c>
      <c r="N33" s="202">
        <v>46255.0</v>
      </c>
      <c r="O33" s="170" t="s">
        <v>130</v>
      </c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</row>
    <row r="34" ht="36.0" customHeight="1">
      <c r="A34" s="200" t="s">
        <v>157</v>
      </c>
      <c r="B34" s="200" t="s">
        <v>367</v>
      </c>
      <c r="C34" s="200" t="s">
        <v>395</v>
      </c>
      <c r="D34" s="177" t="str">
        <f t="shared" si="2"/>
        <v/>
      </c>
      <c r="E34" s="201" t="str">
        <f t="array" ref="E34">IF(B34="","",IF(B34&lt;&gt;B33,SUMPRODUCT(($B$5:B34&lt;&gt;$B$4:B33)*($B$5:B34&lt;&gt;"")),""))</f>
        <v/>
      </c>
      <c r="F34" s="201" t="str">
        <f t="shared" si="3"/>
        <v/>
      </c>
      <c r="G34" s="201">
        <f t="shared" si="4"/>
        <v>7</v>
      </c>
      <c r="H34" s="177" t="str">
        <f t="shared" si="5"/>
        <v>非機能・運用方針書の作成・レビュー</v>
      </c>
      <c r="I34" s="200"/>
      <c r="J34" s="200"/>
      <c r="K34" s="200"/>
      <c r="L34" s="178" t="str">
        <f t="shared" si="6"/>
        <v>【Salesforceデータ連携（1販社先行検証）】5-7_全体・非機能設計_非機能・運用方針書の作成・レビュー</v>
      </c>
      <c r="M34" s="202">
        <v>46251.0</v>
      </c>
      <c r="N34" s="202">
        <v>46255.0</v>
      </c>
      <c r="O34" s="170" t="s">
        <v>130</v>
      </c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</row>
    <row r="35" ht="39.75" customHeight="1">
      <c r="A35" s="197" t="s">
        <v>157</v>
      </c>
      <c r="B35" s="197" t="s">
        <v>399</v>
      </c>
      <c r="C35" s="197" t="s">
        <v>400</v>
      </c>
      <c r="D35" s="197" t="str">
        <f t="shared" si="2"/>
        <v/>
      </c>
      <c r="E35" s="198">
        <f t="array" ref="E35">IF(B35="","",IF(B35&lt;&gt;B34,SUMPRODUCT(($B$5:B35&lt;&gt;$B$4:B34)*($B$5:B35&lt;&gt;"")),""))</f>
        <v>6</v>
      </c>
      <c r="F35" s="198" t="str">
        <f t="shared" si="3"/>
        <v>セキュリティ設計</v>
      </c>
      <c r="G35" s="198">
        <f t="shared" si="4"/>
        <v>1</v>
      </c>
      <c r="H35" s="167" t="str">
        <f t="shared" si="5"/>
        <v>Salesforce認証方式の設計</v>
      </c>
      <c r="I35" s="197"/>
      <c r="J35" s="197"/>
      <c r="K35" s="197"/>
      <c r="L35" s="168" t="str">
        <f t="shared" si="6"/>
        <v>【Salesforceデータ連携（1販社先行検証）】6-1_セキュリティ設計_Salesforce認証方式の設計</v>
      </c>
      <c r="M35" s="199">
        <v>46244.0</v>
      </c>
      <c r="N35" s="199">
        <v>46253.0</v>
      </c>
      <c r="O35" s="170" t="s">
        <v>130</v>
      </c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</row>
    <row r="36" ht="36.0" customHeight="1">
      <c r="A36" s="200" t="s">
        <v>157</v>
      </c>
      <c r="B36" s="200" t="s">
        <v>399</v>
      </c>
      <c r="C36" s="200" t="s">
        <v>413</v>
      </c>
      <c r="D36" s="177" t="str">
        <f t="shared" si="2"/>
        <v/>
      </c>
      <c r="E36" s="201" t="str">
        <f t="array" ref="E36">IF(B36="","",IF(B36&lt;&gt;B35,SUMPRODUCT(($B$5:B36&lt;&gt;$B$4:B35)*($B$5:B36&lt;&gt;"")),""))</f>
        <v/>
      </c>
      <c r="F36" s="201" t="str">
        <f t="shared" si="3"/>
        <v/>
      </c>
      <c r="G36" s="201">
        <f t="shared" si="4"/>
        <v>2</v>
      </c>
      <c r="H36" s="177" t="str">
        <f t="shared" si="5"/>
        <v>連携基盤・保存先の認証認可設計</v>
      </c>
      <c r="I36" s="200"/>
      <c r="J36" s="200"/>
      <c r="K36" s="200"/>
      <c r="L36" s="178" t="str">
        <f t="shared" si="6"/>
        <v>【Salesforceデータ連携（1販社先行検証）】6-2_セキュリティ設計_連携基盤・保存先の認証認可設計</v>
      </c>
      <c r="M36" s="202">
        <v>46244.0</v>
      </c>
      <c r="N36" s="202">
        <v>46253.0</v>
      </c>
      <c r="O36" s="170" t="s">
        <v>130</v>
      </c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</row>
    <row r="37" ht="36.0" customHeight="1">
      <c r="A37" s="200" t="s">
        <v>157</v>
      </c>
      <c r="B37" s="200" t="s">
        <v>399</v>
      </c>
      <c r="C37" s="200" t="s">
        <v>421</v>
      </c>
      <c r="D37" s="177" t="str">
        <f t="shared" si="2"/>
        <v/>
      </c>
      <c r="E37" s="201" t="str">
        <f t="array" ref="E37">IF(B37="","",IF(B37&lt;&gt;B36,SUMPRODUCT(($B$5:B37&lt;&gt;$B$4:B36)*($B$5:B37&lt;&gt;"")),""))</f>
        <v/>
      </c>
      <c r="F37" s="201" t="str">
        <f t="shared" si="3"/>
        <v/>
      </c>
      <c r="G37" s="201">
        <f t="shared" si="4"/>
        <v>3</v>
      </c>
      <c r="H37" s="177" t="str">
        <f t="shared" si="5"/>
        <v>Credential・Secret管理方式の設計</v>
      </c>
      <c r="I37" s="200"/>
      <c r="J37" s="200"/>
      <c r="K37" s="200"/>
      <c r="L37" s="178" t="str">
        <f t="shared" si="6"/>
        <v>【Salesforceデータ連携（1販社先行検証）】6-3_セキュリティ設計_Credential・Secret管理方式の設計</v>
      </c>
      <c r="M37" s="202">
        <v>46244.0</v>
      </c>
      <c r="N37" s="202">
        <v>46253.0</v>
      </c>
      <c r="O37" s="170" t="s">
        <v>130</v>
      </c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</row>
    <row r="38" ht="36.0" customHeight="1">
      <c r="A38" s="200" t="s">
        <v>157</v>
      </c>
      <c r="B38" s="200" t="s">
        <v>399</v>
      </c>
      <c r="C38" s="200" t="s">
        <v>426</v>
      </c>
      <c r="D38" s="177" t="str">
        <f t="shared" si="2"/>
        <v/>
      </c>
      <c r="E38" s="201" t="str">
        <f t="array" ref="E38">IF(B38="","",IF(B38&lt;&gt;B37,SUMPRODUCT(($B$5:B38&lt;&gt;$B$4:B37)*($B$5:B38&lt;&gt;"")),""))</f>
        <v/>
      </c>
      <c r="F38" s="201" t="str">
        <f t="shared" si="3"/>
        <v/>
      </c>
      <c r="G38" s="201">
        <f t="shared" si="4"/>
        <v>4</v>
      </c>
      <c r="H38" s="177" t="str">
        <f t="shared" si="5"/>
        <v>暗号化・機密データアクセス権の設計</v>
      </c>
      <c r="I38" s="200"/>
      <c r="J38" s="200"/>
      <c r="K38" s="200"/>
      <c r="L38" s="178" t="str">
        <f t="shared" si="6"/>
        <v>【Salesforceデータ連携（1販社先行検証）】6-4_セキュリティ設計_暗号化・機密データアクセス権の設計</v>
      </c>
      <c r="M38" s="202">
        <v>46244.0</v>
      </c>
      <c r="N38" s="202">
        <v>46253.0</v>
      </c>
      <c r="O38" s="170" t="s">
        <v>130</v>
      </c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</row>
    <row r="39" ht="36.0" customHeight="1">
      <c r="A39" s="200" t="s">
        <v>157</v>
      </c>
      <c r="B39" s="200" t="s">
        <v>399</v>
      </c>
      <c r="C39" s="200" t="s">
        <v>430</v>
      </c>
      <c r="D39" s="177" t="str">
        <f t="shared" si="2"/>
        <v/>
      </c>
      <c r="E39" s="201" t="str">
        <f t="array" ref="E39">IF(B39="","",IF(B39&lt;&gt;B38,SUMPRODUCT(($B$5:B39&lt;&gt;$B$4:B38)*($B$5:B39&lt;&gt;"")),""))</f>
        <v/>
      </c>
      <c r="F39" s="201" t="str">
        <f t="shared" si="3"/>
        <v/>
      </c>
      <c r="G39" s="201">
        <f t="shared" si="4"/>
        <v>5</v>
      </c>
      <c r="H39" s="177" t="str">
        <f t="shared" si="5"/>
        <v>監査ログ・アクセスログ方針の設計</v>
      </c>
      <c r="I39" s="200"/>
      <c r="J39" s="200"/>
      <c r="K39" s="200"/>
      <c r="L39" s="178" t="str">
        <f t="shared" si="6"/>
        <v>【Salesforceデータ連携（1販社先行検証）】6-5_セキュリティ設計_監査ログ・アクセスログ方針の設計</v>
      </c>
      <c r="M39" s="202">
        <v>46251.0</v>
      </c>
      <c r="N39" s="202">
        <v>46255.0</v>
      </c>
      <c r="O39" s="170" t="s">
        <v>130</v>
      </c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</row>
    <row r="40" ht="36.0" customHeight="1">
      <c r="A40" s="200" t="s">
        <v>157</v>
      </c>
      <c r="B40" s="200" t="s">
        <v>399</v>
      </c>
      <c r="C40" s="200" t="s">
        <v>434</v>
      </c>
      <c r="D40" s="177" t="str">
        <f t="shared" si="2"/>
        <v/>
      </c>
      <c r="E40" s="201" t="str">
        <f t="array" ref="E40">IF(B40="","",IF(B40&lt;&gt;B39,SUMPRODUCT(($B$5:B40&lt;&gt;$B$4:B39)*($B$5:B40&lt;&gt;"")),""))</f>
        <v/>
      </c>
      <c r="F40" s="201" t="str">
        <f t="shared" si="3"/>
        <v/>
      </c>
      <c r="G40" s="201">
        <f t="shared" si="4"/>
        <v>6</v>
      </c>
      <c r="H40" s="177" t="str">
        <f t="shared" si="5"/>
        <v>セキュリティ設計書の作成・レビュー</v>
      </c>
      <c r="I40" s="200"/>
      <c r="J40" s="200"/>
      <c r="K40" s="200"/>
      <c r="L40" s="178" t="str">
        <f t="shared" si="6"/>
        <v>【Salesforceデータ連携（1販社先行検証）】6-6_セキュリティ設計_セキュリティ設計書の作成・レビュー</v>
      </c>
      <c r="M40" s="202">
        <v>46251.0</v>
      </c>
      <c r="N40" s="202">
        <v>46255.0</v>
      </c>
      <c r="O40" s="170" t="s">
        <v>130</v>
      </c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</row>
    <row r="41" ht="39.75" customHeight="1">
      <c r="A41" s="197" t="s">
        <v>157</v>
      </c>
      <c r="B41" s="197" t="s">
        <v>438</v>
      </c>
      <c r="C41" s="197" t="s">
        <v>439</v>
      </c>
      <c r="D41" s="197" t="str">
        <f t="shared" si="2"/>
        <v/>
      </c>
      <c r="E41" s="198">
        <f t="array" ref="E41">IF(B41="","",IF(B41&lt;&gt;B40,SUMPRODUCT(($B$5:B41&lt;&gt;$B$4:B40)*($B$5:B41&lt;&gt;"")),""))</f>
        <v>7</v>
      </c>
      <c r="F41" s="198" t="str">
        <f t="shared" si="3"/>
        <v>ネットワーク設計</v>
      </c>
      <c r="G41" s="198">
        <f t="shared" si="4"/>
        <v>1</v>
      </c>
      <c r="H41" s="167" t="str">
        <f t="shared" si="5"/>
        <v>既存通信経路・接続方式の調査</v>
      </c>
      <c r="I41" s="197" t="s">
        <v>143</v>
      </c>
      <c r="J41" s="197"/>
      <c r="K41" s="197"/>
      <c r="L41" s="168" t="str">
        <f t="shared" si="6"/>
        <v>【Salesforceデータ連携（1販社先行検証）】7-1_ネットワーク設計_既存通信経路・接続方式の調査</v>
      </c>
      <c r="M41" s="199">
        <v>46244.0</v>
      </c>
      <c r="N41" s="199">
        <v>46248.0</v>
      </c>
      <c r="O41" s="170" t="s">
        <v>130</v>
      </c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</row>
    <row r="42" ht="36.0" customHeight="1">
      <c r="A42" s="200" t="s">
        <v>157</v>
      </c>
      <c r="B42" s="200" t="s">
        <v>438</v>
      </c>
      <c r="C42" s="200" t="s">
        <v>443</v>
      </c>
      <c r="D42" s="177" t="str">
        <f t="shared" si="2"/>
        <v/>
      </c>
      <c r="E42" s="201" t="str">
        <f t="array" ref="E42">IF(B42="","",IF(B42&lt;&gt;B41,SUMPRODUCT(($B$5:B42&lt;&gt;$B$4:B41)*($B$5:B42&lt;&gt;"")),""))</f>
        <v/>
      </c>
      <c r="F42" s="201" t="str">
        <f t="shared" si="3"/>
        <v/>
      </c>
      <c r="G42" s="201">
        <f t="shared" si="4"/>
        <v>2</v>
      </c>
      <c r="H42" s="177" t="str">
        <f t="shared" si="5"/>
        <v>Public／Private接続方式の決定</v>
      </c>
      <c r="I42" s="200" t="s">
        <v>143</v>
      </c>
      <c r="J42" s="200"/>
      <c r="K42" s="200"/>
      <c r="L42" s="178" t="str">
        <f t="shared" si="6"/>
        <v>【Salesforceデータ連携（1販社先行検証）】7-2_ネットワーク設計_Public／Private接続方式の決定</v>
      </c>
      <c r="M42" s="202">
        <v>46244.0</v>
      </c>
      <c r="N42" s="202">
        <v>46248.0</v>
      </c>
      <c r="O42" s="170" t="s">
        <v>130</v>
      </c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</row>
    <row r="43" ht="36.0" customHeight="1">
      <c r="A43" s="200" t="s">
        <v>157</v>
      </c>
      <c r="B43" s="200" t="s">
        <v>438</v>
      </c>
      <c r="C43" s="200" t="s">
        <v>447</v>
      </c>
      <c r="D43" s="177" t="str">
        <f t="shared" si="2"/>
        <v/>
      </c>
      <c r="E43" s="201" t="str">
        <f t="array" ref="E43">IF(B43="","",IF(B43&lt;&gt;B42,SUMPRODUCT(($B$5:B43&lt;&gt;$B$4:B42)*($B$5:B43&lt;&gt;"")),""))</f>
        <v/>
      </c>
      <c r="F43" s="201" t="str">
        <f t="shared" si="3"/>
        <v/>
      </c>
      <c r="G43" s="201">
        <f t="shared" si="4"/>
        <v>3</v>
      </c>
      <c r="H43" s="177" t="str">
        <f t="shared" si="5"/>
        <v>接続先・Port・Protocolの整理</v>
      </c>
      <c r="I43" s="200" t="s">
        <v>143</v>
      </c>
      <c r="J43" s="200"/>
      <c r="K43" s="200"/>
      <c r="L43" s="178" t="str">
        <f t="shared" si="6"/>
        <v>【Salesforceデータ連携（1販社先行検証）】7-3_ネットワーク設計_接続先・Port・Protocolの整理</v>
      </c>
      <c r="M43" s="202">
        <v>46244.0</v>
      </c>
      <c r="N43" s="202">
        <v>46248.0</v>
      </c>
      <c r="O43" s="170" t="s">
        <v>130</v>
      </c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  <c r="VA43" s="1"/>
      <c r="VB43" s="1"/>
      <c r="VC43" s="1"/>
      <c r="VD43" s="1"/>
      <c r="VE43" s="1"/>
      <c r="VF43" s="1"/>
      <c r="VG43" s="1"/>
      <c r="VH43" s="1"/>
      <c r="VI43" s="1"/>
      <c r="VJ43" s="1"/>
      <c r="VK43" s="1"/>
      <c r="VL43" s="1"/>
      <c r="VM43" s="1"/>
      <c r="VN43" s="1"/>
      <c r="VO43" s="1"/>
      <c r="VP43" s="1"/>
      <c r="VQ43" s="1"/>
      <c r="VR43" s="1"/>
      <c r="VS43" s="1"/>
      <c r="VT43" s="1"/>
      <c r="VU43" s="1"/>
      <c r="VV43" s="1"/>
      <c r="VW43" s="1"/>
      <c r="VX43" s="1"/>
      <c r="VY43" s="1"/>
      <c r="VZ43" s="1"/>
      <c r="WA43" s="1"/>
      <c r="WB43" s="1"/>
      <c r="WC43" s="1"/>
      <c r="WD43" s="1"/>
      <c r="WE43" s="1"/>
      <c r="WF43" s="1"/>
      <c r="WG43" s="1"/>
      <c r="WH43" s="1"/>
      <c r="WI43" s="1"/>
      <c r="WJ43" s="1"/>
      <c r="WK43" s="1"/>
      <c r="WL43" s="1"/>
      <c r="WM43" s="1"/>
      <c r="WN43" s="1"/>
      <c r="WO43" s="1"/>
      <c r="WP43" s="1"/>
      <c r="WQ43" s="1"/>
      <c r="WR43" s="1"/>
      <c r="WS43" s="1"/>
      <c r="WT43" s="1"/>
      <c r="WU43" s="1"/>
      <c r="WV43" s="1"/>
      <c r="WW43" s="1"/>
      <c r="WX43" s="1"/>
      <c r="WY43" s="1"/>
      <c r="WZ43" s="1"/>
      <c r="XA43" s="1"/>
      <c r="XB43" s="1"/>
      <c r="XC43" s="1"/>
      <c r="XD43" s="1"/>
      <c r="XE43" s="1"/>
      <c r="XF43" s="1"/>
      <c r="XG43" s="1"/>
      <c r="XH43" s="1"/>
      <c r="XI43" s="1"/>
      <c r="XJ43" s="1"/>
      <c r="XK43" s="1"/>
      <c r="XL43" s="1"/>
      <c r="XM43" s="1"/>
      <c r="XN43" s="1"/>
      <c r="XO43" s="1"/>
      <c r="XP43" s="1"/>
      <c r="XQ43" s="1"/>
      <c r="XR43" s="1"/>
      <c r="XS43" s="1"/>
      <c r="XT43" s="1"/>
      <c r="XU43" s="1"/>
      <c r="XV43" s="1"/>
      <c r="XW43" s="1"/>
      <c r="XX43" s="1"/>
      <c r="XY43" s="1"/>
      <c r="XZ43" s="1"/>
      <c r="YA43" s="1"/>
      <c r="YB43" s="1"/>
      <c r="YC43" s="1"/>
      <c r="YD43" s="1"/>
      <c r="YE43" s="1"/>
      <c r="YF43" s="1"/>
      <c r="YG43" s="1"/>
      <c r="YH43" s="1"/>
      <c r="YI43" s="1"/>
      <c r="YJ43" s="1"/>
      <c r="YK43" s="1"/>
      <c r="YL43" s="1"/>
      <c r="YM43" s="1"/>
      <c r="YN43" s="1"/>
      <c r="YO43" s="1"/>
      <c r="YP43" s="1"/>
      <c r="YQ43" s="1"/>
      <c r="YR43" s="1"/>
      <c r="YS43" s="1"/>
      <c r="YT43" s="1"/>
      <c r="YU43" s="1"/>
      <c r="YV43" s="1"/>
      <c r="YW43" s="1"/>
      <c r="YX43" s="1"/>
      <c r="YY43" s="1"/>
      <c r="YZ43" s="1"/>
      <c r="ZA43" s="1"/>
      <c r="ZB43" s="1"/>
      <c r="ZC43" s="1"/>
      <c r="ZD43" s="1"/>
      <c r="ZE43" s="1"/>
      <c r="ZF43" s="1"/>
      <c r="ZG43" s="1"/>
      <c r="ZH43" s="1"/>
      <c r="ZI43" s="1"/>
      <c r="ZJ43" s="1"/>
      <c r="ZK43" s="1"/>
      <c r="ZL43" s="1"/>
      <c r="ZM43" s="1"/>
      <c r="ZN43" s="1"/>
      <c r="ZO43" s="1"/>
      <c r="ZP43" s="1"/>
      <c r="ZQ43" s="1"/>
      <c r="ZR43" s="1"/>
      <c r="ZS43" s="1"/>
      <c r="ZT43" s="1"/>
      <c r="ZU43" s="1"/>
      <c r="ZV43" s="1"/>
      <c r="ZW43" s="1"/>
      <c r="ZX43" s="1"/>
      <c r="ZY43" s="1"/>
      <c r="ZZ43" s="1"/>
    </row>
    <row r="44" ht="36.0" customHeight="1">
      <c r="A44" s="200" t="s">
        <v>157</v>
      </c>
      <c r="B44" s="200" t="s">
        <v>438</v>
      </c>
      <c r="C44" s="200" t="s">
        <v>451</v>
      </c>
      <c r="D44" s="177" t="str">
        <f t="shared" si="2"/>
        <v/>
      </c>
      <c r="E44" s="201" t="str">
        <f t="array" ref="E44">IF(B44="","",IF(B44&lt;&gt;B43,SUMPRODUCT(($B$5:B44&lt;&gt;$B$4:B43)*($B$5:B44&lt;&gt;"")),""))</f>
        <v/>
      </c>
      <c r="F44" s="201" t="str">
        <f t="shared" si="3"/>
        <v/>
      </c>
      <c r="G44" s="201">
        <f t="shared" si="4"/>
        <v>4</v>
      </c>
      <c r="H44" s="177" t="str">
        <f t="shared" si="5"/>
        <v>ネットワーク設定変更依頼内容の整理</v>
      </c>
      <c r="I44" s="200" t="s">
        <v>143</v>
      </c>
      <c r="J44" s="200"/>
      <c r="K44" s="200"/>
      <c r="L44" s="178" t="str">
        <f t="shared" si="6"/>
        <v>【Salesforceデータ連携（1販社先行検証）】7-4_ネットワーク設計_ネットワーク設定変更依頼内容の整理</v>
      </c>
      <c r="M44" s="202">
        <v>46251.0</v>
      </c>
      <c r="N44" s="202">
        <v>46255.0</v>
      </c>
      <c r="O44" s="170" t="s">
        <v>130</v>
      </c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  <c r="VA44" s="1"/>
      <c r="VB44" s="1"/>
      <c r="VC44" s="1"/>
      <c r="VD44" s="1"/>
      <c r="VE44" s="1"/>
      <c r="VF44" s="1"/>
      <c r="VG44" s="1"/>
      <c r="VH44" s="1"/>
      <c r="VI44" s="1"/>
      <c r="VJ44" s="1"/>
      <c r="VK44" s="1"/>
      <c r="VL44" s="1"/>
      <c r="VM44" s="1"/>
      <c r="VN44" s="1"/>
      <c r="VO44" s="1"/>
      <c r="VP44" s="1"/>
      <c r="VQ44" s="1"/>
      <c r="VR44" s="1"/>
      <c r="VS44" s="1"/>
      <c r="VT44" s="1"/>
      <c r="VU44" s="1"/>
      <c r="VV44" s="1"/>
      <c r="VW44" s="1"/>
      <c r="VX44" s="1"/>
      <c r="VY44" s="1"/>
      <c r="VZ44" s="1"/>
      <c r="WA44" s="1"/>
      <c r="WB44" s="1"/>
      <c r="WC44" s="1"/>
      <c r="WD44" s="1"/>
      <c r="WE44" s="1"/>
      <c r="WF44" s="1"/>
      <c r="WG44" s="1"/>
      <c r="WH44" s="1"/>
      <c r="WI44" s="1"/>
      <c r="WJ44" s="1"/>
      <c r="WK44" s="1"/>
      <c r="WL44" s="1"/>
      <c r="WM44" s="1"/>
      <c r="WN44" s="1"/>
      <c r="WO44" s="1"/>
      <c r="WP44" s="1"/>
      <c r="WQ44" s="1"/>
      <c r="WR44" s="1"/>
      <c r="WS44" s="1"/>
      <c r="WT44" s="1"/>
      <c r="WU44" s="1"/>
      <c r="WV44" s="1"/>
      <c r="WW44" s="1"/>
      <c r="WX44" s="1"/>
      <c r="WY44" s="1"/>
      <c r="WZ44" s="1"/>
      <c r="XA44" s="1"/>
      <c r="XB44" s="1"/>
      <c r="XC44" s="1"/>
      <c r="XD44" s="1"/>
      <c r="XE44" s="1"/>
      <c r="XF44" s="1"/>
      <c r="XG44" s="1"/>
      <c r="XH44" s="1"/>
      <c r="XI44" s="1"/>
      <c r="XJ44" s="1"/>
      <c r="XK44" s="1"/>
      <c r="XL44" s="1"/>
      <c r="XM44" s="1"/>
      <c r="XN44" s="1"/>
      <c r="XO44" s="1"/>
      <c r="XP44" s="1"/>
      <c r="XQ44" s="1"/>
      <c r="XR44" s="1"/>
      <c r="XS44" s="1"/>
      <c r="XT44" s="1"/>
      <c r="XU44" s="1"/>
      <c r="XV44" s="1"/>
      <c r="XW44" s="1"/>
      <c r="XX44" s="1"/>
      <c r="XY44" s="1"/>
      <c r="XZ44" s="1"/>
      <c r="YA44" s="1"/>
      <c r="YB44" s="1"/>
      <c r="YC44" s="1"/>
      <c r="YD44" s="1"/>
      <c r="YE44" s="1"/>
      <c r="YF44" s="1"/>
      <c r="YG44" s="1"/>
      <c r="YH44" s="1"/>
      <c r="YI44" s="1"/>
      <c r="YJ44" s="1"/>
      <c r="YK44" s="1"/>
      <c r="YL44" s="1"/>
      <c r="YM44" s="1"/>
      <c r="YN44" s="1"/>
      <c r="YO44" s="1"/>
      <c r="YP44" s="1"/>
      <c r="YQ44" s="1"/>
      <c r="YR44" s="1"/>
      <c r="YS44" s="1"/>
      <c r="YT44" s="1"/>
      <c r="YU44" s="1"/>
      <c r="YV44" s="1"/>
      <c r="YW44" s="1"/>
      <c r="YX44" s="1"/>
      <c r="YY44" s="1"/>
      <c r="YZ44" s="1"/>
      <c r="ZA44" s="1"/>
      <c r="ZB44" s="1"/>
      <c r="ZC44" s="1"/>
      <c r="ZD44" s="1"/>
      <c r="ZE44" s="1"/>
      <c r="ZF44" s="1"/>
      <c r="ZG44" s="1"/>
      <c r="ZH44" s="1"/>
      <c r="ZI44" s="1"/>
      <c r="ZJ44" s="1"/>
      <c r="ZK44" s="1"/>
      <c r="ZL44" s="1"/>
      <c r="ZM44" s="1"/>
      <c r="ZN44" s="1"/>
      <c r="ZO44" s="1"/>
      <c r="ZP44" s="1"/>
      <c r="ZQ44" s="1"/>
      <c r="ZR44" s="1"/>
      <c r="ZS44" s="1"/>
      <c r="ZT44" s="1"/>
      <c r="ZU44" s="1"/>
      <c r="ZV44" s="1"/>
      <c r="ZW44" s="1"/>
      <c r="ZX44" s="1"/>
      <c r="ZY44" s="1"/>
      <c r="ZZ44" s="1"/>
    </row>
    <row r="45" ht="36.0" customHeight="1">
      <c r="A45" s="200" t="s">
        <v>157</v>
      </c>
      <c r="B45" s="200" t="s">
        <v>438</v>
      </c>
      <c r="C45" s="200" t="s">
        <v>456</v>
      </c>
      <c r="D45" s="177" t="str">
        <f t="shared" si="2"/>
        <v/>
      </c>
      <c r="E45" s="201" t="str">
        <f t="array" ref="E45">IF(B45="","",IF(B45&lt;&gt;B44,SUMPRODUCT(($B$5:B45&lt;&gt;$B$4:B44)*($B$5:B45&lt;&gt;"")),""))</f>
        <v/>
      </c>
      <c r="F45" s="201" t="str">
        <f t="shared" si="3"/>
        <v/>
      </c>
      <c r="G45" s="201">
        <f t="shared" si="4"/>
        <v>5</v>
      </c>
      <c r="H45" s="177" t="str">
        <f t="shared" si="5"/>
        <v>区間別疎通試験方法の設計</v>
      </c>
      <c r="I45" s="200" t="s">
        <v>143</v>
      </c>
      <c r="J45" s="200"/>
      <c r="K45" s="200"/>
      <c r="L45" s="178" t="str">
        <f t="shared" si="6"/>
        <v>【Salesforceデータ連携（1販社先行検証）】7-5_ネットワーク設計_区間別疎通試験方法の設計</v>
      </c>
      <c r="M45" s="202">
        <v>46251.0</v>
      </c>
      <c r="N45" s="202">
        <v>46255.0</v>
      </c>
      <c r="O45" s="170" t="s">
        <v>130</v>
      </c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</row>
    <row r="46" ht="36.0" customHeight="1">
      <c r="A46" s="200" t="s">
        <v>157</v>
      </c>
      <c r="B46" s="200" t="s">
        <v>438</v>
      </c>
      <c r="C46" s="200" t="s">
        <v>460</v>
      </c>
      <c r="D46" s="177" t="str">
        <f t="shared" si="2"/>
        <v/>
      </c>
      <c r="E46" s="201" t="str">
        <f t="array" ref="E46">IF(B46="","",IF(B46&lt;&gt;B45,SUMPRODUCT(($B$5:B46&lt;&gt;$B$4:B45)*($B$5:B46&lt;&gt;"")),""))</f>
        <v/>
      </c>
      <c r="F46" s="201" t="str">
        <f t="shared" si="3"/>
        <v/>
      </c>
      <c r="G46" s="201">
        <f t="shared" si="4"/>
        <v>6</v>
      </c>
      <c r="H46" s="177" t="str">
        <f t="shared" si="5"/>
        <v>ネットワーク・アプリ障害切り分け方式の設計</v>
      </c>
      <c r="I46" s="200" t="s">
        <v>143</v>
      </c>
      <c r="J46" s="200"/>
      <c r="K46" s="200"/>
      <c r="L46" s="178" t="str">
        <f t="shared" si="6"/>
        <v>【Salesforceデータ連携（1販社先行検証）】7-6_ネットワーク設計_ネットワーク・アプリ障害切り分け方式の設計</v>
      </c>
      <c r="M46" s="202">
        <v>46251.0</v>
      </c>
      <c r="N46" s="202">
        <v>46255.0</v>
      </c>
      <c r="O46" s="170" t="s">
        <v>130</v>
      </c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</row>
    <row r="47" ht="36.0" customHeight="1">
      <c r="A47" s="200" t="s">
        <v>157</v>
      </c>
      <c r="B47" s="200" t="s">
        <v>438</v>
      </c>
      <c r="C47" s="200" t="s">
        <v>464</v>
      </c>
      <c r="D47" s="177" t="str">
        <f t="shared" si="2"/>
        <v/>
      </c>
      <c r="E47" s="201" t="str">
        <f t="array" ref="E47">IF(B47="","",IF(B47&lt;&gt;B46,SUMPRODUCT(($B$5:B47&lt;&gt;$B$4:B46)*($B$5:B47&lt;&gt;"")),""))</f>
        <v/>
      </c>
      <c r="F47" s="201" t="str">
        <f t="shared" si="3"/>
        <v/>
      </c>
      <c r="G47" s="201">
        <f t="shared" si="4"/>
        <v>7</v>
      </c>
      <c r="H47" s="177" t="str">
        <f t="shared" si="5"/>
        <v>ネットワーク接続設計書の作成・レビュー</v>
      </c>
      <c r="I47" s="200" t="s">
        <v>143</v>
      </c>
      <c r="J47" s="200"/>
      <c r="K47" s="200"/>
      <c r="L47" s="178" t="str">
        <f t="shared" si="6"/>
        <v>【Salesforceデータ連携（1販社先行検証）】7-7_ネットワーク設計_ネットワーク接続設計書の作成・レビュー</v>
      </c>
      <c r="M47" s="202">
        <v>46251.0</v>
      </c>
      <c r="N47" s="202">
        <v>46255.0</v>
      </c>
      <c r="O47" s="170" t="s">
        <v>130</v>
      </c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</row>
    <row r="48" ht="39.75" customHeight="1">
      <c r="A48" s="197" t="s">
        <v>157</v>
      </c>
      <c r="B48" s="197" t="s">
        <v>467</v>
      </c>
      <c r="C48" s="197" t="s">
        <v>468</v>
      </c>
      <c r="D48" s="197" t="str">
        <f t="shared" si="2"/>
        <v/>
      </c>
      <c r="E48" s="198">
        <f t="array" ref="E48">IF(B48="","",IF(B48&lt;&gt;B47,SUMPRODUCT(($B$5:B48&lt;&gt;$B$4:B47)*($B$5:B48&lt;&gt;"")),""))</f>
        <v>8</v>
      </c>
      <c r="F48" s="198" t="str">
        <f t="shared" si="3"/>
        <v>データ連携・IF設計</v>
      </c>
      <c r="G48" s="198">
        <f t="shared" si="4"/>
        <v>1</v>
      </c>
      <c r="H48" s="167" t="str">
        <f t="shared" si="5"/>
        <v>Objectごとの取得方式・Load Typeの設計</v>
      </c>
      <c r="I48" s="197"/>
      <c r="J48" s="197"/>
      <c r="K48" s="197"/>
      <c r="L48" s="168" t="str">
        <f t="shared" si="6"/>
        <v>【Salesforceデータ連携（1販社先行検証）】8-1_データ連携・IF設計_Objectごとの取得方式・Load Typeの設計</v>
      </c>
      <c r="M48" s="199">
        <v>46251.0</v>
      </c>
      <c r="N48" s="199">
        <v>46260.0</v>
      </c>
      <c r="O48" s="170" t="s">
        <v>130</v>
      </c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</row>
    <row r="49" ht="36.0" customHeight="1">
      <c r="A49" s="200" t="s">
        <v>157</v>
      </c>
      <c r="B49" s="200" t="s">
        <v>467</v>
      </c>
      <c r="C49" s="200" t="s">
        <v>473</v>
      </c>
      <c r="D49" s="177" t="str">
        <f t="shared" si="2"/>
        <v/>
      </c>
      <c r="E49" s="201" t="str">
        <f t="array" ref="E49">IF(B49="","",IF(B49&lt;&gt;B48,SUMPRODUCT(($B$5:B49&lt;&gt;$B$4:B48)*($B$5:B49&lt;&gt;"")),""))</f>
        <v/>
      </c>
      <c r="F49" s="201" t="str">
        <f t="shared" si="3"/>
        <v/>
      </c>
      <c r="G49" s="201">
        <f t="shared" si="4"/>
        <v>2</v>
      </c>
      <c r="H49" s="177" t="str">
        <f t="shared" si="5"/>
        <v>Salesforce API制約を考慮した取得方式の設計</v>
      </c>
      <c r="I49" s="200"/>
      <c r="J49" s="200"/>
      <c r="K49" s="200"/>
      <c r="L49" s="178" t="str">
        <f t="shared" si="6"/>
        <v>【Salesforceデータ連携（1販社先行検証）】8-2_データ連携・IF設計_Salesforce API制約を考慮した取得方式の設計</v>
      </c>
      <c r="M49" s="202">
        <v>46251.0</v>
      </c>
      <c r="N49" s="202">
        <v>46260.0</v>
      </c>
      <c r="O49" s="170" t="s">
        <v>130</v>
      </c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</row>
    <row r="50" ht="36.0" customHeight="1">
      <c r="A50" s="200" t="s">
        <v>157</v>
      </c>
      <c r="B50" s="200" t="s">
        <v>467</v>
      </c>
      <c r="C50" s="200" t="s">
        <v>477</v>
      </c>
      <c r="D50" s="177" t="str">
        <f t="shared" si="2"/>
        <v/>
      </c>
      <c r="E50" s="201" t="str">
        <f t="array" ref="E50">IF(B50="","",IF(B50&lt;&gt;B49,SUMPRODUCT(($B$5:B50&lt;&gt;$B$4:B49)*($B$5:B50&lt;&gt;"")),""))</f>
        <v/>
      </c>
      <c r="F50" s="201" t="str">
        <f t="shared" si="3"/>
        <v/>
      </c>
      <c r="G50" s="201">
        <f t="shared" si="4"/>
        <v>3</v>
      </c>
      <c r="H50" s="177" t="str">
        <f t="shared" si="5"/>
        <v>冪等性・重複排除方式の設計</v>
      </c>
      <c r="I50" s="200"/>
      <c r="J50" s="200"/>
      <c r="K50" s="200"/>
      <c r="L50" s="178" t="str">
        <f t="shared" si="6"/>
        <v>【Salesforceデータ連携（1販社先行検証）】8-3_データ連携・IF設計_冪等性・重複排除方式の設計</v>
      </c>
      <c r="M50" s="202">
        <v>46251.0</v>
      </c>
      <c r="N50" s="202">
        <v>46260.0</v>
      </c>
      <c r="O50" s="170" t="s">
        <v>130</v>
      </c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</row>
    <row r="51" ht="36.0" customHeight="1">
      <c r="A51" s="200" t="s">
        <v>157</v>
      </c>
      <c r="B51" s="200" t="s">
        <v>467</v>
      </c>
      <c r="C51" s="200" t="s">
        <v>481</v>
      </c>
      <c r="D51" s="177" t="str">
        <f t="shared" si="2"/>
        <v/>
      </c>
      <c r="E51" s="201" t="str">
        <f t="array" ref="E51">IF(B51="","",IF(B51&lt;&gt;B50,SUMPRODUCT(($B$5:B51&lt;&gt;$B$4:B50)*($B$5:B51&lt;&gt;"")),""))</f>
        <v/>
      </c>
      <c r="F51" s="201" t="str">
        <f t="shared" si="3"/>
        <v/>
      </c>
      <c r="G51" s="201">
        <f t="shared" si="4"/>
        <v>4</v>
      </c>
      <c r="H51" s="177" t="str">
        <f t="shared" si="5"/>
        <v>データマッピング設計</v>
      </c>
      <c r="I51" s="200"/>
      <c r="J51" s="200"/>
      <c r="K51" s="200"/>
      <c r="L51" s="178" t="str">
        <f t="shared" si="6"/>
        <v>【Salesforceデータ連携（1販社先行検証）】8-4_データ連携・IF設計_データマッピング設計</v>
      </c>
      <c r="M51" s="202">
        <v>46251.0</v>
      </c>
      <c r="N51" s="202">
        <v>46260.0</v>
      </c>
      <c r="O51" s="170" t="s">
        <v>130</v>
      </c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</row>
    <row r="52" ht="36.0" customHeight="1">
      <c r="A52" s="200" t="s">
        <v>157</v>
      </c>
      <c r="B52" s="200" t="s">
        <v>467</v>
      </c>
      <c r="C52" s="200" t="s">
        <v>486</v>
      </c>
      <c r="D52" s="177" t="str">
        <f t="shared" si="2"/>
        <v/>
      </c>
      <c r="E52" s="201" t="str">
        <f t="array" ref="E52">IF(B52="","",IF(B52&lt;&gt;B51,SUMPRODUCT(($B$5:B52&lt;&gt;$B$4:B51)*($B$5:B52&lt;&gt;"")),""))</f>
        <v/>
      </c>
      <c r="F52" s="201" t="str">
        <f t="shared" si="3"/>
        <v/>
      </c>
      <c r="G52" s="201">
        <f t="shared" si="4"/>
        <v>5</v>
      </c>
      <c r="H52" s="177" t="str">
        <f t="shared" si="5"/>
        <v>データ変換ルールの設計</v>
      </c>
      <c r="I52" s="200"/>
      <c r="J52" s="200"/>
      <c r="K52" s="200"/>
      <c r="L52" s="178" t="str">
        <f t="shared" si="6"/>
        <v>【Salesforceデータ連携（1販社先行検証）】8-5_データ連携・IF設計_データ変換ルールの設計</v>
      </c>
      <c r="M52" s="202">
        <v>46251.0</v>
      </c>
      <c r="N52" s="202">
        <v>46260.0</v>
      </c>
      <c r="O52" s="170" t="s">
        <v>130</v>
      </c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</row>
    <row r="53" ht="36.0" customHeight="1">
      <c r="A53" s="200" t="s">
        <v>157</v>
      </c>
      <c r="B53" s="200" t="s">
        <v>467</v>
      </c>
      <c r="C53" s="200" t="s">
        <v>490</v>
      </c>
      <c r="D53" s="177" t="str">
        <f t="shared" si="2"/>
        <v/>
      </c>
      <c r="E53" s="201" t="str">
        <f t="array" ref="E53">IF(B53="","",IF(B53&lt;&gt;B52,SUMPRODUCT(($B$5:B53&lt;&gt;$B$4:B52)*($B$5:B53&lt;&gt;"")),""))</f>
        <v/>
      </c>
      <c r="F53" s="201" t="str">
        <f t="shared" si="3"/>
        <v/>
      </c>
      <c r="G53" s="201">
        <f t="shared" si="4"/>
        <v>6</v>
      </c>
      <c r="H53" s="177" t="str">
        <f t="shared" si="5"/>
        <v>インターフェース設計書の作成・レビュー</v>
      </c>
      <c r="I53" s="200"/>
      <c r="J53" s="200"/>
      <c r="K53" s="200"/>
      <c r="L53" s="178" t="str">
        <f t="shared" si="6"/>
        <v>【Salesforceデータ連携（1販社先行検証）】8-6_データ連携・IF設計_インターフェース設計書の作成・レビュー</v>
      </c>
      <c r="M53" s="202">
        <v>46258.0</v>
      </c>
      <c r="N53" s="202">
        <v>46262.0</v>
      </c>
      <c r="O53" s="170" t="s">
        <v>130</v>
      </c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</row>
    <row r="54" ht="36.0" customHeight="1">
      <c r="A54" s="200" t="s">
        <v>157</v>
      </c>
      <c r="B54" s="200" t="s">
        <v>467</v>
      </c>
      <c r="C54" s="200" t="s">
        <v>493</v>
      </c>
      <c r="D54" s="177" t="str">
        <f t="shared" si="2"/>
        <v/>
      </c>
      <c r="E54" s="201" t="str">
        <f t="array" ref="E54">IF(B54="","",IF(B54&lt;&gt;B53,SUMPRODUCT(($B$5:B54&lt;&gt;$B$4:B53)*($B$5:B54&lt;&gt;"")),""))</f>
        <v/>
      </c>
      <c r="F54" s="201" t="str">
        <f t="shared" si="3"/>
        <v/>
      </c>
      <c r="G54" s="201">
        <f t="shared" si="4"/>
        <v>7</v>
      </c>
      <c r="H54" s="177" t="str">
        <f t="shared" si="5"/>
        <v>データマッピング設計書の作成・レビュー</v>
      </c>
      <c r="I54" s="200"/>
      <c r="J54" s="200"/>
      <c r="K54" s="200"/>
      <c r="L54" s="178" t="str">
        <f t="shared" si="6"/>
        <v>【Salesforceデータ連携（1販社先行検証）】8-7_データ連携・IF設計_データマッピング設計書の作成・レビュー</v>
      </c>
      <c r="M54" s="202">
        <v>46258.0</v>
      </c>
      <c r="N54" s="202">
        <v>46262.0</v>
      </c>
      <c r="O54" s="170" t="s">
        <v>130</v>
      </c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</row>
    <row r="55" ht="39.75" customHeight="1">
      <c r="A55" s="197" t="s">
        <v>157</v>
      </c>
      <c r="B55" s="197" t="s">
        <v>496</v>
      </c>
      <c r="C55" s="197" t="s">
        <v>497</v>
      </c>
      <c r="D55" s="197" t="str">
        <f t="shared" si="2"/>
        <v/>
      </c>
      <c r="E55" s="198">
        <f t="array" ref="E55">IF(B55="","",IF(B55&lt;&gt;B54,SUMPRODUCT(($B$5:B55&lt;&gt;$B$4:B54)*($B$5:B55&lt;&gt;"")),""))</f>
        <v>9</v>
      </c>
      <c r="F55" s="198" t="str">
        <f t="shared" si="3"/>
        <v>データ保存・テーブル設計</v>
      </c>
      <c r="G55" s="198">
        <f t="shared" si="4"/>
        <v>1</v>
      </c>
      <c r="H55" s="167" t="str">
        <f t="shared" si="5"/>
        <v>Salesforceデータと保存先項目の対応設計</v>
      </c>
      <c r="I55" s="197"/>
      <c r="J55" s="197"/>
      <c r="K55" s="197"/>
      <c r="L55" s="168" t="str">
        <f t="shared" si="6"/>
        <v>【Salesforceデータ連携（1販社先行検証）】9-1_データ保存・テーブル設計_Salesforceデータと保存先項目の対応設計</v>
      </c>
      <c r="M55" s="199">
        <v>46251.0</v>
      </c>
      <c r="N55" s="199">
        <v>46262.0</v>
      </c>
      <c r="O55" s="170" t="s">
        <v>130</v>
      </c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</row>
    <row r="56" ht="36.0" customHeight="1">
      <c r="A56" s="200" t="s">
        <v>157</v>
      </c>
      <c r="B56" s="200" t="s">
        <v>496</v>
      </c>
      <c r="C56" s="200" t="s">
        <v>501</v>
      </c>
      <c r="D56" s="177" t="str">
        <f t="shared" si="2"/>
        <v/>
      </c>
      <c r="E56" s="201" t="str">
        <f t="array" ref="E56">IF(B56="","",IF(B56&lt;&gt;B55,SUMPRODUCT(($B$5:B56&lt;&gt;$B$4:B55)*($B$5:B56&lt;&gt;"")),""))</f>
        <v/>
      </c>
      <c r="F56" s="201" t="str">
        <f t="shared" si="3"/>
        <v/>
      </c>
      <c r="G56" s="201">
        <f t="shared" si="4"/>
        <v>2</v>
      </c>
      <c r="H56" s="177" t="str">
        <f t="shared" si="5"/>
        <v>販社識別子・レコードキーの設計</v>
      </c>
      <c r="I56" s="200"/>
      <c r="J56" s="200"/>
      <c r="K56" s="200"/>
      <c r="L56" s="178" t="str">
        <f t="shared" si="6"/>
        <v>【Salesforceデータ連携（1販社先行検証）】9-2_データ保存・テーブル設計_販社識別子・レコードキーの設計</v>
      </c>
      <c r="M56" s="202">
        <v>46251.0</v>
      </c>
      <c r="N56" s="202">
        <v>46262.0</v>
      </c>
      <c r="O56" s="170" t="s">
        <v>130</v>
      </c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</row>
    <row r="57" ht="36.0" customHeight="1">
      <c r="A57" s="200" t="s">
        <v>157</v>
      </c>
      <c r="B57" s="200" t="s">
        <v>496</v>
      </c>
      <c r="C57" s="200" t="s">
        <v>506</v>
      </c>
      <c r="D57" s="177" t="str">
        <f t="shared" si="2"/>
        <v/>
      </c>
      <c r="E57" s="201" t="str">
        <f t="array" ref="E57">IF(B57="","",IF(B57&lt;&gt;B56,SUMPRODUCT(($B$5:B57&lt;&gt;$B$4:B56)*($B$5:B57&lt;&gt;"")),""))</f>
        <v/>
      </c>
      <c r="F57" s="201" t="str">
        <f t="shared" si="3"/>
        <v/>
      </c>
      <c r="G57" s="201">
        <f t="shared" si="4"/>
        <v>3</v>
      </c>
      <c r="H57" s="177" t="str">
        <f t="shared" si="5"/>
        <v>保存先テーブル定義書の作成・レビュー</v>
      </c>
      <c r="I57" s="200"/>
      <c r="J57" s="200"/>
      <c r="K57" s="200"/>
      <c r="L57" s="178" t="str">
        <f t="shared" si="6"/>
        <v>【Salesforceデータ連携（1販社先行検証）】9-3_データ保存・テーブル設計_保存先テーブル定義書の作成・レビュー</v>
      </c>
      <c r="M57" s="202">
        <v>46251.0</v>
      </c>
      <c r="N57" s="202">
        <v>46262.0</v>
      </c>
      <c r="O57" s="170" t="s">
        <v>130</v>
      </c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</row>
    <row r="58" ht="39.75" customHeight="1">
      <c r="A58" s="197" t="s">
        <v>157</v>
      </c>
      <c r="B58" s="197" t="s">
        <v>510</v>
      </c>
      <c r="C58" s="197" t="s">
        <v>511</v>
      </c>
      <c r="D58" s="197" t="str">
        <f t="shared" si="2"/>
        <v/>
      </c>
      <c r="E58" s="198">
        <f t="array" ref="E58">IF(B58="","",IF(B58&lt;&gt;B57,SUMPRODUCT(($B$5:B58&lt;&gt;$B$4:B57)*($B$5:B58&lt;&gt;"")),""))</f>
        <v>10</v>
      </c>
      <c r="F58" s="198" t="str">
        <f t="shared" si="3"/>
        <v>Salesforce接続設定</v>
      </c>
      <c r="G58" s="198">
        <f t="shared" si="4"/>
        <v>1</v>
      </c>
      <c r="H58" s="167" t="str">
        <f t="shared" si="5"/>
        <v>Salesforce接続Credential・権限設定</v>
      </c>
      <c r="I58" s="197"/>
      <c r="J58" s="197"/>
      <c r="K58" s="197"/>
      <c r="L58" s="168" t="str">
        <f t="shared" si="6"/>
        <v>【Salesforceデータ連携（1販社先行検証）】10-1_Salesforce接続設定_Salesforce接続Credential・権限設定</v>
      </c>
      <c r="M58" s="199">
        <v>46251.0</v>
      </c>
      <c r="N58" s="199">
        <v>46255.0</v>
      </c>
      <c r="O58" s="170" t="s">
        <v>130</v>
      </c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</row>
    <row r="59" ht="36.0" customHeight="1">
      <c r="A59" s="200" t="s">
        <v>157</v>
      </c>
      <c r="B59" s="200" t="s">
        <v>510</v>
      </c>
      <c r="C59" s="200" t="s">
        <v>516</v>
      </c>
      <c r="D59" s="177" t="str">
        <f t="shared" si="2"/>
        <v/>
      </c>
      <c r="E59" s="201" t="str">
        <f t="array" ref="E59">IF(B59="","",IF(B59&lt;&gt;B58,SUMPRODUCT(($B$5:B59&lt;&gt;$B$4:B58)*($B$5:B59&lt;&gt;"")),""))</f>
        <v/>
      </c>
      <c r="F59" s="201" t="str">
        <f t="shared" si="3"/>
        <v/>
      </c>
      <c r="G59" s="201">
        <f t="shared" si="4"/>
        <v>2</v>
      </c>
      <c r="H59" s="177" t="str">
        <f t="shared" si="5"/>
        <v>NiFi for Salesforce接続設定</v>
      </c>
      <c r="I59" s="200"/>
      <c r="J59" s="200"/>
      <c r="K59" s="200"/>
      <c r="L59" s="178" t="str">
        <f t="shared" si="6"/>
        <v>【Salesforceデータ連携（1販社先行検証）】10-2_Salesforce接続設定_NiFi for Salesforce接続設定</v>
      </c>
      <c r="M59" s="202">
        <v>46251.0</v>
      </c>
      <c r="N59" s="202">
        <v>46255.0</v>
      </c>
      <c r="O59" s="170" t="s">
        <v>130</v>
      </c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</row>
    <row r="60" ht="36.0" customHeight="1">
      <c r="A60" s="200" t="s">
        <v>157</v>
      </c>
      <c r="B60" s="200" t="s">
        <v>510</v>
      </c>
      <c r="C60" s="200" t="s">
        <v>521</v>
      </c>
      <c r="D60" s="177" t="str">
        <f t="shared" si="2"/>
        <v/>
      </c>
      <c r="E60" s="201" t="str">
        <f t="array" ref="E60">IF(B60="","",IF(B60&lt;&gt;B59,SUMPRODUCT(($B$5:B60&lt;&gt;$B$4:B59)*($B$5:B60&lt;&gt;"")),""))</f>
        <v/>
      </c>
      <c r="F60" s="201" t="str">
        <f t="shared" si="3"/>
        <v/>
      </c>
      <c r="G60" s="201">
        <f t="shared" si="4"/>
        <v>3</v>
      </c>
      <c r="H60" s="177" t="str">
        <f t="shared" si="5"/>
        <v>対象Objectアクセス・サンプル取得確認</v>
      </c>
      <c r="I60" s="200"/>
      <c r="J60" s="200"/>
      <c r="K60" s="200"/>
      <c r="L60" s="178" t="str">
        <f t="shared" si="6"/>
        <v>【Salesforceデータ連携（1販社先行検証）】10-3_Salesforce接続設定_対象Objectアクセス・サンプル取得確認</v>
      </c>
      <c r="M60" s="202">
        <v>46251.0</v>
      </c>
      <c r="N60" s="202">
        <v>46255.0</v>
      </c>
      <c r="O60" s="170" t="s">
        <v>130</v>
      </c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</row>
    <row r="61" ht="36.0" customHeight="1">
      <c r="A61" s="200" t="s">
        <v>157</v>
      </c>
      <c r="B61" s="200" t="s">
        <v>510</v>
      </c>
      <c r="C61" s="200" t="s">
        <v>525</v>
      </c>
      <c r="D61" s="177" t="str">
        <f t="shared" si="2"/>
        <v/>
      </c>
      <c r="E61" s="201" t="str">
        <f t="array" ref="E61">IF(B61="","",IF(B61&lt;&gt;B60,SUMPRODUCT(($B$5:B61&lt;&gt;$B$4:B60)*($B$5:B61&lt;&gt;"")),""))</f>
        <v/>
      </c>
      <c r="F61" s="201" t="str">
        <f t="shared" si="3"/>
        <v/>
      </c>
      <c r="G61" s="201">
        <f t="shared" si="4"/>
        <v>4</v>
      </c>
      <c r="H61" s="177" t="str">
        <f t="shared" si="5"/>
        <v>API接続・基本エラー動作確認</v>
      </c>
      <c r="I61" s="200"/>
      <c r="J61" s="200"/>
      <c r="K61" s="200"/>
      <c r="L61" s="178" t="str">
        <f t="shared" si="6"/>
        <v>【Salesforceデータ連携（1販社先行検証）】10-4_Salesforce接続設定_API接続・基本エラー動作確認</v>
      </c>
      <c r="M61" s="202">
        <v>46251.0</v>
      </c>
      <c r="N61" s="202">
        <v>46255.0</v>
      </c>
      <c r="O61" s="170" t="s">
        <v>130</v>
      </c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</row>
    <row r="62" ht="39.75" customHeight="1">
      <c r="A62" s="197" t="s">
        <v>157</v>
      </c>
      <c r="B62" s="197" t="s">
        <v>530</v>
      </c>
      <c r="C62" s="197" t="s">
        <v>531</v>
      </c>
      <c r="D62" s="197" t="str">
        <f t="shared" si="2"/>
        <v/>
      </c>
      <c r="E62" s="198">
        <f t="array" ref="E62">IF(B62="","",IF(B62&lt;&gt;B61,SUMPRODUCT(($B$5:B62&lt;&gt;$B$4:B61)*($B$5:B62&lt;&gt;"")),""))</f>
        <v>11</v>
      </c>
      <c r="F62" s="198" t="str">
        <f t="shared" si="3"/>
        <v>データ取得・保存開発</v>
      </c>
      <c r="G62" s="198">
        <f t="shared" si="4"/>
        <v>1</v>
      </c>
      <c r="H62" s="167" t="str">
        <f t="shared" si="5"/>
        <v>NiFi共通データ取得フローの設計・実装</v>
      </c>
      <c r="I62" s="197"/>
      <c r="J62" s="197"/>
      <c r="K62" s="197"/>
      <c r="L62" s="168" t="str">
        <f t="shared" si="6"/>
        <v>【Salesforceデータ連携（1販社先行検証）】11-1_データ取得・保存開発_NiFi共通データ取得フローの設計・実装</v>
      </c>
      <c r="M62" s="199">
        <v>46258.0</v>
      </c>
      <c r="N62" s="199">
        <v>46267.0</v>
      </c>
      <c r="O62" s="170" t="s">
        <v>130</v>
      </c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</row>
    <row r="63" ht="36.0" customHeight="1">
      <c r="A63" s="200" t="s">
        <v>157</v>
      </c>
      <c r="B63" s="200" t="s">
        <v>530</v>
      </c>
      <c r="C63" s="200" t="s">
        <v>535</v>
      </c>
      <c r="D63" s="177" t="str">
        <f t="shared" si="2"/>
        <v/>
      </c>
      <c r="E63" s="201" t="str">
        <f t="array" ref="E63">IF(B63="","",IF(B63&lt;&gt;B62,SUMPRODUCT(($B$5:B63&lt;&gt;$B$4:B62)*($B$5:B63&lt;&gt;"")),""))</f>
        <v/>
      </c>
      <c r="F63" s="201" t="str">
        <f t="shared" si="3"/>
        <v/>
      </c>
      <c r="G63" s="201">
        <f t="shared" si="4"/>
        <v>2</v>
      </c>
      <c r="H63" s="177" t="str">
        <f t="shared" si="5"/>
        <v>NiFiデータ保存フローの設計・実装</v>
      </c>
      <c r="I63" s="200"/>
      <c r="J63" s="200"/>
      <c r="K63" s="200"/>
      <c r="L63" s="178" t="str">
        <f t="shared" si="6"/>
        <v>【Salesforceデータ連携（1販社先行検証）】11-2_データ取得・保存開発_NiFiデータ保存フローの設計・実装</v>
      </c>
      <c r="M63" s="202">
        <v>46258.0</v>
      </c>
      <c r="N63" s="202">
        <v>46267.0</v>
      </c>
      <c r="O63" s="170" t="s">
        <v>130</v>
      </c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</row>
    <row r="64" ht="36.0" customHeight="1">
      <c r="A64" s="200" t="s">
        <v>157</v>
      </c>
      <c r="B64" s="200" t="s">
        <v>530</v>
      </c>
      <c r="C64" s="200" t="s">
        <v>539</v>
      </c>
      <c r="D64" s="177" t="str">
        <f t="shared" si="2"/>
        <v/>
      </c>
      <c r="E64" s="201" t="str">
        <f t="array" ref="E64">IF(B64="","",IF(B64&lt;&gt;B63,SUMPRODUCT(($B$5:B64&lt;&gt;$B$4:B63)*($B$5:B64&lt;&gt;"")),""))</f>
        <v/>
      </c>
      <c r="F64" s="201" t="str">
        <f t="shared" si="3"/>
        <v/>
      </c>
      <c r="G64" s="201">
        <f t="shared" si="4"/>
        <v>3</v>
      </c>
      <c r="H64" s="177" t="str">
        <f t="shared" si="5"/>
        <v>技術メタデータ付与処理の実装</v>
      </c>
      <c r="I64" s="200"/>
      <c r="J64" s="200"/>
      <c r="K64" s="200"/>
      <c r="L64" s="178" t="str">
        <f t="shared" si="6"/>
        <v>【Salesforceデータ連携（1販社先行検証）】11-3_データ取得・保存開発_技術メタデータ付与処理の実装</v>
      </c>
      <c r="M64" s="202">
        <v>46258.0</v>
      </c>
      <c r="N64" s="202">
        <v>46267.0</v>
      </c>
      <c r="O64" s="170" t="s">
        <v>130</v>
      </c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</row>
    <row r="65" ht="36.0" customHeight="1">
      <c r="A65" s="200" t="s">
        <v>157</v>
      </c>
      <c r="B65" s="200" t="s">
        <v>530</v>
      </c>
      <c r="C65" s="200" t="s">
        <v>543</v>
      </c>
      <c r="D65" s="177" t="str">
        <f t="shared" si="2"/>
        <v/>
      </c>
      <c r="E65" s="201" t="str">
        <f t="array" ref="E65">IF(B65="","",IF(B65&lt;&gt;B64,SUMPRODUCT(($B$5:B65&lt;&gt;$B$4:B64)*($B$5:B65&lt;&gt;"")),""))</f>
        <v/>
      </c>
      <c r="F65" s="201" t="str">
        <f t="shared" si="3"/>
        <v/>
      </c>
      <c r="G65" s="201">
        <f t="shared" si="4"/>
        <v>4</v>
      </c>
      <c r="H65" s="177" t="str">
        <f t="shared" si="5"/>
        <v>成功・失敗ステータス管理の実装</v>
      </c>
      <c r="I65" s="200"/>
      <c r="J65" s="200"/>
      <c r="K65" s="200"/>
      <c r="L65" s="178" t="str">
        <f t="shared" si="6"/>
        <v>【Salesforceデータ連携（1販社先行検証）】11-4_データ取得・保存開発_成功・失敗ステータス管理の実装</v>
      </c>
      <c r="M65" s="202">
        <v>46258.0</v>
      </c>
      <c r="N65" s="202">
        <v>46267.0</v>
      </c>
      <c r="O65" s="170" t="s">
        <v>130</v>
      </c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</row>
    <row r="66" ht="36.0" customHeight="1">
      <c r="A66" s="200" t="s">
        <v>157</v>
      </c>
      <c r="B66" s="200" t="s">
        <v>530</v>
      </c>
      <c r="C66" s="200" t="s">
        <v>547</v>
      </c>
      <c r="D66" s="177" t="str">
        <f t="shared" si="2"/>
        <v/>
      </c>
      <c r="E66" s="201" t="str">
        <f t="array" ref="E66">IF(B66="","",IF(B66&lt;&gt;B65,SUMPRODUCT(($B$5:B66&lt;&gt;$B$4:B65)*($B$5:B66&lt;&gt;"")),""))</f>
        <v/>
      </c>
      <c r="F66" s="201" t="str">
        <f t="shared" si="3"/>
        <v/>
      </c>
      <c r="G66" s="201">
        <f t="shared" si="4"/>
        <v>5</v>
      </c>
      <c r="H66" s="177" t="str">
        <f t="shared" si="5"/>
        <v>Retry・再実行・重複防止処理の実装</v>
      </c>
      <c r="I66" s="200"/>
      <c r="J66" s="200"/>
      <c r="K66" s="200"/>
      <c r="L66" s="178" t="str">
        <f t="shared" si="6"/>
        <v>【Salesforceデータ連携（1販社先行検証）】11-5_データ取得・保存開発_Retry・再実行・重複防止処理の実装</v>
      </c>
      <c r="M66" s="202">
        <v>46258.0</v>
      </c>
      <c r="N66" s="202">
        <v>46267.0</v>
      </c>
      <c r="O66" s="170" t="s">
        <v>130</v>
      </c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</row>
    <row r="67" ht="36.0" customHeight="1">
      <c r="A67" s="200" t="s">
        <v>157</v>
      </c>
      <c r="B67" s="200" t="s">
        <v>530</v>
      </c>
      <c r="C67" s="200" t="s">
        <v>551</v>
      </c>
      <c r="D67" s="177" t="str">
        <f t="shared" si="2"/>
        <v/>
      </c>
      <c r="E67" s="201" t="str">
        <f t="array" ref="E67">IF(B67="","",IF(B67&lt;&gt;B66,SUMPRODUCT(($B$5:B67&lt;&gt;$B$4:B66)*($B$5:B67&lt;&gt;"")),""))</f>
        <v/>
      </c>
      <c r="F67" s="201" t="str">
        <f t="shared" si="3"/>
        <v/>
      </c>
      <c r="G67" s="201">
        <f t="shared" si="4"/>
        <v>6</v>
      </c>
      <c r="H67" s="177" t="str">
        <f t="shared" si="5"/>
        <v>先行検証に必要な設定の外部化</v>
      </c>
      <c r="I67" s="200"/>
      <c r="J67" s="200"/>
      <c r="K67" s="200"/>
      <c r="L67" s="178" t="str">
        <f t="shared" si="6"/>
        <v>【Salesforceデータ連携（1販社先行検証）】11-6_データ取得・保存開発_先行検証に必要な設定の外部化</v>
      </c>
      <c r="M67" s="202">
        <v>46265.0</v>
      </c>
      <c r="N67" s="202">
        <v>46269.0</v>
      </c>
      <c r="O67" s="170" t="s">
        <v>130</v>
      </c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</row>
    <row r="68" ht="36.0" customHeight="1">
      <c r="A68" s="200" t="s">
        <v>157</v>
      </c>
      <c r="B68" s="200" t="s">
        <v>530</v>
      </c>
      <c r="C68" s="200" t="s">
        <v>556</v>
      </c>
      <c r="D68" s="177" t="str">
        <f t="shared" si="2"/>
        <v/>
      </c>
      <c r="E68" s="201" t="str">
        <f t="array" ref="E68">IF(B68="","",IF(B68&lt;&gt;B67,SUMPRODUCT(($B$5:B68&lt;&gt;$B$4:B67)*($B$5:B68&lt;&gt;"")),""))</f>
        <v/>
      </c>
      <c r="F68" s="201" t="str">
        <f t="shared" si="3"/>
        <v/>
      </c>
      <c r="G68" s="201">
        <f t="shared" si="4"/>
        <v>7</v>
      </c>
      <c r="H68" s="177" t="str">
        <f t="shared" si="5"/>
        <v>先行1販社のデータ取得・CDP保存設定</v>
      </c>
      <c r="I68" s="200"/>
      <c r="J68" s="200"/>
      <c r="K68" s="200"/>
      <c r="L68" s="178" t="str">
        <f t="shared" si="6"/>
        <v>【Salesforceデータ連携（1販社先行検証）】11-7_データ取得・保存開発_先行1販社のデータ取得・CDP保存設定</v>
      </c>
      <c r="M68" s="202">
        <v>46265.0</v>
      </c>
      <c r="N68" s="202">
        <v>46269.0</v>
      </c>
      <c r="O68" s="170" t="s">
        <v>130</v>
      </c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</row>
    <row r="69" ht="36.0" customHeight="1">
      <c r="A69" s="200" t="s">
        <v>157</v>
      </c>
      <c r="B69" s="200" t="s">
        <v>530</v>
      </c>
      <c r="C69" s="200" t="s">
        <v>562</v>
      </c>
      <c r="D69" s="177" t="str">
        <f t="shared" si="2"/>
        <v/>
      </c>
      <c r="E69" s="201" t="str">
        <f t="array" ref="E69">IF(B69="","",IF(B69&lt;&gt;B68,SUMPRODUCT(($B$5:B69&lt;&gt;$B$4:B68)*($B$5:B69&lt;&gt;"")),""))</f>
        <v/>
      </c>
      <c r="F69" s="201" t="str">
        <f t="shared" si="3"/>
        <v/>
      </c>
      <c r="G69" s="201">
        <f t="shared" si="4"/>
        <v>8</v>
      </c>
      <c r="H69" s="177" t="str">
        <f t="shared" si="5"/>
        <v>2販社目のデータ取得・保存設定（先行検証後）</v>
      </c>
      <c r="I69" s="200"/>
      <c r="J69" s="200"/>
      <c r="K69" s="200"/>
      <c r="L69" s="178" t="str">
        <f t="shared" si="6"/>
        <v>【Salesforceデータ連携（1販社先行検証）】11-8_データ取得・保存開発_2販社目のデータ取得・保存設定（先行検証後）</v>
      </c>
      <c r="M69" s="202"/>
      <c r="N69" s="202"/>
      <c r="O69" s="170" t="s">
        <v>130</v>
      </c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</row>
    <row r="70" ht="39.75" customHeight="1">
      <c r="A70" s="197" t="s">
        <v>157</v>
      </c>
      <c r="B70" s="197" t="s">
        <v>569</v>
      </c>
      <c r="C70" s="197" t="s">
        <v>570</v>
      </c>
      <c r="D70" s="197" t="str">
        <f t="shared" si="2"/>
        <v/>
      </c>
      <c r="E70" s="198">
        <f t="array" ref="E70">IF(B70="","",IF(B70&lt;&gt;B69,SUMPRODUCT(($B$5:B70&lt;&gt;$B$4:B69)*($B$5:B70&lt;&gt;"")),""))</f>
        <v>12</v>
      </c>
      <c r="F70" s="198" t="str">
        <f t="shared" si="3"/>
        <v>単体試験</v>
      </c>
      <c r="G70" s="198">
        <f t="shared" si="4"/>
        <v>1</v>
      </c>
      <c r="H70" s="167" t="str">
        <f t="shared" si="5"/>
        <v>単体テスト項目・期待値・合否基準の作成</v>
      </c>
      <c r="I70" s="197"/>
      <c r="J70" s="197"/>
      <c r="K70" s="197"/>
      <c r="L70" s="168" t="str">
        <f t="shared" si="6"/>
        <v>【Salesforceデータ連携（1販社先行検証）】12-1_単体試験_単体テスト項目・期待値・合否基準の作成</v>
      </c>
      <c r="M70" s="199">
        <v>46265.0</v>
      </c>
      <c r="N70" s="199">
        <v>46267.0</v>
      </c>
      <c r="O70" s="170" t="s">
        <v>130</v>
      </c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</row>
    <row r="71" ht="36.0" customHeight="1">
      <c r="A71" s="200" t="s">
        <v>157</v>
      </c>
      <c r="B71" s="200" t="s">
        <v>569</v>
      </c>
      <c r="C71" s="200" t="s">
        <v>574</v>
      </c>
      <c r="D71" s="177" t="str">
        <f t="shared" si="2"/>
        <v/>
      </c>
      <c r="E71" s="201" t="str">
        <f t="array" ref="E71">IF(B71="","",IF(B71&lt;&gt;B70,SUMPRODUCT(($B$5:B71&lt;&gt;$B$4:B70)*($B$5:B71&lt;&gt;"")),""))</f>
        <v/>
      </c>
      <c r="F71" s="201" t="str">
        <f t="shared" si="3"/>
        <v/>
      </c>
      <c r="G71" s="201">
        <f t="shared" si="4"/>
        <v>2</v>
      </c>
      <c r="H71" s="177" t="str">
        <f t="shared" si="5"/>
        <v>Salesforceデータ取得・再実行試験</v>
      </c>
      <c r="I71" s="200"/>
      <c r="J71" s="200"/>
      <c r="K71" s="200"/>
      <c r="L71" s="178" t="str">
        <f t="shared" si="6"/>
        <v>【Salesforceデータ連携（1販社先行検証）】12-2_単体試験_Salesforceデータ取得・再実行試験</v>
      </c>
      <c r="M71" s="202">
        <v>46268.0</v>
      </c>
      <c r="N71" s="202">
        <v>46275.0</v>
      </c>
      <c r="O71" s="170" t="s">
        <v>130</v>
      </c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</row>
    <row r="72" ht="36.0" customHeight="1">
      <c r="A72" s="200" t="s">
        <v>157</v>
      </c>
      <c r="B72" s="200" t="s">
        <v>569</v>
      </c>
      <c r="C72" s="200" t="s">
        <v>580</v>
      </c>
      <c r="D72" s="177" t="str">
        <f t="shared" si="2"/>
        <v/>
      </c>
      <c r="E72" s="201" t="str">
        <f t="array" ref="E72">IF(B72="","",IF(B72&lt;&gt;B71,SUMPRODUCT(($B$5:B72&lt;&gt;$B$4:B71)*($B$5:B72&lt;&gt;"")),""))</f>
        <v/>
      </c>
      <c r="F72" s="201" t="str">
        <f t="shared" si="3"/>
        <v/>
      </c>
      <c r="G72" s="201">
        <f t="shared" si="4"/>
        <v>3</v>
      </c>
      <c r="H72" s="177" t="str">
        <f t="shared" si="5"/>
        <v>データ保存・技術メタデータ試験</v>
      </c>
      <c r="I72" s="200"/>
      <c r="J72" s="200"/>
      <c r="K72" s="200"/>
      <c r="L72" s="178" t="str">
        <f t="shared" si="6"/>
        <v>【Salesforceデータ連携（1販社先行検証）】12-3_単体試験_データ保存・技術メタデータ試験</v>
      </c>
      <c r="M72" s="202">
        <v>46268.0</v>
      </c>
      <c r="N72" s="202">
        <v>46275.0</v>
      </c>
      <c r="O72" s="170" t="s">
        <v>130</v>
      </c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</row>
    <row r="73" ht="36.0" customHeight="1">
      <c r="A73" s="200" t="s">
        <v>157</v>
      </c>
      <c r="B73" s="200" t="s">
        <v>569</v>
      </c>
      <c r="C73" s="200" t="s">
        <v>584</v>
      </c>
      <c r="D73" s="177" t="str">
        <f t="shared" si="2"/>
        <v/>
      </c>
      <c r="E73" s="201" t="str">
        <f t="array" ref="E73">IF(B73="","",IF(B73&lt;&gt;B72,SUMPRODUCT(($B$5:B73&lt;&gt;$B$4:B72)*($B$5:B73&lt;&gt;"")),""))</f>
        <v/>
      </c>
      <c r="F73" s="201" t="str">
        <f t="shared" si="3"/>
        <v/>
      </c>
      <c r="G73" s="201">
        <f t="shared" si="4"/>
        <v>4</v>
      </c>
      <c r="H73" s="177" t="str">
        <f t="shared" si="5"/>
        <v>データ変換・NULL・重複・境界ケース試験</v>
      </c>
      <c r="I73" s="200"/>
      <c r="J73" s="200"/>
      <c r="K73" s="200"/>
      <c r="L73" s="178" t="str">
        <f t="shared" si="6"/>
        <v>【Salesforceデータ連携（1販社先行検証）】12-4_単体試験_データ変換・NULL・重複・境界ケース試験</v>
      </c>
      <c r="M73" s="202">
        <v>46268.0</v>
      </c>
      <c r="N73" s="202">
        <v>46275.0</v>
      </c>
      <c r="O73" s="170" t="s">
        <v>130</v>
      </c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</row>
    <row r="74" ht="36.0" customHeight="1">
      <c r="A74" s="200" t="s">
        <v>157</v>
      </c>
      <c r="B74" s="200" t="s">
        <v>569</v>
      </c>
      <c r="C74" s="200" t="s">
        <v>589</v>
      </c>
      <c r="D74" s="177" t="str">
        <f t="shared" si="2"/>
        <v/>
      </c>
      <c r="E74" s="201" t="str">
        <f t="array" ref="E74">IF(B74="","",IF(B74&lt;&gt;B73,SUMPRODUCT(($B$5:B74&lt;&gt;$B$4:B73)*($B$5:B74&lt;&gt;"")),""))</f>
        <v/>
      </c>
      <c r="F74" s="201" t="str">
        <f t="shared" si="3"/>
        <v/>
      </c>
      <c r="G74" s="201">
        <f t="shared" si="4"/>
        <v>5</v>
      </c>
      <c r="H74" s="177" t="str">
        <f t="shared" si="5"/>
        <v>データ件数・キー・主要項目確認</v>
      </c>
      <c r="I74" s="200"/>
      <c r="J74" s="200"/>
      <c r="K74" s="200"/>
      <c r="L74" s="178" t="str">
        <f t="shared" si="6"/>
        <v>【Salesforceデータ連携（1販社先行検証）】12-5_単体試験_データ件数・キー・主要項目確認</v>
      </c>
      <c r="M74" s="202">
        <v>46268.0</v>
      </c>
      <c r="N74" s="202">
        <v>46275.0</v>
      </c>
      <c r="O74" s="170" t="s">
        <v>130</v>
      </c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</row>
    <row r="75" ht="36.0" customHeight="1">
      <c r="A75" s="200" t="s">
        <v>157</v>
      </c>
      <c r="B75" s="200" t="s">
        <v>569</v>
      </c>
      <c r="C75" s="200" t="s">
        <v>593</v>
      </c>
      <c r="D75" s="177" t="str">
        <f t="shared" si="2"/>
        <v/>
      </c>
      <c r="E75" s="201" t="str">
        <f t="array" ref="E75">IF(B75="","",IF(B75&lt;&gt;B74,SUMPRODUCT(($B$5:B75&lt;&gt;$B$4:B74)*($B$5:B75&lt;&gt;"")),""))</f>
        <v/>
      </c>
      <c r="F75" s="201" t="str">
        <f t="shared" si="3"/>
        <v/>
      </c>
      <c r="G75" s="201">
        <f t="shared" si="4"/>
        <v>6</v>
      </c>
      <c r="H75" s="177" t="str">
        <f t="shared" si="5"/>
        <v>単体試験結果・Evidence・報告書の整理</v>
      </c>
      <c r="I75" s="200"/>
      <c r="J75" s="200"/>
      <c r="K75" s="200"/>
      <c r="L75" s="178" t="str">
        <f t="shared" si="6"/>
        <v>【Salesforceデータ連携（1販社先行検証）】12-6_単体試験_単体試験結果・Evidence・報告書の整理</v>
      </c>
      <c r="M75" s="202">
        <v>46275.0</v>
      </c>
      <c r="N75" s="202">
        <v>46276.0</v>
      </c>
      <c r="O75" s="170" t="s">
        <v>130</v>
      </c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</row>
    <row r="76" ht="39.75" customHeight="1">
      <c r="A76" s="197" t="s">
        <v>157</v>
      </c>
      <c r="B76" s="197" t="s">
        <v>334</v>
      </c>
      <c r="C76" s="197" t="s">
        <v>598</v>
      </c>
      <c r="D76" s="197" t="str">
        <f t="shared" si="2"/>
        <v/>
      </c>
      <c r="E76" s="198">
        <f t="array" ref="E76">IF(B76="","",IF(B76&lt;&gt;B75,SUMPRODUCT(($B$5:B76&lt;&gt;$B$4:B75)*($B$5:B76&lt;&gt;"")),""))</f>
        <v>13</v>
      </c>
      <c r="F76" s="198" t="str">
        <f t="shared" si="3"/>
        <v>結合・E2E試験</v>
      </c>
      <c r="G76" s="198">
        <f t="shared" si="4"/>
        <v>1</v>
      </c>
      <c r="H76" s="167" t="str">
        <f t="shared" si="5"/>
        <v>1販社先行検証の結合テストシナリオ・期待値作成</v>
      </c>
      <c r="I76" s="197"/>
      <c r="J76" s="197"/>
      <c r="K76" s="197"/>
      <c r="L76" s="168" t="str">
        <f t="shared" si="6"/>
        <v>【Salesforceデータ連携（1販社先行検証）】13-1_結合・E2E試験_1販社先行検証の結合テストシナリオ・期待値作成</v>
      </c>
      <c r="M76" s="199">
        <v>46272.0</v>
      </c>
      <c r="N76" s="199">
        <v>46273.0</v>
      </c>
      <c r="O76" s="170" t="s">
        <v>130</v>
      </c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</row>
    <row r="77" ht="36.0" customHeight="1">
      <c r="A77" s="200" t="s">
        <v>157</v>
      </c>
      <c r="B77" s="200" t="s">
        <v>334</v>
      </c>
      <c r="C77" s="200" t="s">
        <v>603</v>
      </c>
      <c r="D77" s="177" t="str">
        <f t="shared" si="2"/>
        <v/>
      </c>
      <c r="E77" s="201" t="str">
        <f t="array" ref="E77">IF(B77="","",IF(B77&lt;&gt;B76,SUMPRODUCT(($B$5:B77&lt;&gt;$B$4:B76)*($B$5:B77&lt;&gt;"")),""))</f>
        <v/>
      </c>
      <c r="F77" s="201" t="str">
        <f t="shared" si="3"/>
        <v/>
      </c>
      <c r="G77" s="201">
        <f t="shared" si="4"/>
        <v>2</v>
      </c>
      <c r="H77" s="177" t="str">
        <f t="shared" si="5"/>
        <v>Salesforce元データ・保存データの件数値突合</v>
      </c>
      <c r="I77" s="200"/>
      <c r="J77" s="200"/>
      <c r="K77" s="200"/>
      <c r="L77" s="178" t="str">
        <f t="shared" si="6"/>
        <v>【Salesforceデータ連携（1販社先行検証）】13-2_結合・E2E試験_Salesforce元データ・保存データの件数値突合</v>
      </c>
      <c r="M77" s="202">
        <v>46274.0</v>
      </c>
      <c r="N77" s="202">
        <v>46280.0</v>
      </c>
      <c r="O77" s="170" t="s">
        <v>130</v>
      </c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</row>
    <row r="78" ht="36.0" customHeight="1">
      <c r="A78" s="200" t="s">
        <v>157</v>
      </c>
      <c r="B78" s="200" t="s">
        <v>334</v>
      </c>
      <c r="C78" s="200" t="s">
        <v>607</v>
      </c>
      <c r="D78" s="177" t="str">
        <f t="shared" si="2"/>
        <v/>
      </c>
      <c r="E78" s="201" t="str">
        <f t="array" ref="E78">IF(B78="","",IF(B78&lt;&gt;B77,SUMPRODUCT(($B$5:B78&lt;&gt;$B$4:B77)*($B$5:B78&lt;&gt;"")),""))</f>
        <v/>
      </c>
      <c r="F78" s="201" t="str">
        <f t="shared" si="3"/>
        <v/>
      </c>
      <c r="G78" s="201">
        <f t="shared" si="4"/>
        <v>3</v>
      </c>
      <c r="H78" s="177" t="str">
        <f t="shared" si="5"/>
        <v>処理間のデータ追跡確認</v>
      </c>
      <c r="I78" s="200"/>
      <c r="J78" s="200"/>
      <c r="K78" s="200"/>
      <c r="L78" s="178" t="str">
        <f t="shared" si="6"/>
        <v>【Salesforceデータ連携（1販社先行検証）】13-3_結合・E2E試験_処理間のデータ追跡確認</v>
      </c>
      <c r="M78" s="202">
        <v>46274.0</v>
      </c>
      <c r="N78" s="202">
        <v>46280.0</v>
      </c>
      <c r="O78" s="170" t="s">
        <v>130</v>
      </c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</row>
    <row r="79" ht="36.0" customHeight="1">
      <c r="A79" s="200" t="s">
        <v>157</v>
      </c>
      <c r="B79" s="200" t="s">
        <v>334</v>
      </c>
      <c r="C79" s="200" t="s">
        <v>611</v>
      </c>
      <c r="D79" s="177" t="str">
        <f t="shared" si="2"/>
        <v/>
      </c>
      <c r="E79" s="201" t="str">
        <f t="array" ref="E79">IF(B79="","",IF(B79&lt;&gt;B78,SUMPRODUCT(($B$5:B79&lt;&gt;$B$4:B78)*($B$5:B79&lt;&gt;"")),""))</f>
        <v/>
      </c>
      <c r="F79" s="201" t="str">
        <f t="shared" si="3"/>
        <v/>
      </c>
      <c r="G79" s="201">
        <f t="shared" si="4"/>
        <v>4</v>
      </c>
      <c r="H79" s="177" t="str">
        <f t="shared" si="5"/>
        <v>障害・再実行・正常復旧シナリオ試験</v>
      </c>
      <c r="I79" s="200"/>
      <c r="J79" s="200"/>
      <c r="K79" s="200"/>
      <c r="L79" s="178" t="str">
        <f t="shared" si="6"/>
        <v>【Salesforceデータ連携（1販社先行検証）】13-4_結合・E2E試験_障害・再実行・正常復旧シナリオ試験</v>
      </c>
      <c r="M79" s="202">
        <v>46274.0</v>
      </c>
      <c r="N79" s="202">
        <v>46280.0</v>
      </c>
      <c r="O79" s="170" t="s">
        <v>130</v>
      </c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</row>
    <row r="80" ht="36.0" customHeight="1">
      <c r="A80" s="200" t="s">
        <v>157</v>
      </c>
      <c r="B80" s="200" t="s">
        <v>334</v>
      </c>
      <c r="C80" s="200" t="s">
        <v>615</v>
      </c>
      <c r="D80" s="177" t="str">
        <f t="shared" si="2"/>
        <v/>
      </c>
      <c r="E80" s="201" t="str">
        <f t="array" ref="E80">IF(B80="","",IF(B80&lt;&gt;B79,SUMPRODUCT(($B$5:B80&lt;&gt;$B$4:B79)*($B$5:B80&lt;&gt;"")),""))</f>
        <v/>
      </c>
      <c r="F80" s="201" t="str">
        <f t="shared" si="3"/>
        <v/>
      </c>
      <c r="G80" s="201">
        <f t="shared" si="4"/>
        <v>5</v>
      </c>
      <c r="H80" s="177" t="str">
        <f t="shared" si="5"/>
        <v>E2E処理時間の確認</v>
      </c>
      <c r="I80" s="200"/>
      <c r="J80" s="200"/>
      <c r="K80" s="200"/>
      <c r="L80" s="178" t="str">
        <f t="shared" si="6"/>
        <v>【Salesforceデータ連携（1販社先行検証）】13-5_結合・E2E試験_E2E処理時間の確認</v>
      </c>
      <c r="M80" s="202">
        <v>46274.0</v>
      </c>
      <c r="N80" s="202">
        <v>46280.0</v>
      </c>
      <c r="O80" s="170" t="s">
        <v>130</v>
      </c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</row>
    <row r="81" ht="36.0" customHeight="1">
      <c r="A81" s="200" t="s">
        <v>157</v>
      </c>
      <c r="B81" s="200" t="s">
        <v>334</v>
      </c>
      <c r="C81" s="200" t="s">
        <v>619</v>
      </c>
      <c r="D81" s="177" t="str">
        <f t="shared" si="2"/>
        <v/>
      </c>
      <c r="E81" s="201" t="str">
        <f t="array" ref="E81">IF(B81="","",IF(B81&lt;&gt;B80,SUMPRODUCT(($B$5:B81&lt;&gt;$B$4:B80)*($B$5:B81&lt;&gt;"")),""))</f>
        <v/>
      </c>
      <c r="F81" s="201" t="str">
        <f t="shared" si="3"/>
        <v/>
      </c>
      <c r="G81" s="201">
        <f t="shared" si="4"/>
        <v>6</v>
      </c>
      <c r="H81" s="177" t="str">
        <f t="shared" si="5"/>
        <v>結合試験結果・Evidence・報告書の整理</v>
      </c>
      <c r="I81" s="200"/>
      <c r="J81" s="200"/>
      <c r="K81" s="200"/>
      <c r="L81" s="178" t="str">
        <f t="shared" si="6"/>
        <v>【Salesforceデータ連携（1販社先行検証）】13-6_結合・E2E試験_結合試験結果・Evidence・報告書の整理</v>
      </c>
      <c r="M81" s="202">
        <v>46280.0</v>
      </c>
      <c r="N81" s="202">
        <v>46281.0</v>
      </c>
      <c r="O81" s="170" t="s">
        <v>130</v>
      </c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</row>
    <row r="82" ht="39.75" customHeight="1">
      <c r="A82" s="197" t="s">
        <v>157</v>
      </c>
      <c r="B82" s="197" t="s">
        <v>624</v>
      </c>
      <c r="C82" s="197" t="s">
        <v>625</v>
      </c>
      <c r="D82" s="197" t="str">
        <f t="shared" si="2"/>
        <v/>
      </c>
      <c r="E82" s="198">
        <f t="array" ref="E82">IF(B82="","",IF(B82&lt;&gt;B81,SUMPRODUCT(($B$5:B82&lt;&gt;$B$4:B81)*($B$5:B82&lt;&gt;"")),""))</f>
        <v>14</v>
      </c>
      <c r="F82" s="198" t="str">
        <f t="shared" si="3"/>
        <v>セキュリティ・ネットワーク試験</v>
      </c>
      <c r="G82" s="198">
        <f t="shared" si="4"/>
        <v>1</v>
      </c>
      <c r="H82" s="167" t="str">
        <f t="shared" si="5"/>
        <v>Salesforce接続権限の確認</v>
      </c>
      <c r="I82" s="197"/>
      <c r="J82" s="197"/>
      <c r="K82" s="197"/>
      <c r="L82" s="168" t="str">
        <f t="shared" si="6"/>
        <v>【Salesforceデータ連携（1販社先行検証）】14-1_セキュリティ・ネットワーク試験_Salesforce接続権限の確認</v>
      </c>
      <c r="M82" s="199">
        <v>46265.0</v>
      </c>
      <c r="N82" s="199">
        <v>46275.0</v>
      </c>
      <c r="O82" s="170" t="s">
        <v>130</v>
      </c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</row>
    <row r="83" ht="36.0" customHeight="1">
      <c r="A83" s="200" t="s">
        <v>157</v>
      </c>
      <c r="B83" s="200" t="s">
        <v>624</v>
      </c>
      <c r="C83" s="200" t="s">
        <v>630</v>
      </c>
      <c r="D83" s="177" t="str">
        <f t="shared" si="2"/>
        <v/>
      </c>
      <c r="E83" s="201" t="str">
        <f t="array" ref="E83">IF(B83="","",IF(B83&lt;&gt;B82,SUMPRODUCT(($B$5:B83&lt;&gt;$B$4:B82)*($B$5:B83&lt;&gt;"")),""))</f>
        <v/>
      </c>
      <c r="F83" s="201" t="str">
        <f t="shared" si="3"/>
        <v/>
      </c>
      <c r="G83" s="201">
        <f t="shared" si="4"/>
        <v>2</v>
      </c>
      <c r="H83" s="177" t="str">
        <f t="shared" si="5"/>
        <v>連携基盤・保存先アクセス権限の確認</v>
      </c>
      <c r="I83" s="200"/>
      <c r="J83" s="200"/>
      <c r="K83" s="200"/>
      <c r="L83" s="178" t="str">
        <f t="shared" si="6"/>
        <v>【Salesforceデータ連携（1販社先行検証）】14-2_セキュリティ・ネットワーク試験_連携基盤・保存先アクセス権限の確認</v>
      </c>
      <c r="M83" s="202">
        <v>46265.0</v>
      </c>
      <c r="N83" s="202">
        <v>46275.0</v>
      </c>
      <c r="O83" s="170" t="s">
        <v>130</v>
      </c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</row>
    <row r="84" ht="36.0" customHeight="1">
      <c r="A84" s="200" t="s">
        <v>157</v>
      </c>
      <c r="B84" s="200" t="s">
        <v>624</v>
      </c>
      <c r="C84" s="200" t="s">
        <v>634</v>
      </c>
      <c r="D84" s="177" t="str">
        <f t="shared" si="2"/>
        <v/>
      </c>
      <c r="E84" s="201" t="str">
        <f t="array" ref="E84">IF(B84="","",IF(B84&lt;&gt;B83,SUMPRODUCT(($B$5:B84&lt;&gt;$B$4:B83)*($B$5:B84&lt;&gt;"")),""))</f>
        <v/>
      </c>
      <c r="F84" s="201" t="str">
        <f t="shared" si="3"/>
        <v/>
      </c>
      <c r="G84" s="201">
        <f t="shared" si="4"/>
        <v>3</v>
      </c>
      <c r="H84" s="177" t="str">
        <f t="shared" si="5"/>
        <v>Credential・Secret管理状態の確認</v>
      </c>
      <c r="I84" s="200"/>
      <c r="J84" s="200"/>
      <c r="K84" s="200"/>
      <c r="L84" s="178" t="str">
        <f t="shared" si="6"/>
        <v>【Salesforceデータ連携（1販社先行検証）】14-3_セキュリティ・ネットワーク試験_Credential・Secret管理状態の確認</v>
      </c>
      <c r="M84" s="202">
        <v>46265.0</v>
      </c>
      <c r="N84" s="202">
        <v>46275.0</v>
      </c>
      <c r="O84" s="170" t="s">
        <v>130</v>
      </c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</row>
    <row r="85" ht="36.0" customHeight="1">
      <c r="A85" s="200" t="s">
        <v>157</v>
      </c>
      <c r="B85" s="200" t="s">
        <v>624</v>
      </c>
      <c r="C85" s="200" t="s">
        <v>638</v>
      </c>
      <c r="D85" s="177" t="str">
        <f t="shared" si="2"/>
        <v/>
      </c>
      <c r="E85" s="201" t="str">
        <f t="array" ref="E85">IF(B85="","",IF(B85&lt;&gt;B84,SUMPRODUCT(($B$5:B85&lt;&gt;$B$4:B84)*($B$5:B85&lt;&gt;"")),""))</f>
        <v/>
      </c>
      <c r="F85" s="201" t="str">
        <f t="shared" si="3"/>
        <v/>
      </c>
      <c r="G85" s="201">
        <f t="shared" si="4"/>
        <v>4</v>
      </c>
      <c r="H85" s="177" t="str">
        <f t="shared" si="5"/>
        <v>システム間疎通確認</v>
      </c>
      <c r="I85" s="200" t="s">
        <v>143</v>
      </c>
      <c r="J85" s="200"/>
      <c r="K85" s="200"/>
      <c r="L85" s="178" t="str">
        <f t="shared" si="6"/>
        <v>【Salesforceデータ連携（1販社先行検証）】14-4_セキュリティ・ネットワーク試験_システム間疎通確認</v>
      </c>
      <c r="M85" s="202">
        <v>46265.0</v>
      </c>
      <c r="N85" s="202">
        <v>46275.0</v>
      </c>
      <c r="O85" s="170" t="s">
        <v>130</v>
      </c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</row>
    <row r="86" ht="36.0" customHeight="1">
      <c r="A86" s="200" t="s">
        <v>157</v>
      </c>
      <c r="B86" s="200" t="s">
        <v>624</v>
      </c>
      <c r="C86" s="200" t="s">
        <v>642</v>
      </c>
      <c r="D86" s="177" t="str">
        <f t="shared" si="2"/>
        <v/>
      </c>
      <c r="E86" s="201" t="str">
        <f t="array" ref="E86">IF(B86="","",IF(B86&lt;&gt;B85,SUMPRODUCT(($B$5:B86&lt;&gt;$B$4:B85)*($B$5:B86&lt;&gt;"")),""))</f>
        <v/>
      </c>
      <c r="F86" s="201" t="str">
        <f t="shared" si="3"/>
        <v/>
      </c>
      <c r="G86" s="201">
        <f t="shared" si="4"/>
        <v>5</v>
      </c>
      <c r="H86" s="177" t="str">
        <f t="shared" si="5"/>
        <v>不要権限・不要通信経路の確認</v>
      </c>
      <c r="I86" s="200" t="s">
        <v>143</v>
      </c>
      <c r="J86" s="200"/>
      <c r="K86" s="200"/>
      <c r="L86" s="178" t="str">
        <f t="shared" si="6"/>
        <v>【Salesforceデータ連携（1販社先行検証）】14-5_セキュリティ・ネットワーク試験_不要権限・不要通信経路の確認</v>
      </c>
      <c r="M86" s="202">
        <v>46265.0</v>
      </c>
      <c r="N86" s="202">
        <v>46275.0</v>
      </c>
      <c r="O86" s="170" t="s">
        <v>130</v>
      </c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</row>
    <row r="87" ht="36.0" customHeight="1">
      <c r="A87" s="200" t="s">
        <v>157</v>
      </c>
      <c r="B87" s="200" t="s">
        <v>624</v>
      </c>
      <c r="C87" s="200" t="s">
        <v>646</v>
      </c>
      <c r="D87" s="177" t="str">
        <f t="shared" si="2"/>
        <v/>
      </c>
      <c r="E87" s="201" t="str">
        <f t="array" ref="E87">IF(B87="","",IF(B87&lt;&gt;B86,SUMPRODUCT(($B$5:B87&lt;&gt;$B$4:B86)*($B$5:B87&lt;&gt;"")),""))</f>
        <v/>
      </c>
      <c r="F87" s="201" t="str">
        <f t="shared" si="3"/>
        <v/>
      </c>
      <c r="G87" s="201">
        <f t="shared" si="4"/>
        <v>6</v>
      </c>
      <c r="H87" s="177" t="str">
        <f t="shared" si="5"/>
        <v>セキュリティ・NW確認結果の整理</v>
      </c>
      <c r="I87" s="200" t="s">
        <v>143</v>
      </c>
      <c r="J87" s="200"/>
      <c r="K87" s="200"/>
      <c r="L87" s="178" t="str">
        <f t="shared" si="6"/>
        <v>【Salesforceデータ連携（1販社先行検証）】14-6_セキュリティ・ネットワーク試験_セキュリティ・NW確認結果の整理</v>
      </c>
      <c r="M87" s="202">
        <v>46275.0</v>
      </c>
      <c r="N87" s="202">
        <v>46276.0</v>
      </c>
      <c r="O87" s="170" t="s">
        <v>130</v>
      </c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</row>
    <row r="88" ht="39.75" customHeight="1">
      <c r="A88" s="197" t="s">
        <v>157</v>
      </c>
      <c r="B88" s="197" t="s">
        <v>650</v>
      </c>
      <c r="C88" s="197" t="s">
        <v>651</v>
      </c>
      <c r="D88" s="197" t="str">
        <f t="shared" si="2"/>
        <v/>
      </c>
      <c r="E88" s="198">
        <f t="array" ref="E88">IF(B88="","",IF(B88&lt;&gt;B87,SUMPRODUCT(($B$5:B88&lt;&gt;$B$4:B87)*($B$5:B88&lt;&gt;"")),""))</f>
        <v>15</v>
      </c>
      <c r="F88" s="198" t="str">
        <f t="shared" si="3"/>
        <v>先行検証運用・障害対応設計</v>
      </c>
      <c r="G88" s="198">
        <f t="shared" si="4"/>
        <v>1</v>
      </c>
      <c r="H88" s="167" t="str">
        <f t="shared" si="5"/>
        <v>先行検証処理の正常性確認手順作成</v>
      </c>
      <c r="I88" s="197"/>
      <c r="J88" s="197"/>
      <c r="K88" s="197"/>
      <c r="L88" s="168" t="str">
        <f t="shared" si="6"/>
        <v>【Salesforceデータ連携（1販社先行検証）】15-1_先行検証運用・障害対応設計_先行検証処理の正常性確認手順作成</v>
      </c>
      <c r="M88" s="199">
        <v>46272.0</v>
      </c>
      <c r="N88" s="199">
        <v>46280.0</v>
      </c>
      <c r="O88" s="170" t="s">
        <v>130</v>
      </c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</row>
    <row r="89" ht="36.0" customHeight="1">
      <c r="A89" s="200" t="s">
        <v>157</v>
      </c>
      <c r="B89" s="200" t="s">
        <v>650</v>
      </c>
      <c r="C89" s="200" t="s">
        <v>657</v>
      </c>
      <c r="D89" s="177" t="str">
        <f t="shared" si="2"/>
        <v/>
      </c>
      <c r="E89" s="201" t="str">
        <f t="array" ref="E89">IF(B89="","",IF(B89&lt;&gt;B88,SUMPRODUCT(($B$5:B89&lt;&gt;$B$4:B88)*($B$5:B89&lt;&gt;"")),""))</f>
        <v/>
      </c>
      <c r="F89" s="201" t="str">
        <f t="shared" si="3"/>
        <v/>
      </c>
      <c r="G89" s="201">
        <f t="shared" si="4"/>
        <v>2</v>
      </c>
      <c r="H89" s="177" t="str">
        <f t="shared" si="5"/>
        <v>先行検証時の処理遅延・件数異常確認手順作成</v>
      </c>
      <c r="I89" s="200"/>
      <c r="J89" s="200"/>
      <c r="K89" s="200"/>
      <c r="L89" s="178" t="str">
        <f t="shared" si="6"/>
        <v>【Salesforceデータ連携（1販社先行検証）】15-2_先行検証運用・障害対応設計_先行検証時の処理遅延・件数異常確認手順作成</v>
      </c>
      <c r="M89" s="202">
        <v>46272.0</v>
      </c>
      <c r="N89" s="202">
        <v>46280.0</v>
      </c>
      <c r="O89" s="170" t="s">
        <v>130</v>
      </c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</row>
    <row r="90" ht="36.0" customHeight="1">
      <c r="A90" s="200" t="s">
        <v>157</v>
      </c>
      <c r="B90" s="200" t="s">
        <v>650</v>
      </c>
      <c r="C90" s="200" t="s">
        <v>661</v>
      </c>
      <c r="D90" s="177" t="str">
        <f t="shared" si="2"/>
        <v/>
      </c>
      <c r="E90" s="201" t="str">
        <f t="array" ref="E90">IF(B90="","",IF(B90&lt;&gt;B89,SUMPRODUCT(($B$5:B90&lt;&gt;$B$4:B89)*($B$5:B90&lt;&gt;"")),""))</f>
        <v/>
      </c>
      <c r="F90" s="201" t="str">
        <f t="shared" si="3"/>
        <v/>
      </c>
      <c r="G90" s="201">
        <f t="shared" si="4"/>
        <v>3</v>
      </c>
      <c r="H90" s="177" t="str">
        <f t="shared" si="5"/>
        <v>NiFi・Salesforce API障害時の検証対応手順作成</v>
      </c>
      <c r="I90" s="200"/>
      <c r="J90" s="200"/>
      <c r="K90" s="200"/>
      <c r="L90" s="178" t="str">
        <f t="shared" si="6"/>
        <v>【Salesforceデータ連携（1販社先行検証）】15-3_先行検証運用・障害対応設計_NiFi・Salesforce API障害時の検証対応手順作成</v>
      </c>
      <c r="M90" s="202">
        <v>46272.0</v>
      </c>
      <c r="N90" s="202">
        <v>46280.0</v>
      </c>
      <c r="O90" s="170" t="s">
        <v>130</v>
      </c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</row>
    <row r="91" ht="36.0" customHeight="1">
      <c r="A91" s="200" t="s">
        <v>157</v>
      </c>
      <c r="B91" s="200" t="s">
        <v>650</v>
      </c>
      <c r="C91" s="200" t="s">
        <v>665</v>
      </c>
      <c r="D91" s="177" t="str">
        <f t="shared" si="2"/>
        <v/>
      </c>
      <c r="E91" s="201" t="str">
        <f t="array" ref="E91">IF(B91="","",IF(B91&lt;&gt;B90,SUMPRODUCT(($B$5:B91&lt;&gt;$B$4:B90)*($B$5:B91&lt;&gt;"")),""))</f>
        <v/>
      </c>
      <c r="F91" s="201" t="str">
        <f t="shared" si="3"/>
        <v/>
      </c>
      <c r="G91" s="201">
        <f t="shared" si="4"/>
        <v>4</v>
      </c>
      <c r="H91" s="177" t="str">
        <f t="shared" si="5"/>
        <v>先行検証データの再処理手順作成</v>
      </c>
      <c r="I91" s="200"/>
      <c r="J91" s="200"/>
      <c r="K91" s="200"/>
      <c r="L91" s="178" t="str">
        <f t="shared" si="6"/>
        <v>【Salesforceデータ連携（1販社先行検証）】15-4_先行検証運用・障害対応設計_先行検証データの再処理手順作成</v>
      </c>
      <c r="M91" s="202">
        <v>46272.0</v>
      </c>
      <c r="N91" s="202">
        <v>46280.0</v>
      </c>
      <c r="O91" s="170" t="s">
        <v>130</v>
      </c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</row>
    <row r="92" ht="36.0" customHeight="1">
      <c r="A92" s="200" t="s">
        <v>157</v>
      </c>
      <c r="B92" s="200" t="s">
        <v>650</v>
      </c>
      <c r="C92" s="200" t="s">
        <v>669</v>
      </c>
      <c r="D92" s="177" t="str">
        <f t="shared" si="2"/>
        <v/>
      </c>
      <c r="E92" s="201" t="str">
        <f t="array" ref="E92">IF(B92="","",IF(B92&lt;&gt;B91,SUMPRODUCT(($B$5:B92&lt;&gt;$B$4:B91)*($B$5:B92&lt;&gt;"")),""))</f>
        <v/>
      </c>
      <c r="F92" s="201" t="str">
        <f t="shared" si="3"/>
        <v/>
      </c>
      <c r="G92" s="201">
        <f t="shared" si="4"/>
        <v>5</v>
      </c>
      <c r="H92" s="177" t="str">
        <f t="shared" si="5"/>
        <v>一次切り分け・エスカレーション手順作成</v>
      </c>
      <c r="I92" s="200"/>
      <c r="J92" s="200"/>
      <c r="K92" s="200"/>
      <c r="L92" s="178" t="str">
        <f t="shared" si="6"/>
        <v>【Salesforceデータ連携（1販社先行検証）】15-5_先行検証運用・障害対応設計_一次切り分け・エスカレーション手順作成</v>
      </c>
      <c r="M92" s="202">
        <v>46272.0</v>
      </c>
      <c r="N92" s="202">
        <v>46280.0</v>
      </c>
      <c r="O92" s="170" t="s">
        <v>130</v>
      </c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</row>
    <row r="93" ht="36.0" customHeight="1">
      <c r="A93" s="200" t="s">
        <v>157</v>
      </c>
      <c r="B93" s="200" t="s">
        <v>650</v>
      </c>
      <c r="C93" s="200" t="s">
        <v>673</v>
      </c>
      <c r="D93" s="177" t="str">
        <f t="shared" si="2"/>
        <v/>
      </c>
      <c r="E93" s="201" t="str">
        <f t="array" ref="E93">IF(B93="","",IF(B93&lt;&gt;B92,SUMPRODUCT(($B$5:B93&lt;&gt;$B$4:B92)*($B$5:B93&lt;&gt;"")),""))</f>
        <v/>
      </c>
      <c r="F93" s="201" t="str">
        <f t="shared" si="3"/>
        <v/>
      </c>
      <c r="G93" s="201">
        <f t="shared" si="4"/>
        <v>6</v>
      </c>
      <c r="H93" s="177" t="str">
        <f t="shared" si="5"/>
        <v>先行検証運用・障害対応手順書の作成・レビュー</v>
      </c>
      <c r="I93" s="200"/>
      <c r="J93" s="200"/>
      <c r="K93" s="200"/>
      <c r="L93" s="178" t="str">
        <f t="shared" si="6"/>
        <v>【Salesforceデータ連携（1販社先行検証）】15-6_先行検証運用・障害対応設計_先行検証運用・障害対応手順書の作成・レビュー</v>
      </c>
      <c r="M93" s="202">
        <v>46280.0</v>
      </c>
      <c r="N93" s="202">
        <v>46281.0</v>
      </c>
      <c r="O93" s="170" t="s">
        <v>130</v>
      </c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</row>
    <row r="94" ht="39.75" customHeight="1">
      <c r="A94" s="197" t="s">
        <v>157</v>
      </c>
      <c r="B94" s="197" t="s">
        <v>678</v>
      </c>
      <c r="C94" s="197" t="s">
        <v>679</v>
      </c>
      <c r="D94" s="197" t="str">
        <f t="shared" si="2"/>
        <v/>
      </c>
      <c r="E94" s="198">
        <f t="array" ref="E94">IF(B94="","",IF(B94&lt;&gt;B93,SUMPRODUCT(($B$5:B94&lt;&gt;$B$4:B93)*($B$5:B94&lt;&gt;"")),""))</f>
        <v>16</v>
      </c>
      <c r="F94" s="198" t="str">
        <f t="shared" si="3"/>
        <v>号口反映・後続展開（条件付き）</v>
      </c>
      <c r="G94" s="198">
        <f t="shared" si="4"/>
        <v>1</v>
      </c>
      <c r="H94" s="167" t="str">
        <f t="shared" si="5"/>
        <v>号口反映・後続展開の実施可否判定と計画作成</v>
      </c>
      <c r="I94" s="197"/>
      <c r="J94" s="197"/>
      <c r="K94" s="197"/>
      <c r="L94" s="168" t="str">
        <f t="shared" si="6"/>
        <v>【Salesforceデータ連携（1販社先行検証）】16-1_号口反映・後続展開（条件付き）_号口反映・後続展開の実施可否判定と計画作成</v>
      </c>
      <c r="M94" s="199"/>
      <c r="N94" s="199"/>
      <c r="O94" s="170" t="s">
        <v>130</v>
      </c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</row>
    <row r="95" ht="36.0" customHeight="1">
      <c r="A95" s="200" t="s">
        <v>157</v>
      </c>
      <c r="B95" s="200" t="s">
        <v>678</v>
      </c>
      <c r="C95" s="200" t="s">
        <v>685</v>
      </c>
      <c r="D95" s="177" t="str">
        <f t="shared" si="2"/>
        <v/>
      </c>
      <c r="E95" s="201" t="str">
        <f t="array" ref="E95">IF(B95="","",IF(B95&lt;&gt;B94,SUMPRODUCT(($B$5:B95&lt;&gt;$B$4:B94)*($B$5:B95&lt;&gt;"")),""))</f>
        <v/>
      </c>
      <c r="F95" s="201" t="str">
        <f t="shared" si="3"/>
        <v/>
      </c>
      <c r="G95" s="201">
        <f t="shared" si="4"/>
        <v>2</v>
      </c>
      <c r="H95" s="177" t="str">
        <f t="shared" si="5"/>
        <v>号口反映時の切り戻し・Recovery手順作成</v>
      </c>
      <c r="I95" s="200"/>
      <c r="J95" s="200"/>
      <c r="K95" s="200"/>
      <c r="L95" s="178" t="str">
        <f t="shared" si="6"/>
        <v>【Salesforceデータ連携（1販社先行検証）】16-2_号口反映・後続展開（条件付き）_号口反映時の切り戻し・Recovery手順作成</v>
      </c>
      <c r="M95" s="202"/>
      <c r="N95" s="202"/>
      <c r="O95" s="170" t="s">
        <v>130</v>
      </c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</row>
    <row r="96" ht="36.0" customHeight="1">
      <c r="A96" s="200" t="s">
        <v>157</v>
      </c>
      <c r="B96" s="200" t="s">
        <v>678</v>
      </c>
      <c r="C96" s="200" t="s">
        <v>689</v>
      </c>
      <c r="D96" s="177" t="str">
        <f t="shared" si="2"/>
        <v/>
      </c>
      <c r="E96" s="201" t="str">
        <f t="array" ref="E96">IF(B96="","",IF(B96&lt;&gt;B95,SUMPRODUCT(($B$5:B96&lt;&gt;$B$4:B95)*($B$5:B96&lt;&gt;"")),""))</f>
        <v/>
      </c>
      <c r="F96" s="201" t="str">
        <f t="shared" si="3"/>
        <v/>
      </c>
      <c r="G96" s="201">
        <f t="shared" si="4"/>
        <v>3</v>
      </c>
      <c r="H96" s="177" t="str">
        <f t="shared" si="5"/>
        <v>号口環境Credential・Connection設定（条件付き）</v>
      </c>
      <c r="I96" s="200"/>
      <c r="J96" s="200"/>
      <c r="K96" s="200"/>
      <c r="L96" s="178" t="str">
        <f t="shared" si="6"/>
        <v>【Salesforceデータ連携（1販社先行検証）】16-3_号口反映・後続展開（条件付き）_号口環境Credential・Connection設定（条件付き）</v>
      </c>
      <c r="M96" s="202"/>
      <c r="N96" s="202"/>
      <c r="O96" s="170" t="s">
        <v>130</v>
      </c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</row>
    <row r="97" ht="36.0" customHeight="1">
      <c r="A97" s="200" t="s">
        <v>157</v>
      </c>
      <c r="B97" s="200" t="s">
        <v>678</v>
      </c>
      <c r="C97" s="200" t="s">
        <v>693</v>
      </c>
      <c r="D97" s="177" t="str">
        <f t="shared" si="2"/>
        <v/>
      </c>
      <c r="E97" s="201" t="str">
        <f t="array" ref="E97">IF(B97="","",IF(B97&lt;&gt;B96,SUMPRODUCT(($B$5:B97&lt;&gt;$B$4:B96)*($B$5:B97&lt;&gt;"")),""))</f>
        <v/>
      </c>
      <c r="F97" s="201" t="str">
        <f t="shared" si="3"/>
        <v/>
      </c>
      <c r="G97" s="201">
        <f t="shared" si="4"/>
        <v>4</v>
      </c>
      <c r="H97" s="177" t="str">
        <f t="shared" si="5"/>
        <v>NiFi連携・CDP保存処理の号口反映（条件付き）</v>
      </c>
      <c r="I97" s="200"/>
      <c r="J97" s="200"/>
      <c r="K97" s="200"/>
      <c r="L97" s="178" t="str">
        <f t="shared" si="6"/>
        <v>【Salesforceデータ連携（1販社先行検証）】16-4_号口反映・後続展開（条件付き）_NiFi連携・CDP保存処理の号口反映（条件付き）</v>
      </c>
      <c r="M97" s="202"/>
      <c r="N97" s="202"/>
      <c r="O97" s="170" t="s">
        <v>130</v>
      </c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</row>
    <row r="98" ht="36.0" customHeight="1">
      <c r="A98" s="200" t="s">
        <v>157</v>
      </c>
      <c r="B98" s="200" t="s">
        <v>678</v>
      </c>
      <c r="C98" s="200" t="s">
        <v>697</v>
      </c>
      <c r="D98" s="177" t="str">
        <f t="shared" si="2"/>
        <v/>
      </c>
      <c r="E98" s="201" t="str">
        <f t="array" ref="E98">IF(B98="","",IF(B98&lt;&gt;B97,SUMPRODUCT(($B$5:B98&lt;&gt;$B$4:B97)*($B$5:B98&lt;&gt;"")),""))</f>
        <v/>
      </c>
      <c r="F98" s="201" t="str">
        <f t="shared" si="3"/>
        <v/>
      </c>
      <c r="G98" s="201">
        <f t="shared" si="4"/>
        <v>5</v>
      </c>
      <c r="H98" s="177" t="str">
        <f t="shared" si="5"/>
        <v>号口環境での初回データ取得（条件付き）</v>
      </c>
      <c r="I98" s="200"/>
      <c r="J98" s="200"/>
      <c r="K98" s="200"/>
      <c r="L98" s="178" t="str">
        <f t="shared" si="6"/>
        <v>【Salesforceデータ連携（1販社先行検証）】16-5_号口反映・後続展開（条件付き）_号口環境での初回データ取得（条件付き）</v>
      </c>
      <c r="M98" s="202"/>
      <c r="N98" s="202"/>
      <c r="O98" s="170" t="s">
        <v>130</v>
      </c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</row>
    <row r="99" ht="36.0" customHeight="1">
      <c r="A99" s="200" t="s">
        <v>157</v>
      </c>
      <c r="B99" s="200" t="s">
        <v>678</v>
      </c>
      <c r="C99" s="200" t="s">
        <v>701</v>
      </c>
      <c r="D99" s="177" t="str">
        <f t="shared" si="2"/>
        <v/>
      </c>
      <c r="E99" s="201" t="str">
        <f t="array" ref="E99">IF(B99="","",IF(B99&lt;&gt;B98,SUMPRODUCT(($B$5:B99&lt;&gt;$B$4:B98)*($B$5:B99&lt;&gt;"")),""))</f>
        <v/>
      </c>
      <c r="F99" s="201" t="str">
        <f t="shared" si="3"/>
        <v/>
      </c>
      <c r="G99" s="201">
        <f t="shared" si="4"/>
        <v>6</v>
      </c>
      <c r="H99" s="177" t="str">
        <f t="shared" si="5"/>
        <v>号口データ件数・主要項目確認（条件付き）</v>
      </c>
      <c r="I99" s="200"/>
      <c r="J99" s="200"/>
      <c r="K99" s="200"/>
      <c r="L99" s="178" t="str">
        <f t="shared" si="6"/>
        <v>【Salesforceデータ連携（1販社先行検証）】16-6_号口反映・後続展開（条件付き）_号口データ件数・主要項目確認（条件付き）</v>
      </c>
      <c r="M99" s="202"/>
      <c r="N99" s="202"/>
      <c r="O99" s="170" t="s">
        <v>130</v>
      </c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</row>
    <row r="100" ht="36.0" customHeight="1">
      <c r="A100" s="200" t="s">
        <v>157</v>
      </c>
      <c r="B100" s="200" t="s">
        <v>678</v>
      </c>
      <c r="C100" s="200" t="s">
        <v>705</v>
      </c>
      <c r="D100" s="177" t="str">
        <f t="shared" si="2"/>
        <v/>
      </c>
      <c r="E100" s="201" t="str">
        <f t="array" ref="E100">IF(B100="","",IF(B100&lt;&gt;B99,SUMPRODUCT(($B$5:B100&lt;&gt;$B$4:B99)*($B$5:B100&lt;&gt;"")),""))</f>
        <v/>
      </c>
      <c r="F100" s="201" t="str">
        <f t="shared" si="3"/>
        <v/>
      </c>
      <c r="G100" s="201">
        <f t="shared" si="4"/>
        <v>7</v>
      </c>
      <c r="H100" s="177" t="str">
        <f t="shared" si="5"/>
        <v>定期実行スケジュールの有効化（条件付き）</v>
      </c>
      <c r="I100" s="200"/>
      <c r="J100" s="200"/>
      <c r="K100" s="200"/>
      <c r="L100" s="178" t="str">
        <f t="shared" si="6"/>
        <v>【Salesforceデータ連携（1販社先行検証）】16-7_号口反映・後続展開（条件付き）_定期実行スケジュールの有効化（条件付き）</v>
      </c>
      <c r="M100" s="202"/>
      <c r="N100" s="202"/>
      <c r="O100" s="170" t="s">
        <v>130</v>
      </c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</row>
    <row r="101" ht="36.0" customHeight="1">
      <c r="A101" s="200" t="s">
        <v>157</v>
      </c>
      <c r="B101" s="200" t="s">
        <v>678</v>
      </c>
      <c r="C101" s="200" t="s">
        <v>709</v>
      </c>
      <c r="D101" s="177" t="str">
        <f t="shared" si="2"/>
        <v/>
      </c>
      <c r="E101" s="201" t="str">
        <f t="array" ref="E101">IF(B101="","",IF(B101&lt;&gt;B100,SUMPRODUCT(($B$5:B101&lt;&gt;$B$4:B100)*($B$5:B101&lt;&gt;"")),""))</f>
        <v/>
      </c>
      <c r="F101" s="201" t="str">
        <f t="shared" si="3"/>
        <v/>
      </c>
      <c r="G101" s="201">
        <f t="shared" si="4"/>
        <v>8</v>
      </c>
      <c r="H101" s="177" t="str">
        <f t="shared" si="5"/>
        <v>号口反映後の初期監視（条件付き）</v>
      </c>
      <c r="I101" s="200"/>
      <c r="J101" s="200"/>
      <c r="K101" s="200"/>
      <c r="L101" s="178" t="str">
        <f t="shared" si="6"/>
        <v>【Salesforceデータ連携（1販社先行検証）】16-8_号口反映・後続展開（条件付き）_号口反映後の初期監視（条件付き）</v>
      </c>
      <c r="M101" s="202"/>
      <c r="N101" s="202"/>
      <c r="O101" s="170" t="s">
        <v>130</v>
      </c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</row>
    <row r="102" ht="36.0" customHeight="1">
      <c r="A102" s="194" t="s">
        <v>157</v>
      </c>
      <c r="B102" s="194" t="s">
        <v>713</v>
      </c>
      <c r="C102" s="194" t="s">
        <v>714</v>
      </c>
      <c r="D102" s="194" t="str">
        <f t="shared" si="2"/>
        <v/>
      </c>
      <c r="E102" s="195">
        <f t="array" ref="E102">IF(B102="","",IF(B102&lt;&gt;B101,SUMPRODUCT(($B$5:B102&lt;&gt;$B$4:B101)*($B$5:B102&lt;&gt;"")),""))</f>
        <v>17</v>
      </c>
      <c r="F102" s="195" t="str">
        <f t="shared" si="3"/>
        <v>先行検証評価・後続展開判定</v>
      </c>
      <c r="G102" s="195">
        <f t="shared" si="4"/>
        <v>1</v>
      </c>
      <c r="H102" s="167" t="str">
        <f t="shared" si="5"/>
        <v>先行検証完了・号口／追加販社展開判定</v>
      </c>
      <c r="I102" s="194"/>
      <c r="J102" s="194"/>
      <c r="K102" s="194"/>
      <c r="L102" s="168" t="str">
        <f t="shared" si="6"/>
        <v>【Salesforceデータ連携（1販社先行検証）】17-1_先行検証評価・後続展開判定_先行検証完了・号口／追加販社展開判定</v>
      </c>
      <c r="M102" s="196">
        <v>46283.0</v>
      </c>
      <c r="N102" s="196">
        <v>46283.0</v>
      </c>
      <c r="O102" s="170" t="s">
        <v>130</v>
      </c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</row>
    <row r="103" ht="39.75" customHeight="1">
      <c r="A103" s="275" t="s">
        <v>157</v>
      </c>
      <c r="B103" s="275" t="s">
        <v>350</v>
      </c>
      <c r="C103" s="275" t="s">
        <v>719</v>
      </c>
      <c r="D103" s="275" t="str">
        <f t="shared" si="2"/>
        <v/>
      </c>
      <c r="E103" s="276">
        <f t="array" ref="E103">IF(B103="","",IF(B103&lt;&gt;B102,SUMPRODUCT(($B$5:B103&lt;&gt;$B$4:B102)*($B$5:B103&lt;&gt;"")),""))</f>
        <v>18</v>
      </c>
      <c r="F103" s="276" t="str">
        <f t="shared" si="3"/>
        <v>条件付き作業</v>
      </c>
      <c r="G103" s="276">
        <f t="shared" si="4"/>
        <v>1</v>
      </c>
      <c r="H103" s="167" t="str">
        <f t="shared" si="5"/>
        <v>Watermark項目・管理方式の設計</v>
      </c>
      <c r="I103" s="275"/>
      <c r="J103" s="275"/>
      <c r="K103" s="275"/>
      <c r="L103" s="168" t="str">
        <f t="shared" si="6"/>
        <v>【Salesforceデータ連携（1販社先行検証）】18-1_条件付き作業_Watermark項目・管理方式の設計</v>
      </c>
      <c r="M103" s="277"/>
      <c r="N103" s="277"/>
      <c r="O103" s="170" t="s">
        <v>130</v>
      </c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</row>
    <row r="104" ht="36.0" customHeight="1">
      <c r="A104" s="278" t="s">
        <v>157</v>
      </c>
      <c r="B104" s="278" t="s">
        <v>350</v>
      </c>
      <c r="C104" s="278" t="s">
        <v>725</v>
      </c>
      <c r="D104" s="278" t="str">
        <f t="shared" si="2"/>
        <v/>
      </c>
      <c r="E104" s="279" t="str">
        <f t="array" ref="E104">IF(B104="","",IF(B104&lt;&gt;B103,SUMPRODUCT(($B$5:B104&lt;&gt;$B$4:B103)*($B$5:B104&lt;&gt;"")),""))</f>
        <v/>
      </c>
      <c r="F104" s="279" t="str">
        <f t="shared" si="3"/>
        <v/>
      </c>
      <c r="G104" s="279">
        <f t="shared" si="4"/>
        <v>2</v>
      </c>
      <c r="H104" s="177" t="str">
        <f t="shared" si="5"/>
        <v>Overlap・取得期間境界の設計</v>
      </c>
      <c r="I104" s="278"/>
      <c r="J104" s="278"/>
      <c r="K104" s="278"/>
      <c r="L104" s="178" t="str">
        <f t="shared" si="6"/>
        <v>【Salesforceデータ連携（1販社先行検証）】18-2_条件付き作業_Overlap・取得期間境界の設計</v>
      </c>
      <c r="M104" s="280"/>
      <c r="N104" s="280"/>
      <c r="O104" s="170" t="s">
        <v>130</v>
      </c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</row>
    <row r="105" ht="36.0" customHeight="1">
      <c r="A105" s="278" t="s">
        <v>157</v>
      </c>
      <c r="B105" s="278" t="s">
        <v>350</v>
      </c>
      <c r="C105" s="278" t="s">
        <v>729</v>
      </c>
      <c r="D105" s="278" t="str">
        <f t="shared" si="2"/>
        <v/>
      </c>
      <c r="E105" s="279" t="str">
        <f t="array" ref="E105">IF(B105="","",IF(B105&lt;&gt;B104,SUMPRODUCT(($B$5:B105&lt;&gt;$B$4:B104)*($B$5:B105&lt;&gt;"")),""))</f>
        <v/>
      </c>
      <c r="F105" s="279" t="str">
        <f t="shared" si="3"/>
        <v/>
      </c>
      <c r="G105" s="279">
        <f t="shared" si="4"/>
        <v>3</v>
      </c>
      <c r="H105" s="177" t="str">
        <f t="shared" si="5"/>
        <v>Initial Full Load処理の実装</v>
      </c>
      <c r="I105" s="278"/>
      <c r="J105" s="278"/>
      <c r="K105" s="278"/>
      <c r="L105" s="178" t="str">
        <f t="shared" si="6"/>
        <v>【Salesforceデータ連携（1販社先行検証）】18-3_条件付き作業_Initial Full Load処理の実装</v>
      </c>
      <c r="M105" s="280"/>
      <c r="N105" s="280"/>
      <c r="O105" s="170" t="s">
        <v>130</v>
      </c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/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  <c r="VA105" s="1"/>
      <c r="VB105" s="1"/>
      <c r="VC105" s="1"/>
      <c r="VD105" s="1"/>
      <c r="VE105" s="1"/>
      <c r="VF105" s="1"/>
      <c r="VG105" s="1"/>
      <c r="VH105" s="1"/>
      <c r="VI105" s="1"/>
      <c r="VJ105" s="1"/>
      <c r="VK105" s="1"/>
      <c r="VL105" s="1"/>
      <c r="VM105" s="1"/>
      <c r="VN105" s="1"/>
      <c r="VO105" s="1"/>
      <c r="VP105" s="1"/>
      <c r="VQ105" s="1"/>
      <c r="VR105" s="1"/>
      <c r="VS105" s="1"/>
      <c r="VT105" s="1"/>
      <c r="VU105" s="1"/>
      <c r="VV105" s="1"/>
      <c r="VW105" s="1"/>
      <c r="VX105" s="1"/>
      <c r="VY105" s="1"/>
      <c r="VZ105" s="1"/>
      <c r="WA105" s="1"/>
      <c r="WB105" s="1"/>
      <c r="WC105" s="1"/>
      <c r="WD105" s="1"/>
      <c r="WE105" s="1"/>
      <c r="WF105" s="1"/>
      <c r="WG105" s="1"/>
      <c r="WH105" s="1"/>
      <c r="WI105" s="1"/>
      <c r="WJ105" s="1"/>
      <c r="WK105" s="1"/>
      <c r="WL105" s="1"/>
      <c r="WM105" s="1"/>
      <c r="WN105" s="1"/>
      <c r="WO105" s="1"/>
      <c r="WP105" s="1"/>
      <c r="WQ105" s="1"/>
      <c r="WR105" s="1"/>
      <c r="WS105" s="1"/>
      <c r="WT105" s="1"/>
      <c r="WU105" s="1"/>
      <c r="WV105" s="1"/>
      <c r="WW105" s="1"/>
      <c r="WX105" s="1"/>
      <c r="WY105" s="1"/>
      <c r="WZ105" s="1"/>
      <c r="XA105" s="1"/>
      <c r="XB105" s="1"/>
      <c r="XC105" s="1"/>
      <c r="XD105" s="1"/>
      <c r="XE105" s="1"/>
      <c r="XF105" s="1"/>
      <c r="XG105" s="1"/>
      <c r="XH105" s="1"/>
      <c r="XI105" s="1"/>
      <c r="XJ105" s="1"/>
      <c r="XK105" s="1"/>
      <c r="XL105" s="1"/>
      <c r="XM105" s="1"/>
      <c r="XN105" s="1"/>
      <c r="XO105" s="1"/>
      <c r="XP105" s="1"/>
      <c r="XQ105" s="1"/>
      <c r="XR105" s="1"/>
      <c r="XS105" s="1"/>
      <c r="XT105" s="1"/>
      <c r="XU105" s="1"/>
      <c r="XV105" s="1"/>
      <c r="XW105" s="1"/>
      <c r="XX105" s="1"/>
      <c r="XY105" s="1"/>
      <c r="XZ105" s="1"/>
      <c r="YA105" s="1"/>
      <c r="YB105" s="1"/>
      <c r="YC105" s="1"/>
      <c r="YD105" s="1"/>
      <c r="YE105" s="1"/>
      <c r="YF105" s="1"/>
      <c r="YG105" s="1"/>
      <c r="YH105" s="1"/>
      <c r="YI105" s="1"/>
      <c r="YJ105" s="1"/>
      <c r="YK105" s="1"/>
      <c r="YL105" s="1"/>
      <c r="YM105" s="1"/>
      <c r="YN105" s="1"/>
      <c r="YO105" s="1"/>
      <c r="YP105" s="1"/>
      <c r="YQ105" s="1"/>
      <c r="YR105" s="1"/>
      <c r="YS105" s="1"/>
      <c r="YT105" s="1"/>
      <c r="YU105" s="1"/>
      <c r="YV105" s="1"/>
      <c r="YW105" s="1"/>
      <c r="YX105" s="1"/>
      <c r="YY105" s="1"/>
      <c r="YZ105" s="1"/>
      <c r="ZA105" s="1"/>
      <c r="ZB105" s="1"/>
      <c r="ZC105" s="1"/>
      <c r="ZD105" s="1"/>
      <c r="ZE105" s="1"/>
      <c r="ZF105" s="1"/>
      <c r="ZG105" s="1"/>
      <c r="ZH105" s="1"/>
      <c r="ZI105" s="1"/>
      <c r="ZJ105" s="1"/>
      <c r="ZK105" s="1"/>
      <c r="ZL105" s="1"/>
      <c r="ZM105" s="1"/>
      <c r="ZN105" s="1"/>
      <c r="ZO105" s="1"/>
      <c r="ZP105" s="1"/>
      <c r="ZQ105" s="1"/>
      <c r="ZR105" s="1"/>
      <c r="ZS105" s="1"/>
      <c r="ZT105" s="1"/>
      <c r="ZU105" s="1"/>
      <c r="ZV105" s="1"/>
      <c r="ZW105" s="1"/>
      <c r="ZX105" s="1"/>
      <c r="ZY105" s="1"/>
      <c r="ZZ105" s="1"/>
    </row>
    <row r="106" ht="36.0" customHeight="1">
      <c r="A106" s="278" t="s">
        <v>157</v>
      </c>
      <c r="B106" s="278" t="s">
        <v>350</v>
      </c>
      <c r="C106" s="278" t="s">
        <v>734</v>
      </c>
      <c r="D106" s="278" t="str">
        <f t="shared" si="2"/>
        <v/>
      </c>
      <c r="E106" s="279" t="str">
        <f t="array" ref="E106">IF(B106="","",IF(B106&lt;&gt;B105,SUMPRODUCT(($B$5:B106&lt;&gt;$B$4:B105)*($B$5:B106&lt;&gt;"")),""))</f>
        <v/>
      </c>
      <c r="F106" s="279" t="str">
        <f t="shared" si="3"/>
        <v/>
      </c>
      <c r="G106" s="279">
        <f t="shared" si="4"/>
        <v>4</v>
      </c>
      <c r="H106" s="177" t="str">
        <f t="shared" si="5"/>
        <v>Incremental Load処理の実装</v>
      </c>
      <c r="I106" s="278"/>
      <c r="J106" s="278"/>
      <c r="K106" s="278"/>
      <c r="L106" s="178" t="str">
        <f t="shared" si="6"/>
        <v>【Salesforceデータ連携（1販社先行検証）】18-4_条件付き作業_Incremental Load処理の実装</v>
      </c>
      <c r="M106" s="280"/>
      <c r="N106" s="280"/>
      <c r="O106" s="170" t="s">
        <v>130</v>
      </c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/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/>
      <c r="DN106" s="10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  <c r="VA106" s="1"/>
      <c r="VB106" s="1"/>
      <c r="VC106" s="1"/>
      <c r="VD106" s="1"/>
      <c r="VE106" s="1"/>
      <c r="VF106" s="1"/>
      <c r="VG106" s="1"/>
      <c r="VH106" s="1"/>
      <c r="VI106" s="1"/>
      <c r="VJ106" s="1"/>
      <c r="VK106" s="1"/>
      <c r="VL106" s="1"/>
      <c r="VM106" s="1"/>
      <c r="VN106" s="1"/>
      <c r="VO106" s="1"/>
      <c r="VP106" s="1"/>
      <c r="VQ106" s="1"/>
      <c r="VR106" s="1"/>
      <c r="VS106" s="1"/>
      <c r="VT106" s="1"/>
      <c r="VU106" s="1"/>
      <c r="VV106" s="1"/>
      <c r="VW106" s="1"/>
      <c r="VX106" s="1"/>
      <c r="VY106" s="1"/>
      <c r="VZ106" s="1"/>
      <c r="WA106" s="1"/>
      <c r="WB106" s="1"/>
      <c r="WC106" s="1"/>
      <c r="WD106" s="1"/>
      <c r="WE106" s="1"/>
      <c r="WF106" s="1"/>
      <c r="WG106" s="1"/>
      <c r="WH106" s="1"/>
      <c r="WI106" s="1"/>
      <c r="WJ106" s="1"/>
      <c r="WK106" s="1"/>
      <c r="WL106" s="1"/>
      <c r="WM106" s="1"/>
      <c r="WN106" s="1"/>
      <c r="WO106" s="1"/>
      <c r="WP106" s="1"/>
      <c r="WQ106" s="1"/>
      <c r="WR106" s="1"/>
      <c r="WS106" s="1"/>
      <c r="WT106" s="1"/>
      <c r="WU106" s="1"/>
      <c r="WV106" s="1"/>
      <c r="WW106" s="1"/>
      <c r="WX106" s="1"/>
      <c r="WY106" s="1"/>
      <c r="WZ106" s="1"/>
      <c r="XA106" s="1"/>
      <c r="XB106" s="1"/>
      <c r="XC106" s="1"/>
      <c r="XD106" s="1"/>
      <c r="XE106" s="1"/>
      <c r="XF106" s="1"/>
      <c r="XG106" s="1"/>
      <c r="XH106" s="1"/>
      <c r="XI106" s="1"/>
      <c r="XJ106" s="1"/>
      <c r="XK106" s="1"/>
      <c r="XL106" s="1"/>
      <c r="XM106" s="1"/>
      <c r="XN106" s="1"/>
      <c r="XO106" s="1"/>
      <c r="XP106" s="1"/>
      <c r="XQ106" s="1"/>
      <c r="XR106" s="1"/>
      <c r="XS106" s="1"/>
      <c r="XT106" s="1"/>
      <c r="XU106" s="1"/>
      <c r="XV106" s="1"/>
      <c r="XW106" s="1"/>
      <c r="XX106" s="1"/>
      <c r="XY106" s="1"/>
      <c r="XZ106" s="1"/>
      <c r="YA106" s="1"/>
      <c r="YB106" s="1"/>
      <c r="YC106" s="1"/>
      <c r="YD106" s="1"/>
      <c r="YE106" s="1"/>
      <c r="YF106" s="1"/>
      <c r="YG106" s="1"/>
      <c r="YH106" s="1"/>
      <c r="YI106" s="1"/>
      <c r="YJ106" s="1"/>
      <c r="YK106" s="1"/>
      <c r="YL106" s="1"/>
      <c r="YM106" s="1"/>
      <c r="YN106" s="1"/>
      <c r="YO106" s="1"/>
      <c r="YP106" s="1"/>
      <c r="YQ106" s="1"/>
      <c r="YR106" s="1"/>
      <c r="YS106" s="1"/>
      <c r="YT106" s="1"/>
      <c r="YU106" s="1"/>
      <c r="YV106" s="1"/>
      <c r="YW106" s="1"/>
      <c r="YX106" s="1"/>
      <c r="YY106" s="1"/>
      <c r="YZ106" s="1"/>
      <c r="ZA106" s="1"/>
      <c r="ZB106" s="1"/>
      <c r="ZC106" s="1"/>
      <c r="ZD106" s="1"/>
      <c r="ZE106" s="1"/>
      <c r="ZF106" s="1"/>
      <c r="ZG106" s="1"/>
      <c r="ZH106" s="1"/>
      <c r="ZI106" s="1"/>
      <c r="ZJ106" s="1"/>
      <c r="ZK106" s="1"/>
      <c r="ZL106" s="1"/>
      <c r="ZM106" s="1"/>
      <c r="ZN106" s="1"/>
      <c r="ZO106" s="1"/>
      <c r="ZP106" s="1"/>
      <c r="ZQ106" s="1"/>
      <c r="ZR106" s="1"/>
      <c r="ZS106" s="1"/>
      <c r="ZT106" s="1"/>
      <c r="ZU106" s="1"/>
      <c r="ZV106" s="1"/>
      <c r="ZW106" s="1"/>
      <c r="ZX106" s="1"/>
      <c r="ZY106" s="1"/>
      <c r="ZZ106" s="1"/>
    </row>
    <row r="107" ht="36.0" customHeight="1">
      <c r="A107" s="278" t="s">
        <v>157</v>
      </c>
      <c r="B107" s="278" t="s">
        <v>350</v>
      </c>
      <c r="C107" s="278" t="s">
        <v>738</v>
      </c>
      <c r="D107" s="278" t="str">
        <f t="shared" si="2"/>
        <v/>
      </c>
      <c r="E107" s="279" t="str">
        <f t="array" ref="E107">IF(B107="","",IF(B107&lt;&gt;B106,SUMPRODUCT(($B$5:B107&lt;&gt;$B$4:B106)*($B$5:B107&lt;&gt;"")),""))</f>
        <v/>
      </c>
      <c r="F107" s="279" t="str">
        <f t="shared" si="3"/>
        <v/>
      </c>
      <c r="G107" s="279">
        <f t="shared" si="4"/>
        <v>5</v>
      </c>
      <c r="H107" s="177" t="str">
        <f t="shared" si="5"/>
        <v>Watermark正常・異常時制御の実装</v>
      </c>
      <c r="I107" s="278"/>
      <c r="J107" s="278"/>
      <c r="K107" s="278"/>
      <c r="L107" s="178" t="str">
        <f t="shared" si="6"/>
        <v>【Salesforceデータ連携（1販社先行検証）】18-5_条件付き作業_Watermark正常・異常時制御の実装</v>
      </c>
      <c r="M107" s="280"/>
      <c r="N107" s="280"/>
      <c r="O107" s="170" t="s">
        <v>130</v>
      </c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/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/>
      <c r="DN107" s="10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  <c r="VA107" s="1"/>
      <c r="VB107" s="1"/>
      <c r="VC107" s="1"/>
      <c r="VD107" s="1"/>
      <c r="VE107" s="1"/>
      <c r="VF107" s="1"/>
      <c r="VG107" s="1"/>
      <c r="VH107" s="1"/>
      <c r="VI107" s="1"/>
      <c r="VJ107" s="1"/>
      <c r="VK107" s="1"/>
      <c r="VL107" s="1"/>
      <c r="VM107" s="1"/>
      <c r="VN107" s="1"/>
      <c r="VO107" s="1"/>
      <c r="VP107" s="1"/>
      <c r="VQ107" s="1"/>
      <c r="VR107" s="1"/>
      <c r="VS107" s="1"/>
      <c r="VT107" s="1"/>
      <c r="VU107" s="1"/>
      <c r="VV107" s="1"/>
      <c r="VW107" s="1"/>
      <c r="VX107" s="1"/>
      <c r="VY107" s="1"/>
      <c r="VZ107" s="1"/>
      <c r="WA107" s="1"/>
      <c r="WB107" s="1"/>
      <c r="WC107" s="1"/>
      <c r="WD107" s="1"/>
      <c r="WE107" s="1"/>
      <c r="WF107" s="1"/>
      <c r="WG107" s="1"/>
      <c r="WH107" s="1"/>
      <c r="WI107" s="1"/>
      <c r="WJ107" s="1"/>
      <c r="WK107" s="1"/>
      <c r="WL107" s="1"/>
      <c r="WM107" s="1"/>
      <c r="WN107" s="1"/>
      <c r="WO107" s="1"/>
      <c r="WP107" s="1"/>
      <c r="WQ107" s="1"/>
      <c r="WR107" s="1"/>
      <c r="WS107" s="1"/>
      <c r="WT107" s="1"/>
      <c r="WU107" s="1"/>
      <c r="WV107" s="1"/>
      <c r="WW107" s="1"/>
      <c r="WX107" s="1"/>
      <c r="WY107" s="1"/>
      <c r="WZ107" s="1"/>
      <c r="XA107" s="1"/>
      <c r="XB107" s="1"/>
      <c r="XC107" s="1"/>
      <c r="XD107" s="1"/>
      <c r="XE107" s="1"/>
      <c r="XF107" s="1"/>
      <c r="XG107" s="1"/>
      <c r="XH107" s="1"/>
      <c r="XI107" s="1"/>
      <c r="XJ107" s="1"/>
      <c r="XK107" s="1"/>
      <c r="XL107" s="1"/>
      <c r="XM107" s="1"/>
      <c r="XN107" s="1"/>
      <c r="XO107" s="1"/>
      <c r="XP107" s="1"/>
      <c r="XQ107" s="1"/>
      <c r="XR107" s="1"/>
      <c r="XS107" s="1"/>
      <c r="XT107" s="1"/>
      <c r="XU107" s="1"/>
      <c r="XV107" s="1"/>
      <c r="XW107" s="1"/>
      <c r="XX107" s="1"/>
      <c r="XY107" s="1"/>
      <c r="XZ107" s="1"/>
      <c r="YA107" s="1"/>
      <c r="YB107" s="1"/>
      <c r="YC107" s="1"/>
      <c r="YD107" s="1"/>
      <c r="YE107" s="1"/>
      <c r="YF107" s="1"/>
      <c r="YG107" s="1"/>
      <c r="YH107" s="1"/>
      <c r="YI107" s="1"/>
      <c r="YJ107" s="1"/>
      <c r="YK107" s="1"/>
      <c r="YL107" s="1"/>
      <c r="YM107" s="1"/>
      <c r="YN107" s="1"/>
      <c r="YO107" s="1"/>
      <c r="YP107" s="1"/>
      <c r="YQ107" s="1"/>
      <c r="YR107" s="1"/>
      <c r="YS107" s="1"/>
      <c r="YT107" s="1"/>
      <c r="YU107" s="1"/>
      <c r="YV107" s="1"/>
      <c r="YW107" s="1"/>
      <c r="YX107" s="1"/>
      <c r="YY107" s="1"/>
      <c r="YZ107" s="1"/>
      <c r="ZA107" s="1"/>
      <c r="ZB107" s="1"/>
      <c r="ZC107" s="1"/>
      <c r="ZD107" s="1"/>
      <c r="ZE107" s="1"/>
      <c r="ZF107" s="1"/>
      <c r="ZG107" s="1"/>
      <c r="ZH107" s="1"/>
      <c r="ZI107" s="1"/>
      <c r="ZJ107" s="1"/>
      <c r="ZK107" s="1"/>
      <c r="ZL107" s="1"/>
      <c r="ZM107" s="1"/>
      <c r="ZN107" s="1"/>
      <c r="ZO107" s="1"/>
      <c r="ZP107" s="1"/>
      <c r="ZQ107" s="1"/>
      <c r="ZR107" s="1"/>
      <c r="ZS107" s="1"/>
      <c r="ZT107" s="1"/>
      <c r="ZU107" s="1"/>
      <c r="ZV107" s="1"/>
      <c r="ZW107" s="1"/>
      <c r="ZX107" s="1"/>
      <c r="ZY107" s="1"/>
      <c r="ZZ107" s="1"/>
    </row>
    <row r="108" ht="36.0" customHeight="1">
      <c r="A108" s="278" t="s">
        <v>157</v>
      </c>
      <c r="B108" s="278" t="s">
        <v>350</v>
      </c>
      <c r="C108" s="278" t="s">
        <v>743</v>
      </c>
      <c r="D108" s="278" t="str">
        <f t="shared" si="2"/>
        <v/>
      </c>
      <c r="E108" s="279" t="str">
        <f t="array" ref="E108">IF(B108="","",IF(B108&lt;&gt;B107,SUMPRODUCT(($B$5:B108&lt;&gt;$B$4:B107)*($B$5:B108&lt;&gt;"")),""))</f>
        <v/>
      </c>
      <c r="F108" s="279" t="str">
        <f t="shared" si="3"/>
        <v/>
      </c>
      <c r="G108" s="279">
        <f t="shared" si="4"/>
        <v>6</v>
      </c>
      <c r="H108" s="177" t="str">
        <f t="shared" si="5"/>
        <v>増分データ反映試験</v>
      </c>
      <c r="I108" s="278"/>
      <c r="J108" s="278"/>
      <c r="K108" s="278"/>
      <c r="L108" s="178" t="str">
        <f t="shared" si="6"/>
        <v>【Salesforceデータ連携（1販社先行検証）】18-6_条件付き作業_増分データ反映試験</v>
      </c>
      <c r="M108" s="280"/>
      <c r="N108" s="280"/>
      <c r="O108" s="170" t="s">
        <v>130</v>
      </c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  <c r="CQ108" s="10"/>
      <c r="CR108" s="10"/>
      <c r="CS108" s="10"/>
      <c r="CT108" s="10"/>
      <c r="CU108" s="10"/>
      <c r="CV108" s="10"/>
      <c r="CW108" s="10"/>
      <c r="CX108" s="10"/>
      <c r="CY108" s="10"/>
      <c r="CZ108" s="10"/>
      <c r="DA108" s="10"/>
      <c r="DB108" s="10"/>
      <c r="DC108" s="10"/>
      <c r="DD108" s="10"/>
      <c r="DE108" s="10"/>
      <c r="DF108" s="10"/>
      <c r="DG108" s="10"/>
      <c r="DH108" s="10"/>
      <c r="DI108" s="10"/>
      <c r="DJ108" s="10"/>
      <c r="DK108" s="10"/>
      <c r="DL108" s="10"/>
      <c r="DM108" s="10"/>
      <c r="DN108" s="10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  <c r="VA108" s="1"/>
      <c r="VB108" s="1"/>
      <c r="VC108" s="1"/>
      <c r="VD108" s="1"/>
      <c r="VE108" s="1"/>
      <c r="VF108" s="1"/>
      <c r="VG108" s="1"/>
      <c r="VH108" s="1"/>
      <c r="VI108" s="1"/>
      <c r="VJ108" s="1"/>
      <c r="VK108" s="1"/>
      <c r="VL108" s="1"/>
      <c r="VM108" s="1"/>
      <c r="VN108" s="1"/>
      <c r="VO108" s="1"/>
      <c r="VP108" s="1"/>
      <c r="VQ108" s="1"/>
      <c r="VR108" s="1"/>
      <c r="VS108" s="1"/>
      <c r="VT108" s="1"/>
      <c r="VU108" s="1"/>
      <c r="VV108" s="1"/>
      <c r="VW108" s="1"/>
      <c r="VX108" s="1"/>
      <c r="VY108" s="1"/>
      <c r="VZ108" s="1"/>
      <c r="WA108" s="1"/>
      <c r="WB108" s="1"/>
      <c r="WC108" s="1"/>
      <c r="WD108" s="1"/>
      <c r="WE108" s="1"/>
      <c r="WF108" s="1"/>
      <c r="WG108" s="1"/>
      <c r="WH108" s="1"/>
      <c r="WI108" s="1"/>
      <c r="WJ108" s="1"/>
      <c r="WK108" s="1"/>
      <c r="WL108" s="1"/>
      <c r="WM108" s="1"/>
      <c r="WN108" s="1"/>
      <c r="WO108" s="1"/>
      <c r="WP108" s="1"/>
      <c r="WQ108" s="1"/>
      <c r="WR108" s="1"/>
      <c r="WS108" s="1"/>
      <c r="WT108" s="1"/>
      <c r="WU108" s="1"/>
      <c r="WV108" s="1"/>
      <c r="WW108" s="1"/>
      <c r="WX108" s="1"/>
      <c r="WY108" s="1"/>
      <c r="WZ108" s="1"/>
      <c r="XA108" s="1"/>
      <c r="XB108" s="1"/>
      <c r="XC108" s="1"/>
      <c r="XD108" s="1"/>
      <c r="XE108" s="1"/>
      <c r="XF108" s="1"/>
      <c r="XG108" s="1"/>
      <c r="XH108" s="1"/>
      <c r="XI108" s="1"/>
      <c r="XJ108" s="1"/>
      <c r="XK108" s="1"/>
      <c r="XL108" s="1"/>
      <c r="XM108" s="1"/>
      <c r="XN108" s="1"/>
      <c r="XO108" s="1"/>
      <c r="XP108" s="1"/>
      <c r="XQ108" s="1"/>
      <c r="XR108" s="1"/>
      <c r="XS108" s="1"/>
      <c r="XT108" s="1"/>
      <c r="XU108" s="1"/>
      <c r="XV108" s="1"/>
      <c r="XW108" s="1"/>
      <c r="XX108" s="1"/>
      <c r="XY108" s="1"/>
      <c r="XZ108" s="1"/>
      <c r="YA108" s="1"/>
      <c r="YB108" s="1"/>
      <c r="YC108" s="1"/>
      <c r="YD108" s="1"/>
      <c r="YE108" s="1"/>
      <c r="YF108" s="1"/>
      <c r="YG108" s="1"/>
      <c r="YH108" s="1"/>
      <c r="YI108" s="1"/>
      <c r="YJ108" s="1"/>
      <c r="YK108" s="1"/>
      <c r="YL108" s="1"/>
      <c r="YM108" s="1"/>
      <c r="YN108" s="1"/>
      <c r="YO108" s="1"/>
      <c r="YP108" s="1"/>
      <c r="YQ108" s="1"/>
      <c r="YR108" s="1"/>
      <c r="YS108" s="1"/>
      <c r="YT108" s="1"/>
      <c r="YU108" s="1"/>
      <c r="YV108" s="1"/>
      <c r="YW108" s="1"/>
      <c r="YX108" s="1"/>
      <c r="YY108" s="1"/>
      <c r="YZ108" s="1"/>
      <c r="ZA108" s="1"/>
      <c r="ZB108" s="1"/>
      <c r="ZC108" s="1"/>
      <c r="ZD108" s="1"/>
      <c r="ZE108" s="1"/>
      <c r="ZF108" s="1"/>
      <c r="ZG108" s="1"/>
      <c r="ZH108" s="1"/>
      <c r="ZI108" s="1"/>
      <c r="ZJ108" s="1"/>
      <c r="ZK108" s="1"/>
      <c r="ZL108" s="1"/>
      <c r="ZM108" s="1"/>
      <c r="ZN108" s="1"/>
      <c r="ZO108" s="1"/>
      <c r="ZP108" s="1"/>
      <c r="ZQ108" s="1"/>
      <c r="ZR108" s="1"/>
      <c r="ZS108" s="1"/>
      <c r="ZT108" s="1"/>
      <c r="ZU108" s="1"/>
      <c r="ZV108" s="1"/>
      <c r="ZW108" s="1"/>
      <c r="ZX108" s="1"/>
      <c r="ZY108" s="1"/>
      <c r="ZZ108" s="1"/>
    </row>
    <row r="109" ht="36.0" customHeight="1">
      <c r="A109" s="278" t="s">
        <v>157</v>
      </c>
      <c r="B109" s="278" t="s">
        <v>350</v>
      </c>
      <c r="C109" s="278" t="s">
        <v>747</v>
      </c>
      <c r="D109" s="278" t="str">
        <f t="shared" si="2"/>
        <v/>
      </c>
      <c r="E109" s="279" t="str">
        <f t="array" ref="E109">IF(B109="","",IF(B109&lt;&gt;B108,SUMPRODUCT(($B$5:B109&lt;&gt;$B$4:B108)*($B$5:B109&lt;&gt;"")),""))</f>
        <v/>
      </c>
      <c r="F109" s="279" t="str">
        <f t="shared" si="3"/>
        <v/>
      </c>
      <c r="G109" s="279">
        <f t="shared" si="4"/>
        <v>7</v>
      </c>
      <c r="H109" s="177" t="str">
        <f t="shared" si="5"/>
        <v>削除データ取得・反映方式の設計</v>
      </c>
      <c r="I109" s="278"/>
      <c r="J109" s="278"/>
      <c r="K109" s="278"/>
      <c r="L109" s="178" t="str">
        <f t="shared" si="6"/>
        <v>【Salesforceデータ連携（1販社先行検証）】18-7_条件付き作業_削除データ取得・反映方式の設計</v>
      </c>
      <c r="M109" s="280"/>
      <c r="N109" s="280"/>
      <c r="O109" s="170" t="s">
        <v>130</v>
      </c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  <c r="VA109" s="1"/>
      <c r="VB109" s="1"/>
      <c r="VC109" s="1"/>
      <c r="VD109" s="1"/>
      <c r="VE109" s="1"/>
      <c r="VF109" s="1"/>
      <c r="VG109" s="1"/>
      <c r="VH109" s="1"/>
      <c r="VI109" s="1"/>
      <c r="VJ109" s="1"/>
      <c r="VK109" s="1"/>
      <c r="VL109" s="1"/>
      <c r="VM109" s="1"/>
      <c r="VN109" s="1"/>
      <c r="VO109" s="1"/>
      <c r="VP109" s="1"/>
      <c r="VQ109" s="1"/>
      <c r="VR109" s="1"/>
      <c r="VS109" s="1"/>
      <c r="VT109" s="1"/>
      <c r="VU109" s="1"/>
      <c r="VV109" s="1"/>
      <c r="VW109" s="1"/>
      <c r="VX109" s="1"/>
      <c r="VY109" s="1"/>
      <c r="VZ109" s="1"/>
      <c r="WA109" s="1"/>
      <c r="WB109" s="1"/>
      <c r="WC109" s="1"/>
      <c r="WD109" s="1"/>
      <c r="WE109" s="1"/>
      <c r="WF109" s="1"/>
      <c r="WG109" s="1"/>
      <c r="WH109" s="1"/>
      <c r="WI109" s="1"/>
      <c r="WJ109" s="1"/>
      <c r="WK109" s="1"/>
      <c r="WL109" s="1"/>
      <c r="WM109" s="1"/>
      <c r="WN109" s="1"/>
      <c r="WO109" s="1"/>
      <c r="WP109" s="1"/>
      <c r="WQ109" s="1"/>
      <c r="WR109" s="1"/>
      <c r="WS109" s="1"/>
      <c r="WT109" s="1"/>
      <c r="WU109" s="1"/>
      <c r="WV109" s="1"/>
      <c r="WW109" s="1"/>
      <c r="WX109" s="1"/>
      <c r="WY109" s="1"/>
      <c r="WZ109" s="1"/>
      <c r="XA109" s="1"/>
      <c r="XB109" s="1"/>
      <c r="XC109" s="1"/>
      <c r="XD109" s="1"/>
      <c r="XE109" s="1"/>
      <c r="XF109" s="1"/>
      <c r="XG109" s="1"/>
      <c r="XH109" s="1"/>
      <c r="XI109" s="1"/>
      <c r="XJ109" s="1"/>
      <c r="XK109" s="1"/>
      <c r="XL109" s="1"/>
      <c r="XM109" s="1"/>
      <c r="XN109" s="1"/>
      <c r="XO109" s="1"/>
      <c r="XP109" s="1"/>
      <c r="XQ109" s="1"/>
      <c r="XR109" s="1"/>
      <c r="XS109" s="1"/>
      <c r="XT109" s="1"/>
      <c r="XU109" s="1"/>
      <c r="XV109" s="1"/>
      <c r="XW109" s="1"/>
      <c r="XX109" s="1"/>
      <c r="XY109" s="1"/>
      <c r="XZ109" s="1"/>
      <c r="YA109" s="1"/>
      <c r="YB109" s="1"/>
      <c r="YC109" s="1"/>
      <c r="YD109" s="1"/>
      <c r="YE109" s="1"/>
      <c r="YF109" s="1"/>
      <c r="YG109" s="1"/>
      <c r="YH109" s="1"/>
      <c r="YI109" s="1"/>
      <c r="YJ109" s="1"/>
      <c r="YK109" s="1"/>
      <c r="YL109" s="1"/>
      <c r="YM109" s="1"/>
      <c r="YN109" s="1"/>
      <c r="YO109" s="1"/>
      <c r="YP109" s="1"/>
      <c r="YQ109" s="1"/>
      <c r="YR109" s="1"/>
      <c r="YS109" s="1"/>
      <c r="YT109" s="1"/>
      <c r="YU109" s="1"/>
      <c r="YV109" s="1"/>
      <c r="YW109" s="1"/>
      <c r="YX109" s="1"/>
      <c r="YY109" s="1"/>
      <c r="YZ109" s="1"/>
      <c r="ZA109" s="1"/>
      <c r="ZB109" s="1"/>
      <c r="ZC109" s="1"/>
      <c r="ZD109" s="1"/>
      <c r="ZE109" s="1"/>
      <c r="ZF109" s="1"/>
      <c r="ZG109" s="1"/>
      <c r="ZH109" s="1"/>
      <c r="ZI109" s="1"/>
      <c r="ZJ109" s="1"/>
      <c r="ZK109" s="1"/>
      <c r="ZL109" s="1"/>
      <c r="ZM109" s="1"/>
      <c r="ZN109" s="1"/>
      <c r="ZO109" s="1"/>
      <c r="ZP109" s="1"/>
      <c r="ZQ109" s="1"/>
      <c r="ZR109" s="1"/>
      <c r="ZS109" s="1"/>
      <c r="ZT109" s="1"/>
      <c r="ZU109" s="1"/>
      <c r="ZV109" s="1"/>
      <c r="ZW109" s="1"/>
      <c r="ZX109" s="1"/>
      <c r="ZY109" s="1"/>
      <c r="ZZ109" s="1"/>
    </row>
    <row r="110" ht="36.0" customHeight="1">
      <c r="A110" s="278" t="s">
        <v>157</v>
      </c>
      <c r="B110" s="278" t="s">
        <v>350</v>
      </c>
      <c r="C110" s="278" t="s">
        <v>752</v>
      </c>
      <c r="D110" s="278" t="str">
        <f t="shared" si="2"/>
        <v/>
      </c>
      <c r="E110" s="279" t="str">
        <f t="array" ref="E110">IF(B110="","",IF(B110&lt;&gt;B109,SUMPRODUCT(($B$5:B110&lt;&gt;$B$4:B109)*($B$5:B110&lt;&gt;"")),""))</f>
        <v/>
      </c>
      <c r="F110" s="279" t="str">
        <f t="shared" si="3"/>
        <v/>
      </c>
      <c r="G110" s="279">
        <f t="shared" si="4"/>
        <v>8</v>
      </c>
      <c r="H110" s="177" t="str">
        <f t="shared" si="5"/>
        <v>削除データ取得処理の実装</v>
      </c>
      <c r="I110" s="278"/>
      <c r="J110" s="278"/>
      <c r="K110" s="278"/>
      <c r="L110" s="178" t="str">
        <f t="shared" si="6"/>
        <v>【Salesforceデータ連携（1販社先行検証）】18-8_条件付き作業_削除データ取得処理の実装</v>
      </c>
      <c r="M110" s="280"/>
      <c r="N110" s="280"/>
      <c r="O110" s="170" t="s">
        <v>130</v>
      </c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/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/>
      <c r="DN110" s="10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  <c r="VA110" s="1"/>
      <c r="VB110" s="1"/>
      <c r="VC110" s="1"/>
      <c r="VD110" s="1"/>
      <c r="VE110" s="1"/>
      <c r="VF110" s="1"/>
      <c r="VG110" s="1"/>
      <c r="VH110" s="1"/>
      <c r="VI110" s="1"/>
      <c r="VJ110" s="1"/>
      <c r="VK110" s="1"/>
      <c r="VL110" s="1"/>
      <c r="VM110" s="1"/>
      <c r="VN110" s="1"/>
      <c r="VO110" s="1"/>
      <c r="VP110" s="1"/>
      <c r="VQ110" s="1"/>
      <c r="VR110" s="1"/>
      <c r="VS110" s="1"/>
      <c r="VT110" s="1"/>
      <c r="VU110" s="1"/>
      <c r="VV110" s="1"/>
      <c r="VW110" s="1"/>
      <c r="VX110" s="1"/>
      <c r="VY110" s="1"/>
      <c r="VZ110" s="1"/>
      <c r="WA110" s="1"/>
      <c r="WB110" s="1"/>
      <c r="WC110" s="1"/>
      <c r="WD110" s="1"/>
      <c r="WE110" s="1"/>
      <c r="WF110" s="1"/>
      <c r="WG110" s="1"/>
      <c r="WH110" s="1"/>
      <c r="WI110" s="1"/>
      <c r="WJ110" s="1"/>
      <c r="WK110" s="1"/>
      <c r="WL110" s="1"/>
      <c r="WM110" s="1"/>
      <c r="WN110" s="1"/>
      <c r="WO110" s="1"/>
      <c r="WP110" s="1"/>
      <c r="WQ110" s="1"/>
      <c r="WR110" s="1"/>
      <c r="WS110" s="1"/>
      <c r="WT110" s="1"/>
      <c r="WU110" s="1"/>
      <c r="WV110" s="1"/>
      <c r="WW110" s="1"/>
      <c r="WX110" s="1"/>
      <c r="WY110" s="1"/>
      <c r="WZ110" s="1"/>
      <c r="XA110" s="1"/>
      <c r="XB110" s="1"/>
      <c r="XC110" s="1"/>
      <c r="XD110" s="1"/>
      <c r="XE110" s="1"/>
      <c r="XF110" s="1"/>
      <c r="XG110" s="1"/>
      <c r="XH110" s="1"/>
      <c r="XI110" s="1"/>
      <c r="XJ110" s="1"/>
      <c r="XK110" s="1"/>
      <c r="XL110" s="1"/>
      <c r="XM110" s="1"/>
      <c r="XN110" s="1"/>
      <c r="XO110" s="1"/>
      <c r="XP110" s="1"/>
      <c r="XQ110" s="1"/>
      <c r="XR110" s="1"/>
      <c r="XS110" s="1"/>
      <c r="XT110" s="1"/>
      <c r="XU110" s="1"/>
      <c r="XV110" s="1"/>
      <c r="XW110" s="1"/>
      <c r="XX110" s="1"/>
      <c r="XY110" s="1"/>
      <c r="XZ110" s="1"/>
      <c r="YA110" s="1"/>
      <c r="YB110" s="1"/>
      <c r="YC110" s="1"/>
      <c r="YD110" s="1"/>
      <c r="YE110" s="1"/>
      <c r="YF110" s="1"/>
      <c r="YG110" s="1"/>
      <c r="YH110" s="1"/>
      <c r="YI110" s="1"/>
      <c r="YJ110" s="1"/>
      <c r="YK110" s="1"/>
      <c r="YL110" s="1"/>
      <c r="YM110" s="1"/>
      <c r="YN110" s="1"/>
      <c r="YO110" s="1"/>
      <c r="YP110" s="1"/>
      <c r="YQ110" s="1"/>
      <c r="YR110" s="1"/>
      <c r="YS110" s="1"/>
      <c r="YT110" s="1"/>
      <c r="YU110" s="1"/>
      <c r="YV110" s="1"/>
      <c r="YW110" s="1"/>
      <c r="YX110" s="1"/>
      <c r="YY110" s="1"/>
      <c r="YZ110" s="1"/>
      <c r="ZA110" s="1"/>
      <c r="ZB110" s="1"/>
      <c r="ZC110" s="1"/>
      <c r="ZD110" s="1"/>
      <c r="ZE110" s="1"/>
      <c r="ZF110" s="1"/>
      <c r="ZG110" s="1"/>
      <c r="ZH110" s="1"/>
      <c r="ZI110" s="1"/>
      <c r="ZJ110" s="1"/>
      <c r="ZK110" s="1"/>
      <c r="ZL110" s="1"/>
      <c r="ZM110" s="1"/>
      <c r="ZN110" s="1"/>
      <c r="ZO110" s="1"/>
      <c r="ZP110" s="1"/>
      <c r="ZQ110" s="1"/>
      <c r="ZR110" s="1"/>
      <c r="ZS110" s="1"/>
      <c r="ZT110" s="1"/>
      <c r="ZU110" s="1"/>
      <c r="ZV110" s="1"/>
      <c r="ZW110" s="1"/>
      <c r="ZX110" s="1"/>
      <c r="ZY110" s="1"/>
      <c r="ZZ110" s="1"/>
    </row>
    <row r="111" ht="36.0" customHeight="1">
      <c r="A111" s="278" t="s">
        <v>157</v>
      </c>
      <c r="B111" s="278" t="s">
        <v>350</v>
      </c>
      <c r="C111" s="278" t="s">
        <v>756</v>
      </c>
      <c r="D111" s="278" t="str">
        <f t="shared" si="2"/>
        <v/>
      </c>
      <c r="E111" s="279" t="str">
        <f t="array" ref="E111">IF(B111="","",IF(B111&lt;&gt;B110,SUMPRODUCT(($B$5:B111&lt;&gt;$B$4:B110)*($B$5:B111&lt;&gt;"")),""))</f>
        <v/>
      </c>
      <c r="F111" s="279" t="str">
        <f t="shared" si="3"/>
        <v/>
      </c>
      <c r="G111" s="279">
        <f t="shared" si="4"/>
        <v>9</v>
      </c>
      <c r="H111" s="177" t="str">
        <f t="shared" si="5"/>
        <v>削除データ反映試験</v>
      </c>
      <c r="I111" s="278"/>
      <c r="J111" s="278"/>
      <c r="K111" s="278"/>
      <c r="L111" s="178" t="str">
        <f t="shared" si="6"/>
        <v>【Salesforceデータ連携（1販社先行検証）】18-9_条件付き作業_削除データ反映試験</v>
      </c>
      <c r="M111" s="280"/>
      <c r="N111" s="280"/>
      <c r="O111" s="170" t="s">
        <v>130</v>
      </c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/>
      <c r="DN111" s="10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  <c r="VA111" s="1"/>
      <c r="VB111" s="1"/>
      <c r="VC111" s="1"/>
      <c r="VD111" s="1"/>
      <c r="VE111" s="1"/>
      <c r="VF111" s="1"/>
      <c r="VG111" s="1"/>
      <c r="VH111" s="1"/>
      <c r="VI111" s="1"/>
      <c r="VJ111" s="1"/>
      <c r="VK111" s="1"/>
      <c r="VL111" s="1"/>
      <c r="VM111" s="1"/>
      <c r="VN111" s="1"/>
      <c r="VO111" s="1"/>
      <c r="VP111" s="1"/>
      <c r="VQ111" s="1"/>
      <c r="VR111" s="1"/>
      <c r="VS111" s="1"/>
      <c r="VT111" s="1"/>
      <c r="VU111" s="1"/>
      <c r="VV111" s="1"/>
      <c r="VW111" s="1"/>
      <c r="VX111" s="1"/>
      <c r="VY111" s="1"/>
      <c r="VZ111" s="1"/>
      <c r="WA111" s="1"/>
      <c r="WB111" s="1"/>
      <c r="WC111" s="1"/>
      <c r="WD111" s="1"/>
      <c r="WE111" s="1"/>
      <c r="WF111" s="1"/>
      <c r="WG111" s="1"/>
      <c r="WH111" s="1"/>
      <c r="WI111" s="1"/>
      <c r="WJ111" s="1"/>
      <c r="WK111" s="1"/>
      <c r="WL111" s="1"/>
      <c r="WM111" s="1"/>
      <c r="WN111" s="1"/>
      <c r="WO111" s="1"/>
      <c r="WP111" s="1"/>
      <c r="WQ111" s="1"/>
      <c r="WR111" s="1"/>
      <c r="WS111" s="1"/>
      <c r="WT111" s="1"/>
      <c r="WU111" s="1"/>
      <c r="WV111" s="1"/>
      <c r="WW111" s="1"/>
      <c r="WX111" s="1"/>
      <c r="WY111" s="1"/>
      <c r="WZ111" s="1"/>
      <c r="XA111" s="1"/>
      <c r="XB111" s="1"/>
      <c r="XC111" s="1"/>
      <c r="XD111" s="1"/>
      <c r="XE111" s="1"/>
      <c r="XF111" s="1"/>
      <c r="XG111" s="1"/>
      <c r="XH111" s="1"/>
      <c r="XI111" s="1"/>
      <c r="XJ111" s="1"/>
      <c r="XK111" s="1"/>
      <c r="XL111" s="1"/>
      <c r="XM111" s="1"/>
      <c r="XN111" s="1"/>
      <c r="XO111" s="1"/>
      <c r="XP111" s="1"/>
      <c r="XQ111" s="1"/>
      <c r="XR111" s="1"/>
      <c r="XS111" s="1"/>
      <c r="XT111" s="1"/>
      <c r="XU111" s="1"/>
      <c r="XV111" s="1"/>
      <c r="XW111" s="1"/>
      <c r="XX111" s="1"/>
      <c r="XY111" s="1"/>
      <c r="XZ111" s="1"/>
      <c r="YA111" s="1"/>
      <c r="YB111" s="1"/>
      <c r="YC111" s="1"/>
      <c r="YD111" s="1"/>
      <c r="YE111" s="1"/>
      <c r="YF111" s="1"/>
      <c r="YG111" s="1"/>
      <c r="YH111" s="1"/>
      <c r="YI111" s="1"/>
      <c r="YJ111" s="1"/>
      <c r="YK111" s="1"/>
      <c r="YL111" s="1"/>
      <c r="YM111" s="1"/>
      <c r="YN111" s="1"/>
      <c r="YO111" s="1"/>
      <c r="YP111" s="1"/>
      <c r="YQ111" s="1"/>
      <c r="YR111" s="1"/>
      <c r="YS111" s="1"/>
      <c r="YT111" s="1"/>
      <c r="YU111" s="1"/>
      <c r="YV111" s="1"/>
      <c r="YW111" s="1"/>
      <c r="YX111" s="1"/>
      <c r="YY111" s="1"/>
      <c r="YZ111" s="1"/>
      <c r="ZA111" s="1"/>
      <c r="ZB111" s="1"/>
      <c r="ZC111" s="1"/>
      <c r="ZD111" s="1"/>
      <c r="ZE111" s="1"/>
      <c r="ZF111" s="1"/>
      <c r="ZG111" s="1"/>
      <c r="ZH111" s="1"/>
      <c r="ZI111" s="1"/>
      <c r="ZJ111" s="1"/>
      <c r="ZK111" s="1"/>
      <c r="ZL111" s="1"/>
      <c r="ZM111" s="1"/>
      <c r="ZN111" s="1"/>
      <c r="ZO111" s="1"/>
      <c r="ZP111" s="1"/>
      <c r="ZQ111" s="1"/>
      <c r="ZR111" s="1"/>
      <c r="ZS111" s="1"/>
      <c r="ZT111" s="1"/>
      <c r="ZU111" s="1"/>
      <c r="ZV111" s="1"/>
      <c r="ZW111" s="1"/>
      <c r="ZX111" s="1"/>
      <c r="ZY111" s="1"/>
      <c r="ZZ111" s="1"/>
    </row>
    <row r="112" ht="36.0" customHeight="1">
      <c r="A112" s="278" t="s">
        <v>157</v>
      </c>
      <c r="B112" s="278" t="s">
        <v>350</v>
      </c>
      <c r="C112" s="278" t="s">
        <v>760</v>
      </c>
      <c r="D112" s="278" t="str">
        <f t="shared" si="2"/>
        <v/>
      </c>
      <c r="E112" s="279" t="str">
        <f t="array" ref="E112">IF(B112="","",IF(B112&lt;&gt;B111,SUMPRODUCT(($B$5:B112&lt;&gt;$B$4:B111)*($B$5:B112&lt;&gt;"")),""))</f>
        <v/>
      </c>
      <c r="F112" s="279" t="str">
        <f t="shared" si="3"/>
        <v/>
      </c>
      <c r="G112" s="279">
        <f t="shared" si="4"/>
        <v>10</v>
      </c>
      <c r="H112" s="177" t="str">
        <f t="shared" si="5"/>
        <v>Private接続追加設計</v>
      </c>
      <c r="I112" s="278"/>
      <c r="J112" s="278"/>
      <c r="K112" s="278"/>
      <c r="L112" s="178" t="str">
        <f t="shared" si="6"/>
        <v>【Salesforceデータ連携（1販社先行検証）】18-10_条件付き作業_Private接続追加設計</v>
      </c>
      <c r="M112" s="280"/>
      <c r="N112" s="280"/>
      <c r="O112" s="170" t="s">
        <v>130</v>
      </c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</row>
    <row r="113" ht="36.0" customHeight="1">
      <c r="A113" s="278" t="s">
        <v>157</v>
      </c>
      <c r="B113" s="278" t="s">
        <v>350</v>
      </c>
      <c r="C113" s="278" t="s">
        <v>765</v>
      </c>
      <c r="D113" s="278" t="str">
        <f t="shared" si="2"/>
        <v/>
      </c>
      <c r="E113" s="279" t="str">
        <f t="array" ref="E113">IF(B113="","",IF(B113&lt;&gt;B112,SUMPRODUCT(($B$5:B113&lt;&gt;$B$4:B112)*($B$5:B113&lt;&gt;"")),""))</f>
        <v/>
      </c>
      <c r="F113" s="279" t="str">
        <f t="shared" si="3"/>
        <v/>
      </c>
      <c r="G113" s="279">
        <f t="shared" si="4"/>
        <v>11</v>
      </c>
      <c r="H113" s="177" t="str">
        <f t="shared" si="5"/>
        <v>Firewall・NSG等の追加設定確認</v>
      </c>
      <c r="I113" s="278"/>
      <c r="J113" s="278"/>
      <c r="K113" s="278"/>
      <c r="L113" s="178" t="str">
        <f t="shared" si="6"/>
        <v>【Salesforceデータ連携（1販社先行検証）】18-11_条件付き作業_Firewall・NSG等の追加設定確認</v>
      </c>
      <c r="M113" s="280"/>
      <c r="N113" s="280"/>
      <c r="O113" s="170" t="s">
        <v>130</v>
      </c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  <c r="CQ113" s="10"/>
      <c r="CR113" s="10"/>
      <c r="CS113" s="10"/>
      <c r="CT113" s="10"/>
      <c r="CU113" s="10"/>
      <c r="CV113" s="10"/>
      <c r="CW113" s="10"/>
      <c r="CX113" s="10"/>
      <c r="CY113" s="10"/>
      <c r="CZ113" s="10"/>
      <c r="DA113" s="10"/>
      <c r="DB113" s="10"/>
      <c r="DC113" s="10"/>
      <c r="DD113" s="10"/>
      <c r="DE113" s="10"/>
      <c r="DF113" s="10"/>
      <c r="DG113" s="10"/>
      <c r="DH113" s="10"/>
      <c r="DI113" s="10"/>
      <c r="DJ113" s="10"/>
      <c r="DK113" s="10"/>
      <c r="DL113" s="10"/>
      <c r="DM113" s="10"/>
      <c r="DN113" s="10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</row>
    <row r="114" ht="39.75" customHeight="1">
      <c r="A114" s="197" t="s">
        <v>157</v>
      </c>
      <c r="B114" s="197" t="s">
        <v>770</v>
      </c>
      <c r="C114" s="197" t="s">
        <v>771</v>
      </c>
      <c r="D114" s="197" t="str">
        <f t="shared" si="2"/>
        <v/>
      </c>
      <c r="E114" s="198">
        <f t="array" ref="E114">IF(B114="","",IF(B114&lt;&gt;B113,SUMPRODUCT(($B$5:B114&lt;&gt;$B$4:B113)*($B$5:B114&lt;&gt;"")),""))</f>
        <v>19</v>
      </c>
      <c r="F114" s="198" t="str">
        <f t="shared" si="3"/>
        <v>対象範囲確認：データ加工基盤</v>
      </c>
      <c r="G114" s="198">
        <f t="shared" si="4"/>
        <v>1</v>
      </c>
      <c r="H114" s="167" t="str">
        <f t="shared" si="5"/>
        <v>ADLS Landing／Raw</v>
      </c>
      <c r="I114" s="197"/>
      <c r="J114" s="197"/>
      <c r="K114" s="197"/>
      <c r="L114" s="168" t="str">
        <f t="shared" si="6"/>
        <v>【Salesforceデータ連携（1販社先行検証）】19-1_対象範囲確認：データ加工基盤_ADLS Landing／Raw</v>
      </c>
      <c r="M114" s="199"/>
      <c r="N114" s="199"/>
      <c r="O114" s="170" t="s">
        <v>130</v>
      </c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/>
      <c r="DN114" s="10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</row>
    <row r="115" ht="36.0" customHeight="1">
      <c r="A115" s="281" t="s">
        <v>157</v>
      </c>
      <c r="B115" s="281" t="s">
        <v>770</v>
      </c>
      <c r="C115" s="281" t="s">
        <v>777</v>
      </c>
      <c r="D115" s="281" t="str">
        <f t="shared" si="2"/>
        <v/>
      </c>
      <c r="E115" s="282" t="str">
        <f t="array" ref="E115">IF(B115="","",IF(B115&lt;&gt;B114,SUMPRODUCT(($B$5:B115&lt;&gt;$B$4:B114)*($B$5:B115&lt;&gt;"")),""))</f>
        <v/>
      </c>
      <c r="F115" s="282" t="str">
        <f t="shared" si="3"/>
        <v/>
      </c>
      <c r="G115" s="282">
        <f t="shared" si="4"/>
        <v>2</v>
      </c>
      <c r="H115" s="177" t="str">
        <f t="shared" si="5"/>
        <v>Bronze構築</v>
      </c>
      <c r="I115" s="281"/>
      <c r="J115" s="281"/>
      <c r="K115" s="281"/>
      <c r="L115" s="178" t="str">
        <f t="shared" si="6"/>
        <v>【Salesforceデータ連携（1販社先行検証）】19-2_対象範囲確認：データ加工基盤_Bronze構築</v>
      </c>
      <c r="M115" s="283"/>
      <c r="N115" s="283"/>
      <c r="O115" s="170" t="s">
        <v>130</v>
      </c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  <c r="CP115" s="10"/>
      <c r="CQ115" s="10"/>
      <c r="CR115" s="10"/>
      <c r="CS115" s="10"/>
      <c r="CT115" s="10"/>
      <c r="CU115" s="10"/>
      <c r="CV115" s="10"/>
      <c r="CW115" s="10"/>
      <c r="CX115" s="10"/>
      <c r="CY115" s="10"/>
      <c r="CZ115" s="10"/>
      <c r="DA115" s="10"/>
      <c r="DB115" s="10"/>
      <c r="DC115" s="10"/>
      <c r="DD115" s="10"/>
      <c r="DE115" s="10"/>
      <c r="DF115" s="10"/>
      <c r="DG115" s="10"/>
      <c r="DH115" s="10"/>
      <c r="DI115" s="10"/>
      <c r="DJ115" s="10"/>
      <c r="DK115" s="10"/>
      <c r="DL115" s="10"/>
      <c r="DM115" s="10"/>
      <c r="DN115" s="10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  <c r="VA115" s="1"/>
      <c r="VB115" s="1"/>
      <c r="VC115" s="1"/>
      <c r="VD115" s="1"/>
      <c r="VE115" s="1"/>
      <c r="VF115" s="1"/>
      <c r="VG115" s="1"/>
      <c r="VH115" s="1"/>
      <c r="VI115" s="1"/>
      <c r="VJ115" s="1"/>
      <c r="VK115" s="1"/>
      <c r="VL115" s="1"/>
      <c r="VM115" s="1"/>
      <c r="VN115" s="1"/>
      <c r="VO115" s="1"/>
      <c r="VP115" s="1"/>
      <c r="VQ115" s="1"/>
      <c r="VR115" s="1"/>
      <c r="VS115" s="1"/>
      <c r="VT115" s="1"/>
      <c r="VU115" s="1"/>
      <c r="VV115" s="1"/>
      <c r="VW115" s="1"/>
      <c r="VX115" s="1"/>
      <c r="VY115" s="1"/>
      <c r="VZ115" s="1"/>
      <c r="WA115" s="1"/>
      <c r="WB115" s="1"/>
      <c r="WC115" s="1"/>
      <c r="WD115" s="1"/>
      <c r="WE115" s="1"/>
      <c r="WF115" s="1"/>
      <c r="WG115" s="1"/>
      <c r="WH115" s="1"/>
      <c r="WI115" s="1"/>
      <c r="WJ115" s="1"/>
      <c r="WK115" s="1"/>
      <c r="WL115" s="1"/>
      <c r="WM115" s="1"/>
      <c r="WN115" s="1"/>
      <c r="WO115" s="1"/>
      <c r="WP115" s="1"/>
      <c r="WQ115" s="1"/>
      <c r="WR115" s="1"/>
      <c r="WS115" s="1"/>
      <c r="WT115" s="1"/>
      <c r="WU115" s="1"/>
      <c r="WV115" s="1"/>
      <c r="WW115" s="1"/>
      <c r="WX115" s="1"/>
      <c r="WY115" s="1"/>
      <c r="WZ115" s="1"/>
      <c r="XA115" s="1"/>
      <c r="XB115" s="1"/>
      <c r="XC115" s="1"/>
      <c r="XD115" s="1"/>
      <c r="XE115" s="1"/>
      <c r="XF115" s="1"/>
      <c r="XG115" s="1"/>
      <c r="XH115" s="1"/>
      <c r="XI115" s="1"/>
      <c r="XJ115" s="1"/>
      <c r="XK115" s="1"/>
      <c r="XL115" s="1"/>
      <c r="XM115" s="1"/>
      <c r="XN115" s="1"/>
      <c r="XO115" s="1"/>
      <c r="XP115" s="1"/>
      <c r="XQ115" s="1"/>
      <c r="XR115" s="1"/>
      <c r="XS115" s="1"/>
      <c r="XT115" s="1"/>
      <c r="XU115" s="1"/>
      <c r="XV115" s="1"/>
      <c r="XW115" s="1"/>
      <c r="XX115" s="1"/>
      <c r="XY115" s="1"/>
      <c r="XZ115" s="1"/>
      <c r="YA115" s="1"/>
      <c r="YB115" s="1"/>
      <c r="YC115" s="1"/>
      <c r="YD115" s="1"/>
      <c r="YE115" s="1"/>
      <c r="YF115" s="1"/>
      <c r="YG115" s="1"/>
      <c r="YH115" s="1"/>
      <c r="YI115" s="1"/>
      <c r="YJ115" s="1"/>
      <c r="YK115" s="1"/>
      <c r="YL115" s="1"/>
      <c r="YM115" s="1"/>
      <c r="YN115" s="1"/>
      <c r="YO115" s="1"/>
      <c r="YP115" s="1"/>
      <c r="YQ115" s="1"/>
      <c r="YR115" s="1"/>
      <c r="YS115" s="1"/>
      <c r="YT115" s="1"/>
      <c r="YU115" s="1"/>
      <c r="YV115" s="1"/>
      <c r="YW115" s="1"/>
      <c r="YX115" s="1"/>
      <c r="YY115" s="1"/>
      <c r="YZ115" s="1"/>
      <c r="ZA115" s="1"/>
      <c r="ZB115" s="1"/>
      <c r="ZC115" s="1"/>
      <c r="ZD115" s="1"/>
      <c r="ZE115" s="1"/>
      <c r="ZF115" s="1"/>
      <c r="ZG115" s="1"/>
      <c r="ZH115" s="1"/>
      <c r="ZI115" s="1"/>
      <c r="ZJ115" s="1"/>
      <c r="ZK115" s="1"/>
      <c r="ZL115" s="1"/>
      <c r="ZM115" s="1"/>
      <c r="ZN115" s="1"/>
      <c r="ZO115" s="1"/>
      <c r="ZP115" s="1"/>
      <c r="ZQ115" s="1"/>
      <c r="ZR115" s="1"/>
      <c r="ZS115" s="1"/>
      <c r="ZT115" s="1"/>
      <c r="ZU115" s="1"/>
      <c r="ZV115" s="1"/>
      <c r="ZW115" s="1"/>
      <c r="ZX115" s="1"/>
      <c r="ZY115" s="1"/>
      <c r="ZZ115" s="1"/>
    </row>
    <row r="116" ht="36.0" customHeight="1">
      <c r="A116" s="281" t="s">
        <v>157</v>
      </c>
      <c r="B116" s="281" t="s">
        <v>770</v>
      </c>
      <c r="C116" s="281" t="s">
        <v>780</v>
      </c>
      <c r="D116" s="281" t="str">
        <f t="shared" si="2"/>
        <v/>
      </c>
      <c r="E116" s="282" t="str">
        <f t="array" ref="E116">IF(B116="","",IF(B116&lt;&gt;B115,SUMPRODUCT(($B$5:B116&lt;&gt;$B$4:B115)*($B$5:B116&lt;&gt;"")),""))</f>
        <v/>
      </c>
      <c r="F116" s="282" t="str">
        <f t="shared" si="3"/>
        <v/>
      </c>
      <c r="G116" s="282">
        <f t="shared" si="4"/>
        <v>3</v>
      </c>
      <c r="H116" s="177" t="str">
        <f t="shared" si="5"/>
        <v>Silver構築</v>
      </c>
      <c r="I116" s="281"/>
      <c r="J116" s="281"/>
      <c r="K116" s="281"/>
      <c r="L116" s="178" t="str">
        <f t="shared" si="6"/>
        <v>【Salesforceデータ連携（1販社先行検証）】19-3_対象範囲確認：データ加工基盤_Silver構築</v>
      </c>
      <c r="M116" s="283"/>
      <c r="N116" s="283"/>
      <c r="O116" s="170" t="s">
        <v>130</v>
      </c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  <c r="CQ116" s="10"/>
      <c r="CR116" s="10"/>
      <c r="CS116" s="10"/>
      <c r="CT116" s="10"/>
      <c r="CU116" s="10"/>
      <c r="CV116" s="10"/>
      <c r="CW116" s="10"/>
      <c r="CX116" s="10"/>
      <c r="CY116" s="10"/>
      <c r="CZ116" s="10"/>
      <c r="DA116" s="10"/>
      <c r="DB116" s="10"/>
      <c r="DC116" s="10"/>
      <c r="DD116" s="10"/>
      <c r="DE116" s="10"/>
      <c r="DF116" s="10"/>
      <c r="DG116" s="10"/>
      <c r="DH116" s="10"/>
      <c r="DI116" s="10"/>
      <c r="DJ116" s="10"/>
      <c r="DK116" s="10"/>
      <c r="DL116" s="10"/>
      <c r="DM116" s="10"/>
      <c r="DN116" s="10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  <c r="VA116" s="1"/>
      <c r="VB116" s="1"/>
      <c r="VC116" s="1"/>
      <c r="VD116" s="1"/>
      <c r="VE116" s="1"/>
      <c r="VF116" s="1"/>
      <c r="VG116" s="1"/>
      <c r="VH116" s="1"/>
      <c r="VI116" s="1"/>
      <c r="VJ116" s="1"/>
      <c r="VK116" s="1"/>
      <c r="VL116" s="1"/>
      <c r="VM116" s="1"/>
      <c r="VN116" s="1"/>
      <c r="VO116" s="1"/>
      <c r="VP116" s="1"/>
      <c r="VQ116" s="1"/>
      <c r="VR116" s="1"/>
      <c r="VS116" s="1"/>
      <c r="VT116" s="1"/>
      <c r="VU116" s="1"/>
      <c r="VV116" s="1"/>
      <c r="VW116" s="1"/>
      <c r="VX116" s="1"/>
      <c r="VY116" s="1"/>
      <c r="VZ116" s="1"/>
      <c r="WA116" s="1"/>
      <c r="WB116" s="1"/>
      <c r="WC116" s="1"/>
      <c r="WD116" s="1"/>
      <c r="WE116" s="1"/>
      <c r="WF116" s="1"/>
      <c r="WG116" s="1"/>
      <c r="WH116" s="1"/>
      <c r="WI116" s="1"/>
      <c r="WJ116" s="1"/>
      <c r="WK116" s="1"/>
      <c r="WL116" s="1"/>
      <c r="WM116" s="1"/>
      <c r="WN116" s="1"/>
      <c r="WO116" s="1"/>
      <c r="WP116" s="1"/>
      <c r="WQ116" s="1"/>
      <c r="WR116" s="1"/>
      <c r="WS116" s="1"/>
      <c r="WT116" s="1"/>
      <c r="WU116" s="1"/>
      <c r="WV116" s="1"/>
      <c r="WW116" s="1"/>
      <c r="WX116" s="1"/>
      <c r="WY116" s="1"/>
      <c r="WZ116" s="1"/>
      <c r="XA116" s="1"/>
      <c r="XB116" s="1"/>
      <c r="XC116" s="1"/>
      <c r="XD116" s="1"/>
      <c r="XE116" s="1"/>
      <c r="XF116" s="1"/>
      <c r="XG116" s="1"/>
      <c r="XH116" s="1"/>
      <c r="XI116" s="1"/>
      <c r="XJ116" s="1"/>
      <c r="XK116" s="1"/>
      <c r="XL116" s="1"/>
      <c r="XM116" s="1"/>
      <c r="XN116" s="1"/>
      <c r="XO116" s="1"/>
      <c r="XP116" s="1"/>
      <c r="XQ116" s="1"/>
      <c r="XR116" s="1"/>
      <c r="XS116" s="1"/>
      <c r="XT116" s="1"/>
      <c r="XU116" s="1"/>
      <c r="XV116" s="1"/>
      <c r="XW116" s="1"/>
      <c r="XX116" s="1"/>
      <c r="XY116" s="1"/>
      <c r="XZ116" s="1"/>
      <c r="YA116" s="1"/>
      <c r="YB116" s="1"/>
      <c r="YC116" s="1"/>
      <c r="YD116" s="1"/>
      <c r="YE116" s="1"/>
      <c r="YF116" s="1"/>
      <c r="YG116" s="1"/>
      <c r="YH116" s="1"/>
      <c r="YI116" s="1"/>
      <c r="YJ116" s="1"/>
      <c r="YK116" s="1"/>
      <c r="YL116" s="1"/>
      <c r="YM116" s="1"/>
      <c r="YN116" s="1"/>
      <c r="YO116" s="1"/>
      <c r="YP116" s="1"/>
      <c r="YQ116" s="1"/>
      <c r="YR116" s="1"/>
      <c r="YS116" s="1"/>
      <c r="YT116" s="1"/>
      <c r="YU116" s="1"/>
      <c r="YV116" s="1"/>
      <c r="YW116" s="1"/>
      <c r="YX116" s="1"/>
      <c r="YY116" s="1"/>
      <c r="YZ116" s="1"/>
      <c r="ZA116" s="1"/>
      <c r="ZB116" s="1"/>
      <c r="ZC116" s="1"/>
      <c r="ZD116" s="1"/>
      <c r="ZE116" s="1"/>
      <c r="ZF116" s="1"/>
      <c r="ZG116" s="1"/>
      <c r="ZH116" s="1"/>
      <c r="ZI116" s="1"/>
      <c r="ZJ116" s="1"/>
      <c r="ZK116" s="1"/>
      <c r="ZL116" s="1"/>
      <c r="ZM116" s="1"/>
      <c r="ZN116" s="1"/>
      <c r="ZO116" s="1"/>
      <c r="ZP116" s="1"/>
      <c r="ZQ116" s="1"/>
      <c r="ZR116" s="1"/>
      <c r="ZS116" s="1"/>
      <c r="ZT116" s="1"/>
      <c r="ZU116" s="1"/>
      <c r="ZV116" s="1"/>
      <c r="ZW116" s="1"/>
      <c r="ZX116" s="1"/>
      <c r="ZY116" s="1"/>
      <c r="ZZ116" s="1"/>
    </row>
    <row r="117" ht="36.0" customHeight="1">
      <c r="A117" s="281" t="s">
        <v>157</v>
      </c>
      <c r="B117" s="281" t="s">
        <v>770</v>
      </c>
      <c r="C117" s="281" t="s">
        <v>783</v>
      </c>
      <c r="D117" s="281" t="str">
        <f t="shared" si="2"/>
        <v/>
      </c>
      <c r="E117" s="282" t="str">
        <f t="array" ref="E117">IF(B117="","",IF(B117&lt;&gt;B116,SUMPRODUCT(($B$5:B117&lt;&gt;$B$4:B116)*($B$5:B117&lt;&gt;"")),""))</f>
        <v/>
      </c>
      <c r="F117" s="282" t="str">
        <f t="shared" si="3"/>
        <v/>
      </c>
      <c r="G117" s="282">
        <f t="shared" si="4"/>
        <v>4</v>
      </c>
      <c r="H117" s="177" t="str">
        <f t="shared" si="5"/>
        <v>Gold構築</v>
      </c>
      <c r="I117" s="281"/>
      <c r="J117" s="281"/>
      <c r="K117" s="281"/>
      <c r="L117" s="178" t="str">
        <f t="shared" si="6"/>
        <v>【Salesforceデータ連携（1販社先行検証）】19-4_対象範囲確認：データ加工基盤_Gold構築</v>
      </c>
      <c r="M117" s="283"/>
      <c r="N117" s="283"/>
      <c r="O117" s="170" t="s">
        <v>130</v>
      </c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  <c r="CP117" s="10"/>
      <c r="CQ117" s="10"/>
      <c r="CR117" s="10"/>
      <c r="CS117" s="10"/>
      <c r="CT117" s="10"/>
      <c r="CU117" s="10"/>
      <c r="CV117" s="10"/>
      <c r="CW117" s="10"/>
      <c r="CX117" s="10"/>
      <c r="CY117" s="10"/>
      <c r="CZ117" s="10"/>
      <c r="DA117" s="10"/>
      <c r="DB117" s="10"/>
      <c r="DC117" s="10"/>
      <c r="DD117" s="10"/>
      <c r="DE117" s="10"/>
      <c r="DF117" s="10"/>
      <c r="DG117" s="10"/>
      <c r="DH117" s="10"/>
      <c r="DI117" s="10"/>
      <c r="DJ117" s="10"/>
      <c r="DK117" s="10"/>
      <c r="DL117" s="10"/>
      <c r="DM117" s="10"/>
      <c r="DN117" s="10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  <c r="VA117" s="1"/>
      <c r="VB117" s="1"/>
      <c r="VC117" s="1"/>
      <c r="VD117" s="1"/>
      <c r="VE117" s="1"/>
      <c r="VF117" s="1"/>
      <c r="VG117" s="1"/>
      <c r="VH117" s="1"/>
      <c r="VI117" s="1"/>
      <c r="VJ117" s="1"/>
      <c r="VK117" s="1"/>
      <c r="VL117" s="1"/>
      <c r="VM117" s="1"/>
      <c r="VN117" s="1"/>
      <c r="VO117" s="1"/>
      <c r="VP117" s="1"/>
      <c r="VQ117" s="1"/>
      <c r="VR117" s="1"/>
      <c r="VS117" s="1"/>
      <c r="VT117" s="1"/>
      <c r="VU117" s="1"/>
      <c r="VV117" s="1"/>
      <c r="VW117" s="1"/>
      <c r="VX117" s="1"/>
      <c r="VY117" s="1"/>
      <c r="VZ117" s="1"/>
      <c r="WA117" s="1"/>
      <c r="WB117" s="1"/>
      <c r="WC117" s="1"/>
      <c r="WD117" s="1"/>
      <c r="WE117" s="1"/>
      <c r="WF117" s="1"/>
      <c r="WG117" s="1"/>
      <c r="WH117" s="1"/>
      <c r="WI117" s="1"/>
      <c r="WJ117" s="1"/>
      <c r="WK117" s="1"/>
      <c r="WL117" s="1"/>
      <c r="WM117" s="1"/>
      <c r="WN117" s="1"/>
      <c r="WO117" s="1"/>
      <c r="WP117" s="1"/>
      <c r="WQ117" s="1"/>
      <c r="WR117" s="1"/>
      <c r="WS117" s="1"/>
      <c r="WT117" s="1"/>
      <c r="WU117" s="1"/>
      <c r="WV117" s="1"/>
      <c r="WW117" s="1"/>
      <c r="WX117" s="1"/>
      <c r="WY117" s="1"/>
      <c r="WZ117" s="1"/>
      <c r="XA117" s="1"/>
      <c r="XB117" s="1"/>
      <c r="XC117" s="1"/>
      <c r="XD117" s="1"/>
      <c r="XE117" s="1"/>
      <c r="XF117" s="1"/>
      <c r="XG117" s="1"/>
      <c r="XH117" s="1"/>
      <c r="XI117" s="1"/>
      <c r="XJ117" s="1"/>
      <c r="XK117" s="1"/>
      <c r="XL117" s="1"/>
      <c r="XM117" s="1"/>
      <c r="XN117" s="1"/>
      <c r="XO117" s="1"/>
      <c r="XP117" s="1"/>
      <c r="XQ117" s="1"/>
      <c r="XR117" s="1"/>
      <c r="XS117" s="1"/>
      <c r="XT117" s="1"/>
      <c r="XU117" s="1"/>
      <c r="XV117" s="1"/>
      <c r="XW117" s="1"/>
      <c r="XX117" s="1"/>
      <c r="XY117" s="1"/>
      <c r="XZ117" s="1"/>
      <c r="YA117" s="1"/>
      <c r="YB117" s="1"/>
      <c r="YC117" s="1"/>
      <c r="YD117" s="1"/>
      <c r="YE117" s="1"/>
      <c r="YF117" s="1"/>
      <c r="YG117" s="1"/>
      <c r="YH117" s="1"/>
      <c r="YI117" s="1"/>
      <c r="YJ117" s="1"/>
      <c r="YK117" s="1"/>
      <c r="YL117" s="1"/>
      <c r="YM117" s="1"/>
      <c r="YN117" s="1"/>
      <c r="YO117" s="1"/>
      <c r="YP117" s="1"/>
      <c r="YQ117" s="1"/>
      <c r="YR117" s="1"/>
      <c r="YS117" s="1"/>
      <c r="YT117" s="1"/>
      <c r="YU117" s="1"/>
      <c r="YV117" s="1"/>
      <c r="YW117" s="1"/>
      <c r="YX117" s="1"/>
      <c r="YY117" s="1"/>
      <c r="YZ117" s="1"/>
      <c r="ZA117" s="1"/>
      <c r="ZB117" s="1"/>
      <c r="ZC117" s="1"/>
      <c r="ZD117" s="1"/>
      <c r="ZE117" s="1"/>
      <c r="ZF117" s="1"/>
      <c r="ZG117" s="1"/>
      <c r="ZH117" s="1"/>
      <c r="ZI117" s="1"/>
      <c r="ZJ117" s="1"/>
      <c r="ZK117" s="1"/>
      <c r="ZL117" s="1"/>
      <c r="ZM117" s="1"/>
      <c r="ZN117" s="1"/>
      <c r="ZO117" s="1"/>
      <c r="ZP117" s="1"/>
      <c r="ZQ117" s="1"/>
      <c r="ZR117" s="1"/>
      <c r="ZS117" s="1"/>
      <c r="ZT117" s="1"/>
      <c r="ZU117" s="1"/>
      <c r="ZV117" s="1"/>
      <c r="ZW117" s="1"/>
      <c r="ZX117" s="1"/>
      <c r="ZY117" s="1"/>
      <c r="ZZ117" s="1"/>
    </row>
    <row r="118" ht="39.75" customHeight="1">
      <c r="A118" s="197" t="s">
        <v>157</v>
      </c>
      <c r="B118" s="197" t="s">
        <v>786</v>
      </c>
      <c r="C118" s="197" t="s">
        <v>787</v>
      </c>
      <c r="D118" s="197" t="str">
        <f t="shared" si="2"/>
        <v/>
      </c>
      <c r="E118" s="198">
        <f t="array" ref="E118">IF(B118="","",IF(B118&lt;&gt;B117,SUMPRODUCT(($B$5:B118&lt;&gt;$B$4:B117)*($B$5:B118&lt;&gt;"")),""))</f>
        <v>20</v>
      </c>
      <c r="F118" s="198" t="str">
        <f t="shared" si="3"/>
        <v>対象範囲確認：Power BI（別ワークストリーム）</v>
      </c>
      <c r="G118" s="198">
        <f t="shared" si="4"/>
        <v>1</v>
      </c>
      <c r="H118" s="167" t="str">
        <f t="shared" si="5"/>
        <v>Power BI接続</v>
      </c>
      <c r="I118" s="197"/>
      <c r="J118" s="197"/>
      <c r="K118" s="197"/>
      <c r="L118" s="168" t="str">
        <f t="shared" si="6"/>
        <v>【Salesforceデータ連携（1販社先行検証）】20-1_対象範囲確認：Power BI（別ワークストリーム）_Power BI接続</v>
      </c>
      <c r="M118" s="199"/>
      <c r="N118" s="199"/>
      <c r="O118" s="170" t="s">
        <v>130</v>
      </c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  <c r="VA118" s="1"/>
      <c r="VB118" s="1"/>
      <c r="VC118" s="1"/>
      <c r="VD118" s="1"/>
      <c r="VE118" s="1"/>
      <c r="VF118" s="1"/>
      <c r="VG118" s="1"/>
      <c r="VH118" s="1"/>
      <c r="VI118" s="1"/>
      <c r="VJ118" s="1"/>
      <c r="VK118" s="1"/>
      <c r="VL118" s="1"/>
      <c r="VM118" s="1"/>
      <c r="VN118" s="1"/>
      <c r="VO118" s="1"/>
      <c r="VP118" s="1"/>
      <c r="VQ118" s="1"/>
      <c r="VR118" s="1"/>
      <c r="VS118" s="1"/>
      <c r="VT118" s="1"/>
      <c r="VU118" s="1"/>
      <c r="VV118" s="1"/>
      <c r="VW118" s="1"/>
      <c r="VX118" s="1"/>
      <c r="VY118" s="1"/>
      <c r="VZ118" s="1"/>
      <c r="WA118" s="1"/>
      <c r="WB118" s="1"/>
      <c r="WC118" s="1"/>
      <c r="WD118" s="1"/>
      <c r="WE118" s="1"/>
      <c r="WF118" s="1"/>
      <c r="WG118" s="1"/>
      <c r="WH118" s="1"/>
      <c r="WI118" s="1"/>
      <c r="WJ118" s="1"/>
      <c r="WK118" s="1"/>
      <c r="WL118" s="1"/>
      <c r="WM118" s="1"/>
      <c r="WN118" s="1"/>
      <c r="WO118" s="1"/>
      <c r="WP118" s="1"/>
      <c r="WQ118" s="1"/>
      <c r="WR118" s="1"/>
      <c r="WS118" s="1"/>
      <c r="WT118" s="1"/>
      <c r="WU118" s="1"/>
      <c r="WV118" s="1"/>
      <c r="WW118" s="1"/>
      <c r="WX118" s="1"/>
      <c r="WY118" s="1"/>
      <c r="WZ118" s="1"/>
      <c r="XA118" s="1"/>
      <c r="XB118" s="1"/>
      <c r="XC118" s="1"/>
      <c r="XD118" s="1"/>
      <c r="XE118" s="1"/>
      <c r="XF118" s="1"/>
      <c r="XG118" s="1"/>
      <c r="XH118" s="1"/>
      <c r="XI118" s="1"/>
      <c r="XJ118" s="1"/>
      <c r="XK118" s="1"/>
      <c r="XL118" s="1"/>
      <c r="XM118" s="1"/>
      <c r="XN118" s="1"/>
      <c r="XO118" s="1"/>
      <c r="XP118" s="1"/>
      <c r="XQ118" s="1"/>
      <c r="XR118" s="1"/>
      <c r="XS118" s="1"/>
      <c r="XT118" s="1"/>
      <c r="XU118" s="1"/>
      <c r="XV118" s="1"/>
      <c r="XW118" s="1"/>
      <c r="XX118" s="1"/>
      <c r="XY118" s="1"/>
      <c r="XZ118" s="1"/>
      <c r="YA118" s="1"/>
      <c r="YB118" s="1"/>
      <c r="YC118" s="1"/>
      <c r="YD118" s="1"/>
      <c r="YE118" s="1"/>
      <c r="YF118" s="1"/>
      <c r="YG118" s="1"/>
      <c r="YH118" s="1"/>
      <c r="YI118" s="1"/>
      <c r="YJ118" s="1"/>
      <c r="YK118" s="1"/>
      <c r="YL118" s="1"/>
      <c r="YM118" s="1"/>
      <c r="YN118" s="1"/>
      <c r="YO118" s="1"/>
      <c r="YP118" s="1"/>
      <c r="YQ118" s="1"/>
      <c r="YR118" s="1"/>
      <c r="YS118" s="1"/>
      <c r="YT118" s="1"/>
      <c r="YU118" s="1"/>
      <c r="YV118" s="1"/>
      <c r="YW118" s="1"/>
      <c r="YX118" s="1"/>
      <c r="YY118" s="1"/>
      <c r="YZ118" s="1"/>
      <c r="ZA118" s="1"/>
      <c r="ZB118" s="1"/>
      <c r="ZC118" s="1"/>
      <c r="ZD118" s="1"/>
      <c r="ZE118" s="1"/>
      <c r="ZF118" s="1"/>
      <c r="ZG118" s="1"/>
      <c r="ZH118" s="1"/>
      <c r="ZI118" s="1"/>
      <c r="ZJ118" s="1"/>
      <c r="ZK118" s="1"/>
      <c r="ZL118" s="1"/>
      <c r="ZM118" s="1"/>
      <c r="ZN118" s="1"/>
      <c r="ZO118" s="1"/>
      <c r="ZP118" s="1"/>
      <c r="ZQ118" s="1"/>
      <c r="ZR118" s="1"/>
      <c r="ZS118" s="1"/>
      <c r="ZT118" s="1"/>
      <c r="ZU118" s="1"/>
      <c r="ZV118" s="1"/>
      <c r="ZW118" s="1"/>
      <c r="ZX118" s="1"/>
      <c r="ZY118" s="1"/>
      <c r="ZZ118" s="1"/>
    </row>
    <row r="119" ht="36.0" customHeight="1">
      <c r="A119" s="281" t="s">
        <v>157</v>
      </c>
      <c r="B119" s="281" t="s">
        <v>786</v>
      </c>
      <c r="C119" s="281" t="s">
        <v>792</v>
      </c>
      <c r="D119" s="281" t="str">
        <f t="shared" si="2"/>
        <v/>
      </c>
      <c r="E119" s="282" t="str">
        <f t="array" ref="E119">IF(B119="","",IF(B119&lt;&gt;B118,SUMPRODUCT(($B$5:B119&lt;&gt;$B$4:B118)*($B$5:B119&lt;&gt;"")),""))</f>
        <v/>
      </c>
      <c r="F119" s="282" t="str">
        <f t="shared" si="3"/>
        <v/>
      </c>
      <c r="G119" s="282">
        <f t="shared" si="4"/>
        <v>2</v>
      </c>
      <c r="H119" s="177" t="str">
        <f t="shared" si="5"/>
        <v>Semantic Model・KPI</v>
      </c>
      <c r="I119" s="281"/>
      <c r="J119" s="281"/>
      <c r="K119" s="281"/>
      <c r="L119" s="178" t="str">
        <f t="shared" si="6"/>
        <v>【Salesforceデータ連携（1販社先行検証）】20-2_対象範囲確認：Power BI（別ワークストリーム）_Semantic Model・KPI</v>
      </c>
      <c r="M119" s="283"/>
      <c r="N119" s="283"/>
      <c r="O119" s="170" t="s">
        <v>130</v>
      </c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  <c r="CQ119" s="10"/>
      <c r="CR119" s="10"/>
      <c r="CS119" s="10"/>
      <c r="CT119" s="10"/>
      <c r="CU119" s="10"/>
      <c r="CV119" s="10"/>
      <c r="CW119" s="10"/>
      <c r="CX119" s="10"/>
      <c r="CY119" s="10"/>
      <c r="CZ119" s="10"/>
      <c r="DA119" s="10"/>
      <c r="DB119" s="10"/>
      <c r="DC119" s="10"/>
      <c r="DD119" s="10"/>
      <c r="DE119" s="10"/>
      <c r="DF119" s="10"/>
      <c r="DG119" s="10"/>
      <c r="DH119" s="10"/>
      <c r="DI119" s="10"/>
      <c r="DJ119" s="10"/>
      <c r="DK119" s="10"/>
      <c r="DL119" s="10"/>
      <c r="DM119" s="10"/>
      <c r="DN119" s="10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  <c r="VA119" s="1"/>
      <c r="VB119" s="1"/>
      <c r="VC119" s="1"/>
      <c r="VD119" s="1"/>
      <c r="VE119" s="1"/>
      <c r="VF119" s="1"/>
      <c r="VG119" s="1"/>
      <c r="VH119" s="1"/>
      <c r="VI119" s="1"/>
      <c r="VJ119" s="1"/>
      <c r="VK119" s="1"/>
      <c r="VL119" s="1"/>
      <c r="VM119" s="1"/>
      <c r="VN119" s="1"/>
      <c r="VO119" s="1"/>
      <c r="VP119" s="1"/>
      <c r="VQ119" s="1"/>
      <c r="VR119" s="1"/>
      <c r="VS119" s="1"/>
      <c r="VT119" s="1"/>
      <c r="VU119" s="1"/>
      <c r="VV119" s="1"/>
      <c r="VW119" s="1"/>
      <c r="VX119" s="1"/>
      <c r="VY119" s="1"/>
      <c r="VZ119" s="1"/>
      <c r="WA119" s="1"/>
      <c r="WB119" s="1"/>
      <c r="WC119" s="1"/>
      <c r="WD119" s="1"/>
      <c r="WE119" s="1"/>
      <c r="WF119" s="1"/>
      <c r="WG119" s="1"/>
      <c r="WH119" s="1"/>
      <c r="WI119" s="1"/>
      <c r="WJ119" s="1"/>
      <c r="WK119" s="1"/>
      <c r="WL119" s="1"/>
      <c r="WM119" s="1"/>
      <c r="WN119" s="1"/>
      <c r="WO119" s="1"/>
      <c r="WP119" s="1"/>
      <c r="WQ119" s="1"/>
      <c r="WR119" s="1"/>
      <c r="WS119" s="1"/>
      <c r="WT119" s="1"/>
      <c r="WU119" s="1"/>
      <c r="WV119" s="1"/>
      <c r="WW119" s="1"/>
      <c r="WX119" s="1"/>
      <c r="WY119" s="1"/>
      <c r="WZ119" s="1"/>
      <c r="XA119" s="1"/>
      <c r="XB119" s="1"/>
      <c r="XC119" s="1"/>
      <c r="XD119" s="1"/>
      <c r="XE119" s="1"/>
      <c r="XF119" s="1"/>
      <c r="XG119" s="1"/>
      <c r="XH119" s="1"/>
      <c r="XI119" s="1"/>
      <c r="XJ119" s="1"/>
      <c r="XK119" s="1"/>
      <c r="XL119" s="1"/>
      <c r="XM119" s="1"/>
      <c r="XN119" s="1"/>
      <c r="XO119" s="1"/>
      <c r="XP119" s="1"/>
      <c r="XQ119" s="1"/>
      <c r="XR119" s="1"/>
      <c r="XS119" s="1"/>
      <c r="XT119" s="1"/>
      <c r="XU119" s="1"/>
      <c r="XV119" s="1"/>
      <c r="XW119" s="1"/>
      <c r="XX119" s="1"/>
      <c r="XY119" s="1"/>
      <c r="XZ119" s="1"/>
      <c r="YA119" s="1"/>
      <c r="YB119" s="1"/>
      <c r="YC119" s="1"/>
      <c r="YD119" s="1"/>
      <c r="YE119" s="1"/>
      <c r="YF119" s="1"/>
      <c r="YG119" s="1"/>
      <c r="YH119" s="1"/>
      <c r="YI119" s="1"/>
      <c r="YJ119" s="1"/>
      <c r="YK119" s="1"/>
      <c r="YL119" s="1"/>
      <c r="YM119" s="1"/>
      <c r="YN119" s="1"/>
      <c r="YO119" s="1"/>
      <c r="YP119" s="1"/>
      <c r="YQ119" s="1"/>
      <c r="YR119" s="1"/>
      <c r="YS119" s="1"/>
      <c r="YT119" s="1"/>
      <c r="YU119" s="1"/>
      <c r="YV119" s="1"/>
      <c r="YW119" s="1"/>
      <c r="YX119" s="1"/>
      <c r="YY119" s="1"/>
      <c r="YZ119" s="1"/>
      <c r="ZA119" s="1"/>
      <c r="ZB119" s="1"/>
      <c r="ZC119" s="1"/>
      <c r="ZD119" s="1"/>
      <c r="ZE119" s="1"/>
      <c r="ZF119" s="1"/>
      <c r="ZG119" s="1"/>
      <c r="ZH119" s="1"/>
      <c r="ZI119" s="1"/>
      <c r="ZJ119" s="1"/>
      <c r="ZK119" s="1"/>
      <c r="ZL119" s="1"/>
      <c r="ZM119" s="1"/>
      <c r="ZN119" s="1"/>
      <c r="ZO119" s="1"/>
      <c r="ZP119" s="1"/>
      <c r="ZQ119" s="1"/>
      <c r="ZR119" s="1"/>
      <c r="ZS119" s="1"/>
      <c r="ZT119" s="1"/>
      <c r="ZU119" s="1"/>
      <c r="ZV119" s="1"/>
      <c r="ZW119" s="1"/>
      <c r="ZX119" s="1"/>
      <c r="ZY119" s="1"/>
      <c r="ZZ119" s="1"/>
    </row>
    <row r="120" ht="36.0" customHeight="1">
      <c r="A120" s="281" t="s">
        <v>157</v>
      </c>
      <c r="B120" s="281" t="s">
        <v>786</v>
      </c>
      <c r="C120" s="281" t="s">
        <v>795</v>
      </c>
      <c r="D120" s="281" t="str">
        <f t="shared" si="2"/>
        <v/>
      </c>
      <c r="E120" s="282" t="str">
        <f t="array" ref="E120">IF(B120="","",IF(B120&lt;&gt;B119,SUMPRODUCT(($B$5:B120&lt;&gt;$B$4:B119)*($B$5:B120&lt;&gt;"")),""))</f>
        <v/>
      </c>
      <c r="F120" s="282" t="str">
        <f t="shared" si="3"/>
        <v/>
      </c>
      <c r="G120" s="282">
        <f t="shared" si="4"/>
        <v>3</v>
      </c>
      <c r="H120" s="177" t="str">
        <f t="shared" si="5"/>
        <v>Power BIレポート作成範囲</v>
      </c>
      <c r="I120" s="281"/>
      <c r="J120" s="281"/>
      <c r="K120" s="281"/>
      <c r="L120" s="178" t="str">
        <f t="shared" si="6"/>
        <v>【Salesforceデータ連携（1販社先行検証）】20-3_対象範囲確認：Power BI（別ワークストリーム）_Power BIレポート作成範囲</v>
      </c>
      <c r="M120" s="283"/>
      <c r="N120" s="283"/>
      <c r="O120" s="170" t="s">
        <v>130</v>
      </c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V120" s="10"/>
      <c r="CW120" s="10"/>
      <c r="CX120" s="10"/>
      <c r="CY120" s="10"/>
      <c r="CZ120" s="10"/>
      <c r="DA120" s="10"/>
      <c r="DB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/>
      <c r="DN120" s="10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  <c r="VA120" s="1"/>
      <c r="VB120" s="1"/>
      <c r="VC120" s="1"/>
      <c r="VD120" s="1"/>
      <c r="VE120" s="1"/>
      <c r="VF120" s="1"/>
      <c r="VG120" s="1"/>
      <c r="VH120" s="1"/>
      <c r="VI120" s="1"/>
      <c r="VJ120" s="1"/>
      <c r="VK120" s="1"/>
      <c r="VL120" s="1"/>
      <c r="VM120" s="1"/>
      <c r="VN120" s="1"/>
      <c r="VO120" s="1"/>
      <c r="VP120" s="1"/>
      <c r="VQ120" s="1"/>
      <c r="VR120" s="1"/>
      <c r="VS120" s="1"/>
      <c r="VT120" s="1"/>
      <c r="VU120" s="1"/>
      <c r="VV120" s="1"/>
      <c r="VW120" s="1"/>
      <c r="VX120" s="1"/>
      <c r="VY120" s="1"/>
      <c r="VZ120" s="1"/>
      <c r="WA120" s="1"/>
      <c r="WB120" s="1"/>
      <c r="WC120" s="1"/>
      <c r="WD120" s="1"/>
      <c r="WE120" s="1"/>
      <c r="WF120" s="1"/>
      <c r="WG120" s="1"/>
      <c r="WH120" s="1"/>
      <c r="WI120" s="1"/>
      <c r="WJ120" s="1"/>
      <c r="WK120" s="1"/>
      <c r="WL120" s="1"/>
      <c r="WM120" s="1"/>
      <c r="WN120" s="1"/>
      <c r="WO120" s="1"/>
      <c r="WP120" s="1"/>
      <c r="WQ120" s="1"/>
      <c r="WR120" s="1"/>
      <c r="WS120" s="1"/>
      <c r="WT120" s="1"/>
      <c r="WU120" s="1"/>
      <c r="WV120" s="1"/>
      <c r="WW120" s="1"/>
      <c r="WX120" s="1"/>
      <c r="WY120" s="1"/>
      <c r="WZ120" s="1"/>
      <c r="XA120" s="1"/>
      <c r="XB120" s="1"/>
      <c r="XC120" s="1"/>
      <c r="XD120" s="1"/>
      <c r="XE120" s="1"/>
      <c r="XF120" s="1"/>
      <c r="XG120" s="1"/>
      <c r="XH120" s="1"/>
      <c r="XI120" s="1"/>
      <c r="XJ120" s="1"/>
      <c r="XK120" s="1"/>
      <c r="XL120" s="1"/>
      <c r="XM120" s="1"/>
      <c r="XN120" s="1"/>
      <c r="XO120" s="1"/>
      <c r="XP120" s="1"/>
      <c r="XQ120" s="1"/>
      <c r="XR120" s="1"/>
      <c r="XS120" s="1"/>
      <c r="XT120" s="1"/>
      <c r="XU120" s="1"/>
      <c r="XV120" s="1"/>
      <c r="XW120" s="1"/>
      <c r="XX120" s="1"/>
      <c r="XY120" s="1"/>
      <c r="XZ120" s="1"/>
      <c r="YA120" s="1"/>
      <c r="YB120" s="1"/>
      <c r="YC120" s="1"/>
      <c r="YD120" s="1"/>
      <c r="YE120" s="1"/>
      <c r="YF120" s="1"/>
      <c r="YG120" s="1"/>
      <c r="YH120" s="1"/>
      <c r="YI120" s="1"/>
      <c r="YJ120" s="1"/>
      <c r="YK120" s="1"/>
      <c r="YL120" s="1"/>
      <c r="YM120" s="1"/>
      <c r="YN120" s="1"/>
      <c r="YO120" s="1"/>
      <c r="YP120" s="1"/>
      <c r="YQ120" s="1"/>
      <c r="YR120" s="1"/>
      <c r="YS120" s="1"/>
      <c r="YT120" s="1"/>
      <c r="YU120" s="1"/>
      <c r="YV120" s="1"/>
      <c r="YW120" s="1"/>
      <c r="YX120" s="1"/>
      <c r="YY120" s="1"/>
      <c r="YZ120" s="1"/>
      <c r="ZA120" s="1"/>
      <c r="ZB120" s="1"/>
      <c r="ZC120" s="1"/>
      <c r="ZD120" s="1"/>
      <c r="ZE120" s="1"/>
      <c r="ZF120" s="1"/>
      <c r="ZG120" s="1"/>
      <c r="ZH120" s="1"/>
      <c r="ZI120" s="1"/>
      <c r="ZJ120" s="1"/>
      <c r="ZK120" s="1"/>
      <c r="ZL120" s="1"/>
      <c r="ZM120" s="1"/>
      <c r="ZN120" s="1"/>
      <c r="ZO120" s="1"/>
      <c r="ZP120" s="1"/>
      <c r="ZQ120" s="1"/>
      <c r="ZR120" s="1"/>
      <c r="ZS120" s="1"/>
      <c r="ZT120" s="1"/>
      <c r="ZU120" s="1"/>
      <c r="ZV120" s="1"/>
      <c r="ZW120" s="1"/>
      <c r="ZX120" s="1"/>
      <c r="ZY120" s="1"/>
      <c r="ZZ120" s="1"/>
    </row>
    <row r="121" ht="36.0" customHeight="1">
      <c r="A121" s="281" t="s">
        <v>157</v>
      </c>
      <c r="B121" s="281" t="s">
        <v>786</v>
      </c>
      <c r="C121" s="281" t="s">
        <v>798</v>
      </c>
      <c r="D121" s="281" t="str">
        <f t="shared" si="2"/>
        <v/>
      </c>
      <c r="E121" s="282" t="str">
        <f t="array" ref="E121">IF(B121="","",IF(B121&lt;&gt;B120,SUMPRODUCT(($B$5:B121&lt;&gt;$B$4:B120)*($B$5:B121&lt;&gt;"")),""))</f>
        <v/>
      </c>
      <c r="F121" s="282" t="str">
        <f t="shared" si="3"/>
        <v/>
      </c>
      <c r="G121" s="282">
        <f t="shared" si="4"/>
        <v>4</v>
      </c>
      <c r="H121" s="177" t="str">
        <f t="shared" si="5"/>
        <v>Power BI本番反映</v>
      </c>
      <c r="I121" s="281"/>
      <c r="J121" s="281"/>
      <c r="K121" s="281"/>
      <c r="L121" s="178" t="str">
        <f t="shared" si="6"/>
        <v>【Salesforceデータ連携（1販社先行検証）】20-4_対象範囲確認：Power BI（別ワークストリーム）_Power BI本番反映</v>
      </c>
      <c r="M121" s="283"/>
      <c r="N121" s="283"/>
      <c r="O121" s="170" t="s">
        <v>130</v>
      </c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  <c r="VA121" s="1"/>
      <c r="VB121" s="1"/>
      <c r="VC121" s="1"/>
      <c r="VD121" s="1"/>
      <c r="VE121" s="1"/>
      <c r="VF121" s="1"/>
      <c r="VG121" s="1"/>
      <c r="VH121" s="1"/>
      <c r="VI121" s="1"/>
      <c r="VJ121" s="1"/>
      <c r="VK121" s="1"/>
      <c r="VL121" s="1"/>
      <c r="VM121" s="1"/>
      <c r="VN121" s="1"/>
      <c r="VO121" s="1"/>
      <c r="VP121" s="1"/>
      <c r="VQ121" s="1"/>
      <c r="VR121" s="1"/>
      <c r="VS121" s="1"/>
      <c r="VT121" s="1"/>
      <c r="VU121" s="1"/>
      <c r="VV121" s="1"/>
      <c r="VW121" s="1"/>
      <c r="VX121" s="1"/>
      <c r="VY121" s="1"/>
      <c r="VZ121" s="1"/>
      <c r="WA121" s="1"/>
      <c r="WB121" s="1"/>
      <c r="WC121" s="1"/>
      <c r="WD121" s="1"/>
      <c r="WE121" s="1"/>
      <c r="WF121" s="1"/>
      <c r="WG121" s="1"/>
      <c r="WH121" s="1"/>
      <c r="WI121" s="1"/>
      <c r="WJ121" s="1"/>
      <c r="WK121" s="1"/>
      <c r="WL121" s="1"/>
      <c r="WM121" s="1"/>
      <c r="WN121" s="1"/>
      <c r="WO121" s="1"/>
      <c r="WP121" s="1"/>
      <c r="WQ121" s="1"/>
      <c r="WR121" s="1"/>
      <c r="WS121" s="1"/>
      <c r="WT121" s="1"/>
      <c r="WU121" s="1"/>
      <c r="WV121" s="1"/>
      <c r="WW121" s="1"/>
      <c r="WX121" s="1"/>
      <c r="WY121" s="1"/>
      <c r="WZ121" s="1"/>
      <c r="XA121" s="1"/>
      <c r="XB121" s="1"/>
      <c r="XC121" s="1"/>
      <c r="XD121" s="1"/>
      <c r="XE121" s="1"/>
      <c r="XF121" s="1"/>
      <c r="XG121" s="1"/>
      <c r="XH121" s="1"/>
      <c r="XI121" s="1"/>
      <c r="XJ121" s="1"/>
      <c r="XK121" s="1"/>
      <c r="XL121" s="1"/>
      <c r="XM121" s="1"/>
      <c r="XN121" s="1"/>
      <c r="XO121" s="1"/>
      <c r="XP121" s="1"/>
      <c r="XQ121" s="1"/>
      <c r="XR121" s="1"/>
      <c r="XS121" s="1"/>
      <c r="XT121" s="1"/>
      <c r="XU121" s="1"/>
      <c r="XV121" s="1"/>
      <c r="XW121" s="1"/>
      <c r="XX121" s="1"/>
      <c r="XY121" s="1"/>
      <c r="XZ121" s="1"/>
      <c r="YA121" s="1"/>
      <c r="YB121" s="1"/>
      <c r="YC121" s="1"/>
      <c r="YD121" s="1"/>
      <c r="YE121" s="1"/>
      <c r="YF121" s="1"/>
      <c r="YG121" s="1"/>
      <c r="YH121" s="1"/>
      <c r="YI121" s="1"/>
      <c r="YJ121" s="1"/>
      <c r="YK121" s="1"/>
      <c r="YL121" s="1"/>
      <c r="YM121" s="1"/>
      <c r="YN121" s="1"/>
      <c r="YO121" s="1"/>
      <c r="YP121" s="1"/>
      <c r="YQ121" s="1"/>
      <c r="YR121" s="1"/>
      <c r="YS121" s="1"/>
      <c r="YT121" s="1"/>
      <c r="YU121" s="1"/>
      <c r="YV121" s="1"/>
      <c r="YW121" s="1"/>
      <c r="YX121" s="1"/>
      <c r="YY121" s="1"/>
      <c r="YZ121" s="1"/>
      <c r="ZA121" s="1"/>
      <c r="ZB121" s="1"/>
      <c r="ZC121" s="1"/>
      <c r="ZD121" s="1"/>
      <c r="ZE121" s="1"/>
      <c r="ZF121" s="1"/>
      <c r="ZG121" s="1"/>
      <c r="ZH121" s="1"/>
      <c r="ZI121" s="1"/>
      <c r="ZJ121" s="1"/>
      <c r="ZK121" s="1"/>
      <c r="ZL121" s="1"/>
      <c r="ZM121" s="1"/>
      <c r="ZN121" s="1"/>
      <c r="ZO121" s="1"/>
      <c r="ZP121" s="1"/>
      <c r="ZQ121" s="1"/>
      <c r="ZR121" s="1"/>
      <c r="ZS121" s="1"/>
      <c r="ZT121" s="1"/>
      <c r="ZU121" s="1"/>
      <c r="ZV121" s="1"/>
      <c r="ZW121" s="1"/>
      <c r="ZX121" s="1"/>
      <c r="ZY121" s="1"/>
      <c r="ZZ121" s="1"/>
    </row>
    <row r="122" ht="39.75" customHeight="1">
      <c r="A122" s="194" t="s">
        <v>157</v>
      </c>
      <c r="B122" s="194" t="s">
        <v>201</v>
      </c>
      <c r="C122" s="194" t="s">
        <v>801</v>
      </c>
      <c r="D122" s="194" t="str">
        <f t="shared" si="2"/>
        <v/>
      </c>
      <c r="E122" s="195">
        <f t="array" ref="E122">IF(B122="","",IF(B122&lt;&gt;B121,SUMPRODUCT(($B$5:B122&lt;&gt;$B$4:B121)*($B$5:B122&lt;&gt;"")),""))</f>
        <v>21</v>
      </c>
      <c r="F122" s="195" t="str">
        <f t="shared" si="3"/>
        <v>将来対応</v>
      </c>
      <c r="G122" s="195">
        <f t="shared" si="4"/>
        <v>1</v>
      </c>
      <c r="H122" s="167" t="str">
        <f t="shared" si="5"/>
        <v>CDCへの拡張方針整理</v>
      </c>
      <c r="I122" s="194"/>
      <c r="J122" s="194"/>
      <c r="K122" s="194"/>
      <c r="L122" s="168" t="str">
        <f t="shared" si="6"/>
        <v>【Salesforceデータ連携（1販社先行検証）】21-1_将来対応_CDCへの拡張方針整理</v>
      </c>
      <c r="M122" s="196"/>
      <c r="N122" s="196"/>
      <c r="O122" s="170" t="s">
        <v>130</v>
      </c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V122" s="10"/>
      <c r="CW122" s="10"/>
      <c r="CX122" s="10"/>
      <c r="CY122" s="10"/>
      <c r="CZ122" s="10"/>
      <c r="DA122" s="10"/>
      <c r="DB122" s="10"/>
      <c r="DC122" s="10"/>
      <c r="DD122" s="10"/>
      <c r="DE122" s="10"/>
      <c r="DF122" s="10"/>
      <c r="DG122" s="10"/>
      <c r="DH122" s="10"/>
      <c r="DI122" s="10"/>
      <c r="DJ122" s="10"/>
      <c r="DK122" s="10"/>
      <c r="DL122" s="10"/>
      <c r="DM122" s="10"/>
      <c r="DN122" s="10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  <c r="VA122" s="1"/>
      <c r="VB122" s="1"/>
      <c r="VC122" s="1"/>
      <c r="VD122" s="1"/>
      <c r="VE122" s="1"/>
      <c r="VF122" s="1"/>
      <c r="VG122" s="1"/>
      <c r="VH122" s="1"/>
      <c r="VI122" s="1"/>
      <c r="VJ122" s="1"/>
      <c r="VK122" s="1"/>
      <c r="VL122" s="1"/>
      <c r="VM122" s="1"/>
      <c r="VN122" s="1"/>
      <c r="VO122" s="1"/>
      <c r="VP122" s="1"/>
      <c r="VQ122" s="1"/>
      <c r="VR122" s="1"/>
      <c r="VS122" s="1"/>
      <c r="VT122" s="1"/>
      <c r="VU122" s="1"/>
      <c r="VV122" s="1"/>
      <c r="VW122" s="1"/>
      <c r="VX122" s="1"/>
      <c r="VY122" s="1"/>
      <c r="VZ122" s="1"/>
      <c r="WA122" s="1"/>
      <c r="WB122" s="1"/>
      <c r="WC122" s="1"/>
      <c r="WD122" s="1"/>
      <c r="WE122" s="1"/>
      <c r="WF122" s="1"/>
      <c r="WG122" s="1"/>
      <c r="WH122" s="1"/>
      <c r="WI122" s="1"/>
      <c r="WJ122" s="1"/>
      <c r="WK122" s="1"/>
      <c r="WL122" s="1"/>
      <c r="WM122" s="1"/>
      <c r="WN122" s="1"/>
      <c r="WO122" s="1"/>
      <c r="WP122" s="1"/>
      <c r="WQ122" s="1"/>
      <c r="WR122" s="1"/>
      <c r="WS122" s="1"/>
      <c r="WT122" s="1"/>
      <c r="WU122" s="1"/>
      <c r="WV122" s="1"/>
      <c r="WW122" s="1"/>
      <c r="WX122" s="1"/>
      <c r="WY122" s="1"/>
      <c r="WZ122" s="1"/>
      <c r="XA122" s="1"/>
      <c r="XB122" s="1"/>
      <c r="XC122" s="1"/>
      <c r="XD122" s="1"/>
      <c r="XE122" s="1"/>
      <c r="XF122" s="1"/>
      <c r="XG122" s="1"/>
      <c r="XH122" s="1"/>
      <c r="XI122" s="1"/>
      <c r="XJ122" s="1"/>
      <c r="XK122" s="1"/>
      <c r="XL122" s="1"/>
      <c r="XM122" s="1"/>
      <c r="XN122" s="1"/>
      <c r="XO122" s="1"/>
      <c r="XP122" s="1"/>
      <c r="XQ122" s="1"/>
      <c r="XR122" s="1"/>
      <c r="XS122" s="1"/>
      <c r="XT122" s="1"/>
      <c r="XU122" s="1"/>
      <c r="XV122" s="1"/>
      <c r="XW122" s="1"/>
      <c r="XX122" s="1"/>
      <c r="XY122" s="1"/>
      <c r="XZ122" s="1"/>
      <c r="YA122" s="1"/>
      <c r="YB122" s="1"/>
      <c r="YC122" s="1"/>
      <c r="YD122" s="1"/>
      <c r="YE122" s="1"/>
      <c r="YF122" s="1"/>
      <c r="YG122" s="1"/>
      <c r="YH122" s="1"/>
      <c r="YI122" s="1"/>
      <c r="YJ122" s="1"/>
      <c r="YK122" s="1"/>
      <c r="YL122" s="1"/>
      <c r="YM122" s="1"/>
      <c r="YN122" s="1"/>
      <c r="YO122" s="1"/>
      <c r="YP122" s="1"/>
      <c r="YQ122" s="1"/>
      <c r="YR122" s="1"/>
      <c r="YS122" s="1"/>
      <c r="YT122" s="1"/>
      <c r="YU122" s="1"/>
      <c r="YV122" s="1"/>
      <c r="YW122" s="1"/>
      <c r="YX122" s="1"/>
      <c r="YY122" s="1"/>
      <c r="YZ122" s="1"/>
      <c r="ZA122" s="1"/>
      <c r="ZB122" s="1"/>
      <c r="ZC122" s="1"/>
      <c r="ZD122" s="1"/>
      <c r="ZE122" s="1"/>
      <c r="ZF122" s="1"/>
      <c r="ZG122" s="1"/>
      <c r="ZH122" s="1"/>
      <c r="ZI122" s="1"/>
      <c r="ZJ122" s="1"/>
      <c r="ZK122" s="1"/>
      <c r="ZL122" s="1"/>
      <c r="ZM122" s="1"/>
      <c r="ZN122" s="1"/>
      <c r="ZO122" s="1"/>
      <c r="ZP122" s="1"/>
      <c r="ZQ122" s="1"/>
      <c r="ZR122" s="1"/>
      <c r="ZS122" s="1"/>
      <c r="ZT122" s="1"/>
      <c r="ZU122" s="1"/>
      <c r="ZV122" s="1"/>
      <c r="ZW122" s="1"/>
      <c r="ZX122" s="1"/>
      <c r="ZY122" s="1"/>
      <c r="ZZ122" s="1"/>
    </row>
    <row r="123" ht="36.0" customHeight="1">
      <c r="A123" s="284" t="s">
        <v>157</v>
      </c>
      <c r="B123" s="284" t="s">
        <v>201</v>
      </c>
      <c r="C123" s="284" t="s">
        <v>806</v>
      </c>
      <c r="D123" s="284" t="str">
        <f t="shared" si="2"/>
        <v/>
      </c>
      <c r="E123" s="285" t="str">
        <f t="array" ref="E123">IF(B123="","",IF(B123&lt;&gt;B122,SUMPRODUCT(($B$5:B123&lt;&gt;$B$4:B122)*($B$5:B123&lt;&gt;"")),""))</f>
        <v/>
      </c>
      <c r="F123" s="285" t="str">
        <f t="shared" si="3"/>
        <v/>
      </c>
      <c r="G123" s="285">
        <f t="shared" si="4"/>
        <v>2</v>
      </c>
      <c r="H123" s="177" t="str">
        <f t="shared" si="5"/>
        <v>Streamingへの拡張方針整理</v>
      </c>
      <c r="I123" s="284"/>
      <c r="J123" s="284"/>
      <c r="K123" s="284"/>
      <c r="L123" s="178" t="str">
        <f t="shared" si="6"/>
        <v>【Salesforceデータ連携（1販社先行検証）】21-2_将来対応_Streamingへの拡張方針整理</v>
      </c>
      <c r="M123" s="286"/>
      <c r="N123" s="286"/>
      <c r="O123" s="170" t="s">
        <v>130</v>
      </c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V123" s="10"/>
      <c r="CW123" s="10"/>
      <c r="CX123" s="10"/>
      <c r="CY123" s="10"/>
      <c r="CZ123" s="10"/>
      <c r="DA123" s="10"/>
      <c r="DB123" s="10"/>
      <c r="DC123" s="10"/>
      <c r="DD123" s="10"/>
      <c r="DE123" s="10"/>
      <c r="DF123" s="10"/>
      <c r="DG123" s="10"/>
      <c r="DH123" s="10"/>
      <c r="DI123" s="10"/>
      <c r="DJ123" s="10"/>
      <c r="DK123" s="10"/>
      <c r="DL123" s="10"/>
      <c r="DM123" s="10"/>
      <c r="DN123" s="10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  <c r="VA123" s="1"/>
      <c r="VB123" s="1"/>
      <c r="VC123" s="1"/>
      <c r="VD123" s="1"/>
      <c r="VE123" s="1"/>
      <c r="VF123" s="1"/>
      <c r="VG123" s="1"/>
      <c r="VH123" s="1"/>
      <c r="VI123" s="1"/>
      <c r="VJ123" s="1"/>
      <c r="VK123" s="1"/>
      <c r="VL123" s="1"/>
      <c r="VM123" s="1"/>
      <c r="VN123" s="1"/>
      <c r="VO123" s="1"/>
      <c r="VP123" s="1"/>
      <c r="VQ123" s="1"/>
      <c r="VR123" s="1"/>
      <c r="VS123" s="1"/>
      <c r="VT123" s="1"/>
      <c r="VU123" s="1"/>
      <c r="VV123" s="1"/>
      <c r="VW123" s="1"/>
      <c r="VX123" s="1"/>
      <c r="VY123" s="1"/>
      <c r="VZ123" s="1"/>
      <c r="WA123" s="1"/>
      <c r="WB123" s="1"/>
      <c r="WC123" s="1"/>
      <c r="WD123" s="1"/>
      <c r="WE123" s="1"/>
      <c r="WF123" s="1"/>
      <c r="WG123" s="1"/>
      <c r="WH123" s="1"/>
      <c r="WI123" s="1"/>
      <c r="WJ123" s="1"/>
      <c r="WK123" s="1"/>
      <c r="WL123" s="1"/>
      <c r="WM123" s="1"/>
      <c r="WN123" s="1"/>
      <c r="WO123" s="1"/>
      <c r="WP123" s="1"/>
      <c r="WQ123" s="1"/>
      <c r="WR123" s="1"/>
      <c r="WS123" s="1"/>
      <c r="WT123" s="1"/>
      <c r="WU123" s="1"/>
      <c r="WV123" s="1"/>
      <c r="WW123" s="1"/>
      <c r="WX123" s="1"/>
      <c r="WY123" s="1"/>
      <c r="WZ123" s="1"/>
      <c r="XA123" s="1"/>
      <c r="XB123" s="1"/>
      <c r="XC123" s="1"/>
      <c r="XD123" s="1"/>
      <c r="XE123" s="1"/>
      <c r="XF123" s="1"/>
      <c r="XG123" s="1"/>
      <c r="XH123" s="1"/>
      <c r="XI123" s="1"/>
      <c r="XJ123" s="1"/>
      <c r="XK123" s="1"/>
      <c r="XL123" s="1"/>
      <c r="XM123" s="1"/>
      <c r="XN123" s="1"/>
      <c r="XO123" s="1"/>
      <c r="XP123" s="1"/>
      <c r="XQ123" s="1"/>
      <c r="XR123" s="1"/>
      <c r="XS123" s="1"/>
      <c r="XT123" s="1"/>
      <c r="XU123" s="1"/>
      <c r="XV123" s="1"/>
      <c r="XW123" s="1"/>
      <c r="XX123" s="1"/>
      <c r="XY123" s="1"/>
      <c r="XZ123" s="1"/>
      <c r="YA123" s="1"/>
      <c r="YB123" s="1"/>
      <c r="YC123" s="1"/>
      <c r="YD123" s="1"/>
      <c r="YE123" s="1"/>
      <c r="YF123" s="1"/>
      <c r="YG123" s="1"/>
      <c r="YH123" s="1"/>
      <c r="YI123" s="1"/>
      <c r="YJ123" s="1"/>
      <c r="YK123" s="1"/>
      <c r="YL123" s="1"/>
      <c r="YM123" s="1"/>
      <c r="YN123" s="1"/>
      <c r="YO123" s="1"/>
      <c r="YP123" s="1"/>
      <c r="YQ123" s="1"/>
      <c r="YR123" s="1"/>
      <c r="YS123" s="1"/>
      <c r="YT123" s="1"/>
      <c r="YU123" s="1"/>
      <c r="YV123" s="1"/>
      <c r="YW123" s="1"/>
      <c r="YX123" s="1"/>
      <c r="YY123" s="1"/>
      <c r="YZ123" s="1"/>
      <c r="ZA123" s="1"/>
      <c r="ZB123" s="1"/>
      <c r="ZC123" s="1"/>
      <c r="ZD123" s="1"/>
      <c r="ZE123" s="1"/>
      <c r="ZF123" s="1"/>
      <c r="ZG123" s="1"/>
      <c r="ZH123" s="1"/>
      <c r="ZI123" s="1"/>
      <c r="ZJ123" s="1"/>
      <c r="ZK123" s="1"/>
      <c r="ZL123" s="1"/>
      <c r="ZM123" s="1"/>
      <c r="ZN123" s="1"/>
      <c r="ZO123" s="1"/>
      <c r="ZP123" s="1"/>
      <c r="ZQ123" s="1"/>
      <c r="ZR123" s="1"/>
      <c r="ZS123" s="1"/>
      <c r="ZT123" s="1"/>
      <c r="ZU123" s="1"/>
      <c r="ZV123" s="1"/>
      <c r="ZW123" s="1"/>
      <c r="ZX123" s="1"/>
      <c r="ZY123" s="1"/>
      <c r="ZZ123" s="1"/>
    </row>
    <row r="124" ht="36.0" customHeight="1">
      <c r="A124" s="284" t="s">
        <v>157</v>
      </c>
      <c r="B124" s="284" t="s">
        <v>201</v>
      </c>
      <c r="C124" s="284" t="s">
        <v>809</v>
      </c>
      <c r="D124" s="284" t="str">
        <f t="shared" si="2"/>
        <v/>
      </c>
      <c r="E124" s="285" t="str">
        <f t="array" ref="E124">IF(B124="","",IF(B124&lt;&gt;B123,SUMPRODUCT(($B$5:B124&lt;&gt;$B$4:B123)*($B$5:B124&lt;&gt;"")),""))</f>
        <v/>
      </c>
      <c r="F124" s="285" t="str">
        <f t="shared" si="3"/>
        <v/>
      </c>
      <c r="G124" s="285">
        <f t="shared" si="4"/>
        <v>3</v>
      </c>
      <c r="H124" s="177" t="str">
        <f t="shared" si="5"/>
        <v>先行検証結果を基にした追加販社展開方式の改善・標準化</v>
      </c>
      <c r="I124" s="284"/>
      <c r="J124" s="284"/>
      <c r="K124" s="284"/>
      <c r="L124" s="178" t="str">
        <f t="shared" si="6"/>
        <v>【Salesforceデータ連携（1販社先行検証）】21-3_将来対応_先行検証結果を基にした追加販社展開方式の改善・標準化</v>
      </c>
      <c r="M124" s="286"/>
      <c r="N124" s="286"/>
      <c r="O124" s="170" t="s">
        <v>130</v>
      </c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V124" s="10"/>
      <c r="CW124" s="10"/>
      <c r="CX124" s="10"/>
      <c r="CY124" s="10"/>
      <c r="CZ124" s="10"/>
      <c r="DA124" s="10"/>
      <c r="DB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  <c r="VA124" s="1"/>
      <c r="VB124" s="1"/>
      <c r="VC124" s="1"/>
      <c r="VD124" s="1"/>
      <c r="VE124" s="1"/>
      <c r="VF124" s="1"/>
      <c r="VG124" s="1"/>
      <c r="VH124" s="1"/>
      <c r="VI124" s="1"/>
      <c r="VJ124" s="1"/>
      <c r="VK124" s="1"/>
      <c r="VL124" s="1"/>
      <c r="VM124" s="1"/>
      <c r="VN124" s="1"/>
      <c r="VO124" s="1"/>
      <c r="VP124" s="1"/>
      <c r="VQ124" s="1"/>
      <c r="VR124" s="1"/>
      <c r="VS124" s="1"/>
      <c r="VT124" s="1"/>
      <c r="VU124" s="1"/>
      <c r="VV124" s="1"/>
      <c r="VW124" s="1"/>
      <c r="VX124" s="1"/>
      <c r="VY124" s="1"/>
      <c r="VZ124" s="1"/>
      <c r="WA124" s="1"/>
      <c r="WB124" s="1"/>
      <c r="WC124" s="1"/>
      <c r="WD124" s="1"/>
      <c r="WE124" s="1"/>
      <c r="WF124" s="1"/>
      <c r="WG124" s="1"/>
      <c r="WH124" s="1"/>
      <c r="WI124" s="1"/>
      <c r="WJ124" s="1"/>
      <c r="WK124" s="1"/>
      <c r="WL124" s="1"/>
      <c r="WM124" s="1"/>
      <c r="WN124" s="1"/>
      <c r="WO124" s="1"/>
      <c r="WP124" s="1"/>
      <c r="WQ124" s="1"/>
      <c r="WR124" s="1"/>
      <c r="WS124" s="1"/>
      <c r="WT124" s="1"/>
      <c r="WU124" s="1"/>
      <c r="WV124" s="1"/>
      <c r="WW124" s="1"/>
      <c r="WX124" s="1"/>
      <c r="WY124" s="1"/>
      <c r="WZ124" s="1"/>
      <c r="XA124" s="1"/>
      <c r="XB124" s="1"/>
      <c r="XC124" s="1"/>
      <c r="XD124" s="1"/>
      <c r="XE124" s="1"/>
      <c r="XF124" s="1"/>
      <c r="XG124" s="1"/>
      <c r="XH124" s="1"/>
      <c r="XI124" s="1"/>
      <c r="XJ124" s="1"/>
      <c r="XK124" s="1"/>
      <c r="XL124" s="1"/>
      <c r="XM124" s="1"/>
      <c r="XN124" s="1"/>
      <c r="XO124" s="1"/>
      <c r="XP124" s="1"/>
      <c r="XQ124" s="1"/>
      <c r="XR124" s="1"/>
      <c r="XS124" s="1"/>
      <c r="XT124" s="1"/>
      <c r="XU124" s="1"/>
      <c r="XV124" s="1"/>
      <c r="XW124" s="1"/>
      <c r="XX124" s="1"/>
      <c r="XY124" s="1"/>
      <c r="XZ124" s="1"/>
      <c r="YA124" s="1"/>
      <c r="YB124" s="1"/>
      <c r="YC124" s="1"/>
      <c r="YD124" s="1"/>
      <c r="YE124" s="1"/>
      <c r="YF124" s="1"/>
      <c r="YG124" s="1"/>
      <c r="YH124" s="1"/>
      <c r="YI124" s="1"/>
      <c r="YJ124" s="1"/>
      <c r="YK124" s="1"/>
      <c r="YL124" s="1"/>
      <c r="YM124" s="1"/>
      <c r="YN124" s="1"/>
      <c r="YO124" s="1"/>
      <c r="YP124" s="1"/>
      <c r="YQ124" s="1"/>
      <c r="YR124" s="1"/>
      <c r="YS124" s="1"/>
      <c r="YT124" s="1"/>
      <c r="YU124" s="1"/>
      <c r="YV124" s="1"/>
      <c r="YW124" s="1"/>
      <c r="YX124" s="1"/>
      <c r="YY124" s="1"/>
      <c r="YZ124" s="1"/>
      <c r="ZA124" s="1"/>
      <c r="ZB124" s="1"/>
      <c r="ZC124" s="1"/>
      <c r="ZD124" s="1"/>
      <c r="ZE124" s="1"/>
      <c r="ZF124" s="1"/>
      <c r="ZG124" s="1"/>
      <c r="ZH124" s="1"/>
      <c r="ZI124" s="1"/>
      <c r="ZJ124" s="1"/>
      <c r="ZK124" s="1"/>
      <c r="ZL124" s="1"/>
      <c r="ZM124" s="1"/>
      <c r="ZN124" s="1"/>
      <c r="ZO124" s="1"/>
      <c r="ZP124" s="1"/>
      <c r="ZQ124" s="1"/>
      <c r="ZR124" s="1"/>
      <c r="ZS124" s="1"/>
      <c r="ZT124" s="1"/>
      <c r="ZU124" s="1"/>
      <c r="ZV124" s="1"/>
      <c r="ZW124" s="1"/>
      <c r="ZX124" s="1"/>
      <c r="ZY124" s="1"/>
      <c r="ZZ124" s="1"/>
    </row>
    <row r="125" ht="36.0" customHeight="1">
      <c r="A125" s="284" t="s">
        <v>157</v>
      </c>
      <c r="B125" s="284" t="s">
        <v>201</v>
      </c>
      <c r="C125" s="284" t="s">
        <v>814</v>
      </c>
      <c r="D125" s="284" t="str">
        <f t="shared" si="2"/>
        <v/>
      </c>
      <c r="E125" s="285" t="str">
        <f t="array" ref="E125">IF(B125="","",IF(B125&lt;&gt;B124,SUMPRODUCT(($B$5:B125&lt;&gt;$B$4:B124)*($B$5:B125&lt;&gt;"")),""))</f>
        <v/>
      </c>
      <c r="F125" s="285" t="str">
        <f t="shared" si="3"/>
        <v/>
      </c>
      <c r="G125" s="285">
        <f t="shared" si="4"/>
        <v>4</v>
      </c>
      <c r="H125" s="177" t="str">
        <f t="shared" si="5"/>
        <v>先行検証の課題・改善事項を後続展開へ引継ぎ</v>
      </c>
      <c r="I125" s="284"/>
      <c r="J125" s="284"/>
      <c r="K125" s="284"/>
      <c r="L125" s="178" t="str">
        <f t="shared" si="6"/>
        <v>【Salesforceデータ連携（1販社先行検証）】21-4_将来対応_先行検証の課題・改善事項を後続展開へ引継ぎ</v>
      </c>
      <c r="M125" s="286">
        <v>46283.0</v>
      </c>
      <c r="N125" s="286">
        <v>46283.0</v>
      </c>
      <c r="O125" s="170" t="s">
        <v>130</v>
      </c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  <c r="CQ125" s="10"/>
      <c r="CR125" s="10"/>
      <c r="CS125" s="10"/>
      <c r="CT125" s="10"/>
      <c r="CU125" s="10"/>
      <c r="CV125" s="10"/>
      <c r="CW125" s="10"/>
      <c r="CX125" s="10"/>
      <c r="CY125" s="10"/>
      <c r="CZ125" s="10"/>
      <c r="DA125" s="10"/>
      <c r="DB125" s="10"/>
      <c r="DC125" s="10"/>
      <c r="DD125" s="10"/>
      <c r="DE125" s="10"/>
      <c r="DF125" s="10"/>
      <c r="DG125" s="10"/>
      <c r="DH125" s="10"/>
      <c r="DI125" s="10"/>
      <c r="DJ125" s="10"/>
      <c r="DK125" s="10"/>
      <c r="DL125" s="10"/>
      <c r="DM125" s="10"/>
      <c r="DN125" s="10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  <c r="VA125" s="1"/>
      <c r="VB125" s="1"/>
      <c r="VC125" s="1"/>
      <c r="VD125" s="1"/>
      <c r="VE125" s="1"/>
      <c r="VF125" s="1"/>
      <c r="VG125" s="1"/>
      <c r="VH125" s="1"/>
      <c r="VI125" s="1"/>
      <c r="VJ125" s="1"/>
      <c r="VK125" s="1"/>
      <c r="VL125" s="1"/>
      <c r="VM125" s="1"/>
      <c r="VN125" s="1"/>
      <c r="VO125" s="1"/>
      <c r="VP125" s="1"/>
      <c r="VQ125" s="1"/>
      <c r="VR125" s="1"/>
      <c r="VS125" s="1"/>
      <c r="VT125" s="1"/>
      <c r="VU125" s="1"/>
      <c r="VV125" s="1"/>
      <c r="VW125" s="1"/>
      <c r="VX125" s="1"/>
      <c r="VY125" s="1"/>
      <c r="VZ125" s="1"/>
      <c r="WA125" s="1"/>
      <c r="WB125" s="1"/>
      <c r="WC125" s="1"/>
      <c r="WD125" s="1"/>
      <c r="WE125" s="1"/>
      <c r="WF125" s="1"/>
      <c r="WG125" s="1"/>
      <c r="WH125" s="1"/>
      <c r="WI125" s="1"/>
      <c r="WJ125" s="1"/>
      <c r="WK125" s="1"/>
      <c r="WL125" s="1"/>
      <c r="WM125" s="1"/>
      <c r="WN125" s="1"/>
      <c r="WO125" s="1"/>
      <c r="WP125" s="1"/>
      <c r="WQ125" s="1"/>
      <c r="WR125" s="1"/>
      <c r="WS125" s="1"/>
      <c r="WT125" s="1"/>
      <c r="WU125" s="1"/>
      <c r="WV125" s="1"/>
      <c r="WW125" s="1"/>
      <c r="WX125" s="1"/>
      <c r="WY125" s="1"/>
      <c r="WZ125" s="1"/>
      <c r="XA125" s="1"/>
      <c r="XB125" s="1"/>
      <c r="XC125" s="1"/>
      <c r="XD125" s="1"/>
      <c r="XE125" s="1"/>
      <c r="XF125" s="1"/>
      <c r="XG125" s="1"/>
      <c r="XH125" s="1"/>
      <c r="XI125" s="1"/>
      <c r="XJ125" s="1"/>
      <c r="XK125" s="1"/>
      <c r="XL125" s="1"/>
      <c r="XM125" s="1"/>
      <c r="XN125" s="1"/>
      <c r="XO125" s="1"/>
      <c r="XP125" s="1"/>
      <c r="XQ125" s="1"/>
      <c r="XR125" s="1"/>
      <c r="XS125" s="1"/>
      <c r="XT125" s="1"/>
      <c r="XU125" s="1"/>
      <c r="XV125" s="1"/>
      <c r="XW125" s="1"/>
      <c r="XX125" s="1"/>
      <c r="XY125" s="1"/>
      <c r="XZ125" s="1"/>
      <c r="YA125" s="1"/>
      <c r="YB125" s="1"/>
      <c r="YC125" s="1"/>
      <c r="YD125" s="1"/>
      <c r="YE125" s="1"/>
      <c r="YF125" s="1"/>
      <c r="YG125" s="1"/>
      <c r="YH125" s="1"/>
      <c r="YI125" s="1"/>
      <c r="YJ125" s="1"/>
      <c r="YK125" s="1"/>
      <c r="YL125" s="1"/>
      <c r="YM125" s="1"/>
      <c r="YN125" s="1"/>
      <c r="YO125" s="1"/>
      <c r="YP125" s="1"/>
      <c r="YQ125" s="1"/>
      <c r="YR125" s="1"/>
      <c r="YS125" s="1"/>
      <c r="YT125" s="1"/>
      <c r="YU125" s="1"/>
      <c r="YV125" s="1"/>
      <c r="YW125" s="1"/>
      <c r="YX125" s="1"/>
      <c r="YY125" s="1"/>
      <c r="YZ125" s="1"/>
      <c r="ZA125" s="1"/>
      <c r="ZB125" s="1"/>
      <c r="ZC125" s="1"/>
      <c r="ZD125" s="1"/>
      <c r="ZE125" s="1"/>
      <c r="ZF125" s="1"/>
      <c r="ZG125" s="1"/>
      <c r="ZH125" s="1"/>
      <c r="ZI125" s="1"/>
      <c r="ZJ125" s="1"/>
      <c r="ZK125" s="1"/>
      <c r="ZL125" s="1"/>
      <c r="ZM125" s="1"/>
      <c r="ZN125" s="1"/>
      <c r="ZO125" s="1"/>
      <c r="ZP125" s="1"/>
      <c r="ZQ125" s="1"/>
      <c r="ZR125" s="1"/>
      <c r="ZS125" s="1"/>
      <c r="ZT125" s="1"/>
      <c r="ZU125" s="1"/>
      <c r="ZV125" s="1"/>
      <c r="ZW125" s="1"/>
      <c r="ZX125" s="1"/>
      <c r="ZY125" s="1"/>
      <c r="ZZ125" s="1"/>
    </row>
    <row r="126" ht="19.5" customHeight="1">
      <c r="A126" s="10"/>
      <c r="B126" s="10"/>
      <c r="C126" s="10"/>
      <c r="D126" s="10" t="str">
        <f t="shared" si="2"/>
        <v/>
      </c>
      <c r="E126" s="287" t="str">
        <f t="array" ref="E126">IF(B126="","",IF(B126&lt;&gt;B125,SUMPRODUCT(($B$5:B126&lt;&gt;$B$4:B125)*($B$5:B126&lt;&gt;"")),""))</f>
        <v/>
      </c>
      <c r="F126" s="10" t="str">
        <f t="shared" si="3"/>
        <v/>
      </c>
      <c r="G126" s="10" t="str">
        <f t="shared" si="4"/>
        <v/>
      </c>
      <c r="H126" s="288" t="str">
        <f t="shared" si="5"/>
        <v/>
      </c>
      <c r="I126" s="10"/>
      <c r="J126" s="10"/>
      <c r="K126" s="10"/>
      <c r="L126" s="10" t="str">
        <f t="shared" si="6"/>
        <v/>
      </c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L126" s="10"/>
      <c r="CM126" s="10"/>
      <c r="CN126" s="10"/>
      <c r="CO126" s="10"/>
      <c r="CP126" s="10"/>
      <c r="CQ126" s="10"/>
      <c r="CR126" s="10"/>
      <c r="CS126" s="10"/>
      <c r="CT126" s="10"/>
      <c r="CU126" s="10"/>
      <c r="CV126" s="10"/>
      <c r="CW126" s="10"/>
      <c r="CX126" s="10"/>
      <c r="CY126" s="10"/>
      <c r="CZ126" s="10"/>
      <c r="DA126" s="10"/>
      <c r="DB126" s="10"/>
      <c r="DC126" s="10"/>
      <c r="DD126" s="10"/>
      <c r="DE126" s="10"/>
      <c r="DF126" s="10"/>
      <c r="DG126" s="10"/>
      <c r="DH126" s="10"/>
      <c r="DI126" s="10"/>
      <c r="DJ126" s="10"/>
      <c r="DK126" s="10"/>
      <c r="DL126" s="10"/>
      <c r="DM126" s="10"/>
      <c r="DN126" s="10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  <c r="VA126" s="1"/>
      <c r="VB126" s="1"/>
      <c r="VC126" s="1"/>
      <c r="VD126" s="1"/>
      <c r="VE126" s="1"/>
      <c r="VF126" s="1"/>
      <c r="VG126" s="1"/>
      <c r="VH126" s="1"/>
      <c r="VI126" s="1"/>
      <c r="VJ126" s="1"/>
      <c r="VK126" s="1"/>
      <c r="VL126" s="1"/>
      <c r="VM126" s="1"/>
      <c r="VN126" s="1"/>
      <c r="VO126" s="1"/>
      <c r="VP126" s="1"/>
      <c r="VQ126" s="1"/>
      <c r="VR126" s="1"/>
      <c r="VS126" s="1"/>
      <c r="VT126" s="1"/>
      <c r="VU126" s="1"/>
      <c r="VV126" s="1"/>
      <c r="VW126" s="1"/>
      <c r="VX126" s="1"/>
      <c r="VY126" s="1"/>
      <c r="VZ126" s="1"/>
      <c r="WA126" s="1"/>
      <c r="WB126" s="1"/>
      <c r="WC126" s="1"/>
      <c r="WD126" s="1"/>
      <c r="WE126" s="1"/>
      <c r="WF126" s="1"/>
      <c r="WG126" s="1"/>
      <c r="WH126" s="1"/>
      <c r="WI126" s="1"/>
      <c r="WJ126" s="1"/>
      <c r="WK126" s="1"/>
      <c r="WL126" s="1"/>
      <c r="WM126" s="1"/>
      <c r="WN126" s="1"/>
      <c r="WO126" s="1"/>
      <c r="WP126" s="1"/>
      <c r="WQ126" s="1"/>
      <c r="WR126" s="1"/>
      <c r="WS126" s="1"/>
      <c r="WT126" s="1"/>
      <c r="WU126" s="1"/>
      <c r="WV126" s="1"/>
      <c r="WW126" s="1"/>
      <c r="WX126" s="1"/>
      <c r="WY126" s="1"/>
      <c r="WZ126" s="1"/>
      <c r="XA126" s="1"/>
      <c r="XB126" s="1"/>
      <c r="XC126" s="1"/>
      <c r="XD126" s="1"/>
      <c r="XE126" s="1"/>
      <c r="XF126" s="1"/>
      <c r="XG126" s="1"/>
      <c r="XH126" s="1"/>
      <c r="XI126" s="1"/>
      <c r="XJ126" s="1"/>
      <c r="XK126" s="1"/>
      <c r="XL126" s="1"/>
      <c r="XM126" s="1"/>
      <c r="XN126" s="1"/>
      <c r="XO126" s="1"/>
      <c r="XP126" s="1"/>
      <c r="XQ126" s="1"/>
      <c r="XR126" s="1"/>
      <c r="XS126" s="1"/>
      <c r="XT126" s="1"/>
      <c r="XU126" s="1"/>
      <c r="XV126" s="1"/>
      <c r="XW126" s="1"/>
      <c r="XX126" s="1"/>
      <c r="XY126" s="1"/>
      <c r="XZ126" s="1"/>
      <c r="YA126" s="1"/>
      <c r="YB126" s="1"/>
      <c r="YC126" s="1"/>
      <c r="YD126" s="1"/>
      <c r="YE126" s="1"/>
      <c r="YF126" s="1"/>
      <c r="YG126" s="1"/>
      <c r="YH126" s="1"/>
      <c r="YI126" s="1"/>
      <c r="YJ126" s="1"/>
      <c r="YK126" s="1"/>
      <c r="YL126" s="1"/>
      <c r="YM126" s="1"/>
      <c r="YN126" s="1"/>
      <c r="YO126" s="1"/>
      <c r="YP126" s="1"/>
      <c r="YQ126" s="1"/>
      <c r="YR126" s="1"/>
      <c r="YS126" s="1"/>
      <c r="YT126" s="1"/>
      <c r="YU126" s="1"/>
      <c r="YV126" s="1"/>
      <c r="YW126" s="1"/>
      <c r="YX126" s="1"/>
      <c r="YY126" s="1"/>
      <c r="YZ126" s="1"/>
      <c r="ZA126" s="1"/>
      <c r="ZB126" s="1"/>
      <c r="ZC126" s="1"/>
      <c r="ZD126" s="1"/>
      <c r="ZE126" s="1"/>
      <c r="ZF126" s="1"/>
      <c r="ZG126" s="1"/>
      <c r="ZH126" s="1"/>
      <c r="ZI126" s="1"/>
      <c r="ZJ126" s="1"/>
      <c r="ZK126" s="1"/>
      <c r="ZL126" s="1"/>
      <c r="ZM126" s="1"/>
      <c r="ZN126" s="1"/>
      <c r="ZO126" s="1"/>
      <c r="ZP126" s="1"/>
      <c r="ZQ126" s="1"/>
      <c r="ZR126" s="1"/>
      <c r="ZS126" s="1"/>
      <c r="ZT126" s="1"/>
      <c r="ZU126" s="1"/>
      <c r="ZV126" s="1"/>
      <c r="ZW126" s="1"/>
      <c r="ZX126" s="1"/>
      <c r="ZY126" s="1"/>
      <c r="ZZ126" s="1"/>
    </row>
    <row r="127" ht="19.5" customHeight="1">
      <c r="A127" s="10"/>
      <c r="B127" s="10"/>
      <c r="C127" s="10"/>
      <c r="D127" s="10" t="str">
        <f t="shared" si="2"/>
        <v/>
      </c>
      <c r="E127" s="287" t="str">
        <f t="array" ref="E127">IF(B127="","",IF(B127&lt;&gt;B126,SUMPRODUCT(($B$5:B127&lt;&gt;$B$4:B126)*($B$5:B127&lt;&gt;"")),""))</f>
        <v/>
      </c>
      <c r="F127" s="10" t="str">
        <f t="shared" si="3"/>
        <v/>
      </c>
      <c r="G127" s="10" t="str">
        <f t="shared" si="4"/>
        <v/>
      </c>
      <c r="H127" s="288" t="str">
        <f t="shared" si="5"/>
        <v/>
      </c>
      <c r="I127" s="10"/>
      <c r="J127" s="10"/>
      <c r="K127" s="10"/>
      <c r="L127" s="10" t="str">
        <f t="shared" si="6"/>
        <v/>
      </c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  <c r="VA127" s="1"/>
      <c r="VB127" s="1"/>
      <c r="VC127" s="1"/>
      <c r="VD127" s="1"/>
      <c r="VE127" s="1"/>
      <c r="VF127" s="1"/>
      <c r="VG127" s="1"/>
      <c r="VH127" s="1"/>
      <c r="VI127" s="1"/>
      <c r="VJ127" s="1"/>
      <c r="VK127" s="1"/>
      <c r="VL127" s="1"/>
      <c r="VM127" s="1"/>
      <c r="VN127" s="1"/>
      <c r="VO127" s="1"/>
      <c r="VP127" s="1"/>
      <c r="VQ127" s="1"/>
      <c r="VR127" s="1"/>
      <c r="VS127" s="1"/>
      <c r="VT127" s="1"/>
      <c r="VU127" s="1"/>
      <c r="VV127" s="1"/>
      <c r="VW127" s="1"/>
      <c r="VX127" s="1"/>
      <c r="VY127" s="1"/>
      <c r="VZ127" s="1"/>
      <c r="WA127" s="1"/>
      <c r="WB127" s="1"/>
      <c r="WC127" s="1"/>
      <c r="WD127" s="1"/>
      <c r="WE127" s="1"/>
      <c r="WF127" s="1"/>
      <c r="WG127" s="1"/>
      <c r="WH127" s="1"/>
      <c r="WI127" s="1"/>
      <c r="WJ127" s="1"/>
      <c r="WK127" s="1"/>
      <c r="WL127" s="1"/>
      <c r="WM127" s="1"/>
      <c r="WN127" s="1"/>
      <c r="WO127" s="1"/>
      <c r="WP127" s="1"/>
      <c r="WQ127" s="1"/>
      <c r="WR127" s="1"/>
      <c r="WS127" s="1"/>
      <c r="WT127" s="1"/>
      <c r="WU127" s="1"/>
      <c r="WV127" s="1"/>
      <c r="WW127" s="1"/>
      <c r="WX127" s="1"/>
      <c r="WY127" s="1"/>
      <c r="WZ127" s="1"/>
      <c r="XA127" s="1"/>
      <c r="XB127" s="1"/>
      <c r="XC127" s="1"/>
      <c r="XD127" s="1"/>
      <c r="XE127" s="1"/>
      <c r="XF127" s="1"/>
      <c r="XG127" s="1"/>
      <c r="XH127" s="1"/>
      <c r="XI127" s="1"/>
      <c r="XJ127" s="1"/>
      <c r="XK127" s="1"/>
      <c r="XL127" s="1"/>
      <c r="XM127" s="1"/>
      <c r="XN127" s="1"/>
      <c r="XO127" s="1"/>
      <c r="XP127" s="1"/>
      <c r="XQ127" s="1"/>
      <c r="XR127" s="1"/>
      <c r="XS127" s="1"/>
      <c r="XT127" s="1"/>
      <c r="XU127" s="1"/>
      <c r="XV127" s="1"/>
      <c r="XW127" s="1"/>
      <c r="XX127" s="1"/>
      <c r="XY127" s="1"/>
      <c r="XZ127" s="1"/>
      <c r="YA127" s="1"/>
      <c r="YB127" s="1"/>
      <c r="YC127" s="1"/>
      <c r="YD127" s="1"/>
      <c r="YE127" s="1"/>
      <c r="YF127" s="1"/>
      <c r="YG127" s="1"/>
      <c r="YH127" s="1"/>
      <c r="YI127" s="1"/>
      <c r="YJ127" s="1"/>
      <c r="YK127" s="1"/>
      <c r="YL127" s="1"/>
      <c r="YM127" s="1"/>
      <c r="YN127" s="1"/>
      <c r="YO127" s="1"/>
      <c r="YP127" s="1"/>
      <c r="YQ127" s="1"/>
      <c r="YR127" s="1"/>
      <c r="YS127" s="1"/>
      <c r="YT127" s="1"/>
      <c r="YU127" s="1"/>
      <c r="YV127" s="1"/>
      <c r="YW127" s="1"/>
      <c r="YX127" s="1"/>
      <c r="YY127" s="1"/>
      <c r="YZ127" s="1"/>
      <c r="ZA127" s="1"/>
      <c r="ZB127" s="1"/>
      <c r="ZC127" s="1"/>
      <c r="ZD127" s="1"/>
      <c r="ZE127" s="1"/>
      <c r="ZF127" s="1"/>
      <c r="ZG127" s="1"/>
      <c r="ZH127" s="1"/>
      <c r="ZI127" s="1"/>
      <c r="ZJ127" s="1"/>
      <c r="ZK127" s="1"/>
      <c r="ZL127" s="1"/>
      <c r="ZM127" s="1"/>
      <c r="ZN127" s="1"/>
      <c r="ZO127" s="1"/>
      <c r="ZP127" s="1"/>
      <c r="ZQ127" s="1"/>
      <c r="ZR127" s="1"/>
      <c r="ZS127" s="1"/>
      <c r="ZT127" s="1"/>
      <c r="ZU127" s="1"/>
      <c r="ZV127" s="1"/>
      <c r="ZW127" s="1"/>
      <c r="ZX127" s="1"/>
      <c r="ZY127" s="1"/>
      <c r="ZZ127" s="1"/>
    </row>
    <row r="128" ht="19.5" customHeight="1">
      <c r="A128" s="10"/>
      <c r="B128" s="10"/>
      <c r="C128" s="10"/>
      <c r="D128" s="10" t="str">
        <f t="shared" si="2"/>
        <v/>
      </c>
      <c r="E128" s="287" t="str">
        <f t="array" ref="E128">IF(B128="","",IF(B128&lt;&gt;B127,SUMPRODUCT(($B$5:B128&lt;&gt;$B$4:B127)*($B$5:B128&lt;&gt;"")),""))</f>
        <v/>
      </c>
      <c r="F128" s="10" t="str">
        <f t="shared" si="3"/>
        <v/>
      </c>
      <c r="G128" s="10" t="str">
        <f t="shared" si="4"/>
        <v/>
      </c>
      <c r="H128" s="288" t="str">
        <f t="shared" si="5"/>
        <v/>
      </c>
      <c r="I128" s="10"/>
      <c r="J128" s="10"/>
      <c r="K128" s="10"/>
      <c r="L128" s="10" t="str">
        <f t="shared" si="6"/>
        <v/>
      </c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L128" s="10"/>
      <c r="CM128" s="10"/>
      <c r="CN128" s="10"/>
      <c r="CO128" s="10"/>
      <c r="CP128" s="10"/>
      <c r="CQ128" s="10"/>
      <c r="CR128" s="10"/>
      <c r="CS128" s="10"/>
      <c r="CT128" s="10"/>
      <c r="CU128" s="10"/>
      <c r="CV128" s="10"/>
      <c r="CW128" s="10"/>
      <c r="CX128" s="10"/>
      <c r="CY128" s="10"/>
      <c r="CZ128" s="10"/>
      <c r="DA128" s="10"/>
      <c r="DB128" s="10"/>
      <c r="DC128" s="10"/>
      <c r="DD128" s="10"/>
      <c r="DE128" s="10"/>
      <c r="DF128" s="10"/>
      <c r="DG128" s="10"/>
      <c r="DH128" s="10"/>
      <c r="DI128" s="10"/>
      <c r="DJ128" s="10"/>
      <c r="DK128" s="10"/>
      <c r="DL128" s="10"/>
      <c r="DM128" s="10"/>
      <c r="DN128" s="10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  <c r="VA128" s="1"/>
      <c r="VB128" s="1"/>
      <c r="VC128" s="1"/>
      <c r="VD128" s="1"/>
      <c r="VE128" s="1"/>
      <c r="VF128" s="1"/>
      <c r="VG128" s="1"/>
      <c r="VH128" s="1"/>
      <c r="VI128" s="1"/>
      <c r="VJ128" s="1"/>
      <c r="VK128" s="1"/>
      <c r="VL128" s="1"/>
      <c r="VM128" s="1"/>
      <c r="VN128" s="1"/>
      <c r="VO128" s="1"/>
      <c r="VP128" s="1"/>
      <c r="VQ128" s="1"/>
      <c r="VR128" s="1"/>
      <c r="VS128" s="1"/>
      <c r="VT128" s="1"/>
      <c r="VU128" s="1"/>
      <c r="VV128" s="1"/>
      <c r="VW128" s="1"/>
      <c r="VX128" s="1"/>
      <c r="VY128" s="1"/>
      <c r="VZ128" s="1"/>
      <c r="WA128" s="1"/>
      <c r="WB128" s="1"/>
      <c r="WC128" s="1"/>
      <c r="WD128" s="1"/>
      <c r="WE128" s="1"/>
      <c r="WF128" s="1"/>
      <c r="WG128" s="1"/>
      <c r="WH128" s="1"/>
      <c r="WI128" s="1"/>
      <c r="WJ128" s="1"/>
      <c r="WK128" s="1"/>
      <c r="WL128" s="1"/>
      <c r="WM128" s="1"/>
      <c r="WN128" s="1"/>
      <c r="WO128" s="1"/>
      <c r="WP128" s="1"/>
      <c r="WQ128" s="1"/>
      <c r="WR128" s="1"/>
      <c r="WS128" s="1"/>
      <c r="WT128" s="1"/>
      <c r="WU128" s="1"/>
      <c r="WV128" s="1"/>
      <c r="WW128" s="1"/>
      <c r="WX128" s="1"/>
      <c r="WY128" s="1"/>
      <c r="WZ128" s="1"/>
      <c r="XA128" s="1"/>
      <c r="XB128" s="1"/>
      <c r="XC128" s="1"/>
      <c r="XD128" s="1"/>
      <c r="XE128" s="1"/>
      <c r="XF128" s="1"/>
      <c r="XG128" s="1"/>
      <c r="XH128" s="1"/>
      <c r="XI128" s="1"/>
      <c r="XJ128" s="1"/>
      <c r="XK128" s="1"/>
      <c r="XL128" s="1"/>
      <c r="XM128" s="1"/>
      <c r="XN128" s="1"/>
      <c r="XO128" s="1"/>
      <c r="XP128" s="1"/>
      <c r="XQ128" s="1"/>
      <c r="XR128" s="1"/>
      <c r="XS128" s="1"/>
      <c r="XT128" s="1"/>
      <c r="XU128" s="1"/>
      <c r="XV128" s="1"/>
      <c r="XW128" s="1"/>
      <c r="XX128" s="1"/>
      <c r="XY128" s="1"/>
      <c r="XZ128" s="1"/>
      <c r="YA128" s="1"/>
      <c r="YB128" s="1"/>
      <c r="YC128" s="1"/>
      <c r="YD128" s="1"/>
      <c r="YE128" s="1"/>
      <c r="YF128" s="1"/>
      <c r="YG128" s="1"/>
      <c r="YH128" s="1"/>
      <c r="YI128" s="1"/>
      <c r="YJ128" s="1"/>
      <c r="YK128" s="1"/>
      <c r="YL128" s="1"/>
      <c r="YM128" s="1"/>
      <c r="YN128" s="1"/>
      <c r="YO128" s="1"/>
      <c r="YP128" s="1"/>
      <c r="YQ128" s="1"/>
      <c r="YR128" s="1"/>
      <c r="YS128" s="1"/>
      <c r="YT128" s="1"/>
      <c r="YU128" s="1"/>
      <c r="YV128" s="1"/>
      <c r="YW128" s="1"/>
      <c r="YX128" s="1"/>
      <c r="YY128" s="1"/>
      <c r="YZ128" s="1"/>
      <c r="ZA128" s="1"/>
      <c r="ZB128" s="1"/>
      <c r="ZC128" s="1"/>
      <c r="ZD128" s="1"/>
      <c r="ZE128" s="1"/>
      <c r="ZF128" s="1"/>
      <c r="ZG128" s="1"/>
      <c r="ZH128" s="1"/>
      <c r="ZI128" s="1"/>
      <c r="ZJ128" s="1"/>
      <c r="ZK128" s="1"/>
      <c r="ZL128" s="1"/>
      <c r="ZM128" s="1"/>
      <c r="ZN128" s="1"/>
      <c r="ZO128" s="1"/>
      <c r="ZP128" s="1"/>
      <c r="ZQ128" s="1"/>
      <c r="ZR128" s="1"/>
      <c r="ZS128" s="1"/>
      <c r="ZT128" s="1"/>
      <c r="ZU128" s="1"/>
      <c r="ZV128" s="1"/>
      <c r="ZW128" s="1"/>
      <c r="ZX128" s="1"/>
      <c r="ZY128" s="1"/>
      <c r="ZZ128" s="1"/>
    </row>
    <row r="129" ht="19.5" customHeight="1">
      <c r="A129" s="10"/>
      <c r="B129" s="10"/>
      <c r="C129" s="10"/>
      <c r="D129" s="10" t="str">
        <f t="shared" si="2"/>
        <v/>
      </c>
      <c r="E129" s="287" t="str">
        <f t="array" ref="E129">IF(B129="","",IF(B129&lt;&gt;B128,SUMPRODUCT(($B$5:B129&lt;&gt;$B$4:B128)*($B$5:B129&lt;&gt;"")),""))</f>
        <v/>
      </c>
      <c r="F129" s="10" t="str">
        <f t="shared" si="3"/>
        <v/>
      </c>
      <c r="G129" s="10" t="str">
        <f t="shared" si="4"/>
        <v/>
      </c>
      <c r="H129" s="288" t="str">
        <f t="shared" si="5"/>
        <v/>
      </c>
      <c r="I129" s="10"/>
      <c r="J129" s="10"/>
      <c r="K129" s="10"/>
      <c r="L129" s="10" t="str">
        <f t="shared" si="6"/>
        <v/>
      </c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  <c r="CQ129" s="10"/>
      <c r="CR129" s="10"/>
      <c r="CS129" s="10"/>
      <c r="CT129" s="10"/>
      <c r="CU129" s="10"/>
      <c r="CV129" s="10"/>
      <c r="CW129" s="10"/>
      <c r="CX129" s="10"/>
      <c r="CY129" s="10"/>
      <c r="CZ129" s="10"/>
      <c r="DA129" s="10"/>
      <c r="DB129" s="10"/>
      <c r="DC129" s="10"/>
      <c r="DD129" s="10"/>
      <c r="DE129" s="10"/>
      <c r="DF129" s="10"/>
      <c r="DG129" s="10"/>
      <c r="DH129" s="10"/>
      <c r="DI129" s="10"/>
      <c r="DJ129" s="10"/>
      <c r="DK129" s="10"/>
      <c r="DL129" s="10"/>
      <c r="DM129" s="10"/>
      <c r="DN129" s="10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  <c r="VA129" s="1"/>
      <c r="VB129" s="1"/>
      <c r="VC129" s="1"/>
      <c r="VD129" s="1"/>
      <c r="VE129" s="1"/>
      <c r="VF129" s="1"/>
      <c r="VG129" s="1"/>
      <c r="VH129" s="1"/>
      <c r="VI129" s="1"/>
      <c r="VJ129" s="1"/>
      <c r="VK129" s="1"/>
      <c r="VL129" s="1"/>
      <c r="VM129" s="1"/>
      <c r="VN129" s="1"/>
      <c r="VO129" s="1"/>
      <c r="VP129" s="1"/>
      <c r="VQ129" s="1"/>
      <c r="VR129" s="1"/>
      <c r="VS129" s="1"/>
      <c r="VT129" s="1"/>
      <c r="VU129" s="1"/>
      <c r="VV129" s="1"/>
      <c r="VW129" s="1"/>
      <c r="VX129" s="1"/>
      <c r="VY129" s="1"/>
      <c r="VZ129" s="1"/>
      <c r="WA129" s="1"/>
      <c r="WB129" s="1"/>
      <c r="WC129" s="1"/>
      <c r="WD129" s="1"/>
      <c r="WE129" s="1"/>
      <c r="WF129" s="1"/>
      <c r="WG129" s="1"/>
      <c r="WH129" s="1"/>
      <c r="WI129" s="1"/>
      <c r="WJ129" s="1"/>
      <c r="WK129" s="1"/>
      <c r="WL129" s="1"/>
      <c r="WM129" s="1"/>
      <c r="WN129" s="1"/>
      <c r="WO129" s="1"/>
      <c r="WP129" s="1"/>
      <c r="WQ129" s="1"/>
      <c r="WR129" s="1"/>
      <c r="WS129" s="1"/>
      <c r="WT129" s="1"/>
      <c r="WU129" s="1"/>
      <c r="WV129" s="1"/>
      <c r="WW129" s="1"/>
      <c r="WX129" s="1"/>
      <c r="WY129" s="1"/>
      <c r="WZ129" s="1"/>
      <c r="XA129" s="1"/>
      <c r="XB129" s="1"/>
      <c r="XC129" s="1"/>
      <c r="XD129" s="1"/>
      <c r="XE129" s="1"/>
      <c r="XF129" s="1"/>
      <c r="XG129" s="1"/>
      <c r="XH129" s="1"/>
      <c r="XI129" s="1"/>
      <c r="XJ129" s="1"/>
      <c r="XK129" s="1"/>
      <c r="XL129" s="1"/>
      <c r="XM129" s="1"/>
      <c r="XN129" s="1"/>
      <c r="XO129" s="1"/>
      <c r="XP129" s="1"/>
      <c r="XQ129" s="1"/>
      <c r="XR129" s="1"/>
      <c r="XS129" s="1"/>
      <c r="XT129" s="1"/>
      <c r="XU129" s="1"/>
      <c r="XV129" s="1"/>
      <c r="XW129" s="1"/>
      <c r="XX129" s="1"/>
      <c r="XY129" s="1"/>
      <c r="XZ129" s="1"/>
      <c r="YA129" s="1"/>
      <c r="YB129" s="1"/>
      <c r="YC129" s="1"/>
      <c r="YD129" s="1"/>
      <c r="YE129" s="1"/>
      <c r="YF129" s="1"/>
      <c r="YG129" s="1"/>
      <c r="YH129" s="1"/>
      <c r="YI129" s="1"/>
      <c r="YJ129" s="1"/>
      <c r="YK129" s="1"/>
      <c r="YL129" s="1"/>
      <c r="YM129" s="1"/>
      <c r="YN129" s="1"/>
      <c r="YO129" s="1"/>
      <c r="YP129" s="1"/>
      <c r="YQ129" s="1"/>
      <c r="YR129" s="1"/>
      <c r="YS129" s="1"/>
      <c r="YT129" s="1"/>
      <c r="YU129" s="1"/>
      <c r="YV129" s="1"/>
      <c r="YW129" s="1"/>
      <c r="YX129" s="1"/>
      <c r="YY129" s="1"/>
      <c r="YZ129" s="1"/>
      <c r="ZA129" s="1"/>
      <c r="ZB129" s="1"/>
      <c r="ZC129" s="1"/>
      <c r="ZD129" s="1"/>
      <c r="ZE129" s="1"/>
      <c r="ZF129" s="1"/>
      <c r="ZG129" s="1"/>
      <c r="ZH129" s="1"/>
      <c r="ZI129" s="1"/>
      <c r="ZJ129" s="1"/>
      <c r="ZK129" s="1"/>
      <c r="ZL129" s="1"/>
      <c r="ZM129" s="1"/>
      <c r="ZN129" s="1"/>
      <c r="ZO129" s="1"/>
      <c r="ZP129" s="1"/>
      <c r="ZQ129" s="1"/>
      <c r="ZR129" s="1"/>
      <c r="ZS129" s="1"/>
      <c r="ZT129" s="1"/>
      <c r="ZU129" s="1"/>
      <c r="ZV129" s="1"/>
      <c r="ZW129" s="1"/>
      <c r="ZX129" s="1"/>
      <c r="ZY129" s="1"/>
      <c r="ZZ129" s="1"/>
    </row>
    <row r="130" ht="19.5" customHeight="1">
      <c r="A130" s="10"/>
      <c r="B130" s="10"/>
      <c r="C130" s="10"/>
      <c r="D130" s="10" t="str">
        <f t="shared" si="2"/>
        <v/>
      </c>
      <c r="E130" s="287" t="str">
        <f t="array" ref="E130">IF(B130="","",IF(B130&lt;&gt;B129,SUMPRODUCT(($B$5:B130&lt;&gt;$B$4:B129)*($B$5:B130&lt;&gt;"")),""))</f>
        <v/>
      </c>
      <c r="F130" s="10" t="str">
        <f t="shared" si="3"/>
        <v/>
      </c>
      <c r="G130" s="10" t="str">
        <f t="shared" si="4"/>
        <v/>
      </c>
      <c r="H130" s="288" t="str">
        <f t="shared" si="5"/>
        <v/>
      </c>
      <c r="I130" s="10"/>
      <c r="J130" s="10"/>
      <c r="K130" s="10"/>
      <c r="L130" s="10" t="str">
        <f t="shared" si="6"/>
        <v/>
      </c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  <c r="CG130" s="10"/>
      <c r="CH130" s="10"/>
      <c r="CI130" s="10"/>
      <c r="CJ130" s="10"/>
      <c r="CK130" s="10"/>
      <c r="CL130" s="10"/>
      <c r="CM130" s="10"/>
      <c r="CN130" s="10"/>
      <c r="CO130" s="10"/>
      <c r="CP130" s="10"/>
      <c r="CQ130" s="10"/>
      <c r="CR130" s="10"/>
      <c r="CS130" s="10"/>
      <c r="CT130" s="10"/>
      <c r="CU130" s="10"/>
      <c r="CV130" s="10"/>
      <c r="CW130" s="10"/>
      <c r="CX130" s="10"/>
      <c r="CY130" s="10"/>
      <c r="CZ130" s="10"/>
      <c r="DA130" s="10"/>
      <c r="DB130" s="10"/>
      <c r="DC130" s="10"/>
      <c r="DD130" s="10"/>
      <c r="DE130" s="10"/>
      <c r="DF130" s="10"/>
      <c r="DG130" s="10"/>
      <c r="DH130" s="10"/>
      <c r="DI130" s="10"/>
      <c r="DJ130" s="10"/>
      <c r="DK130" s="10"/>
      <c r="DL130" s="10"/>
      <c r="DM130" s="10"/>
      <c r="DN130" s="10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  <c r="VA130" s="1"/>
      <c r="VB130" s="1"/>
      <c r="VC130" s="1"/>
      <c r="VD130" s="1"/>
      <c r="VE130" s="1"/>
      <c r="VF130" s="1"/>
      <c r="VG130" s="1"/>
      <c r="VH130" s="1"/>
      <c r="VI130" s="1"/>
      <c r="VJ130" s="1"/>
      <c r="VK130" s="1"/>
      <c r="VL130" s="1"/>
      <c r="VM130" s="1"/>
      <c r="VN130" s="1"/>
      <c r="VO130" s="1"/>
      <c r="VP130" s="1"/>
      <c r="VQ130" s="1"/>
      <c r="VR130" s="1"/>
      <c r="VS130" s="1"/>
      <c r="VT130" s="1"/>
      <c r="VU130" s="1"/>
      <c r="VV130" s="1"/>
      <c r="VW130" s="1"/>
      <c r="VX130" s="1"/>
      <c r="VY130" s="1"/>
      <c r="VZ130" s="1"/>
      <c r="WA130" s="1"/>
      <c r="WB130" s="1"/>
      <c r="WC130" s="1"/>
      <c r="WD130" s="1"/>
      <c r="WE130" s="1"/>
      <c r="WF130" s="1"/>
      <c r="WG130" s="1"/>
      <c r="WH130" s="1"/>
      <c r="WI130" s="1"/>
      <c r="WJ130" s="1"/>
      <c r="WK130" s="1"/>
      <c r="WL130" s="1"/>
      <c r="WM130" s="1"/>
      <c r="WN130" s="1"/>
      <c r="WO130" s="1"/>
      <c r="WP130" s="1"/>
      <c r="WQ130" s="1"/>
      <c r="WR130" s="1"/>
      <c r="WS130" s="1"/>
      <c r="WT130" s="1"/>
      <c r="WU130" s="1"/>
      <c r="WV130" s="1"/>
      <c r="WW130" s="1"/>
      <c r="WX130" s="1"/>
      <c r="WY130" s="1"/>
      <c r="WZ130" s="1"/>
      <c r="XA130" s="1"/>
      <c r="XB130" s="1"/>
      <c r="XC130" s="1"/>
      <c r="XD130" s="1"/>
      <c r="XE130" s="1"/>
      <c r="XF130" s="1"/>
      <c r="XG130" s="1"/>
      <c r="XH130" s="1"/>
      <c r="XI130" s="1"/>
      <c r="XJ130" s="1"/>
      <c r="XK130" s="1"/>
      <c r="XL130" s="1"/>
      <c r="XM130" s="1"/>
      <c r="XN130" s="1"/>
      <c r="XO130" s="1"/>
      <c r="XP130" s="1"/>
      <c r="XQ130" s="1"/>
      <c r="XR130" s="1"/>
      <c r="XS130" s="1"/>
      <c r="XT130" s="1"/>
      <c r="XU130" s="1"/>
      <c r="XV130" s="1"/>
      <c r="XW130" s="1"/>
      <c r="XX130" s="1"/>
      <c r="XY130" s="1"/>
      <c r="XZ130" s="1"/>
      <c r="YA130" s="1"/>
      <c r="YB130" s="1"/>
      <c r="YC130" s="1"/>
      <c r="YD130" s="1"/>
      <c r="YE130" s="1"/>
      <c r="YF130" s="1"/>
      <c r="YG130" s="1"/>
      <c r="YH130" s="1"/>
      <c r="YI130" s="1"/>
      <c r="YJ130" s="1"/>
      <c r="YK130" s="1"/>
      <c r="YL130" s="1"/>
      <c r="YM130" s="1"/>
      <c r="YN130" s="1"/>
      <c r="YO130" s="1"/>
      <c r="YP130" s="1"/>
      <c r="YQ130" s="1"/>
      <c r="YR130" s="1"/>
      <c r="YS130" s="1"/>
      <c r="YT130" s="1"/>
      <c r="YU130" s="1"/>
      <c r="YV130" s="1"/>
      <c r="YW130" s="1"/>
      <c r="YX130" s="1"/>
      <c r="YY130" s="1"/>
      <c r="YZ130" s="1"/>
      <c r="ZA130" s="1"/>
      <c r="ZB130" s="1"/>
      <c r="ZC130" s="1"/>
      <c r="ZD130" s="1"/>
      <c r="ZE130" s="1"/>
      <c r="ZF130" s="1"/>
      <c r="ZG130" s="1"/>
      <c r="ZH130" s="1"/>
      <c r="ZI130" s="1"/>
      <c r="ZJ130" s="1"/>
      <c r="ZK130" s="1"/>
      <c r="ZL130" s="1"/>
      <c r="ZM130" s="1"/>
      <c r="ZN130" s="1"/>
      <c r="ZO130" s="1"/>
      <c r="ZP130" s="1"/>
      <c r="ZQ130" s="1"/>
      <c r="ZR130" s="1"/>
      <c r="ZS130" s="1"/>
      <c r="ZT130" s="1"/>
      <c r="ZU130" s="1"/>
      <c r="ZV130" s="1"/>
      <c r="ZW130" s="1"/>
      <c r="ZX130" s="1"/>
      <c r="ZY130" s="1"/>
      <c r="ZZ130" s="1"/>
    </row>
    <row r="131" ht="19.5" customHeight="1">
      <c r="A131" s="10"/>
      <c r="B131" s="10"/>
      <c r="C131" s="10"/>
      <c r="D131" s="10" t="str">
        <f t="shared" si="2"/>
        <v/>
      </c>
      <c r="E131" s="287" t="str">
        <f t="array" ref="E131">IF(B131="","",IF(B131&lt;&gt;B130,SUMPRODUCT(($B$5:B131&lt;&gt;$B$4:B130)*($B$5:B131&lt;&gt;"")),""))</f>
        <v/>
      </c>
      <c r="F131" s="10" t="str">
        <f t="shared" si="3"/>
        <v/>
      </c>
      <c r="G131" s="10" t="str">
        <f t="shared" si="4"/>
        <v/>
      </c>
      <c r="H131" s="288" t="str">
        <f t="shared" si="5"/>
        <v/>
      </c>
      <c r="I131" s="10"/>
      <c r="J131" s="10"/>
      <c r="K131" s="10"/>
      <c r="L131" s="10" t="str">
        <f t="shared" si="6"/>
        <v/>
      </c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L131" s="10"/>
      <c r="CM131" s="10"/>
      <c r="CN131" s="10"/>
      <c r="CO131" s="10"/>
      <c r="CP131" s="10"/>
      <c r="CQ131" s="10"/>
      <c r="CR131" s="10"/>
      <c r="CS131" s="10"/>
      <c r="CT131" s="10"/>
      <c r="CU131" s="10"/>
      <c r="CV131" s="10"/>
      <c r="CW131" s="10"/>
      <c r="CX131" s="10"/>
      <c r="CY131" s="10"/>
      <c r="CZ131" s="10"/>
      <c r="DA131" s="10"/>
      <c r="DB131" s="10"/>
      <c r="DC131" s="10"/>
      <c r="DD131" s="10"/>
      <c r="DE131" s="10"/>
      <c r="DF131" s="10"/>
      <c r="DG131" s="10"/>
      <c r="DH131" s="10"/>
      <c r="DI131" s="10"/>
      <c r="DJ131" s="10"/>
      <c r="DK131" s="10"/>
      <c r="DL131" s="10"/>
      <c r="DM131" s="10"/>
      <c r="DN131" s="10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  <c r="VA131" s="1"/>
      <c r="VB131" s="1"/>
      <c r="VC131" s="1"/>
      <c r="VD131" s="1"/>
      <c r="VE131" s="1"/>
      <c r="VF131" s="1"/>
      <c r="VG131" s="1"/>
      <c r="VH131" s="1"/>
      <c r="VI131" s="1"/>
      <c r="VJ131" s="1"/>
      <c r="VK131" s="1"/>
      <c r="VL131" s="1"/>
      <c r="VM131" s="1"/>
      <c r="VN131" s="1"/>
      <c r="VO131" s="1"/>
      <c r="VP131" s="1"/>
      <c r="VQ131" s="1"/>
      <c r="VR131" s="1"/>
      <c r="VS131" s="1"/>
      <c r="VT131" s="1"/>
      <c r="VU131" s="1"/>
      <c r="VV131" s="1"/>
      <c r="VW131" s="1"/>
      <c r="VX131" s="1"/>
      <c r="VY131" s="1"/>
      <c r="VZ131" s="1"/>
      <c r="WA131" s="1"/>
      <c r="WB131" s="1"/>
      <c r="WC131" s="1"/>
      <c r="WD131" s="1"/>
      <c r="WE131" s="1"/>
      <c r="WF131" s="1"/>
      <c r="WG131" s="1"/>
      <c r="WH131" s="1"/>
      <c r="WI131" s="1"/>
      <c r="WJ131" s="1"/>
      <c r="WK131" s="1"/>
      <c r="WL131" s="1"/>
      <c r="WM131" s="1"/>
      <c r="WN131" s="1"/>
      <c r="WO131" s="1"/>
      <c r="WP131" s="1"/>
      <c r="WQ131" s="1"/>
      <c r="WR131" s="1"/>
      <c r="WS131" s="1"/>
      <c r="WT131" s="1"/>
      <c r="WU131" s="1"/>
      <c r="WV131" s="1"/>
      <c r="WW131" s="1"/>
      <c r="WX131" s="1"/>
      <c r="WY131" s="1"/>
      <c r="WZ131" s="1"/>
      <c r="XA131" s="1"/>
      <c r="XB131" s="1"/>
      <c r="XC131" s="1"/>
      <c r="XD131" s="1"/>
      <c r="XE131" s="1"/>
      <c r="XF131" s="1"/>
      <c r="XG131" s="1"/>
      <c r="XH131" s="1"/>
      <c r="XI131" s="1"/>
      <c r="XJ131" s="1"/>
      <c r="XK131" s="1"/>
      <c r="XL131" s="1"/>
      <c r="XM131" s="1"/>
      <c r="XN131" s="1"/>
      <c r="XO131" s="1"/>
      <c r="XP131" s="1"/>
      <c r="XQ131" s="1"/>
      <c r="XR131" s="1"/>
      <c r="XS131" s="1"/>
      <c r="XT131" s="1"/>
      <c r="XU131" s="1"/>
      <c r="XV131" s="1"/>
      <c r="XW131" s="1"/>
      <c r="XX131" s="1"/>
      <c r="XY131" s="1"/>
      <c r="XZ131" s="1"/>
      <c r="YA131" s="1"/>
      <c r="YB131" s="1"/>
      <c r="YC131" s="1"/>
      <c r="YD131" s="1"/>
      <c r="YE131" s="1"/>
      <c r="YF131" s="1"/>
      <c r="YG131" s="1"/>
      <c r="YH131" s="1"/>
      <c r="YI131" s="1"/>
      <c r="YJ131" s="1"/>
      <c r="YK131" s="1"/>
      <c r="YL131" s="1"/>
      <c r="YM131" s="1"/>
      <c r="YN131" s="1"/>
      <c r="YO131" s="1"/>
      <c r="YP131" s="1"/>
      <c r="YQ131" s="1"/>
      <c r="YR131" s="1"/>
      <c r="YS131" s="1"/>
      <c r="YT131" s="1"/>
      <c r="YU131" s="1"/>
      <c r="YV131" s="1"/>
      <c r="YW131" s="1"/>
      <c r="YX131" s="1"/>
      <c r="YY131" s="1"/>
      <c r="YZ131" s="1"/>
      <c r="ZA131" s="1"/>
      <c r="ZB131" s="1"/>
      <c r="ZC131" s="1"/>
      <c r="ZD131" s="1"/>
      <c r="ZE131" s="1"/>
      <c r="ZF131" s="1"/>
      <c r="ZG131" s="1"/>
      <c r="ZH131" s="1"/>
      <c r="ZI131" s="1"/>
      <c r="ZJ131" s="1"/>
      <c r="ZK131" s="1"/>
      <c r="ZL131" s="1"/>
      <c r="ZM131" s="1"/>
      <c r="ZN131" s="1"/>
      <c r="ZO131" s="1"/>
      <c r="ZP131" s="1"/>
      <c r="ZQ131" s="1"/>
      <c r="ZR131" s="1"/>
      <c r="ZS131" s="1"/>
      <c r="ZT131" s="1"/>
      <c r="ZU131" s="1"/>
      <c r="ZV131" s="1"/>
      <c r="ZW131" s="1"/>
      <c r="ZX131" s="1"/>
      <c r="ZY131" s="1"/>
      <c r="ZZ131" s="1"/>
    </row>
    <row r="132" ht="19.5" customHeight="1">
      <c r="A132" s="10"/>
      <c r="B132" s="10"/>
      <c r="C132" s="10"/>
      <c r="D132" s="10" t="str">
        <f t="shared" si="2"/>
        <v/>
      </c>
      <c r="E132" s="287" t="str">
        <f t="array" ref="E132">IF(B132="","",IF(B132&lt;&gt;B131,SUMPRODUCT(($B$5:B132&lt;&gt;$B$4:B131)*($B$5:B132&lt;&gt;"")),""))</f>
        <v/>
      </c>
      <c r="F132" s="10" t="str">
        <f t="shared" si="3"/>
        <v/>
      </c>
      <c r="G132" s="10" t="str">
        <f t="shared" si="4"/>
        <v/>
      </c>
      <c r="H132" s="288" t="str">
        <f t="shared" si="5"/>
        <v/>
      </c>
      <c r="I132" s="10"/>
      <c r="J132" s="10"/>
      <c r="K132" s="10"/>
      <c r="L132" s="10" t="str">
        <f t="shared" si="6"/>
        <v/>
      </c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L132" s="10"/>
      <c r="CM132" s="10"/>
      <c r="CN132" s="10"/>
      <c r="CO132" s="10"/>
      <c r="CP132" s="10"/>
      <c r="CQ132" s="10"/>
      <c r="CR132" s="10"/>
      <c r="CS132" s="10"/>
      <c r="CT132" s="10"/>
      <c r="CU132" s="10"/>
      <c r="CV132" s="10"/>
      <c r="CW132" s="10"/>
      <c r="CX132" s="10"/>
      <c r="CY132" s="10"/>
      <c r="CZ132" s="10"/>
      <c r="DA132" s="10"/>
      <c r="DB132" s="10"/>
      <c r="DC132" s="10"/>
      <c r="DD132" s="10"/>
      <c r="DE132" s="10"/>
      <c r="DF132" s="10"/>
      <c r="DG132" s="10"/>
      <c r="DH132" s="10"/>
      <c r="DI132" s="10"/>
      <c r="DJ132" s="10"/>
      <c r="DK132" s="10"/>
      <c r="DL132" s="10"/>
      <c r="DM132" s="10"/>
      <c r="DN132" s="10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  <c r="VA132" s="1"/>
      <c r="VB132" s="1"/>
      <c r="VC132" s="1"/>
      <c r="VD132" s="1"/>
      <c r="VE132" s="1"/>
      <c r="VF132" s="1"/>
      <c r="VG132" s="1"/>
      <c r="VH132" s="1"/>
      <c r="VI132" s="1"/>
      <c r="VJ132" s="1"/>
      <c r="VK132" s="1"/>
      <c r="VL132" s="1"/>
      <c r="VM132" s="1"/>
      <c r="VN132" s="1"/>
      <c r="VO132" s="1"/>
      <c r="VP132" s="1"/>
      <c r="VQ132" s="1"/>
      <c r="VR132" s="1"/>
      <c r="VS132" s="1"/>
      <c r="VT132" s="1"/>
      <c r="VU132" s="1"/>
      <c r="VV132" s="1"/>
      <c r="VW132" s="1"/>
      <c r="VX132" s="1"/>
      <c r="VY132" s="1"/>
      <c r="VZ132" s="1"/>
      <c r="WA132" s="1"/>
      <c r="WB132" s="1"/>
      <c r="WC132" s="1"/>
      <c r="WD132" s="1"/>
      <c r="WE132" s="1"/>
      <c r="WF132" s="1"/>
      <c r="WG132" s="1"/>
      <c r="WH132" s="1"/>
      <c r="WI132" s="1"/>
      <c r="WJ132" s="1"/>
      <c r="WK132" s="1"/>
      <c r="WL132" s="1"/>
      <c r="WM132" s="1"/>
      <c r="WN132" s="1"/>
      <c r="WO132" s="1"/>
      <c r="WP132" s="1"/>
      <c r="WQ132" s="1"/>
      <c r="WR132" s="1"/>
      <c r="WS132" s="1"/>
      <c r="WT132" s="1"/>
      <c r="WU132" s="1"/>
      <c r="WV132" s="1"/>
      <c r="WW132" s="1"/>
      <c r="WX132" s="1"/>
      <c r="WY132" s="1"/>
      <c r="WZ132" s="1"/>
      <c r="XA132" s="1"/>
      <c r="XB132" s="1"/>
      <c r="XC132" s="1"/>
      <c r="XD132" s="1"/>
      <c r="XE132" s="1"/>
      <c r="XF132" s="1"/>
      <c r="XG132" s="1"/>
      <c r="XH132" s="1"/>
      <c r="XI132" s="1"/>
      <c r="XJ132" s="1"/>
      <c r="XK132" s="1"/>
      <c r="XL132" s="1"/>
      <c r="XM132" s="1"/>
      <c r="XN132" s="1"/>
      <c r="XO132" s="1"/>
      <c r="XP132" s="1"/>
      <c r="XQ132" s="1"/>
      <c r="XR132" s="1"/>
      <c r="XS132" s="1"/>
      <c r="XT132" s="1"/>
      <c r="XU132" s="1"/>
      <c r="XV132" s="1"/>
      <c r="XW132" s="1"/>
      <c r="XX132" s="1"/>
      <c r="XY132" s="1"/>
      <c r="XZ132" s="1"/>
      <c r="YA132" s="1"/>
      <c r="YB132" s="1"/>
      <c r="YC132" s="1"/>
      <c r="YD132" s="1"/>
      <c r="YE132" s="1"/>
      <c r="YF132" s="1"/>
      <c r="YG132" s="1"/>
      <c r="YH132" s="1"/>
      <c r="YI132" s="1"/>
      <c r="YJ132" s="1"/>
      <c r="YK132" s="1"/>
      <c r="YL132" s="1"/>
      <c r="YM132" s="1"/>
      <c r="YN132" s="1"/>
      <c r="YO132" s="1"/>
      <c r="YP132" s="1"/>
      <c r="YQ132" s="1"/>
      <c r="YR132" s="1"/>
      <c r="YS132" s="1"/>
      <c r="YT132" s="1"/>
      <c r="YU132" s="1"/>
      <c r="YV132" s="1"/>
      <c r="YW132" s="1"/>
      <c r="YX132" s="1"/>
      <c r="YY132" s="1"/>
      <c r="YZ132" s="1"/>
      <c r="ZA132" s="1"/>
      <c r="ZB132" s="1"/>
      <c r="ZC132" s="1"/>
      <c r="ZD132" s="1"/>
      <c r="ZE132" s="1"/>
      <c r="ZF132" s="1"/>
      <c r="ZG132" s="1"/>
      <c r="ZH132" s="1"/>
      <c r="ZI132" s="1"/>
      <c r="ZJ132" s="1"/>
      <c r="ZK132" s="1"/>
      <c r="ZL132" s="1"/>
      <c r="ZM132" s="1"/>
      <c r="ZN132" s="1"/>
      <c r="ZO132" s="1"/>
      <c r="ZP132" s="1"/>
      <c r="ZQ132" s="1"/>
      <c r="ZR132" s="1"/>
      <c r="ZS132" s="1"/>
      <c r="ZT132" s="1"/>
      <c r="ZU132" s="1"/>
      <c r="ZV132" s="1"/>
      <c r="ZW132" s="1"/>
      <c r="ZX132" s="1"/>
      <c r="ZY132" s="1"/>
      <c r="ZZ132" s="1"/>
    </row>
    <row r="133" ht="19.5" customHeight="1">
      <c r="A133" s="10"/>
      <c r="B133" s="10"/>
      <c r="C133" s="10"/>
      <c r="D133" s="10" t="str">
        <f t="shared" si="2"/>
        <v/>
      </c>
      <c r="E133" s="287" t="str">
        <f t="array" ref="E133">IF(B133="","",IF(B133&lt;&gt;B132,SUMPRODUCT(($B$5:B133&lt;&gt;$B$4:B132)*($B$5:B133&lt;&gt;"")),""))</f>
        <v/>
      </c>
      <c r="F133" s="10" t="str">
        <f t="shared" si="3"/>
        <v/>
      </c>
      <c r="G133" s="10" t="str">
        <f t="shared" si="4"/>
        <v/>
      </c>
      <c r="H133" s="288" t="str">
        <f t="shared" si="5"/>
        <v/>
      </c>
      <c r="I133" s="10"/>
      <c r="J133" s="10"/>
      <c r="K133" s="10"/>
      <c r="L133" s="10" t="str">
        <f t="shared" si="6"/>
        <v/>
      </c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L133" s="10"/>
      <c r="CM133" s="10"/>
      <c r="CN133" s="10"/>
      <c r="CO133" s="10"/>
      <c r="CP133" s="10"/>
      <c r="CQ133" s="10"/>
      <c r="CR133" s="10"/>
      <c r="CS133" s="10"/>
      <c r="CT133" s="10"/>
      <c r="CU133" s="10"/>
      <c r="CV133" s="10"/>
      <c r="CW133" s="10"/>
      <c r="CX133" s="10"/>
      <c r="CY133" s="10"/>
      <c r="CZ133" s="10"/>
      <c r="DA133" s="10"/>
      <c r="DB133" s="10"/>
      <c r="DC133" s="10"/>
      <c r="DD133" s="10"/>
      <c r="DE133" s="10"/>
      <c r="DF133" s="10"/>
      <c r="DG133" s="10"/>
      <c r="DH133" s="10"/>
      <c r="DI133" s="10"/>
      <c r="DJ133" s="10"/>
      <c r="DK133" s="10"/>
      <c r="DL133" s="10"/>
      <c r="DM133" s="10"/>
      <c r="DN133" s="10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  <c r="VA133" s="1"/>
      <c r="VB133" s="1"/>
      <c r="VC133" s="1"/>
      <c r="VD133" s="1"/>
      <c r="VE133" s="1"/>
      <c r="VF133" s="1"/>
      <c r="VG133" s="1"/>
      <c r="VH133" s="1"/>
      <c r="VI133" s="1"/>
      <c r="VJ133" s="1"/>
      <c r="VK133" s="1"/>
      <c r="VL133" s="1"/>
      <c r="VM133" s="1"/>
      <c r="VN133" s="1"/>
      <c r="VO133" s="1"/>
      <c r="VP133" s="1"/>
      <c r="VQ133" s="1"/>
      <c r="VR133" s="1"/>
      <c r="VS133" s="1"/>
      <c r="VT133" s="1"/>
      <c r="VU133" s="1"/>
      <c r="VV133" s="1"/>
      <c r="VW133" s="1"/>
      <c r="VX133" s="1"/>
      <c r="VY133" s="1"/>
      <c r="VZ133" s="1"/>
      <c r="WA133" s="1"/>
      <c r="WB133" s="1"/>
      <c r="WC133" s="1"/>
      <c r="WD133" s="1"/>
      <c r="WE133" s="1"/>
      <c r="WF133" s="1"/>
      <c r="WG133" s="1"/>
      <c r="WH133" s="1"/>
      <c r="WI133" s="1"/>
      <c r="WJ133" s="1"/>
      <c r="WK133" s="1"/>
      <c r="WL133" s="1"/>
      <c r="WM133" s="1"/>
      <c r="WN133" s="1"/>
      <c r="WO133" s="1"/>
      <c r="WP133" s="1"/>
      <c r="WQ133" s="1"/>
      <c r="WR133" s="1"/>
      <c r="WS133" s="1"/>
      <c r="WT133" s="1"/>
      <c r="WU133" s="1"/>
      <c r="WV133" s="1"/>
      <c r="WW133" s="1"/>
      <c r="WX133" s="1"/>
      <c r="WY133" s="1"/>
      <c r="WZ133" s="1"/>
      <c r="XA133" s="1"/>
      <c r="XB133" s="1"/>
      <c r="XC133" s="1"/>
      <c r="XD133" s="1"/>
      <c r="XE133" s="1"/>
      <c r="XF133" s="1"/>
      <c r="XG133" s="1"/>
      <c r="XH133" s="1"/>
      <c r="XI133" s="1"/>
      <c r="XJ133" s="1"/>
      <c r="XK133" s="1"/>
      <c r="XL133" s="1"/>
      <c r="XM133" s="1"/>
      <c r="XN133" s="1"/>
      <c r="XO133" s="1"/>
      <c r="XP133" s="1"/>
      <c r="XQ133" s="1"/>
      <c r="XR133" s="1"/>
      <c r="XS133" s="1"/>
      <c r="XT133" s="1"/>
      <c r="XU133" s="1"/>
      <c r="XV133" s="1"/>
      <c r="XW133" s="1"/>
      <c r="XX133" s="1"/>
      <c r="XY133" s="1"/>
      <c r="XZ133" s="1"/>
      <c r="YA133" s="1"/>
      <c r="YB133" s="1"/>
      <c r="YC133" s="1"/>
      <c r="YD133" s="1"/>
      <c r="YE133" s="1"/>
      <c r="YF133" s="1"/>
      <c r="YG133" s="1"/>
      <c r="YH133" s="1"/>
      <c r="YI133" s="1"/>
      <c r="YJ133" s="1"/>
      <c r="YK133" s="1"/>
      <c r="YL133" s="1"/>
      <c r="YM133" s="1"/>
      <c r="YN133" s="1"/>
      <c r="YO133" s="1"/>
      <c r="YP133" s="1"/>
      <c r="YQ133" s="1"/>
      <c r="YR133" s="1"/>
      <c r="YS133" s="1"/>
      <c r="YT133" s="1"/>
      <c r="YU133" s="1"/>
      <c r="YV133" s="1"/>
      <c r="YW133" s="1"/>
      <c r="YX133" s="1"/>
      <c r="YY133" s="1"/>
      <c r="YZ133" s="1"/>
      <c r="ZA133" s="1"/>
      <c r="ZB133" s="1"/>
      <c r="ZC133" s="1"/>
      <c r="ZD133" s="1"/>
      <c r="ZE133" s="1"/>
      <c r="ZF133" s="1"/>
      <c r="ZG133" s="1"/>
      <c r="ZH133" s="1"/>
      <c r="ZI133" s="1"/>
      <c r="ZJ133" s="1"/>
      <c r="ZK133" s="1"/>
      <c r="ZL133" s="1"/>
      <c r="ZM133" s="1"/>
      <c r="ZN133" s="1"/>
      <c r="ZO133" s="1"/>
      <c r="ZP133" s="1"/>
      <c r="ZQ133" s="1"/>
      <c r="ZR133" s="1"/>
      <c r="ZS133" s="1"/>
      <c r="ZT133" s="1"/>
      <c r="ZU133" s="1"/>
      <c r="ZV133" s="1"/>
      <c r="ZW133" s="1"/>
      <c r="ZX133" s="1"/>
      <c r="ZY133" s="1"/>
      <c r="ZZ133" s="1"/>
    </row>
    <row r="134" ht="19.5" customHeight="1">
      <c r="A134" s="10"/>
      <c r="B134" s="10"/>
      <c r="C134" s="10"/>
      <c r="D134" s="10" t="str">
        <f t="shared" si="2"/>
        <v/>
      </c>
      <c r="E134" s="287" t="str">
        <f t="array" ref="E134">IF(B134="","",IF(B134&lt;&gt;B133,SUMPRODUCT(($B$5:B134&lt;&gt;$B$4:B133)*($B$5:B134&lt;&gt;"")),""))</f>
        <v/>
      </c>
      <c r="F134" s="10" t="str">
        <f t="shared" si="3"/>
        <v/>
      </c>
      <c r="G134" s="10" t="str">
        <f t="shared" si="4"/>
        <v/>
      </c>
      <c r="H134" s="288" t="str">
        <f t="shared" si="5"/>
        <v/>
      </c>
      <c r="I134" s="10"/>
      <c r="J134" s="10"/>
      <c r="K134" s="10"/>
      <c r="L134" s="10" t="str">
        <f t="shared" si="6"/>
        <v/>
      </c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  <c r="CG134" s="10"/>
      <c r="CH134" s="10"/>
      <c r="CI134" s="10"/>
      <c r="CJ134" s="10"/>
      <c r="CK134" s="10"/>
      <c r="CL134" s="10"/>
      <c r="CM134" s="10"/>
      <c r="CN134" s="10"/>
      <c r="CO134" s="10"/>
      <c r="CP134" s="10"/>
      <c r="CQ134" s="10"/>
      <c r="CR134" s="10"/>
      <c r="CS134" s="10"/>
      <c r="CT134" s="10"/>
      <c r="CU134" s="10"/>
      <c r="CV134" s="10"/>
      <c r="CW134" s="10"/>
      <c r="CX134" s="10"/>
      <c r="CY134" s="10"/>
      <c r="CZ134" s="10"/>
      <c r="DA134" s="10"/>
      <c r="DB134" s="10"/>
      <c r="DC134" s="10"/>
      <c r="DD134" s="10"/>
      <c r="DE134" s="10"/>
      <c r="DF134" s="10"/>
      <c r="DG134" s="10"/>
      <c r="DH134" s="10"/>
      <c r="DI134" s="10"/>
      <c r="DJ134" s="10"/>
      <c r="DK134" s="10"/>
      <c r="DL134" s="10"/>
      <c r="DM134" s="10"/>
      <c r="DN134" s="10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  <c r="VA134" s="1"/>
      <c r="VB134" s="1"/>
      <c r="VC134" s="1"/>
      <c r="VD134" s="1"/>
      <c r="VE134" s="1"/>
      <c r="VF134" s="1"/>
      <c r="VG134" s="1"/>
      <c r="VH134" s="1"/>
      <c r="VI134" s="1"/>
      <c r="VJ134" s="1"/>
      <c r="VK134" s="1"/>
      <c r="VL134" s="1"/>
      <c r="VM134" s="1"/>
      <c r="VN134" s="1"/>
      <c r="VO134" s="1"/>
      <c r="VP134" s="1"/>
      <c r="VQ134" s="1"/>
      <c r="VR134" s="1"/>
      <c r="VS134" s="1"/>
      <c r="VT134" s="1"/>
      <c r="VU134" s="1"/>
      <c r="VV134" s="1"/>
      <c r="VW134" s="1"/>
      <c r="VX134" s="1"/>
      <c r="VY134" s="1"/>
      <c r="VZ134" s="1"/>
      <c r="WA134" s="1"/>
      <c r="WB134" s="1"/>
      <c r="WC134" s="1"/>
      <c r="WD134" s="1"/>
      <c r="WE134" s="1"/>
      <c r="WF134" s="1"/>
      <c r="WG134" s="1"/>
      <c r="WH134" s="1"/>
      <c r="WI134" s="1"/>
      <c r="WJ134" s="1"/>
      <c r="WK134" s="1"/>
      <c r="WL134" s="1"/>
      <c r="WM134" s="1"/>
      <c r="WN134" s="1"/>
      <c r="WO134" s="1"/>
      <c r="WP134" s="1"/>
      <c r="WQ134" s="1"/>
      <c r="WR134" s="1"/>
      <c r="WS134" s="1"/>
      <c r="WT134" s="1"/>
      <c r="WU134" s="1"/>
      <c r="WV134" s="1"/>
      <c r="WW134" s="1"/>
      <c r="WX134" s="1"/>
      <c r="WY134" s="1"/>
      <c r="WZ134" s="1"/>
      <c r="XA134" s="1"/>
      <c r="XB134" s="1"/>
      <c r="XC134" s="1"/>
      <c r="XD134" s="1"/>
      <c r="XE134" s="1"/>
      <c r="XF134" s="1"/>
      <c r="XG134" s="1"/>
      <c r="XH134" s="1"/>
      <c r="XI134" s="1"/>
      <c r="XJ134" s="1"/>
      <c r="XK134" s="1"/>
      <c r="XL134" s="1"/>
      <c r="XM134" s="1"/>
      <c r="XN134" s="1"/>
      <c r="XO134" s="1"/>
      <c r="XP134" s="1"/>
      <c r="XQ134" s="1"/>
      <c r="XR134" s="1"/>
      <c r="XS134" s="1"/>
      <c r="XT134" s="1"/>
      <c r="XU134" s="1"/>
      <c r="XV134" s="1"/>
      <c r="XW134" s="1"/>
      <c r="XX134" s="1"/>
      <c r="XY134" s="1"/>
      <c r="XZ134" s="1"/>
      <c r="YA134" s="1"/>
      <c r="YB134" s="1"/>
      <c r="YC134" s="1"/>
      <c r="YD134" s="1"/>
      <c r="YE134" s="1"/>
      <c r="YF134" s="1"/>
      <c r="YG134" s="1"/>
      <c r="YH134" s="1"/>
      <c r="YI134" s="1"/>
      <c r="YJ134" s="1"/>
      <c r="YK134" s="1"/>
      <c r="YL134" s="1"/>
      <c r="YM134" s="1"/>
      <c r="YN134" s="1"/>
      <c r="YO134" s="1"/>
      <c r="YP134" s="1"/>
      <c r="YQ134" s="1"/>
      <c r="YR134" s="1"/>
      <c r="YS134" s="1"/>
      <c r="YT134" s="1"/>
      <c r="YU134" s="1"/>
      <c r="YV134" s="1"/>
      <c r="YW134" s="1"/>
      <c r="YX134" s="1"/>
      <c r="YY134" s="1"/>
      <c r="YZ134" s="1"/>
      <c r="ZA134" s="1"/>
      <c r="ZB134" s="1"/>
      <c r="ZC134" s="1"/>
      <c r="ZD134" s="1"/>
      <c r="ZE134" s="1"/>
      <c r="ZF134" s="1"/>
      <c r="ZG134" s="1"/>
      <c r="ZH134" s="1"/>
      <c r="ZI134" s="1"/>
      <c r="ZJ134" s="1"/>
      <c r="ZK134" s="1"/>
      <c r="ZL134" s="1"/>
      <c r="ZM134" s="1"/>
      <c r="ZN134" s="1"/>
      <c r="ZO134" s="1"/>
      <c r="ZP134" s="1"/>
      <c r="ZQ134" s="1"/>
      <c r="ZR134" s="1"/>
      <c r="ZS134" s="1"/>
      <c r="ZT134" s="1"/>
      <c r="ZU134" s="1"/>
      <c r="ZV134" s="1"/>
      <c r="ZW134" s="1"/>
      <c r="ZX134" s="1"/>
      <c r="ZY134" s="1"/>
      <c r="ZZ134" s="1"/>
    </row>
    <row r="135" ht="19.5" customHeight="1">
      <c r="A135" s="10"/>
      <c r="B135" s="10"/>
      <c r="C135" s="10"/>
      <c r="D135" s="10" t="str">
        <f t="shared" si="2"/>
        <v/>
      </c>
      <c r="E135" s="287" t="str">
        <f t="array" ref="E135">IF(B135="","",IF(B135&lt;&gt;B134,SUMPRODUCT(($B$5:B135&lt;&gt;$B$4:B134)*($B$5:B135&lt;&gt;"")),""))</f>
        <v/>
      </c>
      <c r="F135" s="10" t="str">
        <f t="shared" si="3"/>
        <v/>
      </c>
      <c r="G135" s="10" t="str">
        <f t="shared" si="4"/>
        <v/>
      </c>
      <c r="H135" s="288" t="str">
        <f t="shared" si="5"/>
        <v/>
      </c>
      <c r="I135" s="10"/>
      <c r="J135" s="10"/>
      <c r="K135" s="10"/>
      <c r="L135" s="10" t="str">
        <f t="shared" si="6"/>
        <v/>
      </c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0"/>
      <c r="CM135" s="10"/>
      <c r="CN135" s="10"/>
      <c r="CO135" s="10"/>
      <c r="CP135" s="10"/>
      <c r="CQ135" s="10"/>
      <c r="CR135" s="10"/>
      <c r="CS135" s="10"/>
      <c r="CT135" s="10"/>
      <c r="CU135" s="10"/>
      <c r="CV135" s="10"/>
      <c r="CW135" s="10"/>
      <c r="CX135" s="10"/>
      <c r="CY135" s="10"/>
      <c r="CZ135" s="10"/>
      <c r="DA135" s="10"/>
      <c r="DB135" s="10"/>
      <c r="DC135" s="10"/>
      <c r="DD135" s="10"/>
      <c r="DE135" s="10"/>
      <c r="DF135" s="10"/>
      <c r="DG135" s="10"/>
      <c r="DH135" s="10"/>
      <c r="DI135" s="10"/>
      <c r="DJ135" s="10"/>
      <c r="DK135" s="10"/>
      <c r="DL135" s="10"/>
      <c r="DM135" s="10"/>
      <c r="DN135" s="10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  <c r="VA135" s="1"/>
      <c r="VB135" s="1"/>
      <c r="VC135" s="1"/>
      <c r="VD135" s="1"/>
      <c r="VE135" s="1"/>
      <c r="VF135" s="1"/>
      <c r="VG135" s="1"/>
      <c r="VH135" s="1"/>
      <c r="VI135" s="1"/>
      <c r="VJ135" s="1"/>
      <c r="VK135" s="1"/>
      <c r="VL135" s="1"/>
      <c r="VM135" s="1"/>
      <c r="VN135" s="1"/>
      <c r="VO135" s="1"/>
      <c r="VP135" s="1"/>
      <c r="VQ135" s="1"/>
      <c r="VR135" s="1"/>
      <c r="VS135" s="1"/>
      <c r="VT135" s="1"/>
      <c r="VU135" s="1"/>
      <c r="VV135" s="1"/>
      <c r="VW135" s="1"/>
      <c r="VX135" s="1"/>
      <c r="VY135" s="1"/>
      <c r="VZ135" s="1"/>
      <c r="WA135" s="1"/>
      <c r="WB135" s="1"/>
      <c r="WC135" s="1"/>
      <c r="WD135" s="1"/>
      <c r="WE135" s="1"/>
      <c r="WF135" s="1"/>
      <c r="WG135" s="1"/>
      <c r="WH135" s="1"/>
      <c r="WI135" s="1"/>
      <c r="WJ135" s="1"/>
      <c r="WK135" s="1"/>
      <c r="WL135" s="1"/>
      <c r="WM135" s="1"/>
      <c r="WN135" s="1"/>
      <c r="WO135" s="1"/>
      <c r="WP135" s="1"/>
      <c r="WQ135" s="1"/>
      <c r="WR135" s="1"/>
      <c r="WS135" s="1"/>
      <c r="WT135" s="1"/>
      <c r="WU135" s="1"/>
      <c r="WV135" s="1"/>
      <c r="WW135" s="1"/>
      <c r="WX135" s="1"/>
      <c r="WY135" s="1"/>
      <c r="WZ135" s="1"/>
      <c r="XA135" s="1"/>
      <c r="XB135" s="1"/>
      <c r="XC135" s="1"/>
      <c r="XD135" s="1"/>
      <c r="XE135" s="1"/>
      <c r="XF135" s="1"/>
      <c r="XG135" s="1"/>
      <c r="XH135" s="1"/>
      <c r="XI135" s="1"/>
      <c r="XJ135" s="1"/>
      <c r="XK135" s="1"/>
      <c r="XL135" s="1"/>
      <c r="XM135" s="1"/>
      <c r="XN135" s="1"/>
      <c r="XO135" s="1"/>
      <c r="XP135" s="1"/>
      <c r="XQ135" s="1"/>
      <c r="XR135" s="1"/>
      <c r="XS135" s="1"/>
      <c r="XT135" s="1"/>
      <c r="XU135" s="1"/>
      <c r="XV135" s="1"/>
      <c r="XW135" s="1"/>
      <c r="XX135" s="1"/>
      <c r="XY135" s="1"/>
      <c r="XZ135" s="1"/>
      <c r="YA135" s="1"/>
      <c r="YB135" s="1"/>
      <c r="YC135" s="1"/>
      <c r="YD135" s="1"/>
      <c r="YE135" s="1"/>
      <c r="YF135" s="1"/>
      <c r="YG135" s="1"/>
      <c r="YH135" s="1"/>
      <c r="YI135" s="1"/>
      <c r="YJ135" s="1"/>
      <c r="YK135" s="1"/>
      <c r="YL135" s="1"/>
      <c r="YM135" s="1"/>
      <c r="YN135" s="1"/>
      <c r="YO135" s="1"/>
      <c r="YP135" s="1"/>
      <c r="YQ135" s="1"/>
      <c r="YR135" s="1"/>
      <c r="YS135" s="1"/>
      <c r="YT135" s="1"/>
      <c r="YU135" s="1"/>
      <c r="YV135" s="1"/>
      <c r="YW135" s="1"/>
      <c r="YX135" s="1"/>
      <c r="YY135" s="1"/>
      <c r="YZ135" s="1"/>
      <c r="ZA135" s="1"/>
      <c r="ZB135" s="1"/>
      <c r="ZC135" s="1"/>
      <c r="ZD135" s="1"/>
      <c r="ZE135" s="1"/>
      <c r="ZF135" s="1"/>
      <c r="ZG135" s="1"/>
      <c r="ZH135" s="1"/>
      <c r="ZI135" s="1"/>
      <c r="ZJ135" s="1"/>
      <c r="ZK135" s="1"/>
      <c r="ZL135" s="1"/>
      <c r="ZM135" s="1"/>
      <c r="ZN135" s="1"/>
      <c r="ZO135" s="1"/>
      <c r="ZP135" s="1"/>
      <c r="ZQ135" s="1"/>
      <c r="ZR135" s="1"/>
      <c r="ZS135" s="1"/>
      <c r="ZT135" s="1"/>
      <c r="ZU135" s="1"/>
      <c r="ZV135" s="1"/>
      <c r="ZW135" s="1"/>
      <c r="ZX135" s="1"/>
      <c r="ZY135" s="1"/>
      <c r="ZZ135" s="1"/>
    </row>
    <row r="136" ht="19.5" customHeight="1">
      <c r="A136" s="10"/>
      <c r="B136" s="10"/>
      <c r="C136" s="10"/>
      <c r="D136" s="10" t="str">
        <f t="shared" si="2"/>
        <v/>
      </c>
      <c r="E136" s="287" t="str">
        <f t="array" ref="E136">IF(B136="","",IF(B136&lt;&gt;B135,SUMPRODUCT(($B$5:B136&lt;&gt;$B$4:B135)*($B$5:B136&lt;&gt;"")),""))</f>
        <v/>
      </c>
      <c r="F136" s="10" t="str">
        <f t="shared" si="3"/>
        <v/>
      </c>
      <c r="G136" s="10" t="str">
        <f t="shared" si="4"/>
        <v/>
      </c>
      <c r="H136" s="288" t="str">
        <f t="shared" si="5"/>
        <v/>
      </c>
      <c r="I136" s="10"/>
      <c r="J136" s="10"/>
      <c r="K136" s="10"/>
      <c r="L136" s="10" t="str">
        <f t="shared" si="6"/>
        <v/>
      </c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  <c r="CG136" s="10"/>
      <c r="CH136" s="10"/>
      <c r="CI136" s="10"/>
      <c r="CJ136" s="10"/>
      <c r="CK136" s="10"/>
      <c r="CL136" s="10"/>
      <c r="CM136" s="10"/>
      <c r="CN136" s="10"/>
      <c r="CO136" s="10"/>
      <c r="CP136" s="10"/>
      <c r="CQ136" s="10"/>
      <c r="CR136" s="10"/>
      <c r="CS136" s="10"/>
      <c r="CT136" s="10"/>
      <c r="CU136" s="10"/>
      <c r="CV136" s="10"/>
      <c r="CW136" s="10"/>
      <c r="CX136" s="10"/>
      <c r="CY136" s="10"/>
      <c r="CZ136" s="10"/>
      <c r="DA136" s="10"/>
      <c r="DB136" s="10"/>
      <c r="DC136" s="10"/>
      <c r="DD136" s="10"/>
      <c r="DE136" s="10"/>
      <c r="DF136" s="10"/>
      <c r="DG136" s="10"/>
      <c r="DH136" s="10"/>
      <c r="DI136" s="10"/>
      <c r="DJ136" s="10"/>
      <c r="DK136" s="10"/>
      <c r="DL136" s="10"/>
      <c r="DM136" s="10"/>
      <c r="DN136" s="10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  <c r="VA136" s="1"/>
      <c r="VB136" s="1"/>
      <c r="VC136" s="1"/>
      <c r="VD136" s="1"/>
      <c r="VE136" s="1"/>
      <c r="VF136" s="1"/>
      <c r="VG136" s="1"/>
      <c r="VH136" s="1"/>
      <c r="VI136" s="1"/>
      <c r="VJ136" s="1"/>
      <c r="VK136" s="1"/>
      <c r="VL136" s="1"/>
      <c r="VM136" s="1"/>
      <c r="VN136" s="1"/>
      <c r="VO136" s="1"/>
      <c r="VP136" s="1"/>
      <c r="VQ136" s="1"/>
      <c r="VR136" s="1"/>
      <c r="VS136" s="1"/>
      <c r="VT136" s="1"/>
      <c r="VU136" s="1"/>
      <c r="VV136" s="1"/>
      <c r="VW136" s="1"/>
      <c r="VX136" s="1"/>
      <c r="VY136" s="1"/>
      <c r="VZ136" s="1"/>
      <c r="WA136" s="1"/>
      <c r="WB136" s="1"/>
      <c r="WC136" s="1"/>
      <c r="WD136" s="1"/>
      <c r="WE136" s="1"/>
      <c r="WF136" s="1"/>
      <c r="WG136" s="1"/>
      <c r="WH136" s="1"/>
      <c r="WI136" s="1"/>
      <c r="WJ136" s="1"/>
      <c r="WK136" s="1"/>
      <c r="WL136" s="1"/>
      <c r="WM136" s="1"/>
      <c r="WN136" s="1"/>
      <c r="WO136" s="1"/>
      <c r="WP136" s="1"/>
      <c r="WQ136" s="1"/>
      <c r="WR136" s="1"/>
      <c r="WS136" s="1"/>
      <c r="WT136" s="1"/>
      <c r="WU136" s="1"/>
      <c r="WV136" s="1"/>
      <c r="WW136" s="1"/>
      <c r="WX136" s="1"/>
      <c r="WY136" s="1"/>
      <c r="WZ136" s="1"/>
      <c r="XA136" s="1"/>
      <c r="XB136" s="1"/>
      <c r="XC136" s="1"/>
      <c r="XD136" s="1"/>
      <c r="XE136" s="1"/>
      <c r="XF136" s="1"/>
      <c r="XG136" s="1"/>
      <c r="XH136" s="1"/>
      <c r="XI136" s="1"/>
      <c r="XJ136" s="1"/>
      <c r="XK136" s="1"/>
      <c r="XL136" s="1"/>
      <c r="XM136" s="1"/>
      <c r="XN136" s="1"/>
      <c r="XO136" s="1"/>
      <c r="XP136" s="1"/>
      <c r="XQ136" s="1"/>
      <c r="XR136" s="1"/>
      <c r="XS136" s="1"/>
      <c r="XT136" s="1"/>
      <c r="XU136" s="1"/>
      <c r="XV136" s="1"/>
      <c r="XW136" s="1"/>
      <c r="XX136" s="1"/>
      <c r="XY136" s="1"/>
      <c r="XZ136" s="1"/>
      <c r="YA136" s="1"/>
      <c r="YB136" s="1"/>
      <c r="YC136" s="1"/>
      <c r="YD136" s="1"/>
      <c r="YE136" s="1"/>
      <c r="YF136" s="1"/>
      <c r="YG136" s="1"/>
      <c r="YH136" s="1"/>
      <c r="YI136" s="1"/>
      <c r="YJ136" s="1"/>
      <c r="YK136" s="1"/>
      <c r="YL136" s="1"/>
      <c r="YM136" s="1"/>
      <c r="YN136" s="1"/>
      <c r="YO136" s="1"/>
      <c r="YP136" s="1"/>
      <c r="YQ136" s="1"/>
      <c r="YR136" s="1"/>
      <c r="YS136" s="1"/>
      <c r="YT136" s="1"/>
      <c r="YU136" s="1"/>
      <c r="YV136" s="1"/>
      <c r="YW136" s="1"/>
      <c r="YX136" s="1"/>
      <c r="YY136" s="1"/>
      <c r="YZ136" s="1"/>
      <c r="ZA136" s="1"/>
      <c r="ZB136" s="1"/>
      <c r="ZC136" s="1"/>
      <c r="ZD136" s="1"/>
      <c r="ZE136" s="1"/>
      <c r="ZF136" s="1"/>
      <c r="ZG136" s="1"/>
      <c r="ZH136" s="1"/>
      <c r="ZI136" s="1"/>
      <c r="ZJ136" s="1"/>
      <c r="ZK136" s="1"/>
      <c r="ZL136" s="1"/>
      <c r="ZM136" s="1"/>
      <c r="ZN136" s="1"/>
      <c r="ZO136" s="1"/>
      <c r="ZP136" s="1"/>
      <c r="ZQ136" s="1"/>
      <c r="ZR136" s="1"/>
      <c r="ZS136" s="1"/>
      <c r="ZT136" s="1"/>
      <c r="ZU136" s="1"/>
      <c r="ZV136" s="1"/>
      <c r="ZW136" s="1"/>
      <c r="ZX136" s="1"/>
      <c r="ZY136" s="1"/>
      <c r="ZZ136" s="1"/>
    </row>
    <row r="137" ht="19.5" customHeight="1">
      <c r="A137" s="10"/>
      <c r="B137" s="10"/>
      <c r="C137" s="10"/>
      <c r="D137" s="10" t="str">
        <f t="shared" si="2"/>
        <v/>
      </c>
      <c r="E137" s="287" t="str">
        <f t="array" ref="E137">IF(B137="","",IF(B137&lt;&gt;B136,SUMPRODUCT(($B$5:B137&lt;&gt;$B$4:B136)*($B$5:B137&lt;&gt;"")),""))</f>
        <v/>
      </c>
      <c r="F137" s="10" t="str">
        <f t="shared" si="3"/>
        <v/>
      </c>
      <c r="G137" s="10" t="str">
        <f t="shared" si="4"/>
        <v/>
      </c>
      <c r="H137" s="288" t="str">
        <f t="shared" si="5"/>
        <v/>
      </c>
      <c r="I137" s="10"/>
      <c r="J137" s="10"/>
      <c r="K137" s="10"/>
      <c r="L137" s="10" t="str">
        <f t="shared" si="6"/>
        <v/>
      </c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  <c r="VA137" s="1"/>
      <c r="VB137" s="1"/>
      <c r="VC137" s="1"/>
      <c r="VD137" s="1"/>
      <c r="VE137" s="1"/>
      <c r="VF137" s="1"/>
      <c r="VG137" s="1"/>
      <c r="VH137" s="1"/>
      <c r="VI137" s="1"/>
      <c r="VJ137" s="1"/>
      <c r="VK137" s="1"/>
      <c r="VL137" s="1"/>
      <c r="VM137" s="1"/>
      <c r="VN137" s="1"/>
      <c r="VO137" s="1"/>
      <c r="VP137" s="1"/>
      <c r="VQ137" s="1"/>
      <c r="VR137" s="1"/>
      <c r="VS137" s="1"/>
      <c r="VT137" s="1"/>
      <c r="VU137" s="1"/>
      <c r="VV137" s="1"/>
      <c r="VW137" s="1"/>
      <c r="VX137" s="1"/>
      <c r="VY137" s="1"/>
      <c r="VZ137" s="1"/>
      <c r="WA137" s="1"/>
      <c r="WB137" s="1"/>
      <c r="WC137" s="1"/>
      <c r="WD137" s="1"/>
      <c r="WE137" s="1"/>
      <c r="WF137" s="1"/>
      <c r="WG137" s="1"/>
      <c r="WH137" s="1"/>
      <c r="WI137" s="1"/>
      <c r="WJ137" s="1"/>
      <c r="WK137" s="1"/>
      <c r="WL137" s="1"/>
      <c r="WM137" s="1"/>
      <c r="WN137" s="1"/>
      <c r="WO137" s="1"/>
      <c r="WP137" s="1"/>
      <c r="WQ137" s="1"/>
      <c r="WR137" s="1"/>
      <c r="WS137" s="1"/>
      <c r="WT137" s="1"/>
      <c r="WU137" s="1"/>
      <c r="WV137" s="1"/>
      <c r="WW137" s="1"/>
      <c r="WX137" s="1"/>
      <c r="WY137" s="1"/>
      <c r="WZ137" s="1"/>
      <c r="XA137" s="1"/>
      <c r="XB137" s="1"/>
      <c r="XC137" s="1"/>
      <c r="XD137" s="1"/>
      <c r="XE137" s="1"/>
      <c r="XF137" s="1"/>
      <c r="XG137" s="1"/>
      <c r="XH137" s="1"/>
      <c r="XI137" s="1"/>
      <c r="XJ137" s="1"/>
      <c r="XK137" s="1"/>
      <c r="XL137" s="1"/>
      <c r="XM137" s="1"/>
      <c r="XN137" s="1"/>
      <c r="XO137" s="1"/>
      <c r="XP137" s="1"/>
      <c r="XQ137" s="1"/>
      <c r="XR137" s="1"/>
      <c r="XS137" s="1"/>
      <c r="XT137" s="1"/>
      <c r="XU137" s="1"/>
      <c r="XV137" s="1"/>
      <c r="XW137" s="1"/>
      <c r="XX137" s="1"/>
      <c r="XY137" s="1"/>
      <c r="XZ137" s="1"/>
      <c r="YA137" s="1"/>
      <c r="YB137" s="1"/>
      <c r="YC137" s="1"/>
      <c r="YD137" s="1"/>
      <c r="YE137" s="1"/>
      <c r="YF137" s="1"/>
      <c r="YG137" s="1"/>
      <c r="YH137" s="1"/>
      <c r="YI137" s="1"/>
      <c r="YJ137" s="1"/>
      <c r="YK137" s="1"/>
      <c r="YL137" s="1"/>
      <c r="YM137" s="1"/>
      <c r="YN137" s="1"/>
      <c r="YO137" s="1"/>
      <c r="YP137" s="1"/>
      <c r="YQ137" s="1"/>
      <c r="YR137" s="1"/>
      <c r="YS137" s="1"/>
      <c r="YT137" s="1"/>
      <c r="YU137" s="1"/>
      <c r="YV137" s="1"/>
      <c r="YW137" s="1"/>
      <c r="YX137" s="1"/>
      <c r="YY137" s="1"/>
      <c r="YZ137" s="1"/>
      <c r="ZA137" s="1"/>
      <c r="ZB137" s="1"/>
      <c r="ZC137" s="1"/>
      <c r="ZD137" s="1"/>
      <c r="ZE137" s="1"/>
      <c r="ZF137" s="1"/>
      <c r="ZG137" s="1"/>
      <c r="ZH137" s="1"/>
      <c r="ZI137" s="1"/>
      <c r="ZJ137" s="1"/>
      <c r="ZK137" s="1"/>
      <c r="ZL137" s="1"/>
      <c r="ZM137" s="1"/>
      <c r="ZN137" s="1"/>
      <c r="ZO137" s="1"/>
      <c r="ZP137" s="1"/>
      <c r="ZQ137" s="1"/>
      <c r="ZR137" s="1"/>
      <c r="ZS137" s="1"/>
      <c r="ZT137" s="1"/>
      <c r="ZU137" s="1"/>
      <c r="ZV137" s="1"/>
      <c r="ZW137" s="1"/>
      <c r="ZX137" s="1"/>
      <c r="ZY137" s="1"/>
      <c r="ZZ137" s="1"/>
    </row>
    <row r="138" ht="19.5" customHeight="1">
      <c r="A138" s="10"/>
      <c r="B138" s="10"/>
      <c r="C138" s="10"/>
      <c r="D138" s="10" t="str">
        <f t="shared" si="2"/>
        <v/>
      </c>
      <c r="E138" s="287" t="str">
        <f t="array" ref="E138">IF(B138="","",IF(B138&lt;&gt;B137,SUMPRODUCT(($B$5:B138&lt;&gt;$B$4:B137)*($B$5:B138&lt;&gt;"")),""))</f>
        <v/>
      </c>
      <c r="F138" s="10" t="str">
        <f t="shared" si="3"/>
        <v/>
      </c>
      <c r="G138" s="10" t="str">
        <f t="shared" si="4"/>
        <v/>
      </c>
      <c r="H138" s="288" t="str">
        <f t="shared" si="5"/>
        <v/>
      </c>
      <c r="I138" s="10"/>
      <c r="J138" s="10"/>
      <c r="K138" s="10"/>
      <c r="L138" s="10" t="str">
        <f t="shared" si="6"/>
        <v/>
      </c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  <c r="CQ138" s="10"/>
      <c r="CR138" s="10"/>
      <c r="CS138" s="10"/>
      <c r="CT138" s="10"/>
      <c r="CU138" s="10"/>
      <c r="CV138" s="10"/>
      <c r="CW138" s="10"/>
      <c r="CX138" s="10"/>
      <c r="CY138" s="10"/>
      <c r="CZ138" s="10"/>
      <c r="DA138" s="10"/>
      <c r="DB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  <c r="VA138" s="1"/>
      <c r="VB138" s="1"/>
      <c r="VC138" s="1"/>
      <c r="VD138" s="1"/>
      <c r="VE138" s="1"/>
      <c r="VF138" s="1"/>
      <c r="VG138" s="1"/>
      <c r="VH138" s="1"/>
      <c r="VI138" s="1"/>
      <c r="VJ138" s="1"/>
      <c r="VK138" s="1"/>
      <c r="VL138" s="1"/>
      <c r="VM138" s="1"/>
      <c r="VN138" s="1"/>
      <c r="VO138" s="1"/>
      <c r="VP138" s="1"/>
      <c r="VQ138" s="1"/>
      <c r="VR138" s="1"/>
      <c r="VS138" s="1"/>
      <c r="VT138" s="1"/>
      <c r="VU138" s="1"/>
      <c r="VV138" s="1"/>
      <c r="VW138" s="1"/>
      <c r="VX138" s="1"/>
      <c r="VY138" s="1"/>
      <c r="VZ138" s="1"/>
      <c r="WA138" s="1"/>
      <c r="WB138" s="1"/>
      <c r="WC138" s="1"/>
      <c r="WD138" s="1"/>
      <c r="WE138" s="1"/>
      <c r="WF138" s="1"/>
      <c r="WG138" s="1"/>
      <c r="WH138" s="1"/>
      <c r="WI138" s="1"/>
      <c r="WJ138" s="1"/>
      <c r="WK138" s="1"/>
      <c r="WL138" s="1"/>
      <c r="WM138" s="1"/>
      <c r="WN138" s="1"/>
      <c r="WO138" s="1"/>
      <c r="WP138" s="1"/>
      <c r="WQ138" s="1"/>
      <c r="WR138" s="1"/>
      <c r="WS138" s="1"/>
      <c r="WT138" s="1"/>
      <c r="WU138" s="1"/>
      <c r="WV138" s="1"/>
      <c r="WW138" s="1"/>
      <c r="WX138" s="1"/>
      <c r="WY138" s="1"/>
      <c r="WZ138" s="1"/>
      <c r="XA138" s="1"/>
      <c r="XB138" s="1"/>
      <c r="XC138" s="1"/>
      <c r="XD138" s="1"/>
      <c r="XE138" s="1"/>
      <c r="XF138" s="1"/>
      <c r="XG138" s="1"/>
      <c r="XH138" s="1"/>
      <c r="XI138" s="1"/>
      <c r="XJ138" s="1"/>
      <c r="XK138" s="1"/>
      <c r="XL138" s="1"/>
      <c r="XM138" s="1"/>
      <c r="XN138" s="1"/>
      <c r="XO138" s="1"/>
      <c r="XP138" s="1"/>
      <c r="XQ138" s="1"/>
      <c r="XR138" s="1"/>
      <c r="XS138" s="1"/>
      <c r="XT138" s="1"/>
      <c r="XU138" s="1"/>
      <c r="XV138" s="1"/>
      <c r="XW138" s="1"/>
      <c r="XX138" s="1"/>
      <c r="XY138" s="1"/>
      <c r="XZ138" s="1"/>
      <c r="YA138" s="1"/>
      <c r="YB138" s="1"/>
      <c r="YC138" s="1"/>
      <c r="YD138" s="1"/>
      <c r="YE138" s="1"/>
      <c r="YF138" s="1"/>
      <c r="YG138" s="1"/>
      <c r="YH138" s="1"/>
      <c r="YI138" s="1"/>
      <c r="YJ138" s="1"/>
      <c r="YK138" s="1"/>
      <c r="YL138" s="1"/>
      <c r="YM138" s="1"/>
      <c r="YN138" s="1"/>
      <c r="YO138" s="1"/>
      <c r="YP138" s="1"/>
      <c r="YQ138" s="1"/>
      <c r="YR138" s="1"/>
      <c r="YS138" s="1"/>
      <c r="YT138" s="1"/>
      <c r="YU138" s="1"/>
      <c r="YV138" s="1"/>
      <c r="YW138" s="1"/>
      <c r="YX138" s="1"/>
      <c r="YY138" s="1"/>
      <c r="YZ138" s="1"/>
      <c r="ZA138" s="1"/>
      <c r="ZB138" s="1"/>
      <c r="ZC138" s="1"/>
      <c r="ZD138" s="1"/>
      <c r="ZE138" s="1"/>
      <c r="ZF138" s="1"/>
      <c r="ZG138" s="1"/>
      <c r="ZH138" s="1"/>
      <c r="ZI138" s="1"/>
      <c r="ZJ138" s="1"/>
      <c r="ZK138" s="1"/>
      <c r="ZL138" s="1"/>
      <c r="ZM138" s="1"/>
      <c r="ZN138" s="1"/>
      <c r="ZO138" s="1"/>
      <c r="ZP138" s="1"/>
      <c r="ZQ138" s="1"/>
      <c r="ZR138" s="1"/>
      <c r="ZS138" s="1"/>
      <c r="ZT138" s="1"/>
      <c r="ZU138" s="1"/>
      <c r="ZV138" s="1"/>
      <c r="ZW138" s="1"/>
      <c r="ZX138" s="1"/>
      <c r="ZY138" s="1"/>
      <c r="ZZ138" s="1"/>
    </row>
    <row r="139" ht="19.5" customHeight="1">
      <c r="A139" s="10"/>
      <c r="B139" s="10"/>
      <c r="C139" s="10"/>
      <c r="D139" s="10" t="str">
        <f t="shared" si="2"/>
        <v/>
      </c>
      <c r="E139" s="287" t="str">
        <f t="array" ref="E139">IF(B139="","",IF(B139&lt;&gt;B138,SUMPRODUCT(($B$5:B139&lt;&gt;$B$4:B138)*($B$5:B139&lt;&gt;"")),""))</f>
        <v/>
      </c>
      <c r="F139" s="10" t="str">
        <f t="shared" si="3"/>
        <v/>
      </c>
      <c r="G139" s="10" t="str">
        <f t="shared" si="4"/>
        <v/>
      </c>
      <c r="H139" s="288" t="str">
        <f t="shared" si="5"/>
        <v/>
      </c>
      <c r="I139" s="10"/>
      <c r="J139" s="10"/>
      <c r="K139" s="10"/>
      <c r="L139" s="10" t="str">
        <f t="shared" si="6"/>
        <v/>
      </c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  <c r="CQ139" s="10"/>
      <c r="CR139" s="10"/>
      <c r="CS139" s="10"/>
      <c r="CT139" s="10"/>
      <c r="CU139" s="10"/>
      <c r="CV139" s="10"/>
      <c r="CW139" s="10"/>
      <c r="CX139" s="10"/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  <c r="VA139" s="1"/>
      <c r="VB139" s="1"/>
      <c r="VC139" s="1"/>
      <c r="VD139" s="1"/>
      <c r="VE139" s="1"/>
      <c r="VF139" s="1"/>
      <c r="VG139" s="1"/>
      <c r="VH139" s="1"/>
      <c r="VI139" s="1"/>
      <c r="VJ139" s="1"/>
      <c r="VK139" s="1"/>
      <c r="VL139" s="1"/>
      <c r="VM139" s="1"/>
      <c r="VN139" s="1"/>
      <c r="VO139" s="1"/>
      <c r="VP139" s="1"/>
      <c r="VQ139" s="1"/>
      <c r="VR139" s="1"/>
      <c r="VS139" s="1"/>
      <c r="VT139" s="1"/>
      <c r="VU139" s="1"/>
      <c r="VV139" s="1"/>
      <c r="VW139" s="1"/>
      <c r="VX139" s="1"/>
      <c r="VY139" s="1"/>
      <c r="VZ139" s="1"/>
      <c r="WA139" s="1"/>
      <c r="WB139" s="1"/>
      <c r="WC139" s="1"/>
      <c r="WD139" s="1"/>
      <c r="WE139" s="1"/>
      <c r="WF139" s="1"/>
      <c r="WG139" s="1"/>
      <c r="WH139" s="1"/>
      <c r="WI139" s="1"/>
      <c r="WJ139" s="1"/>
      <c r="WK139" s="1"/>
      <c r="WL139" s="1"/>
      <c r="WM139" s="1"/>
      <c r="WN139" s="1"/>
      <c r="WO139" s="1"/>
      <c r="WP139" s="1"/>
      <c r="WQ139" s="1"/>
      <c r="WR139" s="1"/>
      <c r="WS139" s="1"/>
      <c r="WT139" s="1"/>
      <c r="WU139" s="1"/>
      <c r="WV139" s="1"/>
      <c r="WW139" s="1"/>
      <c r="WX139" s="1"/>
      <c r="WY139" s="1"/>
      <c r="WZ139" s="1"/>
      <c r="XA139" s="1"/>
      <c r="XB139" s="1"/>
      <c r="XC139" s="1"/>
      <c r="XD139" s="1"/>
      <c r="XE139" s="1"/>
      <c r="XF139" s="1"/>
      <c r="XG139" s="1"/>
      <c r="XH139" s="1"/>
      <c r="XI139" s="1"/>
      <c r="XJ139" s="1"/>
      <c r="XK139" s="1"/>
      <c r="XL139" s="1"/>
      <c r="XM139" s="1"/>
      <c r="XN139" s="1"/>
      <c r="XO139" s="1"/>
      <c r="XP139" s="1"/>
      <c r="XQ139" s="1"/>
      <c r="XR139" s="1"/>
      <c r="XS139" s="1"/>
      <c r="XT139" s="1"/>
      <c r="XU139" s="1"/>
      <c r="XV139" s="1"/>
      <c r="XW139" s="1"/>
      <c r="XX139" s="1"/>
      <c r="XY139" s="1"/>
      <c r="XZ139" s="1"/>
      <c r="YA139" s="1"/>
      <c r="YB139" s="1"/>
      <c r="YC139" s="1"/>
      <c r="YD139" s="1"/>
      <c r="YE139" s="1"/>
      <c r="YF139" s="1"/>
      <c r="YG139" s="1"/>
      <c r="YH139" s="1"/>
      <c r="YI139" s="1"/>
      <c r="YJ139" s="1"/>
      <c r="YK139" s="1"/>
      <c r="YL139" s="1"/>
      <c r="YM139" s="1"/>
      <c r="YN139" s="1"/>
      <c r="YO139" s="1"/>
      <c r="YP139" s="1"/>
      <c r="YQ139" s="1"/>
      <c r="YR139" s="1"/>
      <c r="YS139" s="1"/>
      <c r="YT139" s="1"/>
      <c r="YU139" s="1"/>
      <c r="YV139" s="1"/>
      <c r="YW139" s="1"/>
      <c r="YX139" s="1"/>
      <c r="YY139" s="1"/>
      <c r="YZ139" s="1"/>
      <c r="ZA139" s="1"/>
      <c r="ZB139" s="1"/>
      <c r="ZC139" s="1"/>
      <c r="ZD139" s="1"/>
      <c r="ZE139" s="1"/>
      <c r="ZF139" s="1"/>
      <c r="ZG139" s="1"/>
      <c r="ZH139" s="1"/>
      <c r="ZI139" s="1"/>
      <c r="ZJ139" s="1"/>
      <c r="ZK139" s="1"/>
      <c r="ZL139" s="1"/>
      <c r="ZM139" s="1"/>
      <c r="ZN139" s="1"/>
      <c r="ZO139" s="1"/>
      <c r="ZP139" s="1"/>
      <c r="ZQ139" s="1"/>
      <c r="ZR139" s="1"/>
      <c r="ZS139" s="1"/>
      <c r="ZT139" s="1"/>
      <c r="ZU139" s="1"/>
      <c r="ZV139" s="1"/>
      <c r="ZW139" s="1"/>
      <c r="ZX139" s="1"/>
      <c r="ZY139" s="1"/>
      <c r="ZZ139" s="1"/>
    </row>
    <row r="140" ht="19.5" customHeight="1">
      <c r="A140" s="10"/>
      <c r="B140" s="10"/>
      <c r="C140" s="10"/>
      <c r="D140" s="10" t="str">
        <f t="shared" si="2"/>
        <v/>
      </c>
      <c r="E140" s="287" t="str">
        <f t="array" ref="E140">IF(B140="","",IF(B140&lt;&gt;B139,SUMPRODUCT(($B$5:B140&lt;&gt;$B$4:B139)*($B$5:B140&lt;&gt;"")),""))</f>
        <v/>
      </c>
      <c r="F140" s="10" t="str">
        <f t="shared" si="3"/>
        <v/>
      </c>
      <c r="G140" s="10" t="str">
        <f t="shared" si="4"/>
        <v/>
      </c>
      <c r="H140" s="288" t="str">
        <f t="shared" si="5"/>
        <v/>
      </c>
      <c r="I140" s="10"/>
      <c r="J140" s="10"/>
      <c r="K140" s="10"/>
      <c r="L140" s="10" t="str">
        <f t="shared" si="6"/>
        <v/>
      </c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L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L140" s="10"/>
      <c r="CM140" s="10"/>
      <c r="CN140" s="10"/>
      <c r="CO140" s="10"/>
      <c r="CP140" s="10"/>
      <c r="CQ140" s="10"/>
      <c r="CR140" s="10"/>
      <c r="CS140" s="10"/>
      <c r="CT140" s="10"/>
      <c r="CU140" s="10"/>
      <c r="CV140" s="10"/>
      <c r="CW140" s="10"/>
      <c r="CX140" s="10"/>
      <c r="CY140" s="10"/>
      <c r="CZ140" s="10"/>
      <c r="DA140" s="10"/>
      <c r="DB140" s="10"/>
      <c r="DC140" s="10"/>
      <c r="DD140" s="10"/>
      <c r="DE140" s="10"/>
      <c r="DF140" s="10"/>
      <c r="DG140" s="10"/>
      <c r="DH140" s="10"/>
      <c r="DI140" s="10"/>
      <c r="DJ140" s="10"/>
      <c r="DK140" s="10"/>
      <c r="DL140" s="10"/>
      <c r="DM140" s="10"/>
      <c r="DN140" s="10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  <c r="VA140" s="1"/>
      <c r="VB140" s="1"/>
      <c r="VC140" s="1"/>
      <c r="VD140" s="1"/>
      <c r="VE140" s="1"/>
      <c r="VF140" s="1"/>
      <c r="VG140" s="1"/>
      <c r="VH140" s="1"/>
      <c r="VI140" s="1"/>
      <c r="VJ140" s="1"/>
      <c r="VK140" s="1"/>
      <c r="VL140" s="1"/>
      <c r="VM140" s="1"/>
      <c r="VN140" s="1"/>
      <c r="VO140" s="1"/>
      <c r="VP140" s="1"/>
      <c r="VQ140" s="1"/>
      <c r="VR140" s="1"/>
      <c r="VS140" s="1"/>
      <c r="VT140" s="1"/>
      <c r="VU140" s="1"/>
      <c r="VV140" s="1"/>
      <c r="VW140" s="1"/>
      <c r="VX140" s="1"/>
      <c r="VY140" s="1"/>
      <c r="VZ140" s="1"/>
      <c r="WA140" s="1"/>
      <c r="WB140" s="1"/>
      <c r="WC140" s="1"/>
      <c r="WD140" s="1"/>
      <c r="WE140" s="1"/>
      <c r="WF140" s="1"/>
      <c r="WG140" s="1"/>
      <c r="WH140" s="1"/>
      <c r="WI140" s="1"/>
      <c r="WJ140" s="1"/>
      <c r="WK140" s="1"/>
      <c r="WL140" s="1"/>
      <c r="WM140" s="1"/>
      <c r="WN140" s="1"/>
      <c r="WO140" s="1"/>
      <c r="WP140" s="1"/>
      <c r="WQ140" s="1"/>
      <c r="WR140" s="1"/>
      <c r="WS140" s="1"/>
      <c r="WT140" s="1"/>
      <c r="WU140" s="1"/>
      <c r="WV140" s="1"/>
      <c r="WW140" s="1"/>
      <c r="WX140" s="1"/>
      <c r="WY140" s="1"/>
      <c r="WZ140" s="1"/>
      <c r="XA140" s="1"/>
      <c r="XB140" s="1"/>
      <c r="XC140" s="1"/>
      <c r="XD140" s="1"/>
      <c r="XE140" s="1"/>
      <c r="XF140" s="1"/>
      <c r="XG140" s="1"/>
      <c r="XH140" s="1"/>
      <c r="XI140" s="1"/>
      <c r="XJ140" s="1"/>
      <c r="XK140" s="1"/>
      <c r="XL140" s="1"/>
      <c r="XM140" s="1"/>
      <c r="XN140" s="1"/>
      <c r="XO140" s="1"/>
      <c r="XP140" s="1"/>
      <c r="XQ140" s="1"/>
      <c r="XR140" s="1"/>
      <c r="XS140" s="1"/>
      <c r="XT140" s="1"/>
      <c r="XU140" s="1"/>
      <c r="XV140" s="1"/>
      <c r="XW140" s="1"/>
      <c r="XX140" s="1"/>
      <c r="XY140" s="1"/>
      <c r="XZ140" s="1"/>
      <c r="YA140" s="1"/>
      <c r="YB140" s="1"/>
      <c r="YC140" s="1"/>
      <c r="YD140" s="1"/>
      <c r="YE140" s="1"/>
      <c r="YF140" s="1"/>
      <c r="YG140" s="1"/>
      <c r="YH140" s="1"/>
      <c r="YI140" s="1"/>
      <c r="YJ140" s="1"/>
      <c r="YK140" s="1"/>
      <c r="YL140" s="1"/>
      <c r="YM140" s="1"/>
      <c r="YN140" s="1"/>
      <c r="YO140" s="1"/>
      <c r="YP140" s="1"/>
      <c r="YQ140" s="1"/>
      <c r="YR140" s="1"/>
      <c r="YS140" s="1"/>
      <c r="YT140" s="1"/>
      <c r="YU140" s="1"/>
      <c r="YV140" s="1"/>
      <c r="YW140" s="1"/>
      <c r="YX140" s="1"/>
      <c r="YY140" s="1"/>
      <c r="YZ140" s="1"/>
      <c r="ZA140" s="1"/>
      <c r="ZB140" s="1"/>
      <c r="ZC140" s="1"/>
      <c r="ZD140" s="1"/>
      <c r="ZE140" s="1"/>
      <c r="ZF140" s="1"/>
      <c r="ZG140" s="1"/>
      <c r="ZH140" s="1"/>
      <c r="ZI140" s="1"/>
      <c r="ZJ140" s="1"/>
      <c r="ZK140" s="1"/>
      <c r="ZL140" s="1"/>
      <c r="ZM140" s="1"/>
      <c r="ZN140" s="1"/>
      <c r="ZO140" s="1"/>
      <c r="ZP140" s="1"/>
      <c r="ZQ140" s="1"/>
      <c r="ZR140" s="1"/>
      <c r="ZS140" s="1"/>
      <c r="ZT140" s="1"/>
      <c r="ZU140" s="1"/>
      <c r="ZV140" s="1"/>
      <c r="ZW140" s="1"/>
      <c r="ZX140" s="1"/>
      <c r="ZY140" s="1"/>
      <c r="ZZ140" s="1"/>
    </row>
    <row r="141" ht="19.5" customHeight="1">
      <c r="A141" s="10"/>
      <c r="B141" s="10"/>
      <c r="C141" s="10"/>
      <c r="D141" s="10" t="str">
        <f t="shared" si="2"/>
        <v/>
      </c>
      <c r="E141" s="287" t="str">
        <f t="array" ref="E141">IF(B141="","",IF(B141&lt;&gt;B140,SUMPRODUCT(($B$5:B141&lt;&gt;$B$4:B140)*($B$5:B141&lt;&gt;"")),""))</f>
        <v/>
      </c>
      <c r="F141" s="10" t="str">
        <f t="shared" si="3"/>
        <v/>
      </c>
      <c r="G141" s="10" t="str">
        <f t="shared" si="4"/>
        <v/>
      </c>
      <c r="H141" s="288" t="str">
        <f t="shared" si="5"/>
        <v/>
      </c>
      <c r="I141" s="10"/>
      <c r="J141" s="10"/>
      <c r="K141" s="10"/>
      <c r="L141" s="10" t="str">
        <f t="shared" si="6"/>
        <v/>
      </c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L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L141" s="10"/>
      <c r="CM141" s="10"/>
      <c r="CN141" s="10"/>
      <c r="CO141" s="10"/>
      <c r="CP141" s="10"/>
      <c r="CQ141" s="10"/>
      <c r="CR141" s="10"/>
      <c r="CS141" s="10"/>
      <c r="CT141" s="10"/>
      <c r="CU141" s="10"/>
      <c r="CV141" s="10"/>
      <c r="CW141" s="10"/>
      <c r="CX141" s="10"/>
      <c r="CY141" s="10"/>
      <c r="CZ141" s="10"/>
      <c r="DA141" s="10"/>
      <c r="DB141" s="10"/>
      <c r="DC141" s="10"/>
      <c r="DD141" s="10"/>
      <c r="DE141" s="10"/>
      <c r="DF141" s="10"/>
      <c r="DG141" s="10"/>
      <c r="DH141" s="10"/>
      <c r="DI141" s="10"/>
      <c r="DJ141" s="10"/>
      <c r="DK141" s="10"/>
      <c r="DL141" s="10"/>
      <c r="DM141" s="10"/>
      <c r="DN141" s="10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  <c r="VA141" s="1"/>
      <c r="VB141" s="1"/>
      <c r="VC141" s="1"/>
      <c r="VD141" s="1"/>
      <c r="VE141" s="1"/>
      <c r="VF141" s="1"/>
      <c r="VG141" s="1"/>
      <c r="VH141" s="1"/>
      <c r="VI141" s="1"/>
      <c r="VJ141" s="1"/>
      <c r="VK141" s="1"/>
      <c r="VL141" s="1"/>
      <c r="VM141" s="1"/>
      <c r="VN141" s="1"/>
      <c r="VO141" s="1"/>
      <c r="VP141" s="1"/>
      <c r="VQ141" s="1"/>
      <c r="VR141" s="1"/>
      <c r="VS141" s="1"/>
      <c r="VT141" s="1"/>
      <c r="VU141" s="1"/>
      <c r="VV141" s="1"/>
      <c r="VW141" s="1"/>
      <c r="VX141" s="1"/>
      <c r="VY141" s="1"/>
      <c r="VZ141" s="1"/>
      <c r="WA141" s="1"/>
      <c r="WB141" s="1"/>
      <c r="WC141" s="1"/>
      <c r="WD141" s="1"/>
      <c r="WE141" s="1"/>
      <c r="WF141" s="1"/>
      <c r="WG141" s="1"/>
      <c r="WH141" s="1"/>
      <c r="WI141" s="1"/>
      <c r="WJ141" s="1"/>
      <c r="WK141" s="1"/>
      <c r="WL141" s="1"/>
      <c r="WM141" s="1"/>
      <c r="WN141" s="1"/>
      <c r="WO141" s="1"/>
      <c r="WP141" s="1"/>
      <c r="WQ141" s="1"/>
      <c r="WR141" s="1"/>
      <c r="WS141" s="1"/>
      <c r="WT141" s="1"/>
      <c r="WU141" s="1"/>
      <c r="WV141" s="1"/>
      <c r="WW141" s="1"/>
      <c r="WX141" s="1"/>
      <c r="WY141" s="1"/>
      <c r="WZ141" s="1"/>
      <c r="XA141" s="1"/>
      <c r="XB141" s="1"/>
      <c r="XC141" s="1"/>
      <c r="XD141" s="1"/>
      <c r="XE141" s="1"/>
      <c r="XF141" s="1"/>
      <c r="XG141" s="1"/>
      <c r="XH141" s="1"/>
      <c r="XI141" s="1"/>
      <c r="XJ141" s="1"/>
      <c r="XK141" s="1"/>
      <c r="XL141" s="1"/>
      <c r="XM141" s="1"/>
      <c r="XN141" s="1"/>
      <c r="XO141" s="1"/>
      <c r="XP141" s="1"/>
      <c r="XQ141" s="1"/>
      <c r="XR141" s="1"/>
      <c r="XS141" s="1"/>
      <c r="XT141" s="1"/>
      <c r="XU141" s="1"/>
      <c r="XV141" s="1"/>
      <c r="XW141" s="1"/>
      <c r="XX141" s="1"/>
      <c r="XY141" s="1"/>
      <c r="XZ141" s="1"/>
      <c r="YA141" s="1"/>
      <c r="YB141" s="1"/>
      <c r="YC141" s="1"/>
      <c r="YD141" s="1"/>
      <c r="YE141" s="1"/>
      <c r="YF141" s="1"/>
      <c r="YG141" s="1"/>
      <c r="YH141" s="1"/>
      <c r="YI141" s="1"/>
      <c r="YJ141" s="1"/>
      <c r="YK141" s="1"/>
      <c r="YL141" s="1"/>
      <c r="YM141" s="1"/>
      <c r="YN141" s="1"/>
      <c r="YO141" s="1"/>
      <c r="YP141" s="1"/>
      <c r="YQ141" s="1"/>
      <c r="YR141" s="1"/>
      <c r="YS141" s="1"/>
      <c r="YT141" s="1"/>
      <c r="YU141" s="1"/>
      <c r="YV141" s="1"/>
      <c r="YW141" s="1"/>
      <c r="YX141" s="1"/>
      <c r="YY141" s="1"/>
      <c r="YZ141" s="1"/>
      <c r="ZA141" s="1"/>
      <c r="ZB141" s="1"/>
      <c r="ZC141" s="1"/>
      <c r="ZD141" s="1"/>
      <c r="ZE141" s="1"/>
      <c r="ZF141" s="1"/>
      <c r="ZG141" s="1"/>
      <c r="ZH141" s="1"/>
      <c r="ZI141" s="1"/>
      <c r="ZJ141" s="1"/>
      <c r="ZK141" s="1"/>
      <c r="ZL141" s="1"/>
      <c r="ZM141" s="1"/>
      <c r="ZN141" s="1"/>
      <c r="ZO141" s="1"/>
      <c r="ZP141" s="1"/>
      <c r="ZQ141" s="1"/>
      <c r="ZR141" s="1"/>
      <c r="ZS141" s="1"/>
      <c r="ZT141" s="1"/>
      <c r="ZU141" s="1"/>
      <c r="ZV141" s="1"/>
      <c r="ZW141" s="1"/>
      <c r="ZX141" s="1"/>
      <c r="ZY141" s="1"/>
      <c r="ZZ141" s="1"/>
    </row>
    <row r="142" ht="19.5" customHeight="1">
      <c r="A142" s="10"/>
      <c r="B142" s="10"/>
      <c r="C142" s="10"/>
      <c r="D142" s="10" t="str">
        <f t="shared" si="2"/>
        <v/>
      </c>
      <c r="E142" s="287" t="str">
        <f t="array" ref="E142">IF(B142="","",IF(B142&lt;&gt;B141,SUMPRODUCT(($B$5:B142&lt;&gt;$B$4:B141)*($B$5:B142&lt;&gt;"")),""))</f>
        <v/>
      </c>
      <c r="F142" s="10" t="str">
        <f t="shared" si="3"/>
        <v/>
      </c>
      <c r="G142" s="10" t="str">
        <f t="shared" si="4"/>
        <v/>
      </c>
      <c r="H142" s="288" t="str">
        <f t="shared" si="5"/>
        <v/>
      </c>
      <c r="I142" s="10"/>
      <c r="J142" s="10"/>
      <c r="K142" s="10"/>
      <c r="L142" s="10" t="str">
        <f t="shared" si="6"/>
        <v/>
      </c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L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  <c r="CG142" s="10"/>
      <c r="CH142" s="10"/>
      <c r="CI142" s="10"/>
      <c r="CJ142" s="10"/>
      <c r="CK142" s="10"/>
      <c r="CL142" s="10"/>
      <c r="CM142" s="10"/>
      <c r="CN142" s="10"/>
      <c r="CO142" s="10"/>
      <c r="CP142" s="10"/>
      <c r="CQ142" s="10"/>
      <c r="CR142" s="10"/>
      <c r="CS142" s="10"/>
      <c r="CT142" s="10"/>
      <c r="CU142" s="10"/>
      <c r="CV142" s="10"/>
      <c r="CW142" s="10"/>
      <c r="CX142" s="10"/>
      <c r="CY142" s="10"/>
      <c r="CZ142" s="10"/>
      <c r="DA142" s="10"/>
      <c r="DB142" s="10"/>
      <c r="DC142" s="10"/>
      <c r="DD142" s="10"/>
      <c r="DE142" s="10"/>
      <c r="DF142" s="10"/>
      <c r="DG142" s="10"/>
      <c r="DH142" s="10"/>
      <c r="DI142" s="10"/>
      <c r="DJ142" s="10"/>
      <c r="DK142" s="10"/>
      <c r="DL142" s="10"/>
      <c r="DM142" s="10"/>
      <c r="DN142" s="10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  <c r="VA142" s="1"/>
      <c r="VB142" s="1"/>
      <c r="VC142" s="1"/>
      <c r="VD142" s="1"/>
      <c r="VE142" s="1"/>
      <c r="VF142" s="1"/>
      <c r="VG142" s="1"/>
      <c r="VH142" s="1"/>
      <c r="VI142" s="1"/>
      <c r="VJ142" s="1"/>
      <c r="VK142" s="1"/>
      <c r="VL142" s="1"/>
      <c r="VM142" s="1"/>
      <c r="VN142" s="1"/>
      <c r="VO142" s="1"/>
      <c r="VP142" s="1"/>
      <c r="VQ142" s="1"/>
      <c r="VR142" s="1"/>
      <c r="VS142" s="1"/>
      <c r="VT142" s="1"/>
      <c r="VU142" s="1"/>
      <c r="VV142" s="1"/>
      <c r="VW142" s="1"/>
      <c r="VX142" s="1"/>
      <c r="VY142" s="1"/>
      <c r="VZ142" s="1"/>
      <c r="WA142" s="1"/>
      <c r="WB142" s="1"/>
      <c r="WC142" s="1"/>
      <c r="WD142" s="1"/>
      <c r="WE142" s="1"/>
      <c r="WF142" s="1"/>
      <c r="WG142" s="1"/>
      <c r="WH142" s="1"/>
      <c r="WI142" s="1"/>
      <c r="WJ142" s="1"/>
      <c r="WK142" s="1"/>
      <c r="WL142" s="1"/>
      <c r="WM142" s="1"/>
      <c r="WN142" s="1"/>
      <c r="WO142" s="1"/>
      <c r="WP142" s="1"/>
      <c r="WQ142" s="1"/>
      <c r="WR142" s="1"/>
      <c r="WS142" s="1"/>
      <c r="WT142" s="1"/>
      <c r="WU142" s="1"/>
      <c r="WV142" s="1"/>
      <c r="WW142" s="1"/>
      <c r="WX142" s="1"/>
      <c r="WY142" s="1"/>
      <c r="WZ142" s="1"/>
      <c r="XA142" s="1"/>
      <c r="XB142" s="1"/>
      <c r="XC142" s="1"/>
      <c r="XD142" s="1"/>
      <c r="XE142" s="1"/>
      <c r="XF142" s="1"/>
      <c r="XG142" s="1"/>
      <c r="XH142" s="1"/>
      <c r="XI142" s="1"/>
      <c r="XJ142" s="1"/>
      <c r="XK142" s="1"/>
      <c r="XL142" s="1"/>
      <c r="XM142" s="1"/>
      <c r="XN142" s="1"/>
      <c r="XO142" s="1"/>
      <c r="XP142" s="1"/>
      <c r="XQ142" s="1"/>
      <c r="XR142" s="1"/>
      <c r="XS142" s="1"/>
      <c r="XT142" s="1"/>
      <c r="XU142" s="1"/>
      <c r="XV142" s="1"/>
      <c r="XW142" s="1"/>
      <c r="XX142" s="1"/>
      <c r="XY142" s="1"/>
      <c r="XZ142" s="1"/>
      <c r="YA142" s="1"/>
      <c r="YB142" s="1"/>
      <c r="YC142" s="1"/>
      <c r="YD142" s="1"/>
      <c r="YE142" s="1"/>
      <c r="YF142" s="1"/>
      <c r="YG142" s="1"/>
      <c r="YH142" s="1"/>
      <c r="YI142" s="1"/>
      <c r="YJ142" s="1"/>
      <c r="YK142" s="1"/>
      <c r="YL142" s="1"/>
      <c r="YM142" s="1"/>
      <c r="YN142" s="1"/>
      <c r="YO142" s="1"/>
      <c r="YP142" s="1"/>
      <c r="YQ142" s="1"/>
      <c r="YR142" s="1"/>
      <c r="YS142" s="1"/>
      <c r="YT142" s="1"/>
      <c r="YU142" s="1"/>
      <c r="YV142" s="1"/>
      <c r="YW142" s="1"/>
      <c r="YX142" s="1"/>
      <c r="YY142" s="1"/>
      <c r="YZ142" s="1"/>
      <c r="ZA142" s="1"/>
      <c r="ZB142" s="1"/>
      <c r="ZC142" s="1"/>
      <c r="ZD142" s="1"/>
      <c r="ZE142" s="1"/>
      <c r="ZF142" s="1"/>
      <c r="ZG142" s="1"/>
      <c r="ZH142" s="1"/>
      <c r="ZI142" s="1"/>
      <c r="ZJ142" s="1"/>
      <c r="ZK142" s="1"/>
      <c r="ZL142" s="1"/>
      <c r="ZM142" s="1"/>
      <c r="ZN142" s="1"/>
      <c r="ZO142" s="1"/>
      <c r="ZP142" s="1"/>
      <c r="ZQ142" s="1"/>
      <c r="ZR142" s="1"/>
      <c r="ZS142" s="1"/>
      <c r="ZT142" s="1"/>
      <c r="ZU142" s="1"/>
      <c r="ZV142" s="1"/>
      <c r="ZW142" s="1"/>
      <c r="ZX142" s="1"/>
      <c r="ZY142" s="1"/>
      <c r="ZZ142" s="1"/>
    </row>
    <row r="143" ht="19.5" customHeight="1">
      <c r="A143" s="10"/>
      <c r="B143" s="10"/>
      <c r="C143" s="10"/>
      <c r="D143" s="10" t="str">
        <f t="shared" si="2"/>
        <v/>
      </c>
      <c r="E143" s="287" t="str">
        <f t="array" ref="E143">IF(B143="","",IF(B143&lt;&gt;B142,SUMPRODUCT(($B$5:B143&lt;&gt;$B$4:B142)*($B$5:B143&lt;&gt;"")),""))</f>
        <v/>
      </c>
      <c r="F143" s="10" t="str">
        <f t="shared" si="3"/>
        <v/>
      </c>
      <c r="G143" s="10" t="str">
        <f t="shared" si="4"/>
        <v/>
      </c>
      <c r="H143" s="288" t="str">
        <f t="shared" si="5"/>
        <v/>
      </c>
      <c r="I143" s="10"/>
      <c r="J143" s="10"/>
      <c r="K143" s="10"/>
      <c r="L143" s="10" t="str">
        <f t="shared" si="6"/>
        <v/>
      </c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L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L143" s="10"/>
      <c r="CM143" s="10"/>
      <c r="CN143" s="10"/>
      <c r="CO143" s="10"/>
      <c r="CP143" s="10"/>
      <c r="CQ143" s="10"/>
      <c r="CR143" s="10"/>
      <c r="CS143" s="10"/>
      <c r="CT143" s="10"/>
      <c r="CU143" s="10"/>
      <c r="CV143" s="10"/>
      <c r="CW143" s="10"/>
      <c r="CX143" s="10"/>
      <c r="CY143" s="10"/>
      <c r="CZ143" s="10"/>
      <c r="DA143" s="10"/>
      <c r="DB143" s="10"/>
      <c r="DC143" s="10"/>
      <c r="DD143" s="10"/>
      <c r="DE143" s="10"/>
      <c r="DF143" s="10"/>
      <c r="DG143" s="10"/>
      <c r="DH143" s="10"/>
      <c r="DI143" s="10"/>
      <c r="DJ143" s="10"/>
      <c r="DK143" s="10"/>
      <c r="DL143" s="10"/>
      <c r="DM143" s="10"/>
      <c r="DN143" s="10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  <c r="VA143" s="1"/>
      <c r="VB143" s="1"/>
      <c r="VC143" s="1"/>
      <c r="VD143" s="1"/>
      <c r="VE143" s="1"/>
      <c r="VF143" s="1"/>
      <c r="VG143" s="1"/>
      <c r="VH143" s="1"/>
      <c r="VI143" s="1"/>
      <c r="VJ143" s="1"/>
      <c r="VK143" s="1"/>
      <c r="VL143" s="1"/>
      <c r="VM143" s="1"/>
      <c r="VN143" s="1"/>
      <c r="VO143" s="1"/>
      <c r="VP143" s="1"/>
      <c r="VQ143" s="1"/>
      <c r="VR143" s="1"/>
      <c r="VS143" s="1"/>
      <c r="VT143" s="1"/>
      <c r="VU143" s="1"/>
      <c r="VV143" s="1"/>
      <c r="VW143" s="1"/>
      <c r="VX143" s="1"/>
      <c r="VY143" s="1"/>
      <c r="VZ143" s="1"/>
      <c r="WA143" s="1"/>
      <c r="WB143" s="1"/>
      <c r="WC143" s="1"/>
      <c r="WD143" s="1"/>
      <c r="WE143" s="1"/>
      <c r="WF143" s="1"/>
      <c r="WG143" s="1"/>
      <c r="WH143" s="1"/>
      <c r="WI143" s="1"/>
      <c r="WJ143" s="1"/>
      <c r="WK143" s="1"/>
      <c r="WL143" s="1"/>
      <c r="WM143" s="1"/>
      <c r="WN143" s="1"/>
      <c r="WO143" s="1"/>
      <c r="WP143" s="1"/>
      <c r="WQ143" s="1"/>
      <c r="WR143" s="1"/>
      <c r="WS143" s="1"/>
      <c r="WT143" s="1"/>
      <c r="WU143" s="1"/>
      <c r="WV143" s="1"/>
      <c r="WW143" s="1"/>
      <c r="WX143" s="1"/>
      <c r="WY143" s="1"/>
      <c r="WZ143" s="1"/>
      <c r="XA143" s="1"/>
      <c r="XB143" s="1"/>
      <c r="XC143" s="1"/>
      <c r="XD143" s="1"/>
      <c r="XE143" s="1"/>
      <c r="XF143" s="1"/>
      <c r="XG143" s="1"/>
      <c r="XH143" s="1"/>
      <c r="XI143" s="1"/>
      <c r="XJ143" s="1"/>
      <c r="XK143" s="1"/>
      <c r="XL143" s="1"/>
      <c r="XM143" s="1"/>
      <c r="XN143" s="1"/>
      <c r="XO143" s="1"/>
      <c r="XP143" s="1"/>
      <c r="XQ143" s="1"/>
      <c r="XR143" s="1"/>
      <c r="XS143" s="1"/>
      <c r="XT143" s="1"/>
      <c r="XU143" s="1"/>
      <c r="XV143" s="1"/>
      <c r="XW143" s="1"/>
      <c r="XX143" s="1"/>
      <c r="XY143" s="1"/>
      <c r="XZ143" s="1"/>
      <c r="YA143" s="1"/>
      <c r="YB143" s="1"/>
      <c r="YC143" s="1"/>
      <c r="YD143" s="1"/>
      <c r="YE143" s="1"/>
      <c r="YF143" s="1"/>
      <c r="YG143" s="1"/>
      <c r="YH143" s="1"/>
      <c r="YI143" s="1"/>
      <c r="YJ143" s="1"/>
      <c r="YK143" s="1"/>
      <c r="YL143" s="1"/>
      <c r="YM143" s="1"/>
      <c r="YN143" s="1"/>
      <c r="YO143" s="1"/>
      <c r="YP143" s="1"/>
      <c r="YQ143" s="1"/>
      <c r="YR143" s="1"/>
      <c r="YS143" s="1"/>
      <c r="YT143" s="1"/>
      <c r="YU143" s="1"/>
      <c r="YV143" s="1"/>
      <c r="YW143" s="1"/>
      <c r="YX143" s="1"/>
      <c r="YY143" s="1"/>
      <c r="YZ143" s="1"/>
      <c r="ZA143" s="1"/>
      <c r="ZB143" s="1"/>
      <c r="ZC143" s="1"/>
      <c r="ZD143" s="1"/>
      <c r="ZE143" s="1"/>
      <c r="ZF143" s="1"/>
      <c r="ZG143" s="1"/>
      <c r="ZH143" s="1"/>
      <c r="ZI143" s="1"/>
      <c r="ZJ143" s="1"/>
      <c r="ZK143" s="1"/>
      <c r="ZL143" s="1"/>
      <c r="ZM143" s="1"/>
      <c r="ZN143" s="1"/>
      <c r="ZO143" s="1"/>
      <c r="ZP143" s="1"/>
      <c r="ZQ143" s="1"/>
      <c r="ZR143" s="1"/>
      <c r="ZS143" s="1"/>
      <c r="ZT143" s="1"/>
      <c r="ZU143" s="1"/>
      <c r="ZV143" s="1"/>
      <c r="ZW143" s="1"/>
      <c r="ZX143" s="1"/>
      <c r="ZY143" s="1"/>
      <c r="ZZ143" s="1"/>
    </row>
    <row r="144" ht="19.5" customHeight="1">
      <c r="A144" s="10"/>
      <c r="B144" s="10"/>
      <c r="C144" s="10"/>
      <c r="D144" s="10" t="str">
        <f t="shared" si="2"/>
        <v/>
      </c>
      <c r="E144" s="287" t="str">
        <f t="array" ref="E144">IF(B144="","",IF(B144&lt;&gt;B143,SUMPRODUCT(($B$5:B144&lt;&gt;$B$4:B143)*($B$5:B144&lt;&gt;"")),""))</f>
        <v/>
      </c>
      <c r="F144" s="10" t="str">
        <f t="shared" si="3"/>
        <v/>
      </c>
      <c r="G144" s="10" t="str">
        <f t="shared" si="4"/>
        <v/>
      </c>
      <c r="H144" s="288" t="str">
        <f t="shared" si="5"/>
        <v/>
      </c>
      <c r="I144" s="10"/>
      <c r="J144" s="10"/>
      <c r="K144" s="10"/>
      <c r="L144" s="10" t="str">
        <f t="shared" si="6"/>
        <v/>
      </c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  <c r="CQ144" s="10"/>
      <c r="CR144" s="10"/>
      <c r="CS144" s="10"/>
      <c r="CT144" s="10"/>
      <c r="CU144" s="10"/>
      <c r="CV144" s="10"/>
      <c r="CW144" s="10"/>
      <c r="CX144" s="10"/>
      <c r="CY144" s="10"/>
      <c r="CZ144" s="10"/>
      <c r="DA144" s="10"/>
      <c r="DB144" s="10"/>
      <c r="DC144" s="10"/>
      <c r="DD144" s="10"/>
      <c r="DE144" s="10"/>
      <c r="DF144" s="10"/>
      <c r="DG144" s="10"/>
      <c r="DH144" s="10"/>
      <c r="DI144" s="10"/>
      <c r="DJ144" s="10"/>
      <c r="DK144" s="10"/>
      <c r="DL144" s="10"/>
      <c r="DM144" s="10"/>
      <c r="DN144" s="10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  <c r="VA144" s="1"/>
      <c r="VB144" s="1"/>
      <c r="VC144" s="1"/>
      <c r="VD144" s="1"/>
      <c r="VE144" s="1"/>
      <c r="VF144" s="1"/>
      <c r="VG144" s="1"/>
      <c r="VH144" s="1"/>
      <c r="VI144" s="1"/>
      <c r="VJ144" s="1"/>
      <c r="VK144" s="1"/>
      <c r="VL144" s="1"/>
      <c r="VM144" s="1"/>
      <c r="VN144" s="1"/>
      <c r="VO144" s="1"/>
      <c r="VP144" s="1"/>
      <c r="VQ144" s="1"/>
      <c r="VR144" s="1"/>
      <c r="VS144" s="1"/>
      <c r="VT144" s="1"/>
      <c r="VU144" s="1"/>
      <c r="VV144" s="1"/>
      <c r="VW144" s="1"/>
      <c r="VX144" s="1"/>
      <c r="VY144" s="1"/>
      <c r="VZ144" s="1"/>
      <c r="WA144" s="1"/>
      <c r="WB144" s="1"/>
      <c r="WC144" s="1"/>
      <c r="WD144" s="1"/>
      <c r="WE144" s="1"/>
      <c r="WF144" s="1"/>
      <c r="WG144" s="1"/>
      <c r="WH144" s="1"/>
      <c r="WI144" s="1"/>
      <c r="WJ144" s="1"/>
      <c r="WK144" s="1"/>
      <c r="WL144" s="1"/>
      <c r="WM144" s="1"/>
      <c r="WN144" s="1"/>
      <c r="WO144" s="1"/>
      <c r="WP144" s="1"/>
      <c r="WQ144" s="1"/>
      <c r="WR144" s="1"/>
      <c r="WS144" s="1"/>
      <c r="WT144" s="1"/>
      <c r="WU144" s="1"/>
      <c r="WV144" s="1"/>
      <c r="WW144" s="1"/>
      <c r="WX144" s="1"/>
      <c r="WY144" s="1"/>
      <c r="WZ144" s="1"/>
      <c r="XA144" s="1"/>
      <c r="XB144" s="1"/>
      <c r="XC144" s="1"/>
      <c r="XD144" s="1"/>
      <c r="XE144" s="1"/>
      <c r="XF144" s="1"/>
      <c r="XG144" s="1"/>
      <c r="XH144" s="1"/>
      <c r="XI144" s="1"/>
      <c r="XJ144" s="1"/>
      <c r="XK144" s="1"/>
      <c r="XL144" s="1"/>
      <c r="XM144" s="1"/>
      <c r="XN144" s="1"/>
      <c r="XO144" s="1"/>
      <c r="XP144" s="1"/>
      <c r="XQ144" s="1"/>
      <c r="XR144" s="1"/>
      <c r="XS144" s="1"/>
      <c r="XT144" s="1"/>
      <c r="XU144" s="1"/>
      <c r="XV144" s="1"/>
      <c r="XW144" s="1"/>
      <c r="XX144" s="1"/>
      <c r="XY144" s="1"/>
      <c r="XZ144" s="1"/>
      <c r="YA144" s="1"/>
      <c r="YB144" s="1"/>
      <c r="YC144" s="1"/>
      <c r="YD144" s="1"/>
      <c r="YE144" s="1"/>
      <c r="YF144" s="1"/>
      <c r="YG144" s="1"/>
      <c r="YH144" s="1"/>
      <c r="YI144" s="1"/>
      <c r="YJ144" s="1"/>
      <c r="YK144" s="1"/>
      <c r="YL144" s="1"/>
      <c r="YM144" s="1"/>
      <c r="YN144" s="1"/>
      <c r="YO144" s="1"/>
      <c r="YP144" s="1"/>
      <c r="YQ144" s="1"/>
      <c r="YR144" s="1"/>
      <c r="YS144" s="1"/>
      <c r="YT144" s="1"/>
      <c r="YU144" s="1"/>
      <c r="YV144" s="1"/>
      <c r="YW144" s="1"/>
      <c r="YX144" s="1"/>
      <c r="YY144" s="1"/>
      <c r="YZ144" s="1"/>
      <c r="ZA144" s="1"/>
      <c r="ZB144" s="1"/>
      <c r="ZC144" s="1"/>
      <c r="ZD144" s="1"/>
      <c r="ZE144" s="1"/>
      <c r="ZF144" s="1"/>
      <c r="ZG144" s="1"/>
      <c r="ZH144" s="1"/>
      <c r="ZI144" s="1"/>
      <c r="ZJ144" s="1"/>
      <c r="ZK144" s="1"/>
      <c r="ZL144" s="1"/>
      <c r="ZM144" s="1"/>
      <c r="ZN144" s="1"/>
      <c r="ZO144" s="1"/>
      <c r="ZP144" s="1"/>
      <c r="ZQ144" s="1"/>
      <c r="ZR144" s="1"/>
      <c r="ZS144" s="1"/>
      <c r="ZT144" s="1"/>
      <c r="ZU144" s="1"/>
      <c r="ZV144" s="1"/>
      <c r="ZW144" s="1"/>
      <c r="ZX144" s="1"/>
      <c r="ZY144" s="1"/>
      <c r="ZZ144" s="1"/>
    </row>
    <row r="145" ht="19.5" customHeight="1">
      <c r="A145" s="10"/>
      <c r="B145" s="10"/>
      <c r="C145" s="10"/>
      <c r="D145" s="10" t="str">
        <f t="shared" si="2"/>
        <v/>
      </c>
      <c r="E145" s="287" t="str">
        <f t="array" ref="E145">IF(B145="","",IF(B145&lt;&gt;B144,SUMPRODUCT(($B$5:B145&lt;&gt;$B$4:B144)*($B$5:B145&lt;&gt;"")),""))</f>
        <v/>
      </c>
      <c r="F145" s="10" t="str">
        <f t="shared" si="3"/>
        <v/>
      </c>
      <c r="G145" s="10" t="str">
        <f t="shared" si="4"/>
        <v/>
      </c>
      <c r="H145" s="288" t="str">
        <f t="shared" si="5"/>
        <v/>
      </c>
      <c r="I145" s="10"/>
      <c r="J145" s="10"/>
      <c r="K145" s="10"/>
      <c r="L145" s="10" t="str">
        <f t="shared" si="6"/>
        <v/>
      </c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L145" s="10"/>
      <c r="CM145" s="10"/>
      <c r="CN145" s="10"/>
      <c r="CO145" s="10"/>
      <c r="CP145" s="10"/>
      <c r="CQ145" s="10"/>
      <c r="CR145" s="10"/>
      <c r="CS145" s="10"/>
      <c r="CT145" s="10"/>
      <c r="CU145" s="10"/>
      <c r="CV145" s="10"/>
      <c r="CW145" s="10"/>
      <c r="CX145" s="10"/>
      <c r="CY145" s="10"/>
      <c r="CZ145" s="10"/>
      <c r="DA145" s="10"/>
      <c r="DB145" s="10"/>
      <c r="DC145" s="10"/>
      <c r="DD145" s="10"/>
      <c r="DE145" s="10"/>
      <c r="DF145" s="10"/>
      <c r="DG145" s="10"/>
      <c r="DH145" s="10"/>
      <c r="DI145" s="10"/>
      <c r="DJ145" s="10"/>
      <c r="DK145" s="10"/>
      <c r="DL145" s="10"/>
      <c r="DM145" s="10"/>
      <c r="DN145" s="10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  <c r="VA145" s="1"/>
      <c r="VB145" s="1"/>
      <c r="VC145" s="1"/>
      <c r="VD145" s="1"/>
      <c r="VE145" s="1"/>
      <c r="VF145" s="1"/>
      <c r="VG145" s="1"/>
      <c r="VH145" s="1"/>
      <c r="VI145" s="1"/>
      <c r="VJ145" s="1"/>
      <c r="VK145" s="1"/>
      <c r="VL145" s="1"/>
      <c r="VM145" s="1"/>
      <c r="VN145" s="1"/>
      <c r="VO145" s="1"/>
      <c r="VP145" s="1"/>
      <c r="VQ145" s="1"/>
      <c r="VR145" s="1"/>
      <c r="VS145" s="1"/>
      <c r="VT145" s="1"/>
      <c r="VU145" s="1"/>
      <c r="VV145" s="1"/>
      <c r="VW145" s="1"/>
      <c r="VX145" s="1"/>
      <c r="VY145" s="1"/>
      <c r="VZ145" s="1"/>
      <c r="WA145" s="1"/>
      <c r="WB145" s="1"/>
      <c r="WC145" s="1"/>
      <c r="WD145" s="1"/>
      <c r="WE145" s="1"/>
      <c r="WF145" s="1"/>
      <c r="WG145" s="1"/>
      <c r="WH145" s="1"/>
      <c r="WI145" s="1"/>
      <c r="WJ145" s="1"/>
      <c r="WK145" s="1"/>
      <c r="WL145" s="1"/>
      <c r="WM145" s="1"/>
      <c r="WN145" s="1"/>
      <c r="WO145" s="1"/>
      <c r="WP145" s="1"/>
      <c r="WQ145" s="1"/>
      <c r="WR145" s="1"/>
      <c r="WS145" s="1"/>
      <c r="WT145" s="1"/>
      <c r="WU145" s="1"/>
      <c r="WV145" s="1"/>
      <c r="WW145" s="1"/>
      <c r="WX145" s="1"/>
      <c r="WY145" s="1"/>
      <c r="WZ145" s="1"/>
      <c r="XA145" s="1"/>
      <c r="XB145" s="1"/>
      <c r="XC145" s="1"/>
      <c r="XD145" s="1"/>
      <c r="XE145" s="1"/>
      <c r="XF145" s="1"/>
      <c r="XG145" s="1"/>
      <c r="XH145" s="1"/>
      <c r="XI145" s="1"/>
      <c r="XJ145" s="1"/>
      <c r="XK145" s="1"/>
      <c r="XL145" s="1"/>
      <c r="XM145" s="1"/>
      <c r="XN145" s="1"/>
      <c r="XO145" s="1"/>
      <c r="XP145" s="1"/>
      <c r="XQ145" s="1"/>
      <c r="XR145" s="1"/>
      <c r="XS145" s="1"/>
      <c r="XT145" s="1"/>
      <c r="XU145" s="1"/>
      <c r="XV145" s="1"/>
      <c r="XW145" s="1"/>
      <c r="XX145" s="1"/>
      <c r="XY145" s="1"/>
      <c r="XZ145" s="1"/>
      <c r="YA145" s="1"/>
      <c r="YB145" s="1"/>
      <c r="YC145" s="1"/>
      <c r="YD145" s="1"/>
      <c r="YE145" s="1"/>
      <c r="YF145" s="1"/>
      <c r="YG145" s="1"/>
      <c r="YH145" s="1"/>
      <c r="YI145" s="1"/>
      <c r="YJ145" s="1"/>
      <c r="YK145" s="1"/>
      <c r="YL145" s="1"/>
      <c r="YM145" s="1"/>
      <c r="YN145" s="1"/>
      <c r="YO145" s="1"/>
      <c r="YP145" s="1"/>
      <c r="YQ145" s="1"/>
      <c r="YR145" s="1"/>
      <c r="YS145" s="1"/>
      <c r="YT145" s="1"/>
      <c r="YU145" s="1"/>
      <c r="YV145" s="1"/>
      <c r="YW145" s="1"/>
      <c r="YX145" s="1"/>
      <c r="YY145" s="1"/>
      <c r="YZ145" s="1"/>
      <c r="ZA145" s="1"/>
      <c r="ZB145" s="1"/>
      <c r="ZC145" s="1"/>
      <c r="ZD145" s="1"/>
      <c r="ZE145" s="1"/>
      <c r="ZF145" s="1"/>
      <c r="ZG145" s="1"/>
      <c r="ZH145" s="1"/>
      <c r="ZI145" s="1"/>
      <c r="ZJ145" s="1"/>
      <c r="ZK145" s="1"/>
      <c r="ZL145" s="1"/>
      <c r="ZM145" s="1"/>
      <c r="ZN145" s="1"/>
      <c r="ZO145" s="1"/>
      <c r="ZP145" s="1"/>
      <c r="ZQ145" s="1"/>
      <c r="ZR145" s="1"/>
      <c r="ZS145" s="1"/>
      <c r="ZT145" s="1"/>
      <c r="ZU145" s="1"/>
      <c r="ZV145" s="1"/>
      <c r="ZW145" s="1"/>
      <c r="ZX145" s="1"/>
      <c r="ZY145" s="1"/>
      <c r="ZZ145" s="1"/>
    </row>
    <row r="146" ht="19.5" customHeight="1">
      <c r="A146" s="10"/>
      <c r="B146" s="10"/>
      <c r="C146" s="10"/>
      <c r="D146" s="10" t="str">
        <f t="shared" si="2"/>
        <v/>
      </c>
      <c r="E146" s="287" t="str">
        <f t="array" ref="E146">IF(B146="","",IF(B146&lt;&gt;B145,SUMPRODUCT(($B$5:B146&lt;&gt;$B$4:B145)*($B$5:B146&lt;&gt;"")),""))</f>
        <v/>
      </c>
      <c r="F146" s="10" t="str">
        <f t="shared" si="3"/>
        <v/>
      </c>
      <c r="G146" s="10" t="str">
        <f t="shared" si="4"/>
        <v/>
      </c>
      <c r="H146" s="288" t="str">
        <f t="shared" si="5"/>
        <v/>
      </c>
      <c r="I146" s="10"/>
      <c r="J146" s="10"/>
      <c r="K146" s="10"/>
      <c r="L146" s="10" t="str">
        <f t="shared" si="6"/>
        <v/>
      </c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  <c r="CQ146" s="10"/>
      <c r="CR146" s="10"/>
      <c r="CS146" s="10"/>
      <c r="CT146" s="10"/>
      <c r="CU146" s="10"/>
      <c r="CV146" s="10"/>
      <c r="CW146" s="10"/>
      <c r="CX146" s="10"/>
      <c r="CY146" s="10"/>
      <c r="CZ146" s="10"/>
      <c r="DA146" s="10"/>
      <c r="DB146" s="10"/>
      <c r="DC146" s="10"/>
      <c r="DD146" s="10"/>
      <c r="DE146" s="10"/>
      <c r="DF146" s="10"/>
      <c r="DG146" s="10"/>
      <c r="DH146" s="10"/>
      <c r="DI146" s="10"/>
      <c r="DJ146" s="10"/>
      <c r="DK146" s="10"/>
      <c r="DL146" s="10"/>
      <c r="DM146" s="10"/>
      <c r="DN146" s="10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  <c r="VA146" s="1"/>
      <c r="VB146" s="1"/>
      <c r="VC146" s="1"/>
      <c r="VD146" s="1"/>
      <c r="VE146" s="1"/>
      <c r="VF146" s="1"/>
      <c r="VG146" s="1"/>
      <c r="VH146" s="1"/>
      <c r="VI146" s="1"/>
      <c r="VJ146" s="1"/>
      <c r="VK146" s="1"/>
      <c r="VL146" s="1"/>
      <c r="VM146" s="1"/>
      <c r="VN146" s="1"/>
      <c r="VO146" s="1"/>
      <c r="VP146" s="1"/>
      <c r="VQ146" s="1"/>
      <c r="VR146" s="1"/>
      <c r="VS146" s="1"/>
      <c r="VT146" s="1"/>
      <c r="VU146" s="1"/>
      <c r="VV146" s="1"/>
      <c r="VW146" s="1"/>
      <c r="VX146" s="1"/>
      <c r="VY146" s="1"/>
      <c r="VZ146" s="1"/>
      <c r="WA146" s="1"/>
      <c r="WB146" s="1"/>
      <c r="WC146" s="1"/>
      <c r="WD146" s="1"/>
      <c r="WE146" s="1"/>
      <c r="WF146" s="1"/>
      <c r="WG146" s="1"/>
      <c r="WH146" s="1"/>
      <c r="WI146" s="1"/>
      <c r="WJ146" s="1"/>
      <c r="WK146" s="1"/>
      <c r="WL146" s="1"/>
      <c r="WM146" s="1"/>
      <c r="WN146" s="1"/>
      <c r="WO146" s="1"/>
      <c r="WP146" s="1"/>
      <c r="WQ146" s="1"/>
      <c r="WR146" s="1"/>
      <c r="WS146" s="1"/>
      <c r="WT146" s="1"/>
      <c r="WU146" s="1"/>
      <c r="WV146" s="1"/>
      <c r="WW146" s="1"/>
      <c r="WX146" s="1"/>
      <c r="WY146" s="1"/>
      <c r="WZ146" s="1"/>
      <c r="XA146" s="1"/>
      <c r="XB146" s="1"/>
      <c r="XC146" s="1"/>
      <c r="XD146" s="1"/>
      <c r="XE146" s="1"/>
      <c r="XF146" s="1"/>
      <c r="XG146" s="1"/>
      <c r="XH146" s="1"/>
      <c r="XI146" s="1"/>
      <c r="XJ146" s="1"/>
      <c r="XK146" s="1"/>
      <c r="XL146" s="1"/>
      <c r="XM146" s="1"/>
      <c r="XN146" s="1"/>
      <c r="XO146" s="1"/>
      <c r="XP146" s="1"/>
      <c r="XQ146" s="1"/>
      <c r="XR146" s="1"/>
      <c r="XS146" s="1"/>
      <c r="XT146" s="1"/>
      <c r="XU146" s="1"/>
      <c r="XV146" s="1"/>
      <c r="XW146" s="1"/>
      <c r="XX146" s="1"/>
      <c r="XY146" s="1"/>
      <c r="XZ146" s="1"/>
      <c r="YA146" s="1"/>
      <c r="YB146" s="1"/>
      <c r="YC146" s="1"/>
      <c r="YD146" s="1"/>
      <c r="YE146" s="1"/>
      <c r="YF146" s="1"/>
      <c r="YG146" s="1"/>
      <c r="YH146" s="1"/>
      <c r="YI146" s="1"/>
      <c r="YJ146" s="1"/>
      <c r="YK146" s="1"/>
      <c r="YL146" s="1"/>
      <c r="YM146" s="1"/>
      <c r="YN146" s="1"/>
      <c r="YO146" s="1"/>
      <c r="YP146" s="1"/>
      <c r="YQ146" s="1"/>
      <c r="YR146" s="1"/>
      <c r="YS146" s="1"/>
      <c r="YT146" s="1"/>
      <c r="YU146" s="1"/>
      <c r="YV146" s="1"/>
      <c r="YW146" s="1"/>
      <c r="YX146" s="1"/>
      <c r="YY146" s="1"/>
      <c r="YZ146" s="1"/>
      <c r="ZA146" s="1"/>
      <c r="ZB146" s="1"/>
      <c r="ZC146" s="1"/>
      <c r="ZD146" s="1"/>
      <c r="ZE146" s="1"/>
      <c r="ZF146" s="1"/>
      <c r="ZG146" s="1"/>
      <c r="ZH146" s="1"/>
      <c r="ZI146" s="1"/>
      <c r="ZJ146" s="1"/>
      <c r="ZK146" s="1"/>
      <c r="ZL146" s="1"/>
      <c r="ZM146" s="1"/>
      <c r="ZN146" s="1"/>
      <c r="ZO146" s="1"/>
      <c r="ZP146" s="1"/>
      <c r="ZQ146" s="1"/>
      <c r="ZR146" s="1"/>
      <c r="ZS146" s="1"/>
      <c r="ZT146" s="1"/>
      <c r="ZU146" s="1"/>
      <c r="ZV146" s="1"/>
      <c r="ZW146" s="1"/>
      <c r="ZX146" s="1"/>
      <c r="ZY146" s="1"/>
      <c r="ZZ146" s="1"/>
    </row>
    <row r="147" ht="19.5" customHeight="1">
      <c r="A147" s="10"/>
      <c r="B147" s="10"/>
      <c r="C147" s="10"/>
      <c r="D147" s="10" t="str">
        <f t="shared" si="2"/>
        <v/>
      </c>
      <c r="E147" s="287" t="str">
        <f t="array" ref="E147">IF(B147="","",IF(B147&lt;&gt;B146,SUMPRODUCT(($B$5:B147&lt;&gt;$B$4:B146)*($B$5:B147&lt;&gt;"")),""))</f>
        <v/>
      </c>
      <c r="F147" s="10" t="str">
        <f t="shared" si="3"/>
        <v/>
      </c>
      <c r="G147" s="10" t="str">
        <f t="shared" si="4"/>
        <v/>
      </c>
      <c r="H147" s="288" t="str">
        <f t="shared" si="5"/>
        <v/>
      </c>
      <c r="I147" s="10"/>
      <c r="J147" s="10"/>
      <c r="K147" s="10"/>
      <c r="L147" s="10" t="str">
        <f t="shared" si="6"/>
        <v/>
      </c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L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  <c r="CD147" s="10"/>
      <c r="CE147" s="10"/>
      <c r="CF147" s="10"/>
      <c r="CG147" s="10"/>
      <c r="CH147" s="10"/>
      <c r="CI147" s="10"/>
      <c r="CJ147" s="10"/>
      <c r="CK147" s="10"/>
      <c r="CL147" s="10"/>
      <c r="CM147" s="10"/>
      <c r="CN147" s="10"/>
      <c r="CO147" s="10"/>
      <c r="CP147" s="10"/>
      <c r="CQ147" s="10"/>
      <c r="CR147" s="10"/>
      <c r="CS147" s="10"/>
      <c r="CT147" s="10"/>
      <c r="CU147" s="10"/>
      <c r="CV147" s="10"/>
      <c r="CW147" s="10"/>
      <c r="CX147" s="10"/>
      <c r="CY147" s="10"/>
      <c r="CZ147" s="10"/>
      <c r="DA147" s="10"/>
      <c r="DB147" s="10"/>
      <c r="DC147" s="10"/>
      <c r="DD147" s="10"/>
      <c r="DE147" s="10"/>
      <c r="DF147" s="10"/>
      <c r="DG147" s="10"/>
      <c r="DH147" s="10"/>
      <c r="DI147" s="10"/>
      <c r="DJ147" s="10"/>
      <c r="DK147" s="10"/>
      <c r="DL147" s="10"/>
      <c r="DM147" s="10"/>
      <c r="DN147" s="10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  <c r="VA147" s="1"/>
      <c r="VB147" s="1"/>
      <c r="VC147" s="1"/>
      <c r="VD147" s="1"/>
      <c r="VE147" s="1"/>
      <c r="VF147" s="1"/>
      <c r="VG147" s="1"/>
      <c r="VH147" s="1"/>
      <c r="VI147" s="1"/>
      <c r="VJ147" s="1"/>
      <c r="VK147" s="1"/>
      <c r="VL147" s="1"/>
      <c r="VM147" s="1"/>
      <c r="VN147" s="1"/>
      <c r="VO147" s="1"/>
      <c r="VP147" s="1"/>
      <c r="VQ147" s="1"/>
      <c r="VR147" s="1"/>
      <c r="VS147" s="1"/>
      <c r="VT147" s="1"/>
      <c r="VU147" s="1"/>
      <c r="VV147" s="1"/>
      <c r="VW147" s="1"/>
      <c r="VX147" s="1"/>
      <c r="VY147" s="1"/>
      <c r="VZ147" s="1"/>
      <c r="WA147" s="1"/>
      <c r="WB147" s="1"/>
      <c r="WC147" s="1"/>
      <c r="WD147" s="1"/>
      <c r="WE147" s="1"/>
      <c r="WF147" s="1"/>
      <c r="WG147" s="1"/>
      <c r="WH147" s="1"/>
      <c r="WI147" s="1"/>
      <c r="WJ147" s="1"/>
      <c r="WK147" s="1"/>
      <c r="WL147" s="1"/>
      <c r="WM147" s="1"/>
      <c r="WN147" s="1"/>
      <c r="WO147" s="1"/>
      <c r="WP147" s="1"/>
      <c r="WQ147" s="1"/>
      <c r="WR147" s="1"/>
      <c r="WS147" s="1"/>
      <c r="WT147" s="1"/>
      <c r="WU147" s="1"/>
      <c r="WV147" s="1"/>
      <c r="WW147" s="1"/>
      <c r="WX147" s="1"/>
      <c r="WY147" s="1"/>
      <c r="WZ147" s="1"/>
      <c r="XA147" s="1"/>
      <c r="XB147" s="1"/>
      <c r="XC147" s="1"/>
      <c r="XD147" s="1"/>
      <c r="XE147" s="1"/>
      <c r="XF147" s="1"/>
      <c r="XG147" s="1"/>
      <c r="XH147" s="1"/>
      <c r="XI147" s="1"/>
      <c r="XJ147" s="1"/>
      <c r="XK147" s="1"/>
      <c r="XL147" s="1"/>
      <c r="XM147" s="1"/>
      <c r="XN147" s="1"/>
      <c r="XO147" s="1"/>
      <c r="XP147" s="1"/>
      <c r="XQ147" s="1"/>
      <c r="XR147" s="1"/>
      <c r="XS147" s="1"/>
      <c r="XT147" s="1"/>
      <c r="XU147" s="1"/>
      <c r="XV147" s="1"/>
      <c r="XW147" s="1"/>
      <c r="XX147" s="1"/>
      <c r="XY147" s="1"/>
      <c r="XZ147" s="1"/>
      <c r="YA147" s="1"/>
      <c r="YB147" s="1"/>
      <c r="YC147" s="1"/>
      <c r="YD147" s="1"/>
      <c r="YE147" s="1"/>
      <c r="YF147" s="1"/>
      <c r="YG147" s="1"/>
      <c r="YH147" s="1"/>
      <c r="YI147" s="1"/>
      <c r="YJ147" s="1"/>
      <c r="YK147" s="1"/>
      <c r="YL147" s="1"/>
      <c r="YM147" s="1"/>
      <c r="YN147" s="1"/>
      <c r="YO147" s="1"/>
      <c r="YP147" s="1"/>
      <c r="YQ147" s="1"/>
      <c r="YR147" s="1"/>
      <c r="YS147" s="1"/>
      <c r="YT147" s="1"/>
      <c r="YU147" s="1"/>
      <c r="YV147" s="1"/>
      <c r="YW147" s="1"/>
      <c r="YX147" s="1"/>
      <c r="YY147" s="1"/>
      <c r="YZ147" s="1"/>
      <c r="ZA147" s="1"/>
      <c r="ZB147" s="1"/>
      <c r="ZC147" s="1"/>
      <c r="ZD147" s="1"/>
      <c r="ZE147" s="1"/>
      <c r="ZF147" s="1"/>
      <c r="ZG147" s="1"/>
      <c r="ZH147" s="1"/>
      <c r="ZI147" s="1"/>
      <c r="ZJ147" s="1"/>
      <c r="ZK147" s="1"/>
      <c r="ZL147" s="1"/>
      <c r="ZM147" s="1"/>
      <c r="ZN147" s="1"/>
      <c r="ZO147" s="1"/>
      <c r="ZP147" s="1"/>
      <c r="ZQ147" s="1"/>
      <c r="ZR147" s="1"/>
      <c r="ZS147" s="1"/>
      <c r="ZT147" s="1"/>
      <c r="ZU147" s="1"/>
      <c r="ZV147" s="1"/>
      <c r="ZW147" s="1"/>
      <c r="ZX147" s="1"/>
      <c r="ZY147" s="1"/>
      <c r="ZZ147" s="1"/>
    </row>
    <row r="148" ht="19.5" customHeight="1">
      <c r="A148" s="10"/>
      <c r="B148" s="10"/>
      <c r="C148" s="10"/>
      <c r="D148" s="10" t="str">
        <f t="shared" si="2"/>
        <v/>
      </c>
      <c r="E148" s="287" t="str">
        <f t="array" ref="E148">IF(B148="","",IF(B148&lt;&gt;B147,SUMPRODUCT(($B$5:B148&lt;&gt;$B$4:B147)*($B$5:B148&lt;&gt;"")),""))</f>
        <v/>
      </c>
      <c r="F148" s="10" t="str">
        <f t="shared" si="3"/>
        <v/>
      </c>
      <c r="G148" s="10" t="str">
        <f t="shared" si="4"/>
        <v/>
      </c>
      <c r="H148" s="288" t="str">
        <f t="shared" si="5"/>
        <v/>
      </c>
      <c r="I148" s="10"/>
      <c r="J148" s="10"/>
      <c r="K148" s="10"/>
      <c r="L148" s="10" t="str">
        <f t="shared" si="6"/>
        <v/>
      </c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L148" s="10"/>
      <c r="BM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10"/>
      <c r="CF148" s="10"/>
      <c r="CG148" s="10"/>
      <c r="CH148" s="10"/>
      <c r="CI148" s="10"/>
      <c r="CJ148" s="10"/>
      <c r="CK148" s="10"/>
      <c r="CL148" s="10"/>
      <c r="CM148" s="10"/>
      <c r="CN148" s="10"/>
      <c r="CO148" s="10"/>
      <c r="CP148" s="10"/>
      <c r="CQ148" s="10"/>
      <c r="CR148" s="10"/>
      <c r="CS148" s="10"/>
      <c r="CT148" s="10"/>
      <c r="CU148" s="10"/>
      <c r="CV148" s="10"/>
      <c r="CW148" s="10"/>
      <c r="CX148" s="10"/>
      <c r="CY148" s="10"/>
      <c r="CZ148" s="10"/>
      <c r="DA148" s="10"/>
      <c r="DB148" s="10"/>
      <c r="DC148" s="10"/>
      <c r="DD148" s="10"/>
      <c r="DE148" s="10"/>
      <c r="DF148" s="10"/>
      <c r="DG148" s="10"/>
      <c r="DH148" s="10"/>
      <c r="DI148" s="10"/>
      <c r="DJ148" s="10"/>
      <c r="DK148" s="10"/>
      <c r="DL148" s="10"/>
      <c r="DM148" s="10"/>
      <c r="DN148" s="10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  <c r="VA148" s="1"/>
      <c r="VB148" s="1"/>
      <c r="VC148" s="1"/>
      <c r="VD148" s="1"/>
      <c r="VE148" s="1"/>
      <c r="VF148" s="1"/>
      <c r="VG148" s="1"/>
      <c r="VH148" s="1"/>
      <c r="VI148" s="1"/>
      <c r="VJ148" s="1"/>
      <c r="VK148" s="1"/>
      <c r="VL148" s="1"/>
      <c r="VM148" s="1"/>
      <c r="VN148" s="1"/>
      <c r="VO148" s="1"/>
      <c r="VP148" s="1"/>
      <c r="VQ148" s="1"/>
      <c r="VR148" s="1"/>
      <c r="VS148" s="1"/>
      <c r="VT148" s="1"/>
      <c r="VU148" s="1"/>
      <c r="VV148" s="1"/>
      <c r="VW148" s="1"/>
      <c r="VX148" s="1"/>
      <c r="VY148" s="1"/>
      <c r="VZ148" s="1"/>
      <c r="WA148" s="1"/>
      <c r="WB148" s="1"/>
      <c r="WC148" s="1"/>
      <c r="WD148" s="1"/>
      <c r="WE148" s="1"/>
      <c r="WF148" s="1"/>
      <c r="WG148" s="1"/>
      <c r="WH148" s="1"/>
      <c r="WI148" s="1"/>
      <c r="WJ148" s="1"/>
      <c r="WK148" s="1"/>
      <c r="WL148" s="1"/>
      <c r="WM148" s="1"/>
      <c r="WN148" s="1"/>
      <c r="WO148" s="1"/>
      <c r="WP148" s="1"/>
      <c r="WQ148" s="1"/>
      <c r="WR148" s="1"/>
      <c r="WS148" s="1"/>
      <c r="WT148" s="1"/>
      <c r="WU148" s="1"/>
      <c r="WV148" s="1"/>
      <c r="WW148" s="1"/>
      <c r="WX148" s="1"/>
      <c r="WY148" s="1"/>
      <c r="WZ148" s="1"/>
      <c r="XA148" s="1"/>
      <c r="XB148" s="1"/>
      <c r="XC148" s="1"/>
      <c r="XD148" s="1"/>
      <c r="XE148" s="1"/>
      <c r="XF148" s="1"/>
      <c r="XG148" s="1"/>
      <c r="XH148" s="1"/>
      <c r="XI148" s="1"/>
      <c r="XJ148" s="1"/>
      <c r="XK148" s="1"/>
      <c r="XL148" s="1"/>
      <c r="XM148" s="1"/>
      <c r="XN148" s="1"/>
      <c r="XO148" s="1"/>
      <c r="XP148" s="1"/>
      <c r="XQ148" s="1"/>
      <c r="XR148" s="1"/>
      <c r="XS148" s="1"/>
      <c r="XT148" s="1"/>
      <c r="XU148" s="1"/>
      <c r="XV148" s="1"/>
      <c r="XW148" s="1"/>
      <c r="XX148" s="1"/>
      <c r="XY148" s="1"/>
      <c r="XZ148" s="1"/>
      <c r="YA148" s="1"/>
      <c r="YB148" s="1"/>
      <c r="YC148" s="1"/>
      <c r="YD148" s="1"/>
      <c r="YE148" s="1"/>
      <c r="YF148" s="1"/>
      <c r="YG148" s="1"/>
      <c r="YH148" s="1"/>
      <c r="YI148" s="1"/>
      <c r="YJ148" s="1"/>
      <c r="YK148" s="1"/>
      <c r="YL148" s="1"/>
      <c r="YM148" s="1"/>
      <c r="YN148" s="1"/>
      <c r="YO148" s="1"/>
      <c r="YP148" s="1"/>
      <c r="YQ148" s="1"/>
      <c r="YR148" s="1"/>
      <c r="YS148" s="1"/>
      <c r="YT148" s="1"/>
      <c r="YU148" s="1"/>
      <c r="YV148" s="1"/>
      <c r="YW148" s="1"/>
      <c r="YX148" s="1"/>
      <c r="YY148" s="1"/>
      <c r="YZ148" s="1"/>
      <c r="ZA148" s="1"/>
      <c r="ZB148" s="1"/>
      <c r="ZC148" s="1"/>
      <c r="ZD148" s="1"/>
      <c r="ZE148" s="1"/>
      <c r="ZF148" s="1"/>
      <c r="ZG148" s="1"/>
      <c r="ZH148" s="1"/>
      <c r="ZI148" s="1"/>
      <c r="ZJ148" s="1"/>
      <c r="ZK148" s="1"/>
      <c r="ZL148" s="1"/>
      <c r="ZM148" s="1"/>
      <c r="ZN148" s="1"/>
      <c r="ZO148" s="1"/>
      <c r="ZP148" s="1"/>
      <c r="ZQ148" s="1"/>
      <c r="ZR148" s="1"/>
      <c r="ZS148" s="1"/>
      <c r="ZT148" s="1"/>
      <c r="ZU148" s="1"/>
      <c r="ZV148" s="1"/>
      <c r="ZW148" s="1"/>
      <c r="ZX148" s="1"/>
      <c r="ZY148" s="1"/>
      <c r="ZZ148" s="1"/>
    </row>
    <row r="149" ht="19.5" customHeight="1">
      <c r="A149" s="10"/>
      <c r="B149" s="10"/>
      <c r="C149" s="10"/>
      <c r="D149" s="10" t="str">
        <f t="shared" si="2"/>
        <v/>
      </c>
      <c r="E149" s="287" t="str">
        <f t="array" ref="E149">IF(B149="","",IF(B149&lt;&gt;B148,SUMPRODUCT(($B$5:B149&lt;&gt;$B$4:B148)*($B$5:B149&lt;&gt;"")),""))</f>
        <v/>
      </c>
      <c r="F149" s="10" t="str">
        <f t="shared" si="3"/>
        <v/>
      </c>
      <c r="G149" s="10" t="str">
        <f t="shared" si="4"/>
        <v/>
      </c>
      <c r="H149" s="288" t="str">
        <f t="shared" si="5"/>
        <v/>
      </c>
      <c r="I149" s="10"/>
      <c r="J149" s="10"/>
      <c r="K149" s="10"/>
      <c r="L149" s="10" t="str">
        <f t="shared" si="6"/>
        <v/>
      </c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  <c r="CQ149" s="10"/>
      <c r="CR149" s="10"/>
      <c r="CS149" s="10"/>
      <c r="CT149" s="10"/>
      <c r="CU149" s="10"/>
      <c r="CV149" s="10"/>
      <c r="CW149" s="10"/>
      <c r="CX149" s="10"/>
      <c r="CY149" s="10"/>
      <c r="CZ149" s="10"/>
      <c r="DA149" s="10"/>
      <c r="DB149" s="10"/>
      <c r="DC149" s="10"/>
      <c r="DD149" s="10"/>
      <c r="DE149" s="10"/>
      <c r="DF149" s="10"/>
      <c r="DG149" s="10"/>
      <c r="DH149" s="10"/>
      <c r="DI149" s="10"/>
      <c r="DJ149" s="10"/>
      <c r="DK149" s="10"/>
      <c r="DL149" s="10"/>
      <c r="DM149" s="10"/>
      <c r="DN149" s="10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  <c r="VA149" s="1"/>
      <c r="VB149" s="1"/>
      <c r="VC149" s="1"/>
      <c r="VD149" s="1"/>
      <c r="VE149" s="1"/>
      <c r="VF149" s="1"/>
      <c r="VG149" s="1"/>
      <c r="VH149" s="1"/>
      <c r="VI149" s="1"/>
      <c r="VJ149" s="1"/>
      <c r="VK149" s="1"/>
      <c r="VL149" s="1"/>
      <c r="VM149" s="1"/>
      <c r="VN149" s="1"/>
      <c r="VO149" s="1"/>
      <c r="VP149" s="1"/>
      <c r="VQ149" s="1"/>
      <c r="VR149" s="1"/>
      <c r="VS149" s="1"/>
      <c r="VT149" s="1"/>
      <c r="VU149" s="1"/>
      <c r="VV149" s="1"/>
      <c r="VW149" s="1"/>
      <c r="VX149" s="1"/>
      <c r="VY149" s="1"/>
      <c r="VZ149" s="1"/>
      <c r="WA149" s="1"/>
      <c r="WB149" s="1"/>
      <c r="WC149" s="1"/>
      <c r="WD149" s="1"/>
      <c r="WE149" s="1"/>
      <c r="WF149" s="1"/>
      <c r="WG149" s="1"/>
      <c r="WH149" s="1"/>
      <c r="WI149" s="1"/>
      <c r="WJ149" s="1"/>
      <c r="WK149" s="1"/>
      <c r="WL149" s="1"/>
      <c r="WM149" s="1"/>
      <c r="WN149" s="1"/>
      <c r="WO149" s="1"/>
      <c r="WP149" s="1"/>
      <c r="WQ149" s="1"/>
      <c r="WR149" s="1"/>
      <c r="WS149" s="1"/>
      <c r="WT149" s="1"/>
      <c r="WU149" s="1"/>
      <c r="WV149" s="1"/>
      <c r="WW149" s="1"/>
      <c r="WX149" s="1"/>
      <c r="WY149" s="1"/>
      <c r="WZ149" s="1"/>
      <c r="XA149" s="1"/>
      <c r="XB149" s="1"/>
      <c r="XC149" s="1"/>
      <c r="XD149" s="1"/>
      <c r="XE149" s="1"/>
      <c r="XF149" s="1"/>
      <c r="XG149" s="1"/>
      <c r="XH149" s="1"/>
      <c r="XI149" s="1"/>
      <c r="XJ149" s="1"/>
      <c r="XK149" s="1"/>
      <c r="XL149" s="1"/>
      <c r="XM149" s="1"/>
      <c r="XN149" s="1"/>
      <c r="XO149" s="1"/>
      <c r="XP149" s="1"/>
      <c r="XQ149" s="1"/>
      <c r="XR149" s="1"/>
      <c r="XS149" s="1"/>
      <c r="XT149" s="1"/>
      <c r="XU149" s="1"/>
      <c r="XV149" s="1"/>
      <c r="XW149" s="1"/>
      <c r="XX149" s="1"/>
      <c r="XY149" s="1"/>
      <c r="XZ149" s="1"/>
      <c r="YA149" s="1"/>
      <c r="YB149" s="1"/>
      <c r="YC149" s="1"/>
      <c r="YD149" s="1"/>
      <c r="YE149" s="1"/>
      <c r="YF149" s="1"/>
      <c r="YG149" s="1"/>
      <c r="YH149" s="1"/>
      <c r="YI149" s="1"/>
      <c r="YJ149" s="1"/>
      <c r="YK149" s="1"/>
      <c r="YL149" s="1"/>
      <c r="YM149" s="1"/>
      <c r="YN149" s="1"/>
      <c r="YO149" s="1"/>
      <c r="YP149" s="1"/>
      <c r="YQ149" s="1"/>
      <c r="YR149" s="1"/>
      <c r="YS149" s="1"/>
      <c r="YT149" s="1"/>
      <c r="YU149" s="1"/>
      <c r="YV149" s="1"/>
      <c r="YW149" s="1"/>
      <c r="YX149" s="1"/>
      <c r="YY149" s="1"/>
      <c r="YZ149" s="1"/>
      <c r="ZA149" s="1"/>
      <c r="ZB149" s="1"/>
      <c r="ZC149" s="1"/>
      <c r="ZD149" s="1"/>
      <c r="ZE149" s="1"/>
      <c r="ZF149" s="1"/>
      <c r="ZG149" s="1"/>
      <c r="ZH149" s="1"/>
      <c r="ZI149" s="1"/>
      <c r="ZJ149" s="1"/>
      <c r="ZK149" s="1"/>
      <c r="ZL149" s="1"/>
      <c r="ZM149" s="1"/>
      <c r="ZN149" s="1"/>
      <c r="ZO149" s="1"/>
      <c r="ZP149" s="1"/>
      <c r="ZQ149" s="1"/>
      <c r="ZR149" s="1"/>
      <c r="ZS149" s="1"/>
      <c r="ZT149" s="1"/>
      <c r="ZU149" s="1"/>
      <c r="ZV149" s="1"/>
      <c r="ZW149" s="1"/>
      <c r="ZX149" s="1"/>
      <c r="ZY149" s="1"/>
      <c r="ZZ149" s="1"/>
    </row>
    <row r="150" ht="19.5" customHeight="1">
      <c r="A150" s="10"/>
      <c r="B150" s="10"/>
      <c r="C150" s="10"/>
      <c r="D150" s="10" t="str">
        <f t="shared" si="2"/>
        <v/>
      </c>
      <c r="E150" s="287" t="str">
        <f t="array" ref="E150">IF(B150="","",IF(B150&lt;&gt;B149,SUMPRODUCT(($B$5:B150&lt;&gt;$B$4:B149)*($B$5:B150&lt;&gt;"")),""))</f>
        <v/>
      </c>
      <c r="F150" s="10" t="str">
        <f t="shared" si="3"/>
        <v/>
      </c>
      <c r="G150" s="10" t="str">
        <f t="shared" si="4"/>
        <v/>
      </c>
      <c r="H150" s="288" t="str">
        <f t="shared" si="5"/>
        <v/>
      </c>
      <c r="I150" s="10"/>
      <c r="J150" s="10"/>
      <c r="K150" s="10"/>
      <c r="L150" s="10" t="str">
        <f t="shared" si="6"/>
        <v/>
      </c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L150" s="10"/>
      <c r="BM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  <c r="CD150" s="10"/>
      <c r="CE150" s="10"/>
      <c r="CF150" s="10"/>
      <c r="CG150" s="10"/>
      <c r="CH150" s="10"/>
      <c r="CI150" s="10"/>
      <c r="CJ150" s="10"/>
      <c r="CK150" s="10"/>
      <c r="CL150" s="10"/>
      <c r="CM150" s="10"/>
      <c r="CN150" s="10"/>
      <c r="CO150" s="10"/>
      <c r="CP150" s="10"/>
      <c r="CQ150" s="10"/>
      <c r="CR150" s="10"/>
      <c r="CS150" s="10"/>
      <c r="CT150" s="10"/>
      <c r="CU150" s="10"/>
      <c r="CV150" s="10"/>
      <c r="CW150" s="10"/>
      <c r="CX150" s="10"/>
      <c r="CY150" s="10"/>
      <c r="CZ150" s="10"/>
      <c r="DA150" s="10"/>
      <c r="DB150" s="10"/>
      <c r="DC150" s="10"/>
      <c r="DD150" s="10"/>
      <c r="DE150" s="10"/>
      <c r="DF150" s="10"/>
      <c r="DG150" s="10"/>
      <c r="DH150" s="10"/>
      <c r="DI150" s="10"/>
      <c r="DJ150" s="10"/>
      <c r="DK150" s="10"/>
      <c r="DL150" s="10"/>
      <c r="DM150" s="10"/>
      <c r="DN150" s="10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  <c r="VA150" s="1"/>
      <c r="VB150" s="1"/>
      <c r="VC150" s="1"/>
      <c r="VD150" s="1"/>
      <c r="VE150" s="1"/>
      <c r="VF150" s="1"/>
      <c r="VG150" s="1"/>
      <c r="VH150" s="1"/>
      <c r="VI150" s="1"/>
      <c r="VJ150" s="1"/>
      <c r="VK150" s="1"/>
      <c r="VL150" s="1"/>
      <c r="VM150" s="1"/>
      <c r="VN150" s="1"/>
      <c r="VO150" s="1"/>
      <c r="VP150" s="1"/>
      <c r="VQ150" s="1"/>
      <c r="VR150" s="1"/>
      <c r="VS150" s="1"/>
      <c r="VT150" s="1"/>
      <c r="VU150" s="1"/>
      <c r="VV150" s="1"/>
      <c r="VW150" s="1"/>
      <c r="VX150" s="1"/>
      <c r="VY150" s="1"/>
      <c r="VZ150" s="1"/>
      <c r="WA150" s="1"/>
      <c r="WB150" s="1"/>
      <c r="WC150" s="1"/>
      <c r="WD150" s="1"/>
      <c r="WE150" s="1"/>
      <c r="WF150" s="1"/>
      <c r="WG150" s="1"/>
      <c r="WH150" s="1"/>
      <c r="WI150" s="1"/>
      <c r="WJ150" s="1"/>
      <c r="WK150" s="1"/>
      <c r="WL150" s="1"/>
      <c r="WM150" s="1"/>
      <c r="WN150" s="1"/>
      <c r="WO150" s="1"/>
      <c r="WP150" s="1"/>
      <c r="WQ150" s="1"/>
      <c r="WR150" s="1"/>
      <c r="WS150" s="1"/>
      <c r="WT150" s="1"/>
      <c r="WU150" s="1"/>
      <c r="WV150" s="1"/>
      <c r="WW150" s="1"/>
      <c r="WX150" s="1"/>
      <c r="WY150" s="1"/>
      <c r="WZ150" s="1"/>
      <c r="XA150" s="1"/>
      <c r="XB150" s="1"/>
      <c r="XC150" s="1"/>
      <c r="XD150" s="1"/>
      <c r="XE150" s="1"/>
      <c r="XF150" s="1"/>
      <c r="XG150" s="1"/>
      <c r="XH150" s="1"/>
      <c r="XI150" s="1"/>
      <c r="XJ150" s="1"/>
      <c r="XK150" s="1"/>
      <c r="XL150" s="1"/>
      <c r="XM150" s="1"/>
      <c r="XN150" s="1"/>
      <c r="XO150" s="1"/>
      <c r="XP150" s="1"/>
      <c r="XQ150" s="1"/>
      <c r="XR150" s="1"/>
      <c r="XS150" s="1"/>
      <c r="XT150" s="1"/>
      <c r="XU150" s="1"/>
      <c r="XV150" s="1"/>
      <c r="XW150" s="1"/>
      <c r="XX150" s="1"/>
      <c r="XY150" s="1"/>
      <c r="XZ150" s="1"/>
      <c r="YA150" s="1"/>
      <c r="YB150" s="1"/>
      <c r="YC150" s="1"/>
      <c r="YD150" s="1"/>
      <c r="YE150" s="1"/>
      <c r="YF150" s="1"/>
      <c r="YG150" s="1"/>
      <c r="YH150" s="1"/>
      <c r="YI150" s="1"/>
      <c r="YJ150" s="1"/>
      <c r="YK150" s="1"/>
      <c r="YL150" s="1"/>
      <c r="YM150" s="1"/>
      <c r="YN150" s="1"/>
      <c r="YO150" s="1"/>
      <c r="YP150" s="1"/>
      <c r="YQ150" s="1"/>
      <c r="YR150" s="1"/>
      <c r="YS150" s="1"/>
      <c r="YT150" s="1"/>
      <c r="YU150" s="1"/>
      <c r="YV150" s="1"/>
      <c r="YW150" s="1"/>
      <c r="YX150" s="1"/>
      <c r="YY150" s="1"/>
      <c r="YZ150" s="1"/>
      <c r="ZA150" s="1"/>
      <c r="ZB150" s="1"/>
      <c r="ZC150" s="1"/>
      <c r="ZD150" s="1"/>
      <c r="ZE150" s="1"/>
      <c r="ZF150" s="1"/>
      <c r="ZG150" s="1"/>
      <c r="ZH150" s="1"/>
      <c r="ZI150" s="1"/>
      <c r="ZJ150" s="1"/>
      <c r="ZK150" s="1"/>
      <c r="ZL150" s="1"/>
      <c r="ZM150" s="1"/>
      <c r="ZN150" s="1"/>
      <c r="ZO150" s="1"/>
      <c r="ZP150" s="1"/>
      <c r="ZQ150" s="1"/>
      <c r="ZR150" s="1"/>
      <c r="ZS150" s="1"/>
      <c r="ZT150" s="1"/>
      <c r="ZU150" s="1"/>
      <c r="ZV150" s="1"/>
      <c r="ZW150" s="1"/>
      <c r="ZX150" s="1"/>
      <c r="ZY150" s="1"/>
      <c r="ZZ150" s="1"/>
    </row>
    <row r="151" ht="19.5" customHeight="1">
      <c r="A151" s="10"/>
      <c r="B151" s="10"/>
      <c r="C151" s="10"/>
      <c r="D151" s="10" t="str">
        <f t="shared" si="2"/>
        <v/>
      </c>
      <c r="E151" s="287" t="str">
        <f t="array" ref="E151">IF(B151="","",IF(B151&lt;&gt;B150,SUMPRODUCT(($B$5:B151&lt;&gt;$B$4:B150)*($B$5:B151&lt;&gt;"")),""))</f>
        <v/>
      </c>
      <c r="F151" s="10" t="str">
        <f t="shared" si="3"/>
        <v/>
      </c>
      <c r="G151" s="10" t="str">
        <f t="shared" si="4"/>
        <v/>
      </c>
      <c r="H151" s="288" t="str">
        <f t="shared" si="5"/>
        <v/>
      </c>
      <c r="I151" s="10"/>
      <c r="J151" s="10"/>
      <c r="K151" s="10"/>
      <c r="L151" s="10" t="str">
        <f t="shared" si="6"/>
        <v/>
      </c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L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  <c r="CG151" s="10"/>
      <c r="CH151" s="10"/>
      <c r="CI151" s="10"/>
      <c r="CJ151" s="10"/>
      <c r="CK151" s="10"/>
      <c r="CL151" s="10"/>
      <c r="CM151" s="10"/>
      <c r="CN151" s="10"/>
      <c r="CO151" s="10"/>
      <c r="CP151" s="10"/>
      <c r="CQ151" s="10"/>
      <c r="CR151" s="10"/>
      <c r="CS151" s="10"/>
      <c r="CT151" s="10"/>
      <c r="CU151" s="10"/>
      <c r="CV151" s="10"/>
      <c r="CW151" s="10"/>
      <c r="CX151" s="10"/>
      <c r="CY151" s="10"/>
      <c r="CZ151" s="10"/>
      <c r="DA151" s="10"/>
      <c r="DB151" s="10"/>
      <c r="DC151" s="10"/>
      <c r="DD151" s="10"/>
      <c r="DE151" s="10"/>
      <c r="DF151" s="10"/>
      <c r="DG151" s="10"/>
      <c r="DH151" s="10"/>
      <c r="DI151" s="10"/>
      <c r="DJ151" s="10"/>
      <c r="DK151" s="10"/>
      <c r="DL151" s="10"/>
      <c r="DM151" s="10"/>
      <c r="DN151" s="10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  <c r="VA151" s="1"/>
      <c r="VB151" s="1"/>
      <c r="VC151" s="1"/>
      <c r="VD151" s="1"/>
      <c r="VE151" s="1"/>
      <c r="VF151" s="1"/>
      <c r="VG151" s="1"/>
      <c r="VH151" s="1"/>
      <c r="VI151" s="1"/>
      <c r="VJ151" s="1"/>
      <c r="VK151" s="1"/>
      <c r="VL151" s="1"/>
      <c r="VM151" s="1"/>
      <c r="VN151" s="1"/>
      <c r="VO151" s="1"/>
      <c r="VP151" s="1"/>
      <c r="VQ151" s="1"/>
      <c r="VR151" s="1"/>
      <c r="VS151" s="1"/>
      <c r="VT151" s="1"/>
      <c r="VU151" s="1"/>
      <c r="VV151" s="1"/>
      <c r="VW151" s="1"/>
      <c r="VX151" s="1"/>
      <c r="VY151" s="1"/>
      <c r="VZ151" s="1"/>
      <c r="WA151" s="1"/>
      <c r="WB151" s="1"/>
      <c r="WC151" s="1"/>
      <c r="WD151" s="1"/>
      <c r="WE151" s="1"/>
      <c r="WF151" s="1"/>
      <c r="WG151" s="1"/>
      <c r="WH151" s="1"/>
      <c r="WI151" s="1"/>
      <c r="WJ151" s="1"/>
      <c r="WK151" s="1"/>
      <c r="WL151" s="1"/>
      <c r="WM151" s="1"/>
      <c r="WN151" s="1"/>
      <c r="WO151" s="1"/>
      <c r="WP151" s="1"/>
      <c r="WQ151" s="1"/>
      <c r="WR151" s="1"/>
      <c r="WS151" s="1"/>
      <c r="WT151" s="1"/>
      <c r="WU151" s="1"/>
      <c r="WV151" s="1"/>
      <c r="WW151" s="1"/>
      <c r="WX151" s="1"/>
      <c r="WY151" s="1"/>
      <c r="WZ151" s="1"/>
      <c r="XA151" s="1"/>
      <c r="XB151" s="1"/>
      <c r="XC151" s="1"/>
      <c r="XD151" s="1"/>
      <c r="XE151" s="1"/>
      <c r="XF151" s="1"/>
      <c r="XG151" s="1"/>
      <c r="XH151" s="1"/>
      <c r="XI151" s="1"/>
      <c r="XJ151" s="1"/>
      <c r="XK151" s="1"/>
      <c r="XL151" s="1"/>
      <c r="XM151" s="1"/>
      <c r="XN151" s="1"/>
      <c r="XO151" s="1"/>
      <c r="XP151" s="1"/>
      <c r="XQ151" s="1"/>
      <c r="XR151" s="1"/>
      <c r="XS151" s="1"/>
      <c r="XT151" s="1"/>
      <c r="XU151" s="1"/>
      <c r="XV151" s="1"/>
      <c r="XW151" s="1"/>
      <c r="XX151" s="1"/>
      <c r="XY151" s="1"/>
      <c r="XZ151" s="1"/>
      <c r="YA151" s="1"/>
      <c r="YB151" s="1"/>
      <c r="YC151" s="1"/>
      <c r="YD151" s="1"/>
      <c r="YE151" s="1"/>
      <c r="YF151" s="1"/>
      <c r="YG151" s="1"/>
      <c r="YH151" s="1"/>
      <c r="YI151" s="1"/>
      <c r="YJ151" s="1"/>
      <c r="YK151" s="1"/>
      <c r="YL151" s="1"/>
      <c r="YM151" s="1"/>
      <c r="YN151" s="1"/>
      <c r="YO151" s="1"/>
      <c r="YP151" s="1"/>
      <c r="YQ151" s="1"/>
      <c r="YR151" s="1"/>
      <c r="YS151" s="1"/>
      <c r="YT151" s="1"/>
      <c r="YU151" s="1"/>
      <c r="YV151" s="1"/>
      <c r="YW151" s="1"/>
      <c r="YX151" s="1"/>
      <c r="YY151" s="1"/>
      <c r="YZ151" s="1"/>
      <c r="ZA151" s="1"/>
      <c r="ZB151" s="1"/>
      <c r="ZC151" s="1"/>
      <c r="ZD151" s="1"/>
      <c r="ZE151" s="1"/>
      <c r="ZF151" s="1"/>
      <c r="ZG151" s="1"/>
      <c r="ZH151" s="1"/>
      <c r="ZI151" s="1"/>
      <c r="ZJ151" s="1"/>
      <c r="ZK151" s="1"/>
      <c r="ZL151" s="1"/>
      <c r="ZM151" s="1"/>
      <c r="ZN151" s="1"/>
      <c r="ZO151" s="1"/>
      <c r="ZP151" s="1"/>
      <c r="ZQ151" s="1"/>
      <c r="ZR151" s="1"/>
      <c r="ZS151" s="1"/>
      <c r="ZT151" s="1"/>
      <c r="ZU151" s="1"/>
      <c r="ZV151" s="1"/>
      <c r="ZW151" s="1"/>
      <c r="ZX151" s="1"/>
      <c r="ZY151" s="1"/>
      <c r="ZZ151" s="1"/>
    </row>
    <row r="152" ht="19.5" customHeight="1">
      <c r="A152" s="10"/>
      <c r="B152" s="10"/>
      <c r="C152" s="10"/>
      <c r="D152" s="10" t="str">
        <f t="shared" si="2"/>
        <v/>
      </c>
      <c r="E152" s="287" t="str">
        <f t="array" ref="E152">IF(B152="","",IF(B152&lt;&gt;B151,SUMPRODUCT(($B$5:B152&lt;&gt;$B$4:B151)*($B$5:B152&lt;&gt;"")),""))</f>
        <v/>
      </c>
      <c r="F152" s="10" t="str">
        <f t="shared" si="3"/>
        <v/>
      </c>
      <c r="G152" s="10" t="str">
        <f t="shared" si="4"/>
        <v/>
      </c>
      <c r="H152" s="288" t="str">
        <f t="shared" si="5"/>
        <v/>
      </c>
      <c r="I152" s="10"/>
      <c r="J152" s="10"/>
      <c r="K152" s="10"/>
      <c r="L152" s="10" t="str">
        <f t="shared" si="6"/>
        <v/>
      </c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  <c r="CQ152" s="10"/>
      <c r="CR152" s="10"/>
      <c r="CS152" s="10"/>
      <c r="CT152" s="10"/>
      <c r="CU152" s="10"/>
      <c r="CV152" s="10"/>
      <c r="CW152" s="10"/>
      <c r="CX152" s="10"/>
      <c r="CY152" s="10"/>
      <c r="CZ152" s="10"/>
      <c r="DA152" s="10"/>
      <c r="DB152" s="10"/>
      <c r="DC152" s="10"/>
      <c r="DD152" s="10"/>
      <c r="DE152" s="10"/>
      <c r="DF152" s="10"/>
      <c r="DG152" s="10"/>
      <c r="DH152" s="10"/>
      <c r="DI152" s="10"/>
      <c r="DJ152" s="10"/>
      <c r="DK152" s="10"/>
      <c r="DL152" s="10"/>
      <c r="DM152" s="10"/>
      <c r="DN152" s="10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  <c r="VA152" s="1"/>
      <c r="VB152" s="1"/>
      <c r="VC152" s="1"/>
      <c r="VD152" s="1"/>
      <c r="VE152" s="1"/>
      <c r="VF152" s="1"/>
      <c r="VG152" s="1"/>
      <c r="VH152" s="1"/>
      <c r="VI152" s="1"/>
      <c r="VJ152" s="1"/>
      <c r="VK152" s="1"/>
      <c r="VL152" s="1"/>
      <c r="VM152" s="1"/>
      <c r="VN152" s="1"/>
      <c r="VO152" s="1"/>
      <c r="VP152" s="1"/>
      <c r="VQ152" s="1"/>
      <c r="VR152" s="1"/>
      <c r="VS152" s="1"/>
      <c r="VT152" s="1"/>
      <c r="VU152" s="1"/>
      <c r="VV152" s="1"/>
      <c r="VW152" s="1"/>
      <c r="VX152" s="1"/>
      <c r="VY152" s="1"/>
      <c r="VZ152" s="1"/>
      <c r="WA152" s="1"/>
      <c r="WB152" s="1"/>
      <c r="WC152" s="1"/>
      <c r="WD152" s="1"/>
      <c r="WE152" s="1"/>
      <c r="WF152" s="1"/>
      <c r="WG152" s="1"/>
      <c r="WH152" s="1"/>
      <c r="WI152" s="1"/>
      <c r="WJ152" s="1"/>
      <c r="WK152" s="1"/>
      <c r="WL152" s="1"/>
      <c r="WM152" s="1"/>
      <c r="WN152" s="1"/>
      <c r="WO152" s="1"/>
      <c r="WP152" s="1"/>
      <c r="WQ152" s="1"/>
      <c r="WR152" s="1"/>
      <c r="WS152" s="1"/>
      <c r="WT152" s="1"/>
      <c r="WU152" s="1"/>
      <c r="WV152" s="1"/>
      <c r="WW152" s="1"/>
      <c r="WX152" s="1"/>
      <c r="WY152" s="1"/>
      <c r="WZ152" s="1"/>
      <c r="XA152" s="1"/>
      <c r="XB152" s="1"/>
      <c r="XC152" s="1"/>
      <c r="XD152" s="1"/>
      <c r="XE152" s="1"/>
      <c r="XF152" s="1"/>
      <c r="XG152" s="1"/>
      <c r="XH152" s="1"/>
      <c r="XI152" s="1"/>
      <c r="XJ152" s="1"/>
      <c r="XK152" s="1"/>
      <c r="XL152" s="1"/>
      <c r="XM152" s="1"/>
      <c r="XN152" s="1"/>
      <c r="XO152" s="1"/>
      <c r="XP152" s="1"/>
      <c r="XQ152" s="1"/>
      <c r="XR152" s="1"/>
      <c r="XS152" s="1"/>
      <c r="XT152" s="1"/>
      <c r="XU152" s="1"/>
      <c r="XV152" s="1"/>
      <c r="XW152" s="1"/>
      <c r="XX152" s="1"/>
      <c r="XY152" s="1"/>
      <c r="XZ152" s="1"/>
      <c r="YA152" s="1"/>
      <c r="YB152" s="1"/>
      <c r="YC152" s="1"/>
      <c r="YD152" s="1"/>
      <c r="YE152" s="1"/>
      <c r="YF152" s="1"/>
      <c r="YG152" s="1"/>
      <c r="YH152" s="1"/>
      <c r="YI152" s="1"/>
      <c r="YJ152" s="1"/>
      <c r="YK152" s="1"/>
      <c r="YL152" s="1"/>
      <c r="YM152" s="1"/>
      <c r="YN152" s="1"/>
      <c r="YO152" s="1"/>
      <c r="YP152" s="1"/>
      <c r="YQ152" s="1"/>
      <c r="YR152" s="1"/>
      <c r="YS152" s="1"/>
      <c r="YT152" s="1"/>
      <c r="YU152" s="1"/>
      <c r="YV152" s="1"/>
      <c r="YW152" s="1"/>
      <c r="YX152" s="1"/>
      <c r="YY152" s="1"/>
      <c r="YZ152" s="1"/>
      <c r="ZA152" s="1"/>
      <c r="ZB152" s="1"/>
      <c r="ZC152" s="1"/>
      <c r="ZD152" s="1"/>
      <c r="ZE152" s="1"/>
      <c r="ZF152" s="1"/>
      <c r="ZG152" s="1"/>
      <c r="ZH152" s="1"/>
      <c r="ZI152" s="1"/>
      <c r="ZJ152" s="1"/>
      <c r="ZK152" s="1"/>
      <c r="ZL152" s="1"/>
      <c r="ZM152" s="1"/>
      <c r="ZN152" s="1"/>
      <c r="ZO152" s="1"/>
      <c r="ZP152" s="1"/>
      <c r="ZQ152" s="1"/>
      <c r="ZR152" s="1"/>
      <c r="ZS152" s="1"/>
      <c r="ZT152" s="1"/>
      <c r="ZU152" s="1"/>
      <c r="ZV152" s="1"/>
      <c r="ZW152" s="1"/>
      <c r="ZX152" s="1"/>
      <c r="ZY152" s="1"/>
      <c r="ZZ152" s="1"/>
    </row>
    <row r="153" ht="19.5" customHeight="1">
      <c r="A153" s="10"/>
      <c r="B153" s="10"/>
      <c r="C153" s="10"/>
      <c r="D153" s="10" t="str">
        <f t="shared" si="2"/>
        <v/>
      </c>
      <c r="E153" s="287" t="str">
        <f t="array" ref="E153">IF(B153="","",IF(B153&lt;&gt;B152,SUMPRODUCT(($B$5:B153&lt;&gt;$B$4:B152)*($B$5:B153&lt;&gt;"")),""))</f>
        <v/>
      </c>
      <c r="F153" s="10" t="str">
        <f t="shared" si="3"/>
        <v/>
      </c>
      <c r="G153" s="10" t="str">
        <f t="shared" si="4"/>
        <v/>
      </c>
      <c r="H153" s="288" t="str">
        <f t="shared" si="5"/>
        <v/>
      </c>
      <c r="I153" s="10"/>
      <c r="J153" s="10"/>
      <c r="K153" s="10"/>
      <c r="L153" s="10" t="str">
        <f t="shared" si="6"/>
        <v/>
      </c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L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  <c r="CG153" s="10"/>
      <c r="CH153" s="10"/>
      <c r="CI153" s="10"/>
      <c r="CJ153" s="10"/>
      <c r="CK153" s="10"/>
      <c r="CL153" s="10"/>
      <c r="CM153" s="10"/>
      <c r="CN153" s="10"/>
      <c r="CO153" s="10"/>
      <c r="CP153" s="10"/>
      <c r="CQ153" s="10"/>
      <c r="CR153" s="10"/>
      <c r="CS153" s="10"/>
      <c r="CT153" s="10"/>
      <c r="CU153" s="10"/>
      <c r="CV153" s="10"/>
      <c r="CW153" s="10"/>
      <c r="CX153" s="10"/>
      <c r="CY153" s="10"/>
      <c r="CZ153" s="10"/>
      <c r="DA153" s="10"/>
      <c r="DB153" s="10"/>
      <c r="DC153" s="10"/>
      <c r="DD153" s="10"/>
      <c r="DE153" s="10"/>
      <c r="DF153" s="10"/>
      <c r="DG153" s="10"/>
      <c r="DH153" s="10"/>
      <c r="DI153" s="10"/>
      <c r="DJ153" s="10"/>
      <c r="DK153" s="10"/>
      <c r="DL153" s="10"/>
      <c r="DM153" s="10"/>
      <c r="DN153" s="10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  <c r="VA153" s="1"/>
      <c r="VB153" s="1"/>
      <c r="VC153" s="1"/>
      <c r="VD153" s="1"/>
      <c r="VE153" s="1"/>
      <c r="VF153" s="1"/>
      <c r="VG153" s="1"/>
      <c r="VH153" s="1"/>
      <c r="VI153" s="1"/>
      <c r="VJ153" s="1"/>
      <c r="VK153" s="1"/>
      <c r="VL153" s="1"/>
      <c r="VM153" s="1"/>
      <c r="VN153" s="1"/>
      <c r="VO153" s="1"/>
      <c r="VP153" s="1"/>
      <c r="VQ153" s="1"/>
      <c r="VR153" s="1"/>
      <c r="VS153" s="1"/>
      <c r="VT153" s="1"/>
      <c r="VU153" s="1"/>
      <c r="VV153" s="1"/>
      <c r="VW153" s="1"/>
      <c r="VX153" s="1"/>
      <c r="VY153" s="1"/>
      <c r="VZ153" s="1"/>
      <c r="WA153" s="1"/>
      <c r="WB153" s="1"/>
      <c r="WC153" s="1"/>
      <c r="WD153" s="1"/>
      <c r="WE153" s="1"/>
      <c r="WF153" s="1"/>
      <c r="WG153" s="1"/>
      <c r="WH153" s="1"/>
      <c r="WI153" s="1"/>
      <c r="WJ153" s="1"/>
      <c r="WK153" s="1"/>
      <c r="WL153" s="1"/>
      <c r="WM153" s="1"/>
      <c r="WN153" s="1"/>
      <c r="WO153" s="1"/>
      <c r="WP153" s="1"/>
      <c r="WQ153" s="1"/>
      <c r="WR153" s="1"/>
      <c r="WS153" s="1"/>
      <c r="WT153" s="1"/>
      <c r="WU153" s="1"/>
      <c r="WV153" s="1"/>
      <c r="WW153" s="1"/>
      <c r="WX153" s="1"/>
      <c r="WY153" s="1"/>
      <c r="WZ153" s="1"/>
      <c r="XA153" s="1"/>
      <c r="XB153" s="1"/>
      <c r="XC153" s="1"/>
      <c r="XD153" s="1"/>
      <c r="XE153" s="1"/>
      <c r="XF153" s="1"/>
      <c r="XG153" s="1"/>
      <c r="XH153" s="1"/>
      <c r="XI153" s="1"/>
      <c r="XJ153" s="1"/>
      <c r="XK153" s="1"/>
      <c r="XL153" s="1"/>
      <c r="XM153" s="1"/>
      <c r="XN153" s="1"/>
      <c r="XO153" s="1"/>
      <c r="XP153" s="1"/>
      <c r="XQ153" s="1"/>
      <c r="XR153" s="1"/>
      <c r="XS153" s="1"/>
      <c r="XT153" s="1"/>
      <c r="XU153" s="1"/>
      <c r="XV153" s="1"/>
      <c r="XW153" s="1"/>
      <c r="XX153" s="1"/>
      <c r="XY153" s="1"/>
      <c r="XZ153" s="1"/>
      <c r="YA153" s="1"/>
      <c r="YB153" s="1"/>
      <c r="YC153" s="1"/>
      <c r="YD153" s="1"/>
      <c r="YE153" s="1"/>
      <c r="YF153" s="1"/>
      <c r="YG153" s="1"/>
      <c r="YH153" s="1"/>
      <c r="YI153" s="1"/>
      <c r="YJ153" s="1"/>
      <c r="YK153" s="1"/>
      <c r="YL153" s="1"/>
      <c r="YM153" s="1"/>
      <c r="YN153" s="1"/>
      <c r="YO153" s="1"/>
      <c r="YP153" s="1"/>
      <c r="YQ153" s="1"/>
      <c r="YR153" s="1"/>
      <c r="YS153" s="1"/>
      <c r="YT153" s="1"/>
      <c r="YU153" s="1"/>
      <c r="YV153" s="1"/>
      <c r="YW153" s="1"/>
      <c r="YX153" s="1"/>
      <c r="YY153" s="1"/>
      <c r="YZ153" s="1"/>
      <c r="ZA153" s="1"/>
      <c r="ZB153" s="1"/>
      <c r="ZC153" s="1"/>
      <c r="ZD153" s="1"/>
      <c r="ZE153" s="1"/>
      <c r="ZF153" s="1"/>
      <c r="ZG153" s="1"/>
      <c r="ZH153" s="1"/>
      <c r="ZI153" s="1"/>
      <c r="ZJ153" s="1"/>
      <c r="ZK153" s="1"/>
      <c r="ZL153" s="1"/>
      <c r="ZM153" s="1"/>
      <c r="ZN153" s="1"/>
      <c r="ZO153" s="1"/>
      <c r="ZP153" s="1"/>
      <c r="ZQ153" s="1"/>
      <c r="ZR153" s="1"/>
      <c r="ZS153" s="1"/>
      <c r="ZT153" s="1"/>
      <c r="ZU153" s="1"/>
      <c r="ZV153" s="1"/>
      <c r="ZW153" s="1"/>
      <c r="ZX153" s="1"/>
      <c r="ZY153" s="1"/>
      <c r="ZZ153" s="1"/>
    </row>
    <row r="154" ht="19.5" customHeight="1">
      <c r="A154" s="10"/>
      <c r="B154" s="10"/>
      <c r="C154" s="10"/>
      <c r="D154" s="10" t="str">
        <f t="shared" si="2"/>
        <v/>
      </c>
      <c r="E154" s="287" t="str">
        <f t="array" ref="E154">IF(B154="","",IF(B154&lt;&gt;B153,SUMPRODUCT(($B$5:B154&lt;&gt;$B$4:B153)*($B$5:B154&lt;&gt;"")),""))</f>
        <v/>
      </c>
      <c r="F154" s="10" t="str">
        <f t="shared" si="3"/>
        <v/>
      </c>
      <c r="G154" s="10" t="str">
        <f t="shared" si="4"/>
        <v/>
      </c>
      <c r="H154" s="288" t="str">
        <f t="shared" si="5"/>
        <v/>
      </c>
      <c r="I154" s="10"/>
      <c r="J154" s="10"/>
      <c r="K154" s="10"/>
      <c r="L154" s="10" t="str">
        <f t="shared" si="6"/>
        <v/>
      </c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L154" s="10"/>
      <c r="CM154" s="10"/>
      <c r="CN154" s="10"/>
      <c r="CO154" s="10"/>
      <c r="CP154" s="10"/>
      <c r="CQ154" s="10"/>
      <c r="CR154" s="10"/>
      <c r="CS154" s="10"/>
      <c r="CT154" s="10"/>
      <c r="CU154" s="10"/>
      <c r="CV154" s="10"/>
      <c r="CW154" s="10"/>
      <c r="CX154" s="10"/>
      <c r="CY154" s="10"/>
      <c r="CZ154" s="10"/>
      <c r="DA154" s="10"/>
      <c r="DB154" s="10"/>
      <c r="DC154" s="10"/>
      <c r="DD154" s="10"/>
      <c r="DE154" s="10"/>
      <c r="DF154" s="10"/>
      <c r="DG154" s="10"/>
      <c r="DH154" s="10"/>
      <c r="DI154" s="10"/>
      <c r="DJ154" s="10"/>
      <c r="DK154" s="10"/>
      <c r="DL154" s="10"/>
      <c r="DM154" s="10"/>
      <c r="DN154" s="10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  <c r="VA154" s="1"/>
      <c r="VB154" s="1"/>
      <c r="VC154" s="1"/>
      <c r="VD154" s="1"/>
      <c r="VE154" s="1"/>
      <c r="VF154" s="1"/>
      <c r="VG154" s="1"/>
      <c r="VH154" s="1"/>
      <c r="VI154" s="1"/>
      <c r="VJ154" s="1"/>
      <c r="VK154" s="1"/>
      <c r="VL154" s="1"/>
      <c r="VM154" s="1"/>
      <c r="VN154" s="1"/>
      <c r="VO154" s="1"/>
      <c r="VP154" s="1"/>
      <c r="VQ154" s="1"/>
      <c r="VR154" s="1"/>
      <c r="VS154" s="1"/>
      <c r="VT154" s="1"/>
      <c r="VU154" s="1"/>
      <c r="VV154" s="1"/>
      <c r="VW154" s="1"/>
      <c r="VX154" s="1"/>
      <c r="VY154" s="1"/>
      <c r="VZ154" s="1"/>
      <c r="WA154" s="1"/>
      <c r="WB154" s="1"/>
      <c r="WC154" s="1"/>
      <c r="WD154" s="1"/>
      <c r="WE154" s="1"/>
      <c r="WF154" s="1"/>
      <c r="WG154" s="1"/>
      <c r="WH154" s="1"/>
      <c r="WI154" s="1"/>
      <c r="WJ154" s="1"/>
      <c r="WK154" s="1"/>
      <c r="WL154" s="1"/>
      <c r="WM154" s="1"/>
      <c r="WN154" s="1"/>
      <c r="WO154" s="1"/>
      <c r="WP154" s="1"/>
      <c r="WQ154" s="1"/>
      <c r="WR154" s="1"/>
      <c r="WS154" s="1"/>
      <c r="WT154" s="1"/>
      <c r="WU154" s="1"/>
      <c r="WV154" s="1"/>
      <c r="WW154" s="1"/>
      <c r="WX154" s="1"/>
      <c r="WY154" s="1"/>
      <c r="WZ154" s="1"/>
      <c r="XA154" s="1"/>
      <c r="XB154" s="1"/>
      <c r="XC154" s="1"/>
      <c r="XD154" s="1"/>
      <c r="XE154" s="1"/>
      <c r="XF154" s="1"/>
      <c r="XG154" s="1"/>
      <c r="XH154" s="1"/>
      <c r="XI154" s="1"/>
      <c r="XJ154" s="1"/>
      <c r="XK154" s="1"/>
      <c r="XL154" s="1"/>
      <c r="XM154" s="1"/>
      <c r="XN154" s="1"/>
      <c r="XO154" s="1"/>
      <c r="XP154" s="1"/>
      <c r="XQ154" s="1"/>
      <c r="XR154" s="1"/>
      <c r="XS154" s="1"/>
      <c r="XT154" s="1"/>
      <c r="XU154" s="1"/>
      <c r="XV154" s="1"/>
      <c r="XW154" s="1"/>
      <c r="XX154" s="1"/>
      <c r="XY154" s="1"/>
      <c r="XZ154" s="1"/>
      <c r="YA154" s="1"/>
      <c r="YB154" s="1"/>
      <c r="YC154" s="1"/>
      <c r="YD154" s="1"/>
      <c r="YE154" s="1"/>
      <c r="YF154" s="1"/>
      <c r="YG154" s="1"/>
      <c r="YH154" s="1"/>
      <c r="YI154" s="1"/>
      <c r="YJ154" s="1"/>
      <c r="YK154" s="1"/>
      <c r="YL154" s="1"/>
      <c r="YM154" s="1"/>
      <c r="YN154" s="1"/>
      <c r="YO154" s="1"/>
      <c r="YP154" s="1"/>
      <c r="YQ154" s="1"/>
      <c r="YR154" s="1"/>
      <c r="YS154" s="1"/>
      <c r="YT154" s="1"/>
      <c r="YU154" s="1"/>
      <c r="YV154" s="1"/>
      <c r="YW154" s="1"/>
      <c r="YX154" s="1"/>
      <c r="YY154" s="1"/>
      <c r="YZ154" s="1"/>
      <c r="ZA154" s="1"/>
      <c r="ZB154" s="1"/>
      <c r="ZC154" s="1"/>
      <c r="ZD154" s="1"/>
      <c r="ZE154" s="1"/>
      <c r="ZF154" s="1"/>
      <c r="ZG154" s="1"/>
      <c r="ZH154" s="1"/>
      <c r="ZI154" s="1"/>
      <c r="ZJ154" s="1"/>
      <c r="ZK154" s="1"/>
      <c r="ZL154" s="1"/>
      <c r="ZM154" s="1"/>
      <c r="ZN154" s="1"/>
      <c r="ZO154" s="1"/>
      <c r="ZP154" s="1"/>
      <c r="ZQ154" s="1"/>
      <c r="ZR154" s="1"/>
      <c r="ZS154" s="1"/>
      <c r="ZT154" s="1"/>
      <c r="ZU154" s="1"/>
      <c r="ZV154" s="1"/>
      <c r="ZW154" s="1"/>
      <c r="ZX154" s="1"/>
      <c r="ZY154" s="1"/>
      <c r="ZZ154" s="1"/>
    </row>
    <row r="155" ht="19.5" customHeight="1">
      <c r="A155" s="10"/>
      <c r="B155" s="10"/>
      <c r="C155" s="10"/>
      <c r="D155" s="10" t="str">
        <f t="shared" si="2"/>
        <v/>
      </c>
      <c r="E155" s="287" t="str">
        <f t="array" ref="E155">IF(B155="","",IF(B155&lt;&gt;B154,SUMPRODUCT(($B$5:B155&lt;&gt;$B$4:B154)*($B$5:B155&lt;&gt;"")),""))</f>
        <v/>
      </c>
      <c r="F155" s="10" t="str">
        <f t="shared" si="3"/>
        <v/>
      </c>
      <c r="G155" s="10" t="str">
        <f t="shared" si="4"/>
        <v/>
      </c>
      <c r="H155" s="288" t="str">
        <f t="shared" si="5"/>
        <v/>
      </c>
      <c r="I155" s="10"/>
      <c r="J155" s="10"/>
      <c r="K155" s="10"/>
      <c r="L155" s="10" t="str">
        <f t="shared" si="6"/>
        <v/>
      </c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L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  <c r="CD155" s="10"/>
      <c r="CE155" s="10"/>
      <c r="CF155" s="10"/>
      <c r="CG155" s="10"/>
      <c r="CH155" s="10"/>
      <c r="CI155" s="10"/>
      <c r="CJ155" s="10"/>
      <c r="CK155" s="10"/>
      <c r="CL155" s="10"/>
      <c r="CM155" s="10"/>
      <c r="CN155" s="10"/>
      <c r="CO155" s="10"/>
      <c r="CP155" s="10"/>
      <c r="CQ155" s="10"/>
      <c r="CR155" s="10"/>
      <c r="CS155" s="10"/>
      <c r="CT155" s="10"/>
      <c r="CU155" s="10"/>
      <c r="CV155" s="10"/>
      <c r="CW155" s="10"/>
      <c r="CX155" s="10"/>
      <c r="CY155" s="10"/>
      <c r="CZ155" s="10"/>
      <c r="DA155" s="10"/>
      <c r="DB155" s="10"/>
      <c r="DC155" s="10"/>
      <c r="DD155" s="10"/>
      <c r="DE155" s="10"/>
      <c r="DF155" s="10"/>
      <c r="DG155" s="10"/>
      <c r="DH155" s="10"/>
      <c r="DI155" s="10"/>
      <c r="DJ155" s="10"/>
      <c r="DK155" s="10"/>
      <c r="DL155" s="10"/>
      <c r="DM155" s="10"/>
      <c r="DN155" s="10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  <c r="VA155" s="1"/>
      <c r="VB155" s="1"/>
      <c r="VC155" s="1"/>
      <c r="VD155" s="1"/>
      <c r="VE155" s="1"/>
      <c r="VF155" s="1"/>
      <c r="VG155" s="1"/>
      <c r="VH155" s="1"/>
      <c r="VI155" s="1"/>
      <c r="VJ155" s="1"/>
      <c r="VK155" s="1"/>
      <c r="VL155" s="1"/>
      <c r="VM155" s="1"/>
      <c r="VN155" s="1"/>
      <c r="VO155" s="1"/>
      <c r="VP155" s="1"/>
      <c r="VQ155" s="1"/>
      <c r="VR155" s="1"/>
      <c r="VS155" s="1"/>
      <c r="VT155" s="1"/>
      <c r="VU155" s="1"/>
      <c r="VV155" s="1"/>
      <c r="VW155" s="1"/>
      <c r="VX155" s="1"/>
      <c r="VY155" s="1"/>
      <c r="VZ155" s="1"/>
      <c r="WA155" s="1"/>
      <c r="WB155" s="1"/>
      <c r="WC155" s="1"/>
      <c r="WD155" s="1"/>
      <c r="WE155" s="1"/>
      <c r="WF155" s="1"/>
      <c r="WG155" s="1"/>
      <c r="WH155" s="1"/>
      <c r="WI155" s="1"/>
      <c r="WJ155" s="1"/>
      <c r="WK155" s="1"/>
      <c r="WL155" s="1"/>
      <c r="WM155" s="1"/>
      <c r="WN155" s="1"/>
      <c r="WO155" s="1"/>
      <c r="WP155" s="1"/>
      <c r="WQ155" s="1"/>
      <c r="WR155" s="1"/>
      <c r="WS155" s="1"/>
      <c r="WT155" s="1"/>
      <c r="WU155" s="1"/>
      <c r="WV155" s="1"/>
      <c r="WW155" s="1"/>
      <c r="WX155" s="1"/>
      <c r="WY155" s="1"/>
      <c r="WZ155" s="1"/>
      <c r="XA155" s="1"/>
      <c r="XB155" s="1"/>
      <c r="XC155" s="1"/>
      <c r="XD155" s="1"/>
      <c r="XE155" s="1"/>
      <c r="XF155" s="1"/>
      <c r="XG155" s="1"/>
      <c r="XH155" s="1"/>
      <c r="XI155" s="1"/>
      <c r="XJ155" s="1"/>
      <c r="XK155" s="1"/>
      <c r="XL155" s="1"/>
      <c r="XM155" s="1"/>
      <c r="XN155" s="1"/>
      <c r="XO155" s="1"/>
      <c r="XP155" s="1"/>
      <c r="XQ155" s="1"/>
      <c r="XR155" s="1"/>
      <c r="XS155" s="1"/>
      <c r="XT155" s="1"/>
      <c r="XU155" s="1"/>
      <c r="XV155" s="1"/>
      <c r="XW155" s="1"/>
      <c r="XX155" s="1"/>
      <c r="XY155" s="1"/>
      <c r="XZ155" s="1"/>
      <c r="YA155" s="1"/>
      <c r="YB155" s="1"/>
      <c r="YC155" s="1"/>
      <c r="YD155" s="1"/>
      <c r="YE155" s="1"/>
      <c r="YF155" s="1"/>
      <c r="YG155" s="1"/>
      <c r="YH155" s="1"/>
      <c r="YI155" s="1"/>
      <c r="YJ155" s="1"/>
      <c r="YK155" s="1"/>
      <c r="YL155" s="1"/>
      <c r="YM155" s="1"/>
      <c r="YN155" s="1"/>
      <c r="YO155" s="1"/>
      <c r="YP155" s="1"/>
      <c r="YQ155" s="1"/>
      <c r="YR155" s="1"/>
      <c r="YS155" s="1"/>
      <c r="YT155" s="1"/>
      <c r="YU155" s="1"/>
      <c r="YV155" s="1"/>
      <c r="YW155" s="1"/>
      <c r="YX155" s="1"/>
      <c r="YY155" s="1"/>
      <c r="YZ155" s="1"/>
      <c r="ZA155" s="1"/>
      <c r="ZB155" s="1"/>
      <c r="ZC155" s="1"/>
      <c r="ZD155" s="1"/>
      <c r="ZE155" s="1"/>
      <c r="ZF155" s="1"/>
      <c r="ZG155" s="1"/>
      <c r="ZH155" s="1"/>
      <c r="ZI155" s="1"/>
      <c r="ZJ155" s="1"/>
      <c r="ZK155" s="1"/>
      <c r="ZL155" s="1"/>
      <c r="ZM155" s="1"/>
      <c r="ZN155" s="1"/>
      <c r="ZO155" s="1"/>
      <c r="ZP155" s="1"/>
      <c r="ZQ155" s="1"/>
      <c r="ZR155" s="1"/>
      <c r="ZS155" s="1"/>
      <c r="ZT155" s="1"/>
      <c r="ZU155" s="1"/>
      <c r="ZV155" s="1"/>
      <c r="ZW155" s="1"/>
      <c r="ZX155" s="1"/>
      <c r="ZY155" s="1"/>
      <c r="ZZ155" s="1"/>
    </row>
    <row r="156" ht="19.5" customHeight="1">
      <c r="A156" s="10"/>
      <c r="B156" s="10"/>
      <c r="C156" s="10"/>
      <c r="D156" s="10" t="str">
        <f t="shared" si="2"/>
        <v/>
      </c>
      <c r="E156" s="287" t="str">
        <f t="array" ref="E156">IF(B156="","",IF(B156&lt;&gt;B155,SUMPRODUCT(($B$5:B156&lt;&gt;$B$4:B155)*($B$5:B156&lt;&gt;"")),""))</f>
        <v/>
      </c>
      <c r="F156" s="10" t="str">
        <f t="shared" si="3"/>
        <v/>
      </c>
      <c r="G156" s="10" t="str">
        <f t="shared" si="4"/>
        <v/>
      </c>
      <c r="H156" s="288" t="str">
        <f t="shared" si="5"/>
        <v/>
      </c>
      <c r="I156" s="10"/>
      <c r="J156" s="10"/>
      <c r="K156" s="10"/>
      <c r="L156" s="10" t="str">
        <f t="shared" si="6"/>
        <v/>
      </c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0"/>
      <c r="CM156" s="10"/>
      <c r="CN156" s="10"/>
      <c r="CO156" s="10"/>
      <c r="CP156" s="10"/>
      <c r="CQ156" s="10"/>
      <c r="CR156" s="10"/>
      <c r="CS156" s="10"/>
      <c r="CT156" s="10"/>
      <c r="CU156" s="10"/>
      <c r="CV156" s="10"/>
      <c r="CW156" s="10"/>
      <c r="CX156" s="10"/>
      <c r="CY156" s="10"/>
      <c r="CZ156" s="10"/>
      <c r="DA156" s="10"/>
      <c r="DB156" s="10"/>
      <c r="DC156" s="10"/>
      <c r="DD156" s="10"/>
      <c r="DE156" s="10"/>
      <c r="DF156" s="10"/>
      <c r="DG156" s="10"/>
      <c r="DH156" s="10"/>
      <c r="DI156" s="10"/>
      <c r="DJ156" s="10"/>
      <c r="DK156" s="10"/>
      <c r="DL156" s="10"/>
      <c r="DM156" s="10"/>
      <c r="DN156" s="10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  <c r="VA156" s="1"/>
      <c r="VB156" s="1"/>
      <c r="VC156" s="1"/>
      <c r="VD156" s="1"/>
      <c r="VE156" s="1"/>
      <c r="VF156" s="1"/>
      <c r="VG156" s="1"/>
      <c r="VH156" s="1"/>
      <c r="VI156" s="1"/>
      <c r="VJ156" s="1"/>
      <c r="VK156" s="1"/>
      <c r="VL156" s="1"/>
      <c r="VM156" s="1"/>
      <c r="VN156" s="1"/>
      <c r="VO156" s="1"/>
      <c r="VP156" s="1"/>
      <c r="VQ156" s="1"/>
      <c r="VR156" s="1"/>
      <c r="VS156" s="1"/>
      <c r="VT156" s="1"/>
      <c r="VU156" s="1"/>
      <c r="VV156" s="1"/>
      <c r="VW156" s="1"/>
      <c r="VX156" s="1"/>
      <c r="VY156" s="1"/>
      <c r="VZ156" s="1"/>
      <c r="WA156" s="1"/>
      <c r="WB156" s="1"/>
      <c r="WC156" s="1"/>
      <c r="WD156" s="1"/>
      <c r="WE156" s="1"/>
      <c r="WF156" s="1"/>
      <c r="WG156" s="1"/>
      <c r="WH156" s="1"/>
      <c r="WI156" s="1"/>
      <c r="WJ156" s="1"/>
      <c r="WK156" s="1"/>
      <c r="WL156" s="1"/>
      <c r="WM156" s="1"/>
      <c r="WN156" s="1"/>
      <c r="WO156" s="1"/>
      <c r="WP156" s="1"/>
      <c r="WQ156" s="1"/>
      <c r="WR156" s="1"/>
      <c r="WS156" s="1"/>
      <c r="WT156" s="1"/>
      <c r="WU156" s="1"/>
      <c r="WV156" s="1"/>
      <c r="WW156" s="1"/>
      <c r="WX156" s="1"/>
      <c r="WY156" s="1"/>
      <c r="WZ156" s="1"/>
      <c r="XA156" s="1"/>
      <c r="XB156" s="1"/>
      <c r="XC156" s="1"/>
      <c r="XD156" s="1"/>
      <c r="XE156" s="1"/>
      <c r="XF156" s="1"/>
      <c r="XG156" s="1"/>
      <c r="XH156" s="1"/>
      <c r="XI156" s="1"/>
      <c r="XJ156" s="1"/>
      <c r="XK156" s="1"/>
      <c r="XL156" s="1"/>
      <c r="XM156" s="1"/>
      <c r="XN156" s="1"/>
      <c r="XO156" s="1"/>
      <c r="XP156" s="1"/>
      <c r="XQ156" s="1"/>
      <c r="XR156" s="1"/>
      <c r="XS156" s="1"/>
      <c r="XT156" s="1"/>
      <c r="XU156" s="1"/>
      <c r="XV156" s="1"/>
      <c r="XW156" s="1"/>
      <c r="XX156" s="1"/>
      <c r="XY156" s="1"/>
      <c r="XZ156" s="1"/>
      <c r="YA156" s="1"/>
      <c r="YB156" s="1"/>
      <c r="YC156" s="1"/>
      <c r="YD156" s="1"/>
      <c r="YE156" s="1"/>
      <c r="YF156" s="1"/>
      <c r="YG156" s="1"/>
      <c r="YH156" s="1"/>
      <c r="YI156" s="1"/>
      <c r="YJ156" s="1"/>
      <c r="YK156" s="1"/>
      <c r="YL156" s="1"/>
      <c r="YM156" s="1"/>
      <c r="YN156" s="1"/>
      <c r="YO156" s="1"/>
      <c r="YP156" s="1"/>
      <c r="YQ156" s="1"/>
      <c r="YR156" s="1"/>
      <c r="YS156" s="1"/>
      <c r="YT156" s="1"/>
      <c r="YU156" s="1"/>
      <c r="YV156" s="1"/>
      <c r="YW156" s="1"/>
      <c r="YX156" s="1"/>
      <c r="YY156" s="1"/>
      <c r="YZ156" s="1"/>
      <c r="ZA156" s="1"/>
      <c r="ZB156" s="1"/>
      <c r="ZC156" s="1"/>
      <c r="ZD156" s="1"/>
      <c r="ZE156" s="1"/>
      <c r="ZF156" s="1"/>
      <c r="ZG156" s="1"/>
      <c r="ZH156" s="1"/>
      <c r="ZI156" s="1"/>
      <c r="ZJ156" s="1"/>
      <c r="ZK156" s="1"/>
      <c r="ZL156" s="1"/>
      <c r="ZM156" s="1"/>
      <c r="ZN156" s="1"/>
      <c r="ZO156" s="1"/>
      <c r="ZP156" s="1"/>
      <c r="ZQ156" s="1"/>
      <c r="ZR156" s="1"/>
      <c r="ZS156" s="1"/>
      <c r="ZT156" s="1"/>
      <c r="ZU156" s="1"/>
      <c r="ZV156" s="1"/>
      <c r="ZW156" s="1"/>
      <c r="ZX156" s="1"/>
      <c r="ZY156" s="1"/>
      <c r="ZZ156" s="1"/>
    </row>
    <row r="157" ht="19.5" customHeight="1">
      <c r="A157" s="10"/>
      <c r="B157" s="10"/>
      <c r="C157" s="10"/>
      <c r="D157" s="10" t="str">
        <f t="shared" si="2"/>
        <v/>
      </c>
      <c r="E157" s="287" t="str">
        <f t="array" ref="E157">IF(B157="","",IF(B157&lt;&gt;B156,SUMPRODUCT(($B$5:B157&lt;&gt;$B$4:B156)*($B$5:B157&lt;&gt;"")),""))</f>
        <v/>
      </c>
      <c r="F157" s="10" t="str">
        <f t="shared" si="3"/>
        <v/>
      </c>
      <c r="G157" s="10" t="str">
        <f t="shared" si="4"/>
        <v/>
      </c>
      <c r="H157" s="288" t="str">
        <f t="shared" si="5"/>
        <v/>
      </c>
      <c r="I157" s="10"/>
      <c r="J157" s="10"/>
      <c r="K157" s="10"/>
      <c r="L157" s="10" t="str">
        <f t="shared" si="6"/>
        <v/>
      </c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L157" s="10"/>
      <c r="BM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0"/>
      <c r="CG157" s="10"/>
      <c r="CH157" s="10"/>
      <c r="CI157" s="10"/>
      <c r="CJ157" s="10"/>
      <c r="CK157" s="10"/>
      <c r="CL157" s="10"/>
      <c r="CM157" s="10"/>
      <c r="CN157" s="10"/>
      <c r="CO157" s="10"/>
      <c r="CP157" s="10"/>
      <c r="CQ157" s="10"/>
      <c r="CR157" s="10"/>
      <c r="CS157" s="10"/>
      <c r="CT157" s="10"/>
      <c r="CU157" s="10"/>
      <c r="CV157" s="10"/>
      <c r="CW157" s="10"/>
      <c r="CX157" s="10"/>
      <c r="CY157" s="10"/>
      <c r="CZ157" s="10"/>
      <c r="DA157" s="10"/>
      <c r="DB157" s="10"/>
      <c r="DC157" s="10"/>
      <c r="DD157" s="10"/>
      <c r="DE157" s="10"/>
      <c r="DF157" s="10"/>
      <c r="DG157" s="10"/>
      <c r="DH157" s="10"/>
      <c r="DI157" s="10"/>
      <c r="DJ157" s="10"/>
      <c r="DK157" s="10"/>
      <c r="DL157" s="10"/>
      <c r="DM157" s="10"/>
      <c r="DN157" s="10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  <c r="VA157" s="1"/>
      <c r="VB157" s="1"/>
      <c r="VC157" s="1"/>
      <c r="VD157" s="1"/>
      <c r="VE157" s="1"/>
      <c r="VF157" s="1"/>
      <c r="VG157" s="1"/>
      <c r="VH157" s="1"/>
      <c r="VI157" s="1"/>
      <c r="VJ157" s="1"/>
      <c r="VK157" s="1"/>
      <c r="VL157" s="1"/>
      <c r="VM157" s="1"/>
      <c r="VN157" s="1"/>
      <c r="VO157" s="1"/>
      <c r="VP157" s="1"/>
      <c r="VQ157" s="1"/>
      <c r="VR157" s="1"/>
      <c r="VS157" s="1"/>
      <c r="VT157" s="1"/>
      <c r="VU157" s="1"/>
      <c r="VV157" s="1"/>
      <c r="VW157" s="1"/>
      <c r="VX157" s="1"/>
      <c r="VY157" s="1"/>
      <c r="VZ157" s="1"/>
      <c r="WA157" s="1"/>
      <c r="WB157" s="1"/>
      <c r="WC157" s="1"/>
      <c r="WD157" s="1"/>
      <c r="WE157" s="1"/>
      <c r="WF157" s="1"/>
      <c r="WG157" s="1"/>
      <c r="WH157" s="1"/>
      <c r="WI157" s="1"/>
      <c r="WJ157" s="1"/>
      <c r="WK157" s="1"/>
      <c r="WL157" s="1"/>
      <c r="WM157" s="1"/>
      <c r="WN157" s="1"/>
      <c r="WO157" s="1"/>
      <c r="WP157" s="1"/>
      <c r="WQ157" s="1"/>
      <c r="WR157" s="1"/>
      <c r="WS157" s="1"/>
      <c r="WT157" s="1"/>
      <c r="WU157" s="1"/>
      <c r="WV157" s="1"/>
      <c r="WW157" s="1"/>
      <c r="WX157" s="1"/>
      <c r="WY157" s="1"/>
      <c r="WZ157" s="1"/>
      <c r="XA157" s="1"/>
      <c r="XB157" s="1"/>
      <c r="XC157" s="1"/>
      <c r="XD157" s="1"/>
      <c r="XE157" s="1"/>
      <c r="XF157" s="1"/>
      <c r="XG157" s="1"/>
      <c r="XH157" s="1"/>
      <c r="XI157" s="1"/>
      <c r="XJ157" s="1"/>
      <c r="XK157" s="1"/>
      <c r="XL157" s="1"/>
      <c r="XM157" s="1"/>
      <c r="XN157" s="1"/>
      <c r="XO157" s="1"/>
      <c r="XP157" s="1"/>
      <c r="XQ157" s="1"/>
      <c r="XR157" s="1"/>
      <c r="XS157" s="1"/>
      <c r="XT157" s="1"/>
      <c r="XU157" s="1"/>
      <c r="XV157" s="1"/>
      <c r="XW157" s="1"/>
      <c r="XX157" s="1"/>
      <c r="XY157" s="1"/>
      <c r="XZ157" s="1"/>
      <c r="YA157" s="1"/>
      <c r="YB157" s="1"/>
      <c r="YC157" s="1"/>
      <c r="YD157" s="1"/>
      <c r="YE157" s="1"/>
      <c r="YF157" s="1"/>
      <c r="YG157" s="1"/>
      <c r="YH157" s="1"/>
      <c r="YI157" s="1"/>
      <c r="YJ157" s="1"/>
      <c r="YK157" s="1"/>
      <c r="YL157" s="1"/>
      <c r="YM157" s="1"/>
      <c r="YN157" s="1"/>
      <c r="YO157" s="1"/>
      <c r="YP157" s="1"/>
      <c r="YQ157" s="1"/>
      <c r="YR157" s="1"/>
      <c r="YS157" s="1"/>
      <c r="YT157" s="1"/>
      <c r="YU157" s="1"/>
      <c r="YV157" s="1"/>
      <c r="YW157" s="1"/>
      <c r="YX157" s="1"/>
      <c r="YY157" s="1"/>
      <c r="YZ157" s="1"/>
      <c r="ZA157" s="1"/>
      <c r="ZB157" s="1"/>
      <c r="ZC157" s="1"/>
      <c r="ZD157" s="1"/>
      <c r="ZE157" s="1"/>
      <c r="ZF157" s="1"/>
      <c r="ZG157" s="1"/>
      <c r="ZH157" s="1"/>
      <c r="ZI157" s="1"/>
      <c r="ZJ157" s="1"/>
      <c r="ZK157" s="1"/>
      <c r="ZL157" s="1"/>
      <c r="ZM157" s="1"/>
      <c r="ZN157" s="1"/>
      <c r="ZO157" s="1"/>
      <c r="ZP157" s="1"/>
      <c r="ZQ157" s="1"/>
      <c r="ZR157" s="1"/>
      <c r="ZS157" s="1"/>
      <c r="ZT157" s="1"/>
      <c r="ZU157" s="1"/>
      <c r="ZV157" s="1"/>
      <c r="ZW157" s="1"/>
      <c r="ZX157" s="1"/>
      <c r="ZY157" s="1"/>
      <c r="ZZ157" s="1"/>
    </row>
    <row r="158" ht="19.5" customHeight="1">
      <c r="A158" s="10"/>
      <c r="B158" s="10"/>
      <c r="C158" s="10"/>
      <c r="D158" s="10" t="str">
        <f t="shared" si="2"/>
        <v/>
      </c>
      <c r="E158" s="287" t="str">
        <f t="array" ref="E158">IF(B158="","",IF(B158&lt;&gt;B157,SUMPRODUCT(($B$5:B158&lt;&gt;$B$4:B157)*($B$5:B158&lt;&gt;"")),""))</f>
        <v/>
      </c>
      <c r="F158" s="10" t="str">
        <f t="shared" si="3"/>
        <v/>
      </c>
      <c r="G158" s="10" t="str">
        <f t="shared" si="4"/>
        <v/>
      </c>
      <c r="H158" s="288" t="str">
        <f t="shared" si="5"/>
        <v/>
      </c>
      <c r="I158" s="10"/>
      <c r="J158" s="10"/>
      <c r="K158" s="10"/>
      <c r="L158" s="10" t="str">
        <f t="shared" si="6"/>
        <v/>
      </c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L158" s="10"/>
      <c r="BM158" s="10"/>
      <c r="BN158" s="10"/>
      <c r="BO158" s="10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  <c r="CD158" s="10"/>
      <c r="CE158" s="10"/>
      <c r="CF158" s="10"/>
      <c r="CG158" s="10"/>
      <c r="CH158" s="10"/>
      <c r="CI158" s="10"/>
      <c r="CJ158" s="10"/>
      <c r="CK158" s="10"/>
      <c r="CL158" s="10"/>
      <c r="CM158" s="10"/>
      <c r="CN158" s="10"/>
      <c r="CO158" s="10"/>
      <c r="CP158" s="10"/>
      <c r="CQ158" s="10"/>
      <c r="CR158" s="10"/>
      <c r="CS158" s="10"/>
      <c r="CT158" s="10"/>
      <c r="CU158" s="10"/>
      <c r="CV158" s="10"/>
      <c r="CW158" s="10"/>
      <c r="CX158" s="10"/>
      <c r="CY158" s="10"/>
      <c r="CZ158" s="10"/>
      <c r="DA158" s="10"/>
      <c r="DB158" s="10"/>
      <c r="DC158" s="10"/>
      <c r="DD158" s="10"/>
      <c r="DE158" s="10"/>
      <c r="DF158" s="10"/>
      <c r="DG158" s="10"/>
      <c r="DH158" s="10"/>
      <c r="DI158" s="10"/>
      <c r="DJ158" s="10"/>
      <c r="DK158" s="10"/>
      <c r="DL158" s="10"/>
      <c r="DM158" s="10"/>
      <c r="DN158" s="10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  <c r="VA158" s="1"/>
      <c r="VB158" s="1"/>
      <c r="VC158" s="1"/>
      <c r="VD158" s="1"/>
      <c r="VE158" s="1"/>
      <c r="VF158" s="1"/>
      <c r="VG158" s="1"/>
      <c r="VH158" s="1"/>
      <c r="VI158" s="1"/>
      <c r="VJ158" s="1"/>
      <c r="VK158" s="1"/>
      <c r="VL158" s="1"/>
      <c r="VM158" s="1"/>
      <c r="VN158" s="1"/>
      <c r="VO158" s="1"/>
      <c r="VP158" s="1"/>
      <c r="VQ158" s="1"/>
      <c r="VR158" s="1"/>
      <c r="VS158" s="1"/>
      <c r="VT158" s="1"/>
      <c r="VU158" s="1"/>
      <c r="VV158" s="1"/>
      <c r="VW158" s="1"/>
      <c r="VX158" s="1"/>
      <c r="VY158" s="1"/>
      <c r="VZ158" s="1"/>
      <c r="WA158" s="1"/>
      <c r="WB158" s="1"/>
      <c r="WC158" s="1"/>
      <c r="WD158" s="1"/>
      <c r="WE158" s="1"/>
      <c r="WF158" s="1"/>
      <c r="WG158" s="1"/>
      <c r="WH158" s="1"/>
      <c r="WI158" s="1"/>
      <c r="WJ158" s="1"/>
      <c r="WK158" s="1"/>
      <c r="WL158" s="1"/>
      <c r="WM158" s="1"/>
      <c r="WN158" s="1"/>
      <c r="WO158" s="1"/>
      <c r="WP158" s="1"/>
      <c r="WQ158" s="1"/>
      <c r="WR158" s="1"/>
      <c r="WS158" s="1"/>
      <c r="WT158" s="1"/>
      <c r="WU158" s="1"/>
      <c r="WV158" s="1"/>
      <c r="WW158" s="1"/>
      <c r="WX158" s="1"/>
      <c r="WY158" s="1"/>
      <c r="WZ158" s="1"/>
      <c r="XA158" s="1"/>
      <c r="XB158" s="1"/>
      <c r="XC158" s="1"/>
      <c r="XD158" s="1"/>
      <c r="XE158" s="1"/>
      <c r="XF158" s="1"/>
      <c r="XG158" s="1"/>
      <c r="XH158" s="1"/>
      <c r="XI158" s="1"/>
      <c r="XJ158" s="1"/>
      <c r="XK158" s="1"/>
      <c r="XL158" s="1"/>
      <c r="XM158" s="1"/>
      <c r="XN158" s="1"/>
      <c r="XO158" s="1"/>
      <c r="XP158" s="1"/>
      <c r="XQ158" s="1"/>
      <c r="XR158" s="1"/>
      <c r="XS158" s="1"/>
      <c r="XT158" s="1"/>
      <c r="XU158" s="1"/>
      <c r="XV158" s="1"/>
      <c r="XW158" s="1"/>
      <c r="XX158" s="1"/>
      <c r="XY158" s="1"/>
      <c r="XZ158" s="1"/>
      <c r="YA158" s="1"/>
      <c r="YB158" s="1"/>
      <c r="YC158" s="1"/>
      <c r="YD158" s="1"/>
      <c r="YE158" s="1"/>
      <c r="YF158" s="1"/>
      <c r="YG158" s="1"/>
      <c r="YH158" s="1"/>
      <c r="YI158" s="1"/>
      <c r="YJ158" s="1"/>
      <c r="YK158" s="1"/>
      <c r="YL158" s="1"/>
      <c r="YM158" s="1"/>
      <c r="YN158" s="1"/>
      <c r="YO158" s="1"/>
      <c r="YP158" s="1"/>
      <c r="YQ158" s="1"/>
      <c r="YR158" s="1"/>
      <c r="YS158" s="1"/>
      <c r="YT158" s="1"/>
      <c r="YU158" s="1"/>
      <c r="YV158" s="1"/>
      <c r="YW158" s="1"/>
      <c r="YX158" s="1"/>
      <c r="YY158" s="1"/>
      <c r="YZ158" s="1"/>
      <c r="ZA158" s="1"/>
      <c r="ZB158" s="1"/>
      <c r="ZC158" s="1"/>
      <c r="ZD158" s="1"/>
      <c r="ZE158" s="1"/>
      <c r="ZF158" s="1"/>
      <c r="ZG158" s="1"/>
      <c r="ZH158" s="1"/>
      <c r="ZI158" s="1"/>
      <c r="ZJ158" s="1"/>
      <c r="ZK158" s="1"/>
      <c r="ZL158" s="1"/>
      <c r="ZM158" s="1"/>
      <c r="ZN158" s="1"/>
      <c r="ZO158" s="1"/>
      <c r="ZP158" s="1"/>
      <c r="ZQ158" s="1"/>
      <c r="ZR158" s="1"/>
      <c r="ZS158" s="1"/>
      <c r="ZT158" s="1"/>
      <c r="ZU158" s="1"/>
      <c r="ZV158" s="1"/>
      <c r="ZW158" s="1"/>
      <c r="ZX158" s="1"/>
      <c r="ZY158" s="1"/>
      <c r="ZZ158" s="1"/>
    </row>
    <row r="159" ht="19.5" customHeight="1">
      <c r="A159" s="10"/>
      <c r="B159" s="10"/>
      <c r="C159" s="10"/>
      <c r="D159" s="10" t="str">
        <f t="shared" si="2"/>
        <v/>
      </c>
      <c r="E159" s="287" t="str">
        <f t="array" ref="E159">IF(B159="","",IF(B159&lt;&gt;B158,SUMPRODUCT(($B$5:B159&lt;&gt;$B$4:B158)*($B$5:B159&lt;&gt;"")),""))</f>
        <v/>
      </c>
      <c r="F159" s="10" t="str">
        <f t="shared" si="3"/>
        <v/>
      </c>
      <c r="G159" s="10" t="str">
        <f t="shared" si="4"/>
        <v/>
      </c>
      <c r="H159" s="288" t="str">
        <f t="shared" si="5"/>
        <v/>
      </c>
      <c r="I159" s="10"/>
      <c r="J159" s="10"/>
      <c r="K159" s="10"/>
      <c r="L159" s="10" t="str">
        <f t="shared" si="6"/>
        <v/>
      </c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L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L159" s="10"/>
      <c r="CM159" s="10"/>
      <c r="CN159" s="10"/>
      <c r="CO159" s="10"/>
      <c r="CP159" s="10"/>
      <c r="CQ159" s="10"/>
      <c r="CR159" s="10"/>
      <c r="CS159" s="10"/>
      <c r="CT159" s="10"/>
      <c r="CU159" s="10"/>
      <c r="CV159" s="10"/>
      <c r="CW159" s="10"/>
      <c r="CX159" s="10"/>
      <c r="CY159" s="10"/>
      <c r="CZ159" s="10"/>
      <c r="DA159" s="10"/>
      <c r="DB159" s="10"/>
      <c r="DC159" s="10"/>
      <c r="DD159" s="10"/>
      <c r="DE159" s="10"/>
      <c r="DF159" s="10"/>
      <c r="DG159" s="10"/>
      <c r="DH159" s="10"/>
      <c r="DI159" s="10"/>
      <c r="DJ159" s="10"/>
      <c r="DK159" s="10"/>
      <c r="DL159" s="10"/>
      <c r="DM159" s="10"/>
      <c r="DN159" s="10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  <c r="VA159" s="1"/>
      <c r="VB159" s="1"/>
      <c r="VC159" s="1"/>
      <c r="VD159" s="1"/>
      <c r="VE159" s="1"/>
      <c r="VF159" s="1"/>
      <c r="VG159" s="1"/>
      <c r="VH159" s="1"/>
      <c r="VI159" s="1"/>
      <c r="VJ159" s="1"/>
      <c r="VK159" s="1"/>
      <c r="VL159" s="1"/>
      <c r="VM159" s="1"/>
      <c r="VN159" s="1"/>
      <c r="VO159" s="1"/>
      <c r="VP159" s="1"/>
      <c r="VQ159" s="1"/>
      <c r="VR159" s="1"/>
      <c r="VS159" s="1"/>
      <c r="VT159" s="1"/>
      <c r="VU159" s="1"/>
      <c r="VV159" s="1"/>
      <c r="VW159" s="1"/>
      <c r="VX159" s="1"/>
      <c r="VY159" s="1"/>
      <c r="VZ159" s="1"/>
      <c r="WA159" s="1"/>
      <c r="WB159" s="1"/>
      <c r="WC159" s="1"/>
      <c r="WD159" s="1"/>
      <c r="WE159" s="1"/>
      <c r="WF159" s="1"/>
      <c r="WG159" s="1"/>
      <c r="WH159" s="1"/>
      <c r="WI159" s="1"/>
      <c r="WJ159" s="1"/>
      <c r="WK159" s="1"/>
      <c r="WL159" s="1"/>
      <c r="WM159" s="1"/>
      <c r="WN159" s="1"/>
      <c r="WO159" s="1"/>
      <c r="WP159" s="1"/>
      <c r="WQ159" s="1"/>
      <c r="WR159" s="1"/>
      <c r="WS159" s="1"/>
      <c r="WT159" s="1"/>
      <c r="WU159" s="1"/>
      <c r="WV159" s="1"/>
      <c r="WW159" s="1"/>
      <c r="WX159" s="1"/>
      <c r="WY159" s="1"/>
      <c r="WZ159" s="1"/>
      <c r="XA159" s="1"/>
      <c r="XB159" s="1"/>
      <c r="XC159" s="1"/>
      <c r="XD159" s="1"/>
      <c r="XE159" s="1"/>
      <c r="XF159" s="1"/>
      <c r="XG159" s="1"/>
      <c r="XH159" s="1"/>
      <c r="XI159" s="1"/>
      <c r="XJ159" s="1"/>
      <c r="XK159" s="1"/>
      <c r="XL159" s="1"/>
      <c r="XM159" s="1"/>
      <c r="XN159" s="1"/>
      <c r="XO159" s="1"/>
      <c r="XP159" s="1"/>
      <c r="XQ159" s="1"/>
      <c r="XR159" s="1"/>
      <c r="XS159" s="1"/>
      <c r="XT159" s="1"/>
      <c r="XU159" s="1"/>
      <c r="XV159" s="1"/>
      <c r="XW159" s="1"/>
      <c r="XX159" s="1"/>
      <c r="XY159" s="1"/>
      <c r="XZ159" s="1"/>
      <c r="YA159" s="1"/>
      <c r="YB159" s="1"/>
      <c r="YC159" s="1"/>
      <c r="YD159" s="1"/>
      <c r="YE159" s="1"/>
      <c r="YF159" s="1"/>
      <c r="YG159" s="1"/>
      <c r="YH159" s="1"/>
      <c r="YI159" s="1"/>
      <c r="YJ159" s="1"/>
      <c r="YK159" s="1"/>
      <c r="YL159" s="1"/>
      <c r="YM159" s="1"/>
      <c r="YN159" s="1"/>
      <c r="YO159" s="1"/>
      <c r="YP159" s="1"/>
      <c r="YQ159" s="1"/>
      <c r="YR159" s="1"/>
      <c r="YS159" s="1"/>
      <c r="YT159" s="1"/>
      <c r="YU159" s="1"/>
      <c r="YV159" s="1"/>
      <c r="YW159" s="1"/>
      <c r="YX159" s="1"/>
      <c r="YY159" s="1"/>
      <c r="YZ159" s="1"/>
      <c r="ZA159" s="1"/>
      <c r="ZB159" s="1"/>
      <c r="ZC159" s="1"/>
      <c r="ZD159" s="1"/>
      <c r="ZE159" s="1"/>
      <c r="ZF159" s="1"/>
      <c r="ZG159" s="1"/>
      <c r="ZH159" s="1"/>
      <c r="ZI159" s="1"/>
      <c r="ZJ159" s="1"/>
      <c r="ZK159" s="1"/>
      <c r="ZL159" s="1"/>
      <c r="ZM159" s="1"/>
      <c r="ZN159" s="1"/>
      <c r="ZO159" s="1"/>
      <c r="ZP159" s="1"/>
      <c r="ZQ159" s="1"/>
      <c r="ZR159" s="1"/>
      <c r="ZS159" s="1"/>
      <c r="ZT159" s="1"/>
      <c r="ZU159" s="1"/>
      <c r="ZV159" s="1"/>
      <c r="ZW159" s="1"/>
      <c r="ZX159" s="1"/>
      <c r="ZY159" s="1"/>
      <c r="ZZ159" s="1"/>
    </row>
    <row r="160" ht="19.5" customHeight="1">
      <c r="A160" s="10"/>
      <c r="B160" s="10"/>
      <c r="C160" s="10"/>
      <c r="D160" s="10" t="str">
        <f t="shared" si="2"/>
        <v/>
      </c>
      <c r="E160" s="287" t="str">
        <f t="array" ref="E160">IF(B160="","",IF(B160&lt;&gt;B159,SUMPRODUCT(($B$5:B160&lt;&gt;$B$4:B159)*($B$5:B160&lt;&gt;"")),""))</f>
        <v/>
      </c>
      <c r="F160" s="10" t="str">
        <f t="shared" si="3"/>
        <v/>
      </c>
      <c r="G160" s="10" t="str">
        <f t="shared" si="4"/>
        <v/>
      </c>
      <c r="H160" s="288" t="str">
        <f t="shared" si="5"/>
        <v/>
      </c>
      <c r="I160" s="10"/>
      <c r="J160" s="10"/>
      <c r="K160" s="10"/>
      <c r="L160" s="10" t="str">
        <f t="shared" si="6"/>
        <v/>
      </c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L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  <c r="CQ160" s="10"/>
      <c r="CR160" s="10"/>
      <c r="CS160" s="10"/>
      <c r="CT160" s="10"/>
      <c r="CU160" s="10"/>
      <c r="CV160" s="10"/>
      <c r="CW160" s="10"/>
      <c r="CX160" s="10"/>
      <c r="CY160" s="10"/>
      <c r="CZ160" s="10"/>
      <c r="DA160" s="10"/>
      <c r="DB160" s="10"/>
      <c r="DC160" s="10"/>
      <c r="DD160" s="10"/>
      <c r="DE160" s="10"/>
      <c r="DF160" s="10"/>
      <c r="DG160" s="10"/>
      <c r="DH160" s="10"/>
      <c r="DI160" s="10"/>
      <c r="DJ160" s="10"/>
      <c r="DK160" s="10"/>
      <c r="DL160" s="10"/>
      <c r="DM160" s="10"/>
      <c r="DN160" s="10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  <c r="VA160" s="1"/>
      <c r="VB160" s="1"/>
      <c r="VC160" s="1"/>
      <c r="VD160" s="1"/>
      <c r="VE160" s="1"/>
      <c r="VF160" s="1"/>
      <c r="VG160" s="1"/>
      <c r="VH160" s="1"/>
      <c r="VI160" s="1"/>
      <c r="VJ160" s="1"/>
      <c r="VK160" s="1"/>
      <c r="VL160" s="1"/>
      <c r="VM160" s="1"/>
      <c r="VN160" s="1"/>
      <c r="VO160" s="1"/>
      <c r="VP160" s="1"/>
      <c r="VQ160" s="1"/>
      <c r="VR160" s="1"/>
      <c r="VS160" s="1"/>
      <c r="VT160" s="1"/>
      <c r="VU160" s="1"/>
      <c r="VV160" s="1"/>
      <c r="VW160" s="1"/>
      <c r="VX160" s="1"/>
      <c r="VY160" s="1"/>
      <c r="VZ160" s="1"/>
      <c r="WA160" s="1"/>
      <c r="WB160" s="1"/>
      <c r="WC160" s="1"/>
      <c r="WD160" s="1"/>
      <c r="WE160" s="1"/>
      <c r="WF160" s="1"/>
      <c r="WG160" s="1"/>
      <c r="WH160" s="1"/>
      <c r="WI160" s="1"/>
      <c r="WJ160" s="1"/>
      <c r="WK160" s="1"/>
      <c r="WL160" s="1"/>
      <c r="WM160" s="1"/>
      <c r="WN160" s="1"/>
      <c r="WO160" s="1"/>
      <c r="WP160" s="1"/>
      <c r="WQ160" s="1"/>
      <c r="WR160" s="1"/>
      <c r="WS160" s="1"/>
      <c r="WT160" s="1"/>
      <c r="WU160" s="1"/>
      <c r="WV160" s="1"/>
      <c r="WW160" s="1"/>
      <c r="WX160" s="1"/>
      <c r="WY160" s="1"/>
      <c r="WZ160" s="1"/>
      <c r="XA160" s="1"/>
      <c r="XB160" s="1"/>
      <c r="XC160" s="1"/>
      <c r="XD160" s="1"/>
      <c r="XE160" s="1"/>
      <c r="XF160" s="1"/>
      <c r="XG160" s="1"/>
      <c r="XH160" s="1"/>
      <c r="XI160" s="1"/>
      <c r="XJ160" s="1"/>
      <c r="XK160" s="1"/>
      <c r="XL160" s="1"/>
      <c r="XM160" s="1"/>
      <c r="XN160" s="1"/>
      <c r="XO160" s="1"/>
      <c r="XP160" s="1"/>
      <c r="XQ160" s="1"/>
      <c r="XR160" s="1"/>
      <c r="XS160" s="1"/>
      <c r="XT160" s="1"/>
      <c r="XU160" s="1"/>
      <c r="XV160" s="1"/>
      <c r="XW160" s="1"/>
      <c r="XX160" s="1"/>
      <c r="XY160" s="1"/>
      <c r="XZ160" s="1"/>
      <c r="YA160" s="1"/>
      <c r="YB160" s="1"/>
      <c r="YC160" s="1"/>
      <c r="YD160" s="1"/>
      <c r="YE160" s="1"/>
      <c r="YF160" s="1"/>
      <c r="YG160" s="1"/>
      <c r="YH160" s="1"/>
      <c r="YI160" s="1"/>
      <c r="YJ160" s="1"/>
      <c r="YK160" s="1"/>
      <c r="YL160" s="1"/>
      <c r="YM160" s="1"/>
      <c r="YN160" s="1"/>
      <c r="YO160" s="1"/>
      <c r="YP160" s="1"/>
      <c r="YQ160" s="1"/>
      <c r="YR160" s="1"/>
      <c r="YS160" s="1"/>
      <c r="YT160" s="1"/>
      <c r="YU160" s="1"/>
      <c r="YV160" s="1"/>
      <c r="YW160" s="1"/>
      <c r="YX160" s="1"/>
      <c r="YY160" s="1"/>
      <c r="YZ160" s="1"/>
      <c r="ZA160" s="1"/>
      <c r="ZB160" s="1"/>
      <c r="ZC160" s="1"/>
      <c r="ZD160" s="1"/>
      <c r="ZE160" s="1"/>
      <c r="ZF160" s="1"/>
      <c r="ZG160" s="1"/>
      <c r="ZH160" s="1"/>
      <c r="ZI160" s="1"/>
      <c r="ZJ160" s="1"/>
      <c r="ZK160" s="1"/>
      <c r="ZL160" s="1"/>
      <c r="ZM160" s="1"/>
      <c r="ZN160" s="1"/>
      <c r="ZO160" s="1"/>
      <c r="ZP160" s="1"/>
      <c r="ZQ160" s="1"/>
      <c r="ZR160" s="1"/>
      <c r="ZS160" s="1"/>
      <c r="ZT160" s="1"/>
      <c r="ZU160" s="1"/>
      <c r="ZV160" s="1"/>
      <c r="ZW160" s="1"/>
      <c r="ZX160" s="1"/>
      <c r="ZY160" s="1"/>
      <c r="ZZ160" s="1"/>
    </row>
    <row r="161" ht="19.5" customHeight="1">
      <c r="A161" s="10"/>
      <c r="B161" s="10"/>
      <c r="C161" s="10"/>
      <c r="D161" s="10" t="str">
        <f t="shared" si="2"/>
        <v/>
      </c>
      <c r="E161" s="287" t="str">
        <f t="array" ref="E161">IF(B161="","",IF(B161&lt;&gt;B160,SUMPRODUCT(($B$5:B161&lt;&gt;$B$4:B160)*($B$5:B161&lt;&gt;"")),""))</f>
        <v/>
      </c>
      <c r="F161" s="10" t="str">
        <f t="shared" si="3"/>
        <v/>
      </c>
      <c r="G161" s="10" t="str">
        <f t="shared" si="4"/>
        <v/>
      </c>
      <c r="H161" s="288" t="str">
        <f t="shared" si="5"/>
        <v/>
      </c>
      <c r="I161" s="10"/>
      <c r="J161" s="10"/>
      <c r="K161" s="10"/>
      <c r="L161" s="10" t="str">
        <f t="shared" si="6"/>
        <v/>
      </c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L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  <c r="CG161" s="10"/>
      <c r="CH161" s="10"/>
      <c r="CI161" s="10"/>
      <c r="CJ161" s="10"/>
      <c r="CK161" s="10"/>
      <c r="CL161" s="10"/>
      <c r="CM161" s="10"/>
      <c r="CN161" s="10"/>
      <c r="CO161" s="10"/>
      <c r="CP161" s="10"/>
      <c r="CQ161" s="10"/>
      <c r="CR161" s="10"/>
      <c r="CS161" s="10"/>
      <c r="CT161" s="10"/>
      <c r="CU161" s="10"/>
      <c r="CV161" s="10"/>
      <c r="CW161" s="10"/>
      <c r="CX161" s="10"/>
      <c r="CY161" s="10"/>
      <c r="CZ161" s="10"/>
      <c r="DA161" s="10"/>
      <c r="DB161" s="10"/>
      <c r="DC161" s="10"/>
      <c r="DD161" s="10"/>
      <c r="DE161" s="10"/>
      <c r="DF161" s="10"/>
      <c r="DG161" s="10"/>
      <c r="DH161" s="10"/>
      <c r="DI161" s="10"/>
      <c r="DJ161" s="10"/>
      <c r="DK161" s="10"/>
      <c r="DL161" s="10"/>
      <c r="DM161" s="10"/>
      <c r="DN161" s="10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  <c r="VA161" s="1"/>
      <c r="VB161" s="1"/>
      <c r="VC161" s="1"/>
      <c r="VD161" s="1"/>
      <c r="VE161" s="1"/>
      <c r="VF161" s="1"/>
      <c r="VG161" s="1"/>
      <c r="VH161" s="1"/>
      <c r="VI161" s="1"/>
      <c r="VJ161" s="1"/>
      <c r="VK161" s="1"/>
      <c r="VL161" s="1"/>
      <c r="VM161" s="1"/>
      <c r="VN161" s="1"/>
      <c r="VO161" s="1"/>
      <c r="VP161" s="1"/>
      <c r="VQ161" s="1"/>
      <c r="VR161" s="1"/>
      <c r="VS161" s="1"/>
      <c r="VT161" s="1"/>
      <c r="VU161" s="1"/>
      <c r="VV161" s="1"/>
      <c r="VW161" s="1"/>
      <c r="VX161" s="1"/>
      <c r="VY161" s="1"/>
      <c r="VZ161" s="1"/>
      <c r="WA161" s="1"/>
      <c r="WB161" s="1"/>
      <c r="WC161" s="1"/>
      <c r="WD161" s="1"/>
      <c r="WE161" s="1"/>
      <c r="WF161" s="1"/>
      <c r="WG161" s="1"/>
      <c r="WH161" s="1"/>
      <c r="WI161" s="1"/>
      <c r="WJ161" s="1"/>
      <c r="WK161" s="1"/>
      <c r="WL161" s="1"/>
      <c r="WM161" s="1"/>
      <c r="WN161" s="1"/>
      <c r="WO161" s="1"/>
      <c r="WP161" s="1"/>
      <c r="WQ161" s="1"/>
      <c r="WR161" s="1"/>
      <c r="WS161" s="1"/>
      <c r="WT161" s="1"/>
      <c r="WU161" s="1"/>
      <c r="WV161" s="1"/>
      <c r="WW161" s="1"/>
      <c r="WX161" s="1"/>
      <c r="WY161" s="1"/>
      <c r="WZ161" s="1"/>
      <c r="XA161" s="1"/>
      <c r="XB161" s="1"/>
      <c r="XC161" s="1"/>
      <c r="XD161" s="1"/>
      <c r="XE161" s="1"/>
      <c r="XF161" s="1"/>
      <c r="XG161" s="1"/>
      <c r="XH161" s="1"/>
      <c r="XI161" s="1"/>
      <c r="XJ161" s="1"/>
      <c r="XK161" s="1"/>
      <c r="XL161" s="1"/>
      <c r="XM161" s="1"/>
      <c r="XN161" s="1"/>
      <c r="XO161" s="1"/>
      <c r="XP161" s="1"/>
      <c r="XQ161" s="1"/>
      <c r="XR161" s="1"/>
      <c r="XS161" s="1"/>
      <c r="XT161" s="1"/>
      <c r="XU161" s="1"/>
      <c r="XV161" s="1"/>
      <c r="XW161" s="1"/>
      <c r="XX161" s="1"/>
      <c r="XY161" s="1"/>
      <c r="XZ161" s="1"/>
      <c r="YA161" s="1"/>
      <c r="YB161" s="1"/>
      <c r="YC161" s="1"/>
      <c r="YD161" s="1"/>
      <c r="YE161" s="1"/>
      <c r="YF161" s="1"/>
      <c r="YG161" s="1"/>
      <c r="YH161" s="1"/>
      <c r="YI161" s="1"/>
      <c r="YJ161" s="1"/>
      <c r="YK161" s="1"/>
      <c r="YL161" s="1"/>
      <c r="YM161" s="1"/>
      <c r="YN161" s="1"/>
      <c r="YO161" s="1"/>
      <c r="YP161" s="1"/>
      <c r="YQ161" s="1"/>
      <c r="YR161" s="1"/>
      <c r="YS161" s="1"/>
      <c r="YT161" s="1"/>
      <c r="YU161" s="1"/>
      <c r="YV161" s="1"/>
      <c r="YW161" s="1"/>
      <c r="YX161" s="1"/>
      <c r="YY161" s="1"/>
      <c r="YZ161" s="1"/>
      <c r="ZA161" s="1"/>
      <c r="ZB161" s="1"/>
      <c r="ZC161" s="1"/>
      <c r="ZD161" s="1"/>
      <c r="ZE161" s="1"/>
      <c r="ZF161" s="1"/>
      <c r="ZG161" s="1"/>
      <c r="ZH161" s="1"/>
      <c r="ZI161" s="1"/>
      <c r="ZJ161" s="1"/>
      <c r="ZK161" s="1"/>
      <c r="ZL161" s="1"/>
      <c r="ZM161" s="1"/>
      <c r="ZN161" s="1"/>
      <c r="ZO161" s="1"/>
      <c r="ZP161" s="1"/>
      <c r="ZQ161" s="1"/>
      <c r="ZR161" s="1"/>
      <c r="ZS161" s="1"/>
      <c r="ZT161" s="1"/>
      <c r="ZU161" s="1"/>
      <c r="ZV161" s="1"/>
      <c r="ZW161" s="1"/>
      <c r="ZX161" s="1"/>
      <c r="ZY161" s="1"/>
      <c r="ZZ161" s="1"/>
    </row>
    <row r="162" ht="19.5" customHeight="1">
      <c r="A162" s="10"/>
      <c r="B162" s="10"/>
      <c r="C162" s="10"/>
      <c r="D162" s="10" t="str">
        <f t="shared" si="2"/>
        <v/>
      </c>
      <c r="E162" s="287" t="str">
        <f t="array" ref="E162">IF(B162="","",IF(B162&lt;&gt;B161,SUMPRODUCT(($B$5:B162&lt;&gt;$B$4:B161)*($B$5:B162&lt;&gt;"")),""))</f>
        <v/>
      </c>
      <c r="F162" s="10" t="str">
        <f t="shared" si="3"/>
        <v/>
      </c>
      <c r="G162" s="10" t="str">
        <f t="shared" si="4"/>
        <v/>
      </c>
      <c r="H162" s="288" t="str">
        <f t="shared" si="5"/>
        <v/>
      </c>
      <c r="I162" s="10"/>
      <c r="J162" s="10"/>
      <c r="K162" s="10"/>
      <c r="L162" s="10" t="str">
        <f t="shared" si="6"/>
        <v/>
      </c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L162" s="10"/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  <c r="CG162" s="10"/>
      <c r="CH162" s="10"/>
      <c r="CI162" s="10"/>
      <c r="CJ162" s="10"/>
      <c r="CK162" s="10"/>
      <c r="CL162" s="10"/>
      <c r="CM162" s="10"/>
      <c r="CN162" s="10"/>
      <c r="CO162" s="10"/>
      <c r="CP162" s="10"/>
      <c r="CQ162" s="10"/>
      <c r="CR162" s="10"/>
      <c r="CS162" s="10"/>
      <c r="CT162" s="10"/>
      <c r="CU162" s="10"/>
      <c r="CV162" s="10"/>
      <c r="CW162" s="10"/>
      <c r="CX162" s="10"/>
      <c r="CY162" s="10"/>
      <c r="CZ162" s="10"/>
      <c r="DA162" s="10"/>
      <c r="DB162" s="10"/>
      <c r="DC162" s="10"/>
      <c r="DD162" s="10"/>
      <c r="DE162" s="10"/>
      <c r="DF162" s="10"/>
      <c r="DG162" s="10"/>
      <c r="DH162" s="10"/>
      <c r="DI162" s="10"/>
      <c r="DJ162" s="10"/>
      <c r="DK162" s="10"/>
      <c r="DL162" s="10"/>
      <c r="DM162" s="10"/>
      <c r="DN162" s="10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  <c r="VA162" s="1"/>
      <c r="VB162" s="1"/>
      <c r="VC162" s="1"/>
      <c r="VD162" s="1"/>
      <c r="VE162" s="1"/>
      <c r="VF162" s="1"/>
      <c r="VG162" s="1"/>
      <c r="VH162" s="1"/>
      <c r="VI162" s="1"/>
      <c r="VJ162" s="1"/>
      <c r="VK162" s="1"/>
      <c r="VL162" s="1"/>
      <c r="VM162" s="1"/>
      <c r="VN162" s="1"/>
      <c r="VO162" s="1"/>
      <c r="VP162" s="1"/>
      <c r="VQ162" s="1"/>
      <c r="VR162" s="1"/>
      <c r="VS162" s="1"/>
      <c r="VT162" s="1"/>
      <c r="VU162" s="1"/>
      <c r="VV162" s="1"/>
      <c r="VW162" s="1"/>
      <c r="VX162" s="1"/>
      <c r="VY162" s="1"/>
      <c r="VZ162" s="1"/>
      <c r="WA162" s="1"/>
      <c r="WB162" s="1"/>
      <c r="WC162" s="1"/>
      <c r="WD162" s="1"/>
      <c r="WE162" s="1"/>
      <c r="WF162" s="1"/>
      <c r="WG162" s="1"/>
      <c r="WH162" s="1"/>
      <c r="WI162" s="1"/>
      <c r="WJ162" s="1"/>
      <c r="WK162" s="1"/>
      <c r="WL162" s="1"/>
      <c r="WM162" s="1"/>
      <c r="WN162" s="1"/>
      <c r="WO162" s="1"/>
      <c r="WP162" s="1"/>
      <c r="WQ162" s="1"/>
      <c r="WR162" s="1"/>
      <c r="WS162" s="1"/>
      <c r="WT162" s="1"/>
      <c r="WU162" s="1"/>
      <c r="WV162" s="1"/>
      <c r="WW162" s="1"/>
      <c r="WX162" s="1"/>
      <c r="WY162" s="1"/>
      <c r="WZ162" s="1"/>
      <c r="XA162" s="1"/>
      <c r="XB162" s="1"/>
      <c r="XC162" s="1"/>
      <c r="XD162" s="1"/>
      <c r="XE162" s="1"/>
      <c r="XF162" s="1"/>
      <c r="XG162" s="1"/>
      <c r="XH162" s="1"/>
      <c r="XI162" s="1"/>
      <c r="XJ162" s="1"/>
      <c r="XK162" s="1"/>
      <c r="XL162" s="1"/>
      <c r="XM162" s="1"/>
      <c r="XN162" s="1"/>
      <c r="XO162" s="1"/>
      <c r="XP162" s="1"/>
      <c r="XQ162" s="1"/>
      <c r="XR162" s="1"/>
      <c r="XS162" s="1"/>
      <c r="XT162" s="1"/>
      <c r="XU162" s="1"/>
      <c r="XV162" s="1"/>
      <c r="XW162" s="1"/>
      <c r="XX162" s="1"/>
      <c r="XY162" s="1"/>
      <c r="XZ162" s="1"/>
      <c r="YA162" s="1"/>
      <c r="YB162" s="1"/>
      <c r="YC162" s="1"/>
      <c r="YD162" s="1"/>
      <c r="YE162" s="1"/>
      <c r="YF162" s="1"/>
      <c r="YG162" s="1"/>
      <c r="YH162" s="1"/>
      <c r="YI162" s="1"/>
      <c r="YJ162" s="1"/>
      <c r="YK162" s="1"/>
      <c r="YL162" s="1"/>
      <c r="YM162" s="1"/>
      <c r="YN162" s="1"/>
      <c r="YO162" s="1"/>
      <c r="YP162" s="1"/>
      <c r="YQ162" s="1"/>
      <c r="YR162" s="1"/>
      <c r="YS162" s="1"/>
      <c r="YT162" s="1"/>
      <c r="YU162" s="1"/>
      <c r="YV162" s="1"/>
      <c r="YW162" s="1"/>
      <c r="YX162" s="1"/>
      <c r="YY162" s="1"/>
      <c r="YZ162" s="1"/>
      <c r="ZA162" s="1"/>
      <c r="ZB162" s="1"/>
      <c r="ZC162" s="1"/>
      <c r="ZD162" s="1"/>
      <c r="ZE162" s="1"/>
      <c r="ZF162" s="1"/>
      <c r="ZG162" s="1"/>
      <c r="ZH162" s="1"/>
      <c r="ZI162" s="1"/>
      <c r="ZJ162" s="1"/>
      <c r="ZK162" s="1"/>
      <c r="ZL162" s="1"/>
      <c r="ZM162" s="1"/>
      <c r="ZN162" s="1"/>
      <c r="ZO162" s="1"/>
      <c r="ZP162" s="1"/>
      <c r="ZQ162" s="1"/>
      <c r="ZR162" s="1"/>
      <c r="ZS162" s="1"/>
      <c r="ZT162" s="1"/>
      <c r="ZU162" s="1"/>
      <c r="ZV162" s="1"/>
      <c r="ZW162" s="1"/>
      <c r="ZX162" s="1"/>
      <c r="ZY162" s="1"/>
      <c r="ZZ162" s="1"/>
    </row>
    <row r="163" ht="19.5" customHeight="1">
      <c r="A163" s="10"/>
      <c r="B163" s="10"/>
      <c r="C163" s="10"/>
      <c r="D163" s="10" t="str">
        <f t="shared" si="2"/>
        <v/>
      </c>
      <c r="E163" s="287" t="str">
        <f t="array" ref="E163">IF(B163="","",IF(B163&lt;&gt;B162,SUMPRODUCT(($B$5:B163&lt;&gt;$B$4:B162)*($B$5:B163&lt;&gt;"")),""))</f>
        <v/>
      </c>
      <c r="F163" s="10" t="str">
        <f t="shared" si="3"/>
        <v/>
      </c>
      <c r="G163" s="10" t="str">
        <f t="shared" si="4"/>
        <v/>
      </c>
      <c r="H163" s="288" t="str">
        <f t="shared" si="5"/>
        <v/>
      </c>
      <c r="I163" s="10"/>
      <c r="J163" s="10"/>
      <c r="K163" s="10"/>
      <c r="L163" s="10" t="str">
        <f t="shared" si="6"/>
        <v/>
      </c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L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L163" s="10"/>
      <c r="CM163" s="10"/>
      <c r="CN163" s="10"/>
      <c r="CO163" s="10"/>
      <c r="CP163" s="10"/>
      <c r="CQ163" s="10"/>
      <c r="CR163" s="10"/>
      <c r="CS163" s="10"/>
      <c r="CT163" s="10"/>
      <c r="CU163" s="10"/>
      <c r="CV163" s="10"/>
      <c r="CW163" s="10"/>
      <c r="CX163" s="10"/>
      <c r="CY163" s="10"/>
      <c r="CZ163" s="10"/>
      <c r="DA163" s="10"/>
      <c r="DB163" s="10"/>
      <c r="DC163" s="10"/>
      <c r="DD163" s="10"/>
      <c r="DE163" s="10"/>
      <c r="DF163" s="10"/>
      <c r="DG163" s="10"/>
      <c r="DH163" s="10"/>
      <c r="DI163" s="10"/>
      <c r="DJ163" s="10"/>
      <c r="DK163" s="10"/>
      <c r="DL163" s="10"/>
      <c r="DM163" s="10"/>
      <c r="DN163" s="10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  <c r="VA163" s="1"/>
      <c r="VB163" s="1"/>
      <c r="VC163" s="1"/>
      <c r="VD163" s="1"/>
      <c r="VE163" s="1"/>
      <c r="VF163" s="1"/>
      <c r="VG163" s="1"/>
      <c r="VH163" s="1"/>
      <c r="VI163" s="1"/>
      <c r="VJ163" s="1"/>
      <c r="VK163" s="1"/>
      <c r="VL163" s="1"/>
      <c r="VM163" s="1"/>
      <c r="VN163" s="1"/>
      <c r="VO163" s="1"/>
      <c r="VP163" s="1"/>
      <c r="VQ163" s="1"/>
      <c r="VR163" s="1"/>
      <c r="VS163" s="1"/>
      <c r="VT163" s="1"/>
      <c r="VU163" s="1"/>
      <c r="VV163" s="1"/>
      <c r="VW163" s="1"/>
      <c r="VX163" s="1"/>
      <c r="VY163" s="1"/>
      <c r="VZ163" s="1"/>
      <c r="WA163" s="1"/>
      <c r="WB163" s="1"/>
      <c r="WC163" s="1"/>
      <c r="WD163" s="1"/>
      <c r="WE163" s="1"/>
      <c r="WF163" s="1"/>
      <c r="WG163" s="1"/>
      <c r="WH163" s="1"/>
      <c r="WI163" s="1"/>
      <c r="WJ163" s="1"/>
      <c r="WK163" s="1"/>
      <c r="WL163" s="1"/>
      <c r="WM163" s="1"/>
      <c r="WN163" s="1"/>
      <c r="WO163" s="1"/>
      <c r="WP163" s="1"/>
      <c r="WQ163" s="1"/>
      <c r="WR163" s="1"/>
      <c r="WS163" s="1"/>
      <c r="WT163" s="1"/>
      <c r="WU163" s="1"/>
      <c r="WV163" s="1"/>
      <c r="WW163" s="1"/>
      <c r="WX163" s="1"/>
      <c r="WY163" s="1"/>
      <c r="WZ163" s="1"/>
      <c r="XA163" s="1"/>
      <c r="XB163" s="1"/>
      <c r="XC163" s="1"/>
      <c r="XD163" s="1"/>
      <c r="XE163" s="1"/>
      <c r="XF163" s="1"/>
      <c r="XG163" s="1"/>
      <c r="XH163" s="1"/>
      <c r="XI163" s="1"/>
      <c r="XJ163" s="1"/>
      <c r="XK163" s="1"/>
      <c r="XL163" s="1"/>
      <c r="XM163" s="1"/>
      <c r="XN163" s="1"/>
      <c r="XO163" s="1"/>
      <c r="XP163" s="1"/>
      <c r="XQ163" s="1"/>
      <c r="XR163" s="1"/>
      <c r="XS163" s="1"/>
      <c r="XT163" s="1"/>
      <c r="XU163" s="1"/>
      <c r="XV163" s="1"/>
      <c r="XW163" s="1"/>
      <c r="XX163" s="1"/>
      <c r="XY163" s="1"/>
      <c r="XZ163" s="1"/>
      <c r="YA163" s="1"/>
      <c r="YB163" s="1"/>
      <c r="YC163" s="1"/>
      <c r="YD163" s="1"/>
      <c r="YE163" s="1"/>
      <c r="YF163" s="1"/>
      <c r="YG163" s="1"/>
      <c r="YH163" s="1"/>
      <c r="YI163" s="1"/>
      <c r="YJ163" s="1"/>
      <c r="YK163" s="1"/>
      <c r="YL163" s="1"/>
      <c r="YM163" s="1"/>
      <c r="YN163" s="1"/>
      <c r="YO163" s="1"/>
      <c r="YP163" s="1"/>
      <c r="YQ163" s="1"/>
      <c r="YR163" s="1"/>
      <c r="YS163" s="1"/>
      <c r="YT163" s="1"/>
      <c r="YU163" s="1"/>
      <c r="YV163" s="1"/>
      <c r="YW163" s="1"/>
      <c r="YX163" s="1"/>
      <c r="YY163" s="1"/>
      <c r="YZ163" s="1"/>
      <c r="ZA163" s="1"/>
      <c r="ZB163" s="1"/>
      <c r="ZC163" s="1"/>
      <c r="ZD163" s="1"/>
      <c r="ZE163" s="1"/>
      <c r="ZF163" s="1"/>
      <c r="ZG163" s="1"/>
      <c r="ZH163" s="1"/>
      <c r="ZI163" s="1"/>
      <c r="ZJ163" s="1"/>
      <c r="ZK163" s="1"/>
      <c r="ZL163" s="1"/>
      <c r="ZM163" s="1"/>
      <c r="ZN163" s="1"/>
      <c r="ZO163" s="1"/>
      <c r="ZP163" s="1"/>
      <c r="ZQ163" s="1"/>
      <c r="ZR163" s="1"/>
      <c r="ZS163" s="1"/>
      <c r="ZT163" s="1"/>
      <c r="ZU163" s="1"/>
      <c r="ZV163" s="1"/>
      <c r="ZW163" s="1"/>
      <c r="ZX163" s="1"/>
      <c r="ZY163" s="1"/>
      <c r="ZZ163" s="1"/>
    </row>
    <row r="164" ht="19.5" customHeight="1">
      <c r="A164" s="10"/>
      <c r="B164" s="10"/>
      <c r="C164" s="10"/>
      <c r="D164" s="10" t="str">
        <f t="shared" si="2"/>
        <v/>
      </c>
      <c r="E164" s="287" t="str">
        <f t="array" ref="E164">IF(B164="","",IF(B164&lt;&gt;B163,SUMPRODUCT(($B$5:B164&lt;&gt;$B$4:B163)*($B$5:B164&lt;&gt;"")),""))</f>
        <v/>
      </c>
      <c r="F164" s="10" t="str">
        <f t="shared" si="3"/>
        <v/>
      </c>
      <c r="G164" s="10" t="str">
        <f t="shared" si="4"/>
        <v/>
      </c>
      <c r="H164" s="288" t="str">
        <f t="shared" si="5"/>
        <v/>
      </c>
      <c r="I164" s="10"/>
      <c r="J164" s="10"/>
      <c r="K164" s="10"/>
      <c r="L164" s="10" t="str">
        <f t="shared" si="6"/>
        <v/>
      </c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L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L164" s="10"/>
      <c r="CM164" s="10"/>
      <c r="CN164" s="10"/>
      <c r="CO164" s="10"/>
      <c r="CP164" s="10"/>
      <c r="CQ164" s="10"/>
      <c r="CR164" s="10"/>
      <c r="CS164" s="10"/>
      <c r="CT164" s="10"/>
      <c r="CU164" s="10"/>
      <c r="CV164" s="10"/>
      <c r="CW164" s="10"/>
      <c r="CX164" s="10"/>
      <c r="CY164" s="10"/>
      <c r="CZ164" s="10"/>
      <c r="DA164" s="10"/>
      <c r="DB164" s="10"/>
      <c r="DC164" s="10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  <c r="VA164" s="1"/>
      <c r="VB164" s="1"/>
      <c r="VC164" s="1"/>
      <c r="VD164" s="1"/>
      <c r="VE164" s="1"/>
      <c r="VF164" s="1"/>
      <c r="VG164" s="1"/>
      <c r="VH164" s="1"/>
      <c r="VI164" s="1"/>
      <c r="VJ164" s="1"/>
      <c r="VK164" s="1"/>
      <c r="VL164" s="1"/>
      <c r="VM164" s="1"/>
      <c r="VN164" s="1"/>
      <c r="VO164" s="1"/>
      <c r="VP164" s="1"/>
      <c r="VQ164" s="1"/>
      <c r="VR164" s="1"/>
      <c r="VS164" s="1"/>
      <c r="VT164" s="1"/>
      <c r="VU164" s="1"/>
      <c r="VV164" s="1"/>
      <c r="VW164" s="1"/>
      <c r="VX164" s="1"/>
      <c r="VY164" s="1"/>
      <c r="VZ164" s="1"/>
      <c r="WA164" s="1"/>
      <c r="WB164" s="1"/>
      <c r="WC164" s="1"/>
      <c r="WD164" s="1"/>
      <c r="WE164" s="1"/>
      <c r="WF164" s="1"/>
      <c r="WG164" s="1"/>
      <c r="WH164" s="1"/>
      <c r="WI164" s="1"/>
      <c r="WJ164" s="1"/>
      <c r="WK164" s="1"/>
      <c r="WL164" s="1"/>
      <c r="WM164" s="1"/>
      <c r="WN164" s="1"/>
      <c r="WO164" s="1"/>
      <c r="WP164" s="1"/>
      <c r="WQ164" s="1"/>
      <c r="WR164" s="1"/>
      <c r="WS164" s="1"/>
      <c r="WT164" s="1"/>
      <c r="WU164" s="1"/>
      <c r="WV164" s="1"/>
      <c r="WW164" s="1"/>
      <c r="WX164" s="1"/>
      <c r="WY164" s="1"/>
      <c r="WZ164" s="1"/>
      <c r="XA164" s="1"/>
      <c r="XB164" s="1"/>
      <c r="XC164" s="1"/>
      <c r="XD164" s="1"/>
      <c r="XE164" s="1"/>
      <c r="XF164" s="1"/>
      <c r="XG164" s="1"/>
      <c r="XH164" s="1"/>
      <c r="XI164" s="1"/>
      <c r="XJ164" s="1"/>
      <c r="XK164" s="1"/>
      <c r="XL164" s="1"/>
      <c r="XM164" s="1"/>
      <c r="XN164" s="1"/>
      <c r="XO164" s="1"/>
      <c r="XP164" s="1"/>
      <c r="XQ164" s="1"/>
      <c r="XR164" s="1"/>
      <c r="XS164" s="1"/>
      <c r="XT164" s="1"/>
      <c r="XU164" s="1"/>
      <c r="XV164" s="1"/>
      <c r="XW164" s="1"/>
      <c r="XX164" s="1"/>
      <c r="XY164" s="1"/>
      <c r="XZ164" s="1"/>
      <c r="YA164" s="1"/>
      <c r="YB164" s="1"/>
      <c r="YC164" s="1"/>
      <c r="YD164" s="1"/>
      <c r="YE164" s="1"/>
      <c r="YF164" s="1"/>
      <c r="YG164" s="1"/>
      <c r="YH164" s="1"/>
      <c r="YI164" s="1"/>
      <c r="YJ164" s="1"/>
      <c r="YK164" s="1"/>
      <c r="YL164" s="1"/>
      <c r="YM164" s="1"/>
      <c r="YN164" s="1"/>
      <c r="YO164" s="1"/>
      <c r="YP164" s="1"/>
      <c r="YQ164" s="1"/>
      <c r="YR164" s="1"/>
      <c r="YS164" s="1"/>
      <c r="YT164" s="1"/>
      <c r="YU164" s="1"/>
      <c r="YV164" s="1"/>
      <c r="YW164" s="1"/>
      <c r="YX164" s="1"/>
      <c r="YY164" s="1"/>
      <c r="YZ164" s="1"/>
      <c r="ZA164" s="1"/>
      <c r="ZB164" s="1"/>
      <c r="ZC164" s="1"/>
      <c r="ZD164" s="1"/>
      <c r="ZE164" s="1"/>
      <c r="ZF164" s="1"/>
      <c r="ZG164" s="1"/>
      <c r="ZH164" s="1"/>
      <c r="ZI164" s="1"/>
      <c r="ZJ164" s="1"/>
      <c r="ZK164" s="1"/>
      <c r="ZL164" s="1"/>
      <c r="ZM164" s="1"/>
      <c r="ZN164" s="1"/>
      <c r="ZO164" s="1"/>
      <c r="ZP164" s="1"/>
      <c r="ZQ164" s="1"/>
      <c r="ZR164" s="1"/>
      <c r="ZS164" s="1"/>
      <c r="ZT164" s="1"/>
      <c r="ZU164" s="1"/>
      <c r="ZV164" s="1"/>
      <c r="ZW164" s="1"/>
      <c r="ZX164" s="1"/>
      <c r="ZY164" s="1"/>
      <c r="ZZ164" s="1"/>
    </row>
    <row r="165" ht="19.5" customHeight="1">
      <c r="A165" s="10"/>
      <c r="B165" s="10"/>
      <c r="C165" s="10"/>
      <c r="D165" s="10" t="str">
        <f t="shared" si="2"/>
        <v/>
      </c>
      <c r="E165" s="287" t="str">
        <f t="array" ref="E165">IF(B165="","",IF(B165&lt;&gt;B164,SUMPRODUCT(($B$5:B165&lt;&gt;$B$4:B164)*($B$5:B165&lt;&gt;"")),""))</f>
        <v/>
      </c>
      <c r="F165" s="10" t="str">
        <f t="shared" si="3"/>
        <v/>
      </c>
      <c r="G165" s="10" t="str">
        <f t="shared" si="4"/>
        <v/>
      </c>
      <c r="H165" s="288" t="str">
        <f t="shared" si="5"/>
        <v/>
      </c>
      <c r="I165" s="10"/>
      <c r="J165" s="10"/>
      <c r="K165" s="10"/>
      <c r="L165" s="10" t="str">
        <f t="shared" si="6"/>
        <v/>
      </c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L165" s="10"/>
      <c r="BM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  <c r="CD165" s="10"/>
      <c r="CE165" s="10"/>
      <c r="CF165" s="10"/>
      <c r="CG165" s="10"/>
      <c r="CH165" s="10"/>
      <c r="CI165" s="10"/>
      <c r="CJ165" s="10"/>
      <c r="CK165" s="10"/>
      <c r="CL165" s="10"/>
      <c r="CM165" s="10"/>
      <c r="CN165" s="10"/>
      <c r="CO165" s="10"/>
      <c r="CP165" s="10"/>
      <c r="CQ165" s="10"/>
      <c r="CR165" s="10"/>
      <c r="CS165" s="10"/>
      <c r="CT165" s="10"/>
      <c r="CU165" s="10"/>
      <c r="CV165" s="10"/>
      <c r="CW165" s="10"/>
      <c r="CX165" s="10"/>
      <c r="CY165" s="10"/>
      <c r="CZ165" s="10"/>
      <c r="DA165" s="10"/>
      <c r="DB165" s="10"/>
      <c r="DC165" s="10"/>
      <c r="DD165" s="10"/>
      <c r="DE165" s="10"/>
      <c r="DF165" s="10"/>
      <c r="DG165" s="10"/>
      <c r="DH165" s="10"/>
      <c r="DI165" s="10"/>
      <c r="DJ165" s="10"/>
      <c r="DK165" s="10"/>
      <c r="DL165" s="10"/>
      <c r="DM165" s="10"/>
      <c r="DN165" s="10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  <c r="VA165" s="1"/>
      <c r="VB165" s="1"/>
      <c r="VC165" s="1"/>
      <c r="VD165" s="1"/>
      <c r="VE165" s="1"/>
      <c r="VF165" s="1"/>
      <c r="VG165" s="1"/>
      <c r="VH165" s="1"/>
      <c r="VI165" s="1"/>
      <c r="VJ165" s="1"/>
      <c r="VK165" s="1"/>
      <c r="VL165" s="1"/>
      <c r="VM165" s="1"/>
      <c r="VN165" s="1"/>
      <c r="VO165" s="1"/>
      <c r="VP165" s="1"/>
      <c r="VQ165" s="1"/>
      <c r="VR165" s="1"/>
      <c r="VS165" s="1"/>
      <c r="VT165" s="1"/>
      <c r="VU165" s="1"/>
      <c r="VV165" s="1"/>
      <c r="VW165" s="1"/>
      <c r="VX165" s="1"/>
      <c r="VY165" s="1"/>
      <c r="VZ165" s="1"/>
      <c r="WA165" s="1"/>
      <c r="WB165" s="1"/>
      <c r="WC165" s="1"/>
      <c r="WD165" s="1"/>
      <c r="WE165" s="1"/>
      <c r="WF165" s="1"/>
      <c r="WG165" s="1"/>
      <c r="WH165" s="1"/>
      <c r="WI165" s="1"/>
      <c r="WJ165" s="1"/>
      <c r="WK165" s="1"/>
      <c r="WL165" s="1"/>
      <c r="WM165" s="1"/>
      <c r="WN165" s="1"/>
      <c r="WO165" s="1"/>
      <c r="WP165" s="1"/>
      <c r="WQ165" s="1"/>
      <c r="WR165" s="1"/>
      <c r="WS165" s="1"/>
      <c r="WT165" s="1"/>
      <c r="WU165" s="1"/>
      <c r="WV165" s="1"/>
      <c r="WW165" s="1"/>
      <c r="WX165" s="1"/>
      <c r="WY165" s="1"/>
      <c r="WZ165" s="1"/>
      <c r="XA165" s="1"/>
      <c r="XB165" s="1"/>
      <c r="XC165" s="1"/>
      <c r="XD165" s="1"/>
      <c r="XE165" s="1"/>
      <c r="XF165" s="1"/>
      <c r="XG165" s="1"/>
      <c r="XH165" s="1"/>
      <c r="XI165" s="1"/>
      <c r="XJ165" s="1"/>
      <c r="XK165" s="1"/>
      <c r="XL165" s="1"/>
      <c r="XM165" s="1"/>
      <c r="XN165" s="1"/>
      <c r="XO165" s="1"/>
      <c r="XP165" s="1"/>
      <c r="XQ165" s="1"/>
      <c r="XR165" s="1"/>
      <c r="XS165" s="1"/>
      <c r="XT165" s="1"/>
      <c r="XU165" s="1"/>
      <c r="XV165" s="1"/>
      <c r="XW165" s="1"/>
      <c r="XX165" s="1"/>
      <c r="XY165" s="1"/>
      <c r="XZ165" s="1"/>
      <c r="YA165" s="1"/>
      <c r="YB165" s="1"/>
      <c r="YC165" s="1"/>
      <c r="YD165" s="1"/>
      <c r="YE165" s="1"/>
      <c r="YF165" s="1"/>
      <c r="YG165" s="1"/>
      <c r="YH165" s="1"/>
      <c r="YI165" s="1"/>
      <c r="YJ165" s="1"/>
      <c r="YK165" s="1"/>
      <c r="YL165" s="1"/>
      <c r="YM165" s="1"/>
      <c r="YN165" s="1"/>
      <c r="YO165" s="1"/>
      <c r="YP165" s="1"/>
      <c r="YQ165" s="1"/>
      <c r="YR165" s="1"/>
      <c r="YS165" s="1"/>
      <c r="YT165" s="1"/>
      <c r="YU165" s="1"/>
      <c r="YV165" s="1"/>
      <c r="YW165" s="1"/>
      <c r="YX165" s="1"/>
      <c r="YY165" s="1"/>
      <c r="YZ165" s="1"/>
      <c r="ZA165" s="1"/>
      <c r="ZB165" s="1"/>
      <c r="ZC165" s="1"/>
      <c r="ZD165" s="1"/>
      <c r="ZE165" s="1"/>
      <c r="ZF165" s="1"/>
      <c r="ZG165" s="1"/>
      <c r="ZH165" s="1"/>
      <c r="ZI165" s="1"/>
      <c r="ZJ165" s="1"/>
      <c r="ZK165" s="1"/>
      <c r="ZL165" s="1"/>
      <c r="ZM165" s="1"/>
      <c r="ZN165" s="1"/>
      <c r="ZO165" s="1"/>
      <c r="ZP165" s="1"/>
      <c r="ZQ165" s="1"/>
      <c r="ZR165" s="1"/>
      <c r="ZS165" s="1"/>
      <c r="ZT165" s="1"/>
      <c r="ZU165" s="1"/>
      <c r="ZV165" s="1"/>
      <c r="ZW165" s="1"/>
      <c r="ZX165" s="1"/>
      <c r="ZY165" s="1"/>
      <c r="ZZ165" s="1"/>
    </row>
    <row r="166" ht="19.5" customHeight="1">
      <c r="A166" s="10"/>
      <c r="B166" s="10"/>
      <c r="C166" s="10"/>
      <c r="D166" s="10" t="str">
        <f t="shared" si="2"/>
        <v/>
      </c>
      <c r="E166" s="287" t="str">
        <f t="array" ref="E166">IF(B166="","",IF(B166&lt;&gt;B165,SUMPRODUCT(($B$5:B166&lt;&gt;$B$4:B165)*($B$5:B166&lt;&gt;"")),""))</f>
        <v/>
      </c>
      <c r="F166" s="10" t="str">
        <f t="shared" si="3"/>
        <v/>
      </c>
      <c r="G166" s="10" t="str">
        <f t="shared" si="4"/>
        <v/>
      </c>
      <c r="H166" s="288" t="str">
        <f t="shared" si="5"/>
        <v/>
      </c>
      <c r="I166" s="10"/>
      <c r="J166" s="10"/>
      <c r="K166" s="10"/>
      <c r="L166" s="10" t="str">
        <f t="shared" si="6"/>
        <v/>
      </c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L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  <c r="CG166" s="10"/>
      <c r="CH166" s="10"/>
      <c r="CI166" s="10"/>
      <c r="CJ166" s="10"/>
      <c r="CK166" s="10"/>
      <c r="CL166" s="10"/>
      <c r="CM166" s="10"/>
      <c r="CN166" s="10"/>
      <c r="CO166" s="10"/>
      <c r="CP166" s="10"/>
      <c r="CQ166" s="10"/>
      <c r="CR166" s="10"/>
      <c r="CS166" s="10"/>
      <c r="CT166" s="10"/>
      <c r="CU166" s="10"/>
      <c r="CV166" s="10"/>
      <c r="CW166" s="10"/>
      <c r="CX166" s="10"/>
      <c r="CY166" s="10"/>
      <c r="CZ166" s="10"/>
      <c r="DA166" s="10"/>
      <c r="DB166" s="10"/>
      <c r="DC166" s="10"/>
      <c r="DD166" s="10"/>
      <c r="DE166" s="10"/>
      <c r="DF166" s="10"/>
      <c r="DG166" s="10"/>
      <c r="DH166" s="10"/>
      <c r="DI166" s="10"/>
      <c r="DJ166" s="10"/>
      <c r="DK166" s="10"/>
      <c r="DL166" s="10"/>
      <c r="DM166" s="10"/>
      <c r="DN166" s="10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  <c r="VA166" s="1"/>
      <c r="VB166" s="1"/>
      <c r="VC166" s="1"/>
      <c r="VD166" s="1"/>
      <c r="VE166" s="1"/>
      <c r="VF166" s="1"/>
      <c r="VG166" s="1"/>
      <c r="VH166" s="1"/>
      <c r="VI166" s="1"/>
      <c r="VJ166" s="1"/>
      <c r="VK166" s="1"/>
      <c r="VL166" s="1"/>
      <c r="VM166" s="1"/>
      <c r="VN166" s="1"/>
      <c r="VO166" s="1"/>
      <c r="VP166" s="1"/>
      <c r="VQ166" s="1"/>
      <c r="VR166" s="1"/>
      <c r="VS166" s="1"/>
      <c r="VT166" s="1"/>
      <c r="VU166" s="1"/>
      <c r="VV166" s="1"/>
      <c r="VW166" s="1"/>
      <c r="VX166" s="1"/>
      <c r="VY166" s="1"/>
      <c r="VZ166" s="1"/>
      <c r="WA166" s="1"/>
      <c r="WB166" s="1"/>
      <c r="WC166" s="1"/>
      <c r="WD166" s="1"/>
      <c r="WE166" s="1"/>
      <c r="WF166" s="1"/>
      <c r="WG166" s="1"/>
      <c r="WH166" s="1"/>
      <c r="WI166" s="1"/>
      <c r="WJ166" s="1"/>
      <c r="WK166" s="1"/>
      <c r="WL166" s="1"/>
      <c r="WM166" s="1"/>
      <c r="WN166" s="1"/>
      <c r="WO166" s="1"/>
      <c r="WP166" s="1"/>
      <c r="WQ166" s="1"/>
      <c r="WR166" s="1"/>
      <c r="WS166" s="1"/>
      <c r="WT166" s="1"/>
      <c r="WU166" s="1"/>
      <c r="WV166" s="1"/>
      <c r="WW166" s="1"/>
      <c r="WX166" s="1"/>
      <c r="WY166" s="1"/>
      <c r="WZ166" s="1"/>
      <c r="XA166" s="1"/>
      <c r="XB166" s="1"/>
      <c r="XC166" s="1"/>
      <c r="XD166" s="1"/>
      <c r="XE166" s="1"/>
      <c r="XF166" s="1"/>
      <c r="XG166" s="1"/>
      <c r="XH166" s="1"/>
      <c r="XI166" s="1"/>
      <c r="XJ166" s="1"/>
      <c r="XK166" s="1"/>
      <c r="XL166" s="1"/>
      <c r="XM166" s="1"/>
      <c r="XN166" s="1"/>
      <c r="XO166" s="1"/>
      <c r="XP166" s="1"/>
      <c r="XQ166" s="1"/>
      <c r="XR166" s="1"/>
      <c r="XS166" s="1"/>
      <c r="XT166" s="1"/>
      <c r="XU166" s="1"/>
      <c r="XV166" s="1"/>
      <c r="XW166" s="1"/>
      <c r="XX166" s="1"/>
      <c r="XY166" s="1"/>
      <c r="XZ166" s="1"/>
      <c r="YA166" s="1"/>
      <c r="YB166" s="1"/>
      <c r="YC166" s="1"/>
      <c r="YD166" s="1"/>
      <c r="YE166" s="1"/>
      <c r="YF166" s="1"/>
      <c r="YG166" s="1"/>
      <c r="YH166" s="1"/>
      <c r="YI166" s="1"/>
      <c r="YJ166" s="1"/>
      <c r="YK166" s="1"/>
      <c r="YL166" s="1"/>
      <c r="YM166" s="1"/>
      <c r="YN166" s="1"/>
      <c r="YO166" s="1"/>
      <c r="YP166" s="1"/>
      <c r="YQ166" s="1"/>
      <c r="YR166" s="1"/>
      <c r="YS166" s="1"/>
      <c r="YT166" s="1"/>
      <c r="YU166" s="1"/>
      <c r="YV166" s="1"/>
      <c r="YW166" s="1"/>
      <c r="YX166" s="1"/>
      <c r="YY166" s="1"/>
      <c r="YZ166" s="1"/>
      <c r="ZA166" s="1"/>
      <c r="ZB166" s="1"/>
      <c r="ZC166" s="1"/>
      <c r="ZD166" s="1"/>
      <c r="ZE166" s="1"/>
      <c r="ZF166" s="1"/>
      <c r="ZG166" s="1"/>
      <c r="ZH166" s="1"/>
      <c r="ZI166" s="1"/>
      <c r="ZJ166" s="1"/>
      <c r="ZK166" s="1"/>
      <c r="ZL166" s="1"/>
      <c r="ZM166" s="1"/>
      <c r="ZN166" s="1"/>
      <c r="ZO166" s="1"/>
      <c r="ZP166" s="1"/>
      <c r="ZQ166" s="1"/>
      <c r="ZR166" s="1"/>
      <c r="ZS166" s="1"/>
      <c r="ZT166" s="1"/>
      <c r="ZU166" s="1"/>
      <c r="ZV166" s="1"/>
      <c r="ZW166" s="1"/>
      <c r="ZX166" s="1"/>
      <c r="ZY166" s="1"/>
      <c r="ZZ166" s="1"/>
    </row>
    <row r="167" ht="19.5" customHeight="1">
      <c r="A167" s="10"/>
      <c r="B167" s="10"/>
      <c r="C167" s="10"/>
      <c r="D167" s="10" t="str">
        <f t="shared" si="2"/>
        <v/>
      </c>
      <c r="E167" s="287" t="str">
        <f t="array" ref="E167">IF(B167="","",IF(B167&lt;&gt;B166,SUMPRODUCT(($B$5:B167&lt;&gt;$B$4:B166)*($B$5:B167&lt;&gt;"")),""))</f>
        <v/>
      </c>
      <c r="F167" s="10" t="str">
        <f t="shared" si="3"/>
        <v/>
      </c>
      <c r="G167" s="10" t="str">
        <f t="shared" si="4"/>
        <v/>
      </c>
      <c r="H167" s="288" t="str">
        <f t="shared" si="5"/>
        <v/>
      </c>
      <c r="I167" s="10"/>
      <c r="J167" s="10"/>
      <c r="K167" s="10"/>
      <c r="L167" s="10" t="str">
        <f t="shared" si="6"/>
        <v/>
      </c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L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  <c r="CG167" s="10"/>
      <c r="CH167" s="10"/>
      <c r="CI167" s="10"/>
      <c r="CJ167" s="10"/>
      <c r="CK167" s="10"/>
      <c r="CL167" s="10"/>
      <c r="CM167" s="10"/>
      <c r="CN167" s="10"/>
      <c r="CO167" s="10"/>
      <c r="CP167" s="10"/>
      <c r="CQ167" s="10"/>
      <c r="CR167" s="10"/>
      <c r="CS167" s="10"/>
      <c r="CT167" s="10"/>
      <c r="CU167" s="10"/>
      <c r="CV167" s="10"/>
      <c r="CW167" s="10"/>
      <c r="CX167" s="10"/>
      <c r="CY167" s="10"/>
      <c r="CZ167" s="10"/>
      <c r="DA167" s="10"/>
      <c r="DB167" s="10"/>
      <c r="DC167" s="10"/>
      <c r="DD167" s="10"/>
      <c r="DE167" s="10"/>
      <c r="DF167" s="10"/>
      <c r="DG167" s="10"/>
      <c r="DH167" s="10"/>
      <c r="DI167" s="10"/>
      <c r="DJ167" s="10"/>
      <c r="DK167" s="10"/>
      <c r="DL167" s="10"/>
      <c r="DM167" s="10"/>
      <c r="DN167" s="10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  <c r="VA167" s="1"/>
      <c r="VB167" s="1"/>
      <c r="VC167" s="1"/>
      <c r="VD167" s="1"/>
      <c r="VE167" s="1"/>
      <c r="VF167" s="1"/>
      <c r="VG167" s="1"/>
      <c r="VH167" s="1"/>
      <c r="VI167" s="1"/>
      <c r="VJ167" s="1"/>
      <c r="VK167" s="1"/>
      <c r="VL167" s="1"/>
      <c r="VM167" s="1"/>
      <c r="VN167" s="1"/>
      <c r="VO167" s="1"/>
      <c r="VP167" s="1"/>
      <c r="VQ167" s="1"/>
      <c r="VR167" s="1"/>
      <c r="VS167" s="1"/>
      <c r="VT167" s="1"/>
      <c r="VU167" s="1"/>
      <c r="VV167" s="1"/>
      <c r="VW167" s="1"/>
      <c r="VX167" s="1"/>
      <c r="VY167" s="1"/>
      <c r="VZ167" s="1"/>
      <c r="WA167" s="1"/>
      <c r="WB167" s="1"/>
      <c r="WC167" s="1"/>
      <c r="WD167" s="1"/>
      <c r="WE167" s="1"/>
      <c r="WF167" s="1"/>
      <c r="WG167" s="1"/>
      <c r="WH167" s="1"/>
      <c r="WI167" s="1"/>
      <c r="WJ167" s="1"/>
      <c r="WK167" s="1"/>
      <c r="WL167" s="1"/>
      <c r="WM167" s="1"/>
      <c r="WN167" s="1"/>
      <c r="WO167" s="1"/>
      <c r="WP167" s="1"/>
      <c r="WQ167" s="1"/>
      <c r="WR167" s="1"/>
      <c r="WS167" s="1"/>
      <c r="WT167" s="1"/>
      <c r="WU167" s="1"/>
      <c r="WV167" s="1"/>
      <c r="WW167" s="1"/>
      <c r="WX167" s="1"/>
      <c r="WY167" s="1"/>
      <c r="WZ167" s="1"/>
      <c r="XA167" s="1"/>
      <c r="XB167" s="1"/>
      <c r="XC167" s="1"/>
      <c r="XD167" s="1"/>
      <c r="XE167" s="1"/>
      <c r="XF167" s="1"/>
      <c r="XG167" s="1"/>
      <c r="XH167" s="1"/>
      <c r="XI167" s="1"/>
      <c r="XJ167" s="1"/>
      <c r="XK167" s="1"/>
      <c r="XL167" s="1"/>
      <c r="XM167" s="1"/>
      <c r="XN167" s="1"/>
      <c r="XO167" s="1"/>
      <c r="XP167" s="1"/>
      <c r="XQ167" s="1"/>
      <c r="XR167" s="1"/>
      <c r="XS167" s="1"/>
      <c r="XT167" s="1"/>
      <c r="XU167" s="1"/>
      <c r="XV167" s="1"/>
      <c r="XW167" s="1"/>
      <c r="XX167" s="1"/>
      <c r="XY167" s="1"/>
      <c r="XZ167" s="1"/>
      <c r="YA167" s="1"/>
      <c r="YB167" s="1"/>
      <c r="YC167" s="1"/>
      <c r="YD167" s="1"/>
      <c r="YE167" s="1"/>
      <c r="YF167" s="1"/>
      <c r="YG167" s="1"/>
      <c r="YH167" s="1"/>
      <c r="YI167" s="1"/>
      <c r="YJ167" s="1"/>
      <c r="YK167" s="1"/>
      <c r="YL167" s="1"/>
      <c r="YM167" s="1"/>
      <c r="YN167" s="1"/>
      <c r="YO167" s="1"/>
      <c r="YP167" s="1"/>
      <c r="YQ167" s="1"/>
      <c r="YR167" s="1"/>
      <c r="YS167" s="1"/>
      <c r="YT167" s="1"/>
      <c r="YU167" s="1"/>
      <c r="YV167" s="1"/>
      <c r="YW167" s="1"/>
      <c r="YX167" s="1"/>
      <c r="YY167" s="1"/>
      <c r="YZ167" s="1"/>
      <c r="ZA167" s="1"/>
      <c r="ZB167" s="1"/>
      <c r="ZC167" s="1"/>
      <c r="ZD167" s="1"/>
      <c r="ZE167" s="1"/>
      <c r="ZF167" s="1"/>
      <c r="ZG167" s="1"/>
      <c r="ZH167" s="1"/>
      <c r="ZI167" s="1"/>
      <c r="ZJ167" s="1"/>
      <c r="ZK167" s="1"/>
      <c r="ZL167" s="1"/>
      <c r="ZM167" s="1"/>
      <c r="ZN167" s="1"/>
      <c r="ZO167" s="1"/>
      <c r="ZP167" s="1"/>
      <c r="ZQ167" s="1"/>
      <c r="ZR167" s="1"/>
      <c r="ZS167" s="1"/>
      <c r="ZT167" s="1"/>
      <c r="ZU167" s="1"/>
      <c r="ZV167" s="1"/>
      <c r="ZW167" s="1"/>
      <c r="ZX167" s="1"/>
      <c r="ZY167" s="1"/>
      <c r="ZZ167" s="1"/>
    </row>
    <row r="168" ht="19.5" customHeight="1">
      <c r="A168" s="10"/>
      <c r="B168" s="10"/>
      <c r="C168" s="10"/>
      <c r="D168" s="10" t="str">
        <f t="shared" si="2"/>
        <v/>
      </c>
      <c r="E168" s="287" t="str">
        <f t="array" ref="E168">IF(B168="","",IF(B168&lt;&gt;B167,SUMPRODUCT(($B$5:B168&lt;&gt;$B$4:B167)*($B$5:B168&lt;&gt;"")),""))</f>
        <v/>
      </c>
      <c r="F168" s="10" t="str">
        <f t="shared" si="3"/>
        <v/>
      </c>
      <c r="G168" s="10" t="str">
        <f t="shared" si="4"/>
        <v/>
      </c>
      <c r="H168" s="288" t="str">
        <f t="shared" si="5"/>
        <v/>
      </c>
      <c r="I168" s="10"/>
      <c r="J168" s="10"/>
      <c r="K168" s="10"/>
      <c r="L168" s="10" t="str">
        <f t="shared" si="6"/>
        <v/>
      </c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L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  <c r="CG168" s="10"/>
      <c r="CH168" s="10"/>
      <c r="CI168" s="10"/>
      <c r="CJ168" s="10"/>
      <c r="CK168" s="10"/>
      <c r="CL168" s="10"/>
      <c r="CM168" s="10"/>
      <c r="CN168" s="10"/>
      <c r="CO168" s="10"/>
      <c r="CP168" s="10"/>
      <c r="CQ168" s="10"/>
      <c r="CR168" s="10"/>
      <c r="CS168" s="10"/>
      <c r="CT168" s="10"/>
      <c r="CU168" s="10"/>
      <c r="CV168" s="10"/>
      <c r="CW168" s="10"/>
      <c r="CX168" s="10"/>
      <c r="CY168" s="10"/>
      <c r="CZ168" s="10"/>
      <c r="DA168" s="10"/>
      <c r="DB168" s="10"/>
      <c r="DC168" s="10"/>
      <c r="DD168" s="10"/>
      <c r="DE168" s="10"/>
      <c r="DF168" s="10"/>
      <c r="DG168" s="10"/>
      <c r="DH168" s="10"/>
      <c r="DI168" s="10"/>
      <c r="DJ168" s="10"/>
      <c r="DK168" s="10"/>
      <c r="DL168" s="10"/>
      <c r="DM168" s="10"/>
      <c r="DN168" s="10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  <c r="VA168" s="1"/>
      <c r="VB168" s="1"/>
      <c r="VC168" s="1"/>
      <c r="VD168" s="1"/>
      <c r="VE168" s="1"/>
      <c r="VF168" s="1"/>
      <c r="VG168" s="1"/>
      <c r="VH168" s="1"/>
      <c r="VI168" s="1"/>
      <c r="VJ168" s="1"/>
      <c r="VK168" s="1"/>
      <c r="VL168" s="1"/>
      <c r="VM168" s="1"/>
      <c r="VN168" s="1"/>
      <c r="VO168" s="1"/>
      <c r="VP168" s="1"/>
      <c r="VQ168" s="1"/>
      <c r="VR168" s="1"/>
      <c r="VS168" s="1"/>
      <c r="VT168" s="1"/>
      <c r="VU168" s="1"/>
      <c r="VV168" s="1"/>
      <c r="VW168" s="1"/>
      <c r="VX168" s="1"/>
      <c r="VY168" s="1"/>
      <c r="VZ168" s="1"/>
      <c r="WA168" s="1"/>
      <c r="WB168" s="1"/>
      <c r="WC168" s="1"/>
      <c r="WD168" s="1"/>
      <c r="WE168" s="1"/>
      <c r="WF168" s="1"/>
      <c r="WG168" s="1"/>
      <c r="WH168" s="1"/>
      <c r="WI168" s="1"/>
      <c r="WJ168" s="1"/>
      <c r="WK168" s="1"/>
      <c r="WL168" s="1"/>
      <c r="WM168" s="1"/>
      <c r="WN168" s="1"/>
      <c r="WO168" s="1"/>
      <c r="WP168" s="1"/>
      <c r="WQ168" s="1"/>
      <c r="WR168" s="1"/>
      <c r="WS168" s="1"/>
      <c r="WT168" s="1"/>
      <c r="WU168" s="1"/>
      <c r="WV168" s="1"/>
      <c r="WW168" s="1"/>
      <c r="WX168" s="1"/>
      <c r="WY168" s="1"/>
      <c r="WZ168" s="1"/>
      <c r="XA168" s="1"/>
      <c r="XB168" s="1"/>
      <c r="XC168" s="1"/>
      <c r="XD168" s="1"/>
      <c r="XE168" s="1"/>
      <c r="XF168" s="1"/>
      <c r="XG168" s="1"/>
      <c r="XH168" s="1"/>
      <c r="XI168" s="1"/>
      <c r="XJ168" s="1"/>
      <c r="XK168" s="1"/>
      <c r="XL168" s="1"/>
      <c r="XM168" s="1"/>
      <c r="XN168" s="1"/>
      <c r="XO168" s="1"/>
      <c r="XP168" s="1"/>
      <c r="XQ168" s="1"/>
      <c r="XR168" s="1"/>
      <c r="XS168" s="1"/>
      <c r="XT168" s="1"/>
      <c r="XU168" s="1"/>
      <c r="XV168" s="1"/>
      <c r="XW168" s="1"/>
      <c r="XX168" s="1"/>
      <c r="XY168" s="1"/>
      <c r="XZ168" s="1"/>
      <c r="YA168" s="1"/>
      <c r="YB168" s="1"/>
      <c r="YC168" s="1"/>
      <c r="YD168" s="1"/>
      <c r="YE168" s="1"/>
      <c r="YF168" s="1"/>
      <c r="YG168" s="1"/>
      <c r="YH168" s="1"/>
      <c r="YI168" s="1"/>
      <c r="YJ168" s="1"/>
      <c r="YK168" s="1"/>
      <c r="YL168" s="1"/>
      <c r="YM168" s="1"/>
      <c r="YN168" s="1"/>
      <c r="YO168" s="1"/>
      <c r="YP168" s="1"/>
      <c r="YQ168" s="1"/>
      <c r="YR168" s="1"/>
      <c r="YS168" s="1"/>
      <c r="YT168" s="1"/>
      <c r="YU168" s="1"/>
      <c r="YV168" s="1"/>
      <c r="YW168" s="1"/>
      <c r="YX168" s="1"/>
      <c r="YY168" s="1"/>
      <c r="YZ168" s="1"/>
      <c r="ZA168" s="1"/>
      <c r="ZB168" s="1"/>
      <c r="ZC168" s="1"/>
      <c r="ZD168" s="1"/>
      <c r="ZE168" s="1"/>
      <c r="ZF168" s="1"/>
      <c r="ZG168" s="1"/>
      <c r="ZH168" s="1"/>
      <c r="ZI168" s="1"/>
      <c r="ZJ168" s="1"/>
      <c r="ZK168" s="1"/>
      <c r="ZL168" s="1"/>
      <c r="ZM168" s="1"/>
      <c r="ZN168" s="1"/>
      <c r="ZO168" s="1"/>
      <c r="ZP168" s="1"/>
      <c r="ZQ168" s="1"/>
      <c r="ZR168" s="1"/>
      <c r="ZS168" s="1"/>
      <c r="ZT168" s="1"/>
      <c r="ZU168" s="1"/>
      <c r="ZV168" s="1"/>
      <c r="ZW168" s="1"/>
      <c r="ZX168" s="1"/>
      <c r="ZY168" s="1"/>
      <c r="ZZ168" s="1"/>
    </row>
    <row r="169" ht="19.5" customHeight="1">
      <c r="A169" s="10"/>
      <c r="B169" s="10"/>
      <c r="C169" s="10"/>
      <c r="D169" s="10" t="str">
        <f t="shared" si="2"/>
        <v/>
      </c>
      <c r="E169" s="287" t="str">
        <f t="array" ref="E169">IF(B169="","",IF(B169&lt;&gt;B168,SUMPRODUCT(($B$5:B169&lt;&gt;$B$4:B168)*($B$5:B169&lt;&gt;"")),""))</f>
        <v/>
      </c>
      <c r="F169" s="10" t="str">
        <f t="shared" si="3"/>
        <v/>
      </c>
      <c r="G169" s="10" t="str">
        <f t="shared" si="4"/>
        <v/>
      </c>
      <c r="H169" s="288" t="str">
        <f t="shared" si="5"/>
        <v/>
      </c>
      <c r="I169" s="10"/>
      <c r="J169" s="10"/>
      <c r="K169" s="10"/>
      <c r="L169" s="10" t="str">
        <f t="shared" si="6"/>
        <v/>
      </c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L169" s="10"/>
      <c r="CM169" s="10"/>
      <c r="CN169" s="10"/>
      <c r="CO169" s="10"/>
      <c r="CP169" s="10"/>
      <c r="CQ169" s="10"/>
      <c r="CR169" s="10"/>
      <c r="CS169" s="10"/>
      <c r="CT169" s="10"/>
      <c r="CU169" s="10"/>
      <c r="CV169" s="10"/>
      <c r="CW169" s="10"/>
      <c r="CX169" s="10"/>
      <c r="CY169" s="10"/>
      <c r="CZ169" s="10"/>
      <c r="DA169" s="10"/>
      <c r="DB169" s="10"/>
      <c r="DC169" s="10"/>
      <c r="DD169" s="10"/>
      <c r="DE169" s="10"/>
      <c r="DF169" s="10"/>
      <c r="DG169" s="10"/>
      <c r="DH169" s="10"/>
      <c r="DI169" s="10"/>
      <c r="DJ169" s="10"/>
      <c r="DK169" s="10"/>
      <c r="DL169" s="10"/>
      <c r="DM169" s="10"/>
      <c r="DN169" s="10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  <c r="VA169" s="1"/>
      <c r="VB169" s="1"/>
      <c r="VC169" s="1"/>
      <c r="VD169" s="1"/>
      <c r="VE169" s="1"/>
      <c r="VF169" s="1"/>
      <c r="VG169" s="1"/>
      <c r="VH169" s="1"/>
      <c r="VI169" s="1"/>
      <c r="VJ169" s="1"/>
      <c r="VK169" s="1"/>
      <c r="VL169" s="1"/>
      <c r="VM169" s="1"/>
      <c r="VN169" s="1"/>
      <c r="VO169" s="1"/>
      <c r="VP169" s="1"/>
      <c r="VQ169" s="1"/>
      <c r="VR169" s="1"/>
      <c r="VS169" s="1"/>
      <c r="VT169" s="1"/>
      <c r="VU169" s="1"/>
      <c r="VV169" s="1"/>
      <c r="VW169" s="1"/>
      <c r="VX169" s="1"/>
      <c r="VY169" s="1"/>
      <c r="VZ169" s="1"/>
      <c r="WA169" s="1"/>
      <c r="WB169" s="1"/>
      <c r="WC169" s="1"/>
      <c r="WD169" s="1"/>
      <c r="WE169" s="1"/>
      <c r="WF169" s="1"/>
      <c r="WG169" s="1"/>
      <c r="WH169" s="1"/>
      <c r="WI169" s="1"/>
      <c r="WJ169" s="1"/>
      <c r="WK169" s="1"/>
      <c r="WL169" s="1"/>
      <c r="WM169" s="1"/>
      <c r="WN169" s="1"/>
      <c r="WO169" s="1"/>
      <c r="WP169" s="1"/>
      <c r="WQ169" s="1"/>
      <c r="WR169" s="1"/>
      <c r="WS169" s="1"/>
      <c r="WT169" s="1"/>
      <c r="WU169" s="1"/>
      <c r="WV169" s="1"/>
      <c r="WW169" s="1"/>
      <c r="WX169" s="1"/>
      <c r="WY169" s="1"/>
      <c r="WZ169" s="1"/>
      <c r="XA169" s="1"/>
      <c r="XB169" s="1"/>
      <c r="XC169" s="1"/>
      <c r="XD169" s="1"/>
      <c r="XE169" s="1"/>
      <c r="XF169" s="1"/>
      <c r="XG169" s="1"/>
      <c r="XH169" s="1"/>
      <c r="XI169" s="1"/>
      <c r="XJ169" s="1"/>
      <c r="XK169" s="1"/>
      <c r="XL169" s="1"/>
      <c r="XM169" s="1"/>
      <c r="XN169" s="1"/>
      <c r="XO169" s="1"/>
      <c r="XP169" s="1"/>
      <c r="XQ169" s="1"/>
      <c r="XR169" s="1"/>
      <c r="XS169" s="1"/>
      <c r="XT169" s="1"/>
      <c r="XU169" s="1"/>
      <c r="XV169" s="1"/>
      <c r="XW169" s="1"/>
      <c r="XX169" s="1"/>
      <c r="XY169" s="1"/>
      <c r="XZ169" s="1"/>
      <c r="YA169" s="1"/>
      <c r="YB169" s="1"/>
      <c r="YC169" s="1"/>
      <c r="YD169" s="1"/>
      <c r="YE169" s="1"/>
      <c r="YF169" s="1"/>
      <c r="YG169" s="1"/>
      <c r="YH169" s="1"/>
      <c r="YI169" s="1"/>
      <c r="YJ169" s="1"/>
      <c r="YK169" s="1"/>
      <c r="YL169" s="1"/>
      <c r="YM169" s="1"/>
      <c r="YN169" s="1"/>
      <c r="YO169" s="1"/>
      <c r="YP169" s="1"/>
      <c r="YQ169" s="1"/>
      <c r="YR169" s="1"/>
      <c r="YS169" s="1"/>
      <c r="YT169" s="1"/>
      <c r="YU169" s="1"/>
      <c r="YV169" s="1"/>
      <c r="YW169" s="1"/>
      <c r="YX169" s="1"/>
      <c r="YY169" s="1"/>
      <c r="YZ169" s="1"/>
      <c r="ZA169" s="1"/>
      <c r="ZB169" s="1"/>
      <c r="ZC169" s="1"/>
      <c r="ZD169" s="1"/>
      <c r="ZE169" s="1"/>
      <c r="ZF169" s="1"/>
      <c r="ZG169" s="1"/>
      <c r="ZH169" s="1"/>
      <c r="ZI169" s="1"/>
      <c r="ZJ169" s="1"/>
      <c r="ZK169" s="1"/>
      <c r="ZL169" s="1"/>
      <c r="ZM169" s="1"/>
      <c r="ZN169" s="1"/>
      <c r="ZO169" s="1"/>
      <c r="ZP169" s="1"/>
      <c r="ZQ169" s="1"/>
      <c r="ZR169" s="1"/>
      <c r="ZS169" s="1"/>
      <c r="ZT169" s="1"/>
      <c r="ZU169" s="1"/>
      <c r="ZV169" s="1"/>
      <c r="ZW169" s="1"/>
      <c r="ZX169" s="1"/>
      <c r="ZY169" s="1"/>
      <c r="ZZ169" s="1"/>
    </row>
    <row r="170" ht="19.5" customHeight="1">
      <c r="A170" s="10"/>
      <c r="B170" s="10"/>
      <c r="C170" s="10"/>
      <c r="D170" s="10" t="str">
        <f t="shared" si="2"/>
        <v/>
      </c>
      <c r="E170" s="287" t="str">
        <f t="array" ref="E170">IF(B170="","",IF(B170&lt;&gt;B169,SUMPRODUCT(($B$5:B170&lt;&gt;$B$4:B169)*($B$5:B170&lt;&gt;"")),""))</f>
        <v/>
      </c>
      <c r="F170" s="10" t="str">
        <f t="shared" si="3"/>
        <v/>
      </c>
      <c r="G170" s="10" t="str">
        <f t="shared" si="4"/>
        <v/>
      </c>
      <c r="H170" s="288" t="str">
        <f t="shared" si="5"/>
        <v/>
      </c>
      <c r="I170" s="10"/>
      <c r="J170" s="10"/>
      <c r="K170" s="10"/>
      <c r="L170" s="10" t="str">
        <f t="shared" si="6"/>
        <v/>
      </c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L170" s="10"/>
      <c r="CM170" s="10"/>
      <c r="CN170" s="10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0"/>
      <c r="DA170" s="10"/>
      <c r="DB170" s="10"/>
      <c r="DC170" s="10"/>
      <c r="DD170" s="10"/>
      <c r="DE170" s="10"/>
      <c r="DF170" s="10"/>
      <c r="DG170" s="10"/>
      <c r="DH170" s="10"/>
      <c r="DI170" s="10"/>
      <c r="DJ170" s="10"/>
      <c r="DK170" s="10"/>
      <c r="DL170" s="10"/>
      <c r="DM170" s="10"/>
      <c r="DN170" s="10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  <c r="VA170" s="1"/>
      <c r="VB170" s="1"/>
      <c r="VC170" s="1"/>
      <c r="VD170" s="1"/>
      <c r="VE170" s="1"/>
      <c r="VF170" s="1"/>
      <c r="VG170" s="1"/>
      <c r="VH170" s="1"/>
      <c r="VI170" s="1"/>
      <c r="VJ170" s="1"/>
      <c r="VK170" s="1"/>
      <c r="VL170" s="1"/>
      <c r="VM170" s="1"/>
      <c r="VN170" s="1"/>
      <c r="VO170" s="1"/>
      <c r="VP170" s="1"/>
      <c r="VQ170" s="1"/>
      <c r="VR170" s="1"/>
      <c r="VS170" s="1"/>
      <c r="VT170" s="1"/>
      <c r="VU170" s="1"/>
      <c r="VV170" s="1"/>
      <c r="VW170" s="1"/>
      <c r="VX170" s="1"/>
      <c r="VY170" s="1"/>
      <c r="VZ170" s="1"/>
      <c r="WA170" s="1"/>
      <c r="WB170" s="1"/>
      <c r="WC170" s="1"/>
      <c r="WD170" s="1"/>
      <c r="WE170" s="1"/>
      <c r="WF170" s="1"/>
      <c r="WG170" s="1"/>
      <c r="WH170" s="1"/>
      <c r="WI170" s="1"/>
      <c r="WJ170" s="1"/>
      <c r="WK170" s="1"/>
      <c r="WL170" s="1"/>
      <c r="WM170" s="1"/>
      <c r="WN170" s="1"/>
      <c r="WO170" s="1"/>
      <c r="WP170" s="1"/>
      <c r="WQ170" s="1"/>
      <c r="WR170" s="1"/>
      <c r="WS170" s="1"/>
      <c r="WT170" s="1"/>
      <c r="WU170" s="1"/>
      <c r="WV170" s="1"/>
      <c r="WW170" s="1"/>
      <c r="WX170" s="1"/>
      <c r="WY170" s="1"/>
      <c r="WZ170" s="1"/>
      <c r="XA170" s="1"/>
      <c r="XB170" s="1"/>
      <c r="XC170" s="1"/>
      <c r="XD170" s="1"/>
      <c r="XE170" s="1"/>
      <c r="XF170" s="1"/>
      <c r="XG170" s="1"/>
      <c r="XH170" s="1"/>
      <c r="XI170" s="1"/>
      <c r="XJ170" s="1"/>
      <c r="XK170" s="1"/>
      <c r="XL170" s="1"/>
      <c r="XM170" s="1"/>
      <c r="XN170" s="1"/>
      <c r="XO170" s="1"/>
      <c r="XP170" s="1"/>
      <c r="XQ170" s="1"/>
      <c r="XR170" s="1"/>
      <c r="XS170" s="1"/>
      <c r="XT170" s="1"/>
      <c r="XU170" s="1"/>
      <c r="XV170" s="1"/>
      <c r="XW170" s="1"/>
      <c r="XX170" s="1"/>
      <c r="XY170" s="1"/>
      <c r="XZ170" s="1"/>
      <c r="YA170" s="1"/>
      <c r="YB170" s="1"/>
      <c r="YC170" s="1"/>
      <c r="YD170" s="1"/>
      <c r="YE170" s="1"/>
      <c r="YF170" s="1"/>
      <c r="YG170" s="1"/>
      <c r="YH170" s="1"/>
      <c r="YI170" s="1"/>
      <c r="YJ170" s="1"/>
      <c r="YK170" s="1"/>
      <c r="YL170" s="1"/>
      <c r="YM170" s="1"/>
      <c r="YN170" s="1"/>
      <c r="YO170" s="1"/>
      <c r="YP170" s="1"/>
      <c r="YQ170" s="1"/>
      <c r="YR170" s="1"/>
      <c r="YS170" s="1"/>
      <c r="YT170" s="1"/>
      <c r="YU170" s="1"/>
      <c r="YV170" s="1"/>
      <c r="YW170" s="1"/>
      <c r="YX170" s="1"/>
      <c r="YY170" s="1"/>
      <c r="YZ170" s="1"/>
      <c r="ZA170" s="1"/>
      <c r="ZB170" s="1"/>
      <c r="ZC170" s="1"/>
      <c r="ZD170" s="1"/>
      <c r="ZE170" s="1"/>
      <c r="ZF170" s="1"/>
      <c r="ZG170" s="1"/>
      <c r="ZH170" s="1"/>
      <c r="ZI170" s="1"/>
      <c r="ZJ170" s="1"/>
      <c r="ZK170" s="1"/>
      <c r="ZL170" s="1"/>
      <c r="ZM170" s="1"/>
      <c r="ZN170" s="1"/>
      <c r="ZO170" s="1"/>
      <c r="ZP170" s="1"/>
      <c r="ZQ170" s="1"/>
      <c r="ZR170" s="1"/>
      <c r="ZS170" s="1"/>
      <c r="ZT170" s="1"/>
      <c r="ZU170" s="1"/>
      <c r="ZV170" s="1"/>
      <c r="ZW170" s="1"/>
      <c r="ZX170" s="1"/>
      <c r="ZY170" s="1"/>
      <c r="ZZ170" s="1"/>
    </row>
    <row r="171" ht="19.5" customHeight="1">
      <c r="A171" s="10"/>
      <c r="B171" s="10"/>
      <c r="C171" s="10"/>
      <c r="D171" s="10" t="str">
        <f t="shared" si="2"/>
        <v/>
      </c>
      <c r="E171" s="287" t="str">
        <f t="array" ref="E171">IF(B171="","",IF(B171&lt;&gt;B170,SUMPRODUCT(($B$5:B171&lt;&gt;$B$4:B170)*($B$5:B171&lt;&gt;"")),""))</f>
        <v/>
      </c>
      <c r="F171" s="10" t="str">
        <f t="shared" si="3"/>
        <v/>
      </c>
      <c r="G171" s="10" t="str">
        <f t="shared" si="4"/>
        <v/>
      </c>
      <c r="H171" s="288" t="str">
        <f t="shared" si="5"/>
        <v/>
      </c>
      <c r="I171" s="10"/>
      <c r="J171" s="10"/>
      <c r="K171" s="10"/>
      <c r="L171" s="10" t="str">
        <f t="shared" si="6"/>
        <v/>
      </c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L171" s="10"/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  <c r="CD171" s="10"/>
      <c r="CE171" s="10"/>
      <c r="CF171" s="10"/>
      <c r="CG171" s="10"/>
      <c r="CH171" s="10"/>
      <c r="CI171" s="10"/>
      <c r="CJ171" s="10"/>
      <c r="CK171" s="10"/>
      <c r="CL171" s="10"/>
      <c r="CM171" s="10"/>
      <c r="CN171" s="10"/>
      <c r="CO171" s="10"/>
      <c r="CP171" s="10"/>
      <c r="CQ171" s="10"/>
      <c r="CR171" s="10"/>
      <c r="CS171" s="10"/>
      <c r="CT171" s="10"/>
      <c r="CU171" s="10"/>
      <c r="CV171" s="10"/>
      <c r="CW171" s="10"/>
      <c r="CX171" s="10"/>
      <c r="CY171" s="10"/>
      <c r="CZ171" s="10"/>
      <c r="DA171" s="10"/>
      <c r="DB171" s="10"/>
      <c r="DC171" s="10"/>
      <c r="DD171" s="10"/>
      <c r="DE171" s="10"/>
      <c r="DF171" s="10"/>
      <c r="DG171" s="10"/>
      <c r="DH171" s="10"/>
      <c r="DI171" s="10"/>
      <c r="DJ171" s="10"/>
      <c r="DK171" s="10"/>
      <c r="DL171" s="10"/>
      <c r="DM171" s="10"/>
      <c r="DN171" s="10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  <c r="VA171" s="1"/>
      <c r="VB171" s="1"/>
      <c r="VC171" s="1"/>
      <c r="VD171" s="1"/>
      <c r="VE171" s="1"/>
      <c r="VF171" s="1"/>
      <c r="VG171" s="1"/>
      <c r="VH171" s="1"/>
      <c r="VI171" s="1"/>
      <c r="VJ171" s="1"/>
      <c r="VK171" s="1"/>
      <c r="VL171" s="1"/>
      <c r="VM171" s="1"/>
      <c r="VN171" s="1"/>
      <c r="VO171" s="1"/>
      <c r="VP171" s="1"/>
      <c r="VQ171" s="1"/>
      <c r="VR171" s="1"/>
      <c r="VS171" s="1"/>
      <c r="VT171" s="1"/>
      <c r="VU171" s="1"/>
      <c r="VV171" s="1"/>
      <c r="VW171" s="1"/>
      <c r="VX171" s="1"/>
      <c r="VY171" s="1"/>
      <c r="VZ171" s="1"/>
      <c r="WA171" s="1"/>
      <c r="WB171" s="1"/>
      <c r="WC171" s="1"/>
      <c r="WD171" s="1"/>
      <c r="WE171" s="1"/>
      <c r="WF171" s="1"/>
      <c r="WG171" s="1"/>
      <c r="WH171" s="1"/>
      <c r="WI171" s="1"/>
      <c r="WJ171" s="1"/>
      <c r="WK171" s="1"/>
      <c r="WL171" s="1"/>
      <c r="WM171" s="1"/>
      <c r="WN171" s="1"/>
      <c r="WO171" s="1"/>
      <c r="WP171" s="1"/>
      <c r="WQ171" s="1"/>
      <c r="WR171" s="1"/>
      <c r="WS171" s="1"/>
      <c r="WT171" s="1"/>
      <c r="WU171" s="1"/>
      <c r="WV171" s="1"/>
      <c r="WW171" s="1"/>
      <c r="WX171" s="1"/>
      <c r="WY171" s="1"/>
      <c r="WZ171" s="1"/>
      <c r="XA171" s="1"/>
      <c r="XB171" s="1"/>
      <c r="XC171" s="1"/>
      <c r="XD171" s="1"/>
      <c r="XE171" s="1"/>
      <c r="XF171" s="1"/>
      <c r="XG171" s="1"/>
      <c r="XH171" s="1"/>
      <c r="XI171" s="1"/>
      <c r="XJ171" s="1"/>
      <c r="XK171" s="1"/>
      <c r="XL171" s="1"/>
      <c r="XM171" s="1"/>
      <c r="XN171" s="1"/>
      <c r="XO171" s="1"/>
      <c r="XP171" s="1"/>
      <c r="XQ171" s="1"/>
      <c r="XR171" s="1"/>
      <c r="XS171" s="1"/>
      <c r="XT171" s="1"/>
      <c r="XU171" s="1"/>
      <c r="XV171" s="1"/>
      <c r="XW171" s="1"/>
      <c r="XX171" s="1"/>
      <c r="XY171" s="1"/>
      <c r="XZ171" s="1"/>
      <c r="YA171" s="1"/>
      <c r="YB171" s="1"/>
      <c r="YC171" s="1"/>
      <c r="YD171" s="1"/>
      <c r="YE171" s="1"/>
      <c r="YF171" s="1"/>
      <c r="YG171" s="1"/>
      <c r="YH171" s="1"/>
      <c r="YI171" s="1"/>
      <c r="YJ171" s="1"/>
      <c r="YK171" s="1"/>
      <c r="YL171" s="1"/>
      <c r="YM171" s="1"/>
      <c r="YN171" s="1"/>
      <c r="YO171" s="1"/>
      <c r="YP171" s="1"/>
      <c r="YQ171" s="1"/>
      <c r="YR171" s="1"/>
      <c r="YS171" s="1"/>
      <c r="YT171" s="1"/>
      <c r="YU171" s="1"/>
      <c r="YV171" s="1"/>
      <c r="YW171" s="1"/>
      <c r="YX171" s="1"/>
      <c r="YY171" s="1"/>
      <c r="YZ171" s="1"/>
      <c r="ZA171" s="1"/>
      <c r="ZB171" s="1"/>
      <c r="ZC171" s="1"/>
      <c r="ZD171" s="1"/>
      <c r="ZE171" s="1"/>
      <c r="ZF171" s="1"/>
      <c r="ZG171" s="1"/>
      <c r="ZH171" s="1"/>
      <c r="ZI171" s="1"/>
      <c r="ZJ171" s="1"/>
      <c r="ZK171" s="1"/>
      <c r="ZL171" s="1"/>
      <c r="ZM171" s="1"/>
      <c r="ZN171" s="1"/>
      <c r="ZO171" s="1"/>
      <c r="ZP171" s="1"/>
      <c r="ZQ171" s="1"/>
      <c r="ZR171" s="1"/>
      <c r="ZS171" s="1"/>
      <c r="ZT171" s="1"/>
      <c r="ZU171" s="1"/>
      <c r="ZV171" s="1"/>
      <c r="ZW171" s="1"/>
      <c r="ZX171" s="1"/>
      <c r="ZY171" s="1"/>
      <c r="ZZ171" s="1"/>
    </row>
    <row r="172" ht="19.5" customHeight="1">
      <c r="A172" s="10"/>
      <c r="B172" s="10"/>
      <c r="C172" s="10"/>
      <c r="D172" s="10" t="str">
        <f t="shared" si="2"/>
        <v/>
      </c>
      <c r="E172" s="287" t="str">
        <f t="array" ref="E172">IF(B172="","",IF(B172&lt;&gt;B171,SUMPRODUCT(($B$5:B172&lt;&gt;$B$4:B171)*($B$5:B172&lt;&gt;"")),""))</f>
        <v/>
      </c>
      <c r="F172" s="10" t="str">
        <f t="shared" si="3"/>
        <v/>
      </c>
      <c r="G172" s="10" t="str">
        <f t="shared" si="4"/>
        <v/>
      </c>
      <c r="H172" s="288" t="str">
        <f t="shared" si="5"/>
        <v/>
      </c>
      <c r="I172" s="10"/>
      <c r="J172" s="10"/>
      <c r="K172" s="10"/>
      <c r="L172" s="10" t="str">
        <f t="shared" si="6"/>
        <v/>
      </c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L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  <c r="CG172" s="10"/>
      <c r="CH172" s="10"/>
      <c r="CI172" s="10"/>
      <c r="CJ172" s="10"/>
      <c r="CK172" s="10"/>
      <c r="CL172" s="10"/>
      <c r="CM172" s="10"/>
      <c r="CN172" s="10"/>
      <c r="CO172" s="10"/>
      <c r="CP172" s="10"/>
      <c r="CQ172" s="10"/>
      <c r="CR172" s="10"/>
      <c r="CS172" s="10"/>
      <c r="CT172" s="10"/>
      <c r="CU172" s="10"/>
      <c r="CV172" s="10"/>
      <c r="CW172" s="10"/>
      <c r="CX172" s="10"/>
      <c r="CY172" s="10"/>
      <c r="CZ172" s="10"/>
      <c r="DA172" s="10"/>
      <c r="DB172" s="10"/>
      <c r="DC172" s="10"/>
      <c r="DD172" s="10"/>
      <c r="DE172" s="10"/>
      <c r="DF172" s="10"/>
      <c r="DG172" s="10"/>
      <c r="DH172" s="10"/>
      <c r="DI172" s="10"/>
      <c r="DJ172" s="10"/>
      <c r="DK172" s="10"/>
      <c r="DL172" s="10"/>
      <c r="DM172" s="10"/>
      <c r="DN172" s="10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  <c r="VA172" s="1"/>
      <c r="VB172" s="1"/>
      <c r="VC172" s="1"/>
      <c r="VD172" s="1"/>
      <c r="VE172" s="1"/>
      <c r="VF172" s="1"/>
      <c r="VG172" s="1"/>
      <c r="VH172" s="1"/>
      <c r="VI172" s="1"/>
      <c r="VJ172" s="1"/>
      <c r="VK172" s="1"/>
      <c r="VL172" s="1"/>
      <c r="VM172" s="1"/>
      <c r="VN172" s="1"/>
      <c r="VO172" s="1"/>
      <c r="VP172" s="1"/>
      <c r="VQ172" s="1"/>
      <c r="VR172" s="1"/>
      <c r="VS172" s="1"/>
      <c r="VT172" s="1"/>
      <c r="VU172" s="1"/>
      <c r="VV172" s="1"/>
      <c r="VW172" s="1"/>
      <c r="VX172" s="1"/>
      <c r="VY172" s="1"/>
      <c r="VZ172" s="1"/>
      <c r="WA172" s="1"/>
      <c r="WB172" s="1"/>
      <c r="WC172" s="1"/>
      <c r="WD172" s="1"/>
      <c r="WE172" s="1"/>
      <c r="WF172" s="1"/>
      <c r="WG172" s="1"/>
      <c r="WH172" s="1"/>
      <c r="WI172" s="1"/>
      <c r="WJ172" s="1"/>
      <c r="WK172" s="1"/>
      <c r="WL172" s="1"/>
      <c r="WM172" s="1"/>
      <c r="WN172" s="1"/>
      <c r="WO172" s="1"/>
      <c r="WP172" s="1"/>
      <c r="WQ172" s="1"/>
      <c r="WR172" s="1"/>
      <c r="WS172" s="1"/>
      <c r="WT172" s="1"/>
      <c r="WU172" s="1"/>
      <c r="WV172" s="1"/>
      <c r="WW172" s="1"/>
      <c r="WX172" s="1"/>
      <c r="WY172" s="1"/>
      <c r="WZ172" s="1"/>
      <c r="XA172" s="1"/>
      <c r="XB172" s="1"/>
      <c r="XC172" s="1"/>
      <c r="XD172" s="1"/>
      <c r="XE172" s="1"/>
      <c r="XF172" s="1"/>
      <c r="XG172" s="1"/>
      <c r="XH172" s="1"/>
      <c r="XI172" s="1"/>
      <c r="XJ172" s="1"/>
      <c r="XK172" s="1"/>
      <c r="XL172" s="1"/>
      <c r="XM172" s="1"/>
      <c r="XN172" s="1"/>
      <c r="XO172" s="1"/>
      <c r="XP172" s="1"/>
      <c r="XQ172" s="1"/>
      <c r="XR172" s="1"/>
      <c r="XS172" s="1"/>
      <c r="XT172" s="1"/>
      <c r="XU172" s="1"/>
      <c r="XV172" s="1"/>
      <c r="XW172" s="1"/>
      <c r="XX172" s="1"/>
      <c r="XY172" s="1"/>
      <c r="XZ172" s="1"/>
      <c r="YA172" s="1"/>
      <c r="YB172" s="1"/>
      <c r="YC172" s="1"/>
      <c r="YD172" s="1"/>
      <c r="YE172" s="1"/>
      <c r="YF172" s="1"/>
      <c r="YG172" s="1"/>
      <c r="YH172" s="1"/>
      <c r="YI172" s="1"/>
      <c r="YJ172" s="1"/>
      <c r="YK172" s="1"/>
      <c r="YL172" s="1"/>
      <c r="YM172" s="1"/>
      <c r="YN172" s="1"/>
      <c r="YO172" s="1"/>
      <c r="YP172" s="1"/>
      <c r="YQ172" s="1"/>
      <c r="YR172" s="1"/>
      <c r="YS172" s="1"/>
      <c r="YT172" s="1"/>
      <c r="YU172" s="1"/>
      <c r="YV172" s="1"/>
      <c r="YW172" s="1"/>
      <c r="YX172" s="1"/>
      <c r="YY172" s="1"/>
      <c r="YZ172" s="1"/>
      <c r="ZA172" s="1"/>
      <c r="ZB172" s="1"/>
      <c r="ZC172" s="1"/>
      <c r="ZD172" s="1"/>
      <c r="ZE172" s="1"/>
      <c r="ZF172" s="1"/>
      <c r="ZG172" s="1"/>
      <c r="ZH172" s="1"/>
      <c r="ZI172" s="1"/>
      <c r="ZJ172" s="1"/>
      <c r="ZK172" s="1"/>
      <c r="ZL172" s="1"/>
      <c r="ZM172" s="1"/>
      <c r="ZN172" s="1"/>
      <c r="ZO172" s="1"/>
      <c r="ZP172" s="1"/>
      <c r="ZQ172" s="1"/>
      <c r="ZR172" s="1"/>
      <c r="ZS172" s="1"/>
      <c r="ZT172" s="1"/>
      <c r="ZU172" s="1"/>
      <c r="ZV172" s="1"/>
      <c r="ZW172" s="1"/>
      <c r="ZX172" s="1"/>
      <c r="ZY172" s="1"/>
      <c r="ZZ172" s="1"/>
    </row>
    <row r="173" ht="19.5" customHeight="1">
      <c r="A173" s="10"/>
      <c r="B173" s="10"/>
      <c r="C173" s="10"/>
      <c r="D173" s="10" t="str">
        <f t="shared" si="2"/>
        <v/>
      </c>
      <c r="E173" s="287" t="str">
        <f t="array" ref="E173">IF(B173="","",IF(B173&lt;&gt;B172,SUMPRODUCT(($B$5:B173&lt;&gt;$B$4:B172)*($B$5:B173&lt;&gt;"")),""))</f>
        <v/>
      </c>
      <c r="F173" s="10" t="str">
        <f t="shared" si="3"/>
        <v/>
      </c>
      <c r="G173" s="10" t="str">
        <f t="shared" si="4"/>
        <v/>
      </c>
      <c r="H173" s="288" t="str">
        <f t="shared" si="5"/>
        <v/>
      </c>
      <c r="I173" s="10"/>
      <c r="J173" s="10"/>
      <c r="K173" s="10"/>
      <c r="L173" s="10" t="str">
        <f t="shared" si="6"/>
        <v/>
      </c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L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  <c r="CG173" s="10"/>
      <c r="CH173" s="10"/>
      <c r="CI173" s="10"/>
      <c r="CJ173" s="10"/>
      <c r="CK173" s="10"/>
      <c r="CL173" s="10"/>
      <c r="CM173" s="10"/>
      <c r="CN173" s="10"/>
      <c r="CO173" s="10"/>
      <c r="CP173" s="10"/>
      <c r="CQ173" s="10"/>
      <c r="CR173" s="10"/>
      <c r="CS173" s="10"/>
      <c r="CT173" s="10"/>
      <c r="CU173" s="10"/>
      <c r="CV173" s="10"/>
      <c r="CW173" s="10"/>
      <c r="CX173" s="10"/>
      <c r="CY173" s="10"/>
      <c r="CZ173" s="10"/>
      <c r="DA173" s="10"/>
      <c r="DB173" s="10"/>
      <c r="DC173" s="10"/>
      <c r="DD173" s="10"/>
      <c r="DE173" s="10"/>
      <c r="DF173" s="10"/>
      <c r="DG173" s="10"/>
      <c r="DH173" s="10"/>
      <c r="DI173" s="10"/>
      <c r="DJ173" s="10"/>
      <c r="DK173" s="10"/>
      <c r="DL173" s="10"/>
      <c r="DM173" s="10"/>
      <c r="DN173" s="10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  <c r="VA173" s="1"/>
      <c r="VB173" s="1"/>
      <c r="VC173" s="1"/>
      <c r="VD173" s="1"/>
      <c r="VE173" s="1"/>
      <c r="VF173" s="1"/>
      <c r="VG173" s="1"/>
      <c r="VH173" s="1"/>
      <c r="VI173" s="1"/>
      <c r="VJ173" s="1"/>
      <c r="VK173" s="1"/>
      <c r="VL173" s="1"/>
      <c r="VM173" s="1"/>
      <c r="VN173" s="1"/>
      <c r="VO173" s="1"/>
      <c r="VP173" s="1"/>
      <c r="VQ173" s="1"/>
      <c r="VR173" s="1"/>
      <c r="VS173" s="1"/>
      <c r="VT173" s="1"/>
      <c r="VU173" s="1"/>
      <c r="VV173" s="1"/>
      <c r="VW173" s="1"/>
      <c r="VX173" s="1"/>
      <c r="VY173" s="1"/>
      <c r="VZ173" s="1"/>
      <c r="WA173" s="1"/>
      <c r="WB173" s="1"/>
      <c r="WC173" s="1"/>
      <c r="WD173" s="1"/>
      <c r="WE173" s="1"/>
      <c r="WF173" s="1"/>
      <c r="WG173" s="1"/>
      <c r="WH173" s="1"/>
      <c r="WI173" s="1"/>
      <c r="WJ173" s="1"/>
      <c r="WK173" s="1"/>
      <c r="WL173" s="1"/>
      <c r="WM173" s="1"/>
      <c r="WN173" s="1"/>
      <c r="WO173" s="1"/>
      <c r="WP173" s="1"/>
      <c r="WQ173" s="1"/>
      <c r="WR173" s="1"/>
      <c r="WS173" s="1"/>
      <c r="WT173" s="1"/>
      <c r="WU173" s="1"/>
      <c r="WV173" s="1"/>
      <c r="WW173" s="1"/>
      <c r="WX173" s="1"/>
      <c r="WY173" s="1"/>
      <c r="WZ173" s="1"/>
      <c r="XA173" s="1"/>
      <c r="XB173" s="1"/>
      <c r="XC173" s="1"/>
      <c r="XD173" s="1"/>
      <c r="XE173" s="1"/>
      <c r="XF173" s="1"/>
      <c r="XG173" s="1"/>
      <c r="XH173" s="1"/>
      <c r="XI173" s="1"/>
      <c r="XJ173" s="1"/>
      <c r="XK173" s="1"/>
      <c r="XL173" s="1"/>
      <c r="XM173" s="1"/>
      <c r="XN173" s="1"/>
      <c r="XO173" s="1"/>
      <c r="XP173" s="1"/>
      <c r="XQ173" s="1"/>
      <c r="XR173" s="1"/>
      <c r="XS173" s="1"/>
      <c r="XT173" s="1"/>
      <c r="XU173" s="1"/>
      <c r="XV173" s="1"/>
      <c r="XW173" s="1"/>
      <c r="XX173" s="1"/>
      <c r="XY173" s="1"/>
      <c r="XZ173" s="1"/>
      <c r="YA173" s="1"/>
      <c r="YB173" s="1"/>
      <c r="YC173" s="1"/>
      <c r="YD173" s="1"/>
      <c r="YE173" s="1"/>
      <c r="YF173" s="1"/>
      <c r="YG173" s="1"/>
      <c r="YH173" s="1"/>
      <c r="YI173" s="1"/>
      <c r="YJ173" s="1"/>
      <c r="YK173" s="1"/>
      <c r="YL173" s="1"/>
      <c r="YM173" s="1"/>
      <c r="YN173" s="1"/>
      <c r="YO173" s="1"/>
      <c r="YP173" s="1"/>
      <c r="YQ173" s="1"/>
      <c r="YR173" s="1"/>
      <c r="YS173" s="1"/>
      <c r="YT173" s="1"/>
      <c r="YU173" s="1"/>
      <c r="YV173" s="1"/>
      <c r="YW173" s="1"/>
      <c r="YX173" s="1"/>
      <c r="YY173" s="1"/>
      <c r="YZ173" s="1"/>
      <c r="ZA173" s="1"/>
      <c r="ZB173" s="1"/>
      <c r="ZC173" s="1"/>
      <c r="ZD173" s="1"/>
      <c r="ZE173" s="1"/>
      <c r="ZF173" s="1"/>
      <c r="ZG173" s="1"/>
      <c r="ZH173" s="1"/>
      <c r="ZI173" s="1"/>
      <c r="ZJ173" s="1"/>
      <c r="ZK173" s="1"/>
      <c r="ZL173" s="1"/>
      <c r="ZM173" s="1"/>
      <c r="ZN173" s="1"/>
      <c r="ZO173" s="1"/>
      <c r="ZP173" s="1"/>
      <c r="ZQ173" s="1"/>
      <c r="ZR173" s="1"/>
      <c r="ZS173" s="1"/>
      <c r="ZT173" s="1"/>
      <c r="ZU173" s="1"/>
      <c r="ZV173" s="1"/>
      <c r="ZW173" s="1"/>
      <c r="ZX173" s="1"/>
      <c r="ZY173" s="1"/>
      <c r="ZZ173" s="1"/>
    </row>
    <row r="174" ht="19.5" customHeight="1">
      <c r="A174" s="10"/>
      <c r="B174" s="10"/>
      <c r="C174" s="10"/>
      <c r="D174" s="10" t="str">
        <f t="shared" si="2"/>
        <v/>
      </c>
      <c r="E174" s="287" t="str">
        <f t="array" ref="E174">IF(B174="","",IF(B174&lt;&gt;B173,SUMPRODUCT(($B$5:B174&lt;&gt;$B$4:B173)*($B$5:B174&lt;&gt;"")),""))</f>
        <v/>
      </c>
      <c r="F174" s="10" t="str">
        <f t="shared" si="3"/>
        <v/>
      </c>
      <c r="G174" s="10" t="str">
        <f t="shared" si="4"/>
        <v/>
      </c>
      <c r="H174" s="288" t="str">
        <f t="shared" si="5"/>
        <v/>
      </c>
      <c r="I174" s="10"/>
      <c r="J174" s="10"/>
      <c r="K174" s="10"/>
      <c r="L174" s="10" t="str">
        <f t="shared" si="6"/>
        <v/>
      </c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0"/>
      <c r="CM174" s="10"/>
      <c r="CN174" s="10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0"/>
      <c r="DD174" s="10"/>
      <c r="DE174" s="10"/>
      <c r="DF174" s="10"/>
      <c r="DG174" s="10"/>
      <c r="DH174" s="10"/>
      <c r="DI174" s="10"/>
      <c r="DJ174" s="10"/>
      <c r="DK174" s="10"/>
      <c r="DL174" s="10"/>
      <c r="DM174" s="10"/>
      <c r="DN174" s="10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  <c r="VA174" s="1"/>
      <c r="VB174" s="1"/>
      <c r="VC174" s="1"/>
      <c r="VD174" s="1"/>
      <c r="VE174" s="1"/>
      <c r="VF174" s="1"/>
      <c r="VG174" s="1"/>
      <c r="VH174" s="1"/>
      <c r="VI174" s="1"/>
      <c r="VJ174" s="1"/>
      <c r="VK174" s="1"/>
      <c r="VL174" s="1"/>
      <c r="VM174" s="1"/>
      <c r="VN174" s="1"/>
      <c r="VO174" s="1"/>
      <c r="VP174" s="1"/>
      <c r="VQ174" s="1"/>
      <c r="VR174" s="1"/>
      <c r="VS174" s="1"/>
      <c r="VT174" s="1"/>
      <c r="VU174" s="1"/>
      <c r="VV174" s="1"/>
      <c r="VW174" s="1"/>
      <c r="VX174" s="1"/>
      <c r="VY174" s="1"/>
      <c r="VZ174" s="1"/>
      <c r="WA174" s="1"/>
      <c r="WB174" s="1"/>
      <c r="WC174" s="1"/>
      <c r="WD174" s="1"/>
      <c r="WE174" s="1"/>
      <c r="WF174" s="1"/>
      <c r="WG174" s="1"/>
      <c r="WH174" s="1"/>
      <c r="WI174" s="1"/>
      <c r="WJ174" s="1"/>
      <c r="WK174" s="1"/>
      <c r="WL174" s="1"/>
      <c r="WM174" s="1"/>
      <c r="WN174" s="1"/>
      <c r="WO174" s="1"/>
      <c r="WP174" s="1"/>
      <c r="WQ174" s="1"/>
      <c r="WR174" s="1"/>
      <c r="WS174" s="1"/>
      <c r="WT174" s="1"/>
      <c r="WU174" s="1"/>
      <c r="WV174" s="1"/>
      <c r="WW174" s="1"/>
      <c r="WX174" s="1"/>
      <c r="WY174" s="1"/>
      <c r="WZ174" s="1"/>
      <c r="XA174" s="1"/>
      <c r="XB174" s="1"/>
      <c r="XC174" s="1"/>
      <c r="XD174" s="1"/>
      <c r="XE174" s="1"/>
      <c r="XF174" s="1"/>
      <c r="XG174" s="1"/>
      <c r="XH174" s="1"/>
      <c r="XI174" s="1"/>
      <c r="XJ174" s="1"/>
      <c r="XK174" s="1"/>
      <c r="XL174" s="1"/>
      <c r="XM174" s="1"/>
      <c r="XN174" s="1"/>
      <c r="XO174" s="1"/>
      <c r="XP174" s="1"/>
      <c r="XQ174" s="1"/>
      <c r="XR174" s="1"/>
      <c r="XS174" s="1"/>
      <c r="XT174" s="1"/>
      <c r="XU174" s="1"/>
      <c r="XV174" s="1"/>
      <c r="XW174" s="1"/>
      <c r="XX174" s="1"/>
      <c r="XY174" s="1"/>
      <c r="XZ174" s="1"/>
      <c r="YA174" s="1"/>
      <c r="YB174" s="1"/>
      <c r="YC174" s="1"/>
      <c r="YD174" s="1"/>
      <c r="YE174" s="1"/>
      <c r="YF174" s="1"/>
      <c r="YG174" s="1"/>
      <c r="YH174" s="1"/>
      <c r="YI174" s="1"/>
      <c r="YJ174" s="1"/>
      <c r="YK174" s="1"/>
      <c r="YL174" s="1"/>
      <c r="YM174" s="1"/>
      <c r="YN174" s="1"/>
      <c r="YO174" s="1"/>
      <c r="YP174" s="1"/>
      <c r="YQ174" s="1"/>
      <c r="YR174" s="1"/>
      <c r="YS174" s="1"/>
      <c r="YT174" s="1"/>
      <c r="YU174" s="1"/>
      <c r="YV174" s="1"/>
      <c r="YW174" s="1"/>
      <c r="YX174" s="1"/>
      <c r="YY174" s="1"/>
      <c r="YZ174" s="1"/>
      <c r="ZA174" s="1"/>
      <c r="ZB174" s="1"/>
      <c r="ZC174" s="1"/>
      <c r="ZD174" s="1"/>
      <c r="ZE174" s="1"/>
      <c r="ZF174" s="1"/>
      <c r="ZG174" s="1"/>
      <c r="ZH174" s="1"/>
      <c r="ZI174" s="1"/>
      <c r="ZJ174" s="1"/>
      <c r="ZK174" s="1"/>
      <c r="ZL174" s="1"/>
      <c r="ZM174" s="1"/>
      <c r="ZN174" s="1"/>
      <c r="ZO174" s="1"/>
      <c r="ZP174" s="1"/>
      <c r="ZQ174" s="1"/>
      <c r="ZR174" s="1"/>
      <c r="ZS174" s="1"/>
      <c r="ZT174" s="1"/>
      <c r="ZU174" s="1"/>
      <c r="ZV174" s="1"/>
      <c r="ZW174" s="1"/>
      <c r="ZX174" s="1"/>
      <c r="ZY174" s="1"/>
      <c r="ZZ174" s="1"/>
    </row>
    <row r="175" ht="19.5" customHeight="1">
      <c r="A175" s="10"/>
      <c r="B175" s="10"/>
      <c r="C175" s="10"/>
      <c r="D175" s="10" t="str">
        <f t="shared" si="2"/>
        <v/>
      </c>
      <c r="E175" s="287" t="str">
        <f t="array" ref="E175">IF(B175="","",IF(B175&lt;&gt;B174,SUMPRODUCT(($B$5:B175&lt;&gt;$B$4:B174)*($B$5:B175&lt;&gt;"")),""))</f>
        <v/>
      </c>
      <c r="F175" s="10" t="str">
        <f t="shared" si="3"/>
        <v/>
      </c>
      <c r="G175" s="10" t="str">
        <f t="shared" si="4"/>
        <v/>
      </c>
      <c r="H175" s="288" t="str">
        <f t="shared" si="5"/>
        <v/>
      </c>
      <c r="I175" s="10"/>
      <c r="J175" s="10"/>
      <c r="K175" s="10"/>
      <c r="L175" s="10" t="str">
        <f t="shared" si="6"/>
        <v/>
      </c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L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  <c r="CG175" s="10"/>
      <c r="CH175" s="10"/>
      <c r="CI175" s="10"/>
      <c r="CJ175" s="10"/>
      <c r="CK175" s="10"/>
      <c r="CL175" s="10"/>
      <c r="CM175" s="10"/>
      <c r="CN175" s="10"/>
      <c r="CO175" s="10"/>
      <c r="CP175" s="10"/>
      <c r="CQ175" s="10"/>
      <c r="CR175" s="10"/>
      <c r="CS175" s="10"/>
      <c r="CT175" s="10"/>
      <c r="CU175" s="10"/>
      <c r="CV175" s="10"/>
      <c r="CW175" s="10"/>
      <c r="CX175" s="10"/>
      <c r="CY175" s="10"/>
      <c r="CZ175" s="10"/>
      <c r="DA175" s="10"/>
      <c r="DB175" s="10"/>
      <c r="DC175" s="10"/>
      <c r="DD175" s="10"/>
      <c r="DE175" s="10"/>
      <c r="DF175" s="10"/>
      <c r="DG175" s="10"/>
      <c r="DH175" s="10"/>
      <c r="DI175" s="10"/>
      <c r="DJ175" s="10"/>
      <c r="DK175" s="10"/>
      <c r="DL175" s="10"/>
      <c r="DM175" s="10"/>
      <c r="DN175" s="10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  <c r="VA175" s="1"/>
      <c r="VB175" s="1"/>
      <c r="VC175" s="1"/>
      <c r="VD175" s="1"/>
      <c r="VE175" s="1"/>
      <c r="VF175" s="1"/>
      <c r="VG175" s="1"/>
      <c r="VH175" s="1"/>
      <c r="VI175" s="1"/>
      <c r="VJ175" s="1"/>
      <c r="VK175" s="1"/>
      <c r="VL175" s="1"/>
      <c r="VM175" s="1"/>
      <c r="VN175" s="1"/>
      <c r="VO175" s="1"/>
      <c r="VP175" s="1"/>
      <c r="VQ175" s="1"/>
      <c r="VR175" s="1"/>
      <c r="VS175" s="1"/>
      <c r="VT175" s="1"/>
      <c r="VU175" s="1"/>
      <c r="VV175" s="1"/>
      <c r="VW175" s="1"/>
      <c r="VX175" s="1"/>
      <c r="VY175" s="1"/>
      <c r="VZ175" s="1"/>
      <c r="WA175" s="1"/>
      <c r="WB175" s="1"/>
      <c r="WC175" s="1"/>
      <c r="WD175" s="1"/>
      <c r="WE175" s="1"/>
      <c r="WF175" s="1"/>
      <c r="WG175" s="1"/>
      <c r="WH175" s="1"/>
      <c r="WI175" s="1"/>
      <c r="WJ175" s="1"/>
      <c r="WK175" s="1"/>
      <c r="WL175" s="1"/>
      <c r="WM175" s="1"/>
      <c r="WN175" s="1"/>
      <c r="WO175" s="1"/>
      <c r="WP175" s="1"/>
      <c r="WQ175" s="1"/>
      <c r="WR175" s="1"/>
      <c r="WS175" s="1"/>
      <c r="WT175" s="1"/>
      <c r="WU175" s="1"/>
      <c r="WV175" s="1"/>
      <c r="WW175" s="1"/>
      <c r="WX175" s="1"/>
      <c r="WY175" s="1"/>
      <c r="WZ175" s="1"/>
      <c r="XA175" s="1"/>
      <c r="XB175" s="1"/>
      <c r="XC175" s="1"/>
      <c r="XD175" s="1"/>
      <c r="XE175" s="1"/>
      <c r="XF175" s="1"/>
      <c r="XG175" s="1"/>
      <c r="XH175" s="1"/>
      <c r="XI175" s="1"/>
      <c r="XJ175" s="1"/>
      <c r="XK175" s="1"/>
      <c r="XL175" s="1"/>
      <c r="XM175" s="1"/>
      <c r="XN175" s="1"/>
      <c r="XO175" s="1"/>
      <c r="XP175" s="1"/>
      <c r="XQ175" s="1"/>
      <c r="XR175" s="1"/>
      <c r="XS175" s="1"/>
      <c r="XT175" s="1"/>
      <c r="XU175" s="1"/>
      <c r="XV175" s="1"/>
      <c r="XW175" s="1"/>
      <c r="XX175" s="1"/>
      <c r="XY175" s="1"/>
      <c r="XZ175" s="1"/>
      <c r="YA175" s="1"/>
      <c r="YB175" s="1"/>
      <c r="YC175" s="1"/>
      <c r="YD175" s="1"/>
      <c r="YE175" s="1"/>
      <c r="YF175" s="1"/>
      <c r="YG175" s="1"/>
      <c r="YH175" s="1"/>
      <c r="YI175" s="1"/>
      <c r="YJ175" s="1"/>
      <c r="YK175" s="1"/>
      <c r="YL175" s="1"/>
      <c r="YM175" s="1"/>
      <c r="YN175" s="1"/>
      <c r="YO175" s="1"/>
      <c r="YP175" s="1"/>
      <c r="YQ175" s="1"/>
      <c r="YR175" s="1"/>
      <c r="YS175" s="1"/>
      <c r="YT175" s="1"/>
      <c r="YU175" s="1"/>
      <c r="YV175" s="1"/>
      <c r="YW175" s="1"/>
      <c r="YX175" s="1"/>
      <c r="YY175" s="1"/>
      <c r="YZ175" s="1"/>
      <c r="ZA175" s="1"/>
      <c r="ZB175" s="1"/>
      <c r="ZC175" s="1"/>
      <c r="ZD175" s="1"/>
      <c r="ZE175" s="1"/>
      <c r="ZF175" s="1"/>
      <c r="ZG175" s="1"/>
      <c r="ZH175" s="1"/>
      <c r="ZI175" s="1"/>
      <c r="ZJ175" s="1"/>
      <c r="ZK175" s="1"/>
      <c r="ZL175" s="1"/>
      <c r="ZM175" s="1"/>
      <c r="ZN175" s="1"/>
      <c r="ZO175" s="1"/>
      <c r="ZP175" s="1"/>
      <c r="ZQ175" s="1"/>
      <c r="ZR175" s="1"/>
      <c r="ZS175" s="1"/>
      <c r="ZT175" s="1"/>
      <c r="ZU175" s="1"/>
      <c r="ZV175" s="1"/>
      <c r="ZW175" s="1"/>
      <c r="ZX175" s="1"/>
      <c r="ZY175" s="1"/>
      <c r="ZZ175" s="1"/>
    </row>
    <row r="176" ht="19.5" customHeight="1">
      <c r="A176" s="10"/>
      <c r="B176" s="10"/>
      <c r="C176" s="10"/>
      <c r="D176" s="10" t="str">
        <f t="shared" si="2"/>
        <v/>
      </c>
      <c r="E176" s="287" t="str">
        <f t="array" ref="E176">IF(B176="","",IF(B176&lt;&gt;B175,SUMPRODUCT(($B$5:B176&lt;&gt;$B$4:B175)*($B$5:B176&lt;&gt;"")),""))</f>
        <v/>
      </c>
      <c r="F176" s="10" t="str">
        <f t="shared" si="3"/>
        <v/>
      </c>
      <c r="G176" s="10" t="str">
        <f t="shared" si="4"/>
        <v/>
      </c>
      <c r="H176" s="288" t="str">
        <f t="shared" si="5"/>
        <v/>
      </c>
      <c r="I176" s="10"/>
      <c r="J176" s="10"/>
      <c r="K176" s="10"/>
      <c r="L176" s="10" t="str">
        <f t="shared" si="6"/>
        <v/>
      </c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L176" s="10"/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  <c r="CG176" s="10"/>
      <c r="CH176" s="10"/>
      <c r="CI176" s="10"/>
      <c r="CJ176" s="10"/>
      <c r="CK176" s="10"/>
      <c r="CL176" s="10"/>
      <c r="CM176" s="10"/>
      <c r="CN176" s="10"/>
      <c r="CO176" s="10"/>
      <c r="CP176" s="10"/>
      <c r="CQ176" s="10"/>
      <c r="CR176" s="10"/>
      <c r="CS176" s="10"/>
      <c r="CT176" s="10"/>
      <c r="CU176" s="10"/>
      <c r="CV176" s="10"/>
      <c r="CW176" s="10"/>
      <c r="CX176" s="10"/>
      <c r="CY176" s="10"/>
      <c r="CZ176" s="10"/>
      <c r="DA176" s="10"/>
      <c r="DB176" s="10"/>
      <c r="DC176" s="10"/>
      <c r="DD176" s="10"/>
      <c r="DE176" s="10"/>
      <c r="DF176" s="10"/>
      <c r="DG176" s="10"/>
      <c r="DH176" s="10"/>
      <c r="DI176" s="10"/>
      <c r="DJ176" s="10"/>
      <c r="DK176" s="10"/>
      <c r="DL176" s="10"/>
      <c r="DM176" s="10"/>
      <c r="DN176" s="10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  <c r="VA176" s="1"/>
      <c r="VB176" s="1"/>
      <c r="VC176" s="1"/>
      <c r="VD176" s="1"/>
      <c r="VE176" s="1"/>
      <c r="VF176" s="1"/>
      <c r="VG176" s="1"/>
      <c r="VH176" s="1"/>
      <c r="VI176" s="1"/>
      <c r="VJ176" s="1"/>
      <c r="VK176" s="1"/>
      <c r="VL176" s="1"/>
      <c r="VM176" s="1"/>
      <c r="VN176" s="1"/>
      <c r="VO176" s="1"/>
      <c r="VP176" s="1"/>
      <c r="VQ176" s="1"/>
      <c r="VR176" s="1"/>
      <c r="VS176" s="1"/>
      <c r="VT176" s="1"/>
      <c r="VU176" s="1"/>
      <c r="VV176" s="1"/>
      <c r="VW176" s="1"/>
      <c r="VX176" s="1"/>
      <c r="VY176" s="1"/>
      <c r="VZ176" s="1"/>
      <c r="WA176" s="1"/>
      <c r="WB176" s="1"/>
      <c r="WC176" s="1"/>
      <c r="WD176" s="1"/>
      <c r="WE176" s="1"/>
      <c r="WF176" s="1"/>
      <c r="WG176" s="1"/>
      <c r="WH176" s="1"/>
      <c r="WI176" s="1"/>
      <c r="WJ176" s="1"/>
      <c r="WK176" s="1"/>
      <c r="WL176" s="1"/>
      <c r="WM176" s="1"/>
      <c r="WN176" s="1"/>
      <c r="WO176" s="1"/>
      <c r="WP176" s="1"/>
      <c r="WQ176" s="1"/>
      <c r="WR176" s="1"/>
      <c r="WS176" s="1"/>
      <c r="WT176" s="1"/>
      <c r="WU176" s="1"/>
      <c r="WV176" s="1"/>
      <c r="WW176" s="1"/>
      <c r="WX176" s="1"/>
      <c r="WY176" s="1"/>
      <c r="WZ176" s="1"/>
      <c r="XA176" s="1"/>
      <c r="XB176" s="1"/>
      <c r="XC176" s="1"/>
      <c r="XD176" s="1"/>
      <c r="XE176" s="1"/>
      <c r="XF176" s="1"/>
      <c r="XG176" s="1"/>
      <c r="XH176" s="1"/>
      <c r="XI176" s="1"/>
      <c r="XJ176" s="1"/>
      <c r="XK176" s="1"/>
      <c r="XL176" s="1"/>
      <c r="XM176" s="1"/>
      <c r="XN176" s="1"/>
      <c r="XO176" s="1"/>
      <c r="XP176" s="1"/>
      <c r="XQ176" s="1"/>
      <c r="XR176" s="1"/>
      <c r="XS176" s="1"/>
      <c r="XT176" s="1"/>
      <c r="XU176" s="1"/>
      <c r="XV176" s="1"/>
      <c r="XW176" s="1"/>
      <c r="XX176" s="1"/>
      <c r="XY176" s="1"/>
      <c r="XZ176" s="1"/>
      <c r="YA176" s="1"/>
      <c r="YB176" s="1"/>
      <c r="YC176" s="1"/>
      <c r="YD176" s="1"/>
      <c r="YE176" s="1"/>
      <c r="YF176" s="1"/>
      <c r="YG176" s="1"/>
      <c r="YH176" s="1"/>
      <c r="YI176" s="1"/>
      <c r="YJ176" s="1"/>
      <c r="YK176" s="1"/>
      <c r="YL176" s="1"/>
      <c r="YM176" s="1"/>
      <c r="YN176" s="1"/>
      <c r="YO176" s="1"/>
      <c r="YP176" s="1"/>
      <c r="YQ176" s="1"/>
      <c r="YR176" s="1"/>
      <c r="YS176" s="1"/>
      <c r="YT176" s="1"/>
      <c r="YU176" s="1"/>
      <c r="YV176" s="1"/>
      <c r="YW176" s="1"/>
      <c r="YX176" s="1"/>
      <c r="YY176" s="1"/>
      <c r="YZ176" s="1"/>
      <c r="ZA176" s="1"/>
      <c r="ZB176" s="1"/>
      <c r="ZC176" s="1"/>
      <c r="ZD176" s="1"/>
      <c r="ZE176" s="1"/>
      <c r="ZF176" s="1"/>
      <c r="ZG176" s="1"/>
      <c r="ZH176" s="1"/>
      <c r="ZI176" s="1"/>
      <c r="ZJ176" s="1"/>
      <c r="ZK176" s="1"/>
      <c r="ZL176" s="1"/>
      <c r="ZM176" s="1"/>
      <c r="ZN176" s="1"/>
      <c r="ZO176" s="1"/>
      <c r="ZP176" s="1"/>
      <c r="ZQ176" s="1"/>
      <c r="ZR176" s="1"/>
      <c r="ZS176" s="1"/>
      <c r="ZT176" s="1"/>
      <c r="ZU176" s="1"/>
      <c r="ZV176" s="1"/>
      <c r="ZW176" s="1"/>
      <c r="ZX176" s="1"/>
      <c r="ZY176" s="1"/>
      <c r="ZZ176" s="1"/>
    </row>
    <row r="177" ht="19.5" customHeight="1">
      <c r="A177" s="10"/>
      <c r="B177" s="10"/>
      <c r="C177" s="10"/>
      <c r="D177" s="10" t="str">
        <f t="shared" si="2"/>
        <v/>
      </c>
      <c r="E177" s="287" t="str">
        <f t="array" ref="E177">IF(B177="","",IF(B177&lt;&gt;B176,SUMPRODUCT(($B$5:B177&lt;&gt;$B$4:B176)*($B$5:B177&lt;&gt;"")),""))</f>
        <v/>
      </c>
      <c r="F177" s="10" t="str">
        <f t="shared" si="3"/>
        <v/>
      </c>
      <c r="G177" s="10" t="str">
        <f t="shared" si="4"/>
        <v/>
      </c>
      <c r="H177" s="288" t="str">
        <f t="shared" si="5"/>
        <v/>
      </c>
      <c r="I177" s="10"/>
      <c r="J177" s="10"/>
      <c r="K177" s="10"/>
      <c r="L177" s="10" t="str">
        <f t="shared" si="6"/>
        <v/>
      </c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  <c r="BI177" s="10"/>
      <c r="BJ177" s="10"/>
      <c r="BK177" s="10"/>
      <c r="BL177" s="10"/>
      <c r="BM177" s="10"/>
      <c r="BN177" s="10"/>
      <c r="BO177" s="10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  <c r="CD177" s="10"/>
      <c r="CE177" s="10"/>
      <c r="CF177" s="10"/>
      <c r="CG177" s="10"/>
      <c r="CH177" s="10"/>
      <c r="CI177" s="10"/>
      <c r="CJ177" s="10"/>
      <c r="CK177" s="10"/>
      <c r="CL177" s="10"/>
      <c r="CM177" s="10"/>
      <c r="CN177" s="10"/>
      <c r="CO177" s="10"/>
      <c r="CP177" s="10"/>
      <c r="CQ177" s="10"/>
      <c r="CR177" s="10"/>
      <c r="CS177" s="10"/>
      <c r="CT177" s="10"/>
      <c r="CU177" s="10"/>
      <c r="CV177" s="10"/>
      <c r="CW177" s="10"/>
      <c r="CX177" s="10"/>
      <c r="CY177" s="10"/>
      <c r="CZ177" s="10"/>
      <c r="DA177" s="10"/>
      <c r="DB177" s="10"/>
      <c r="DC177" s="10"/>
      <c r="DD177" s="10"/>
      <c r="DE177" s="10"/>
      <c r="DF177" s="10"/>
      <c r="DG177" s="10"/>
      <c r="DH177" s="10"/>
      <c r="DI177" s="10"/>
      <c r="DJ177" s="10"/>
      <c r="DK177" s="10"/>
      <c r="DL177" s="10"/>
      <c r="DM177" s="10"/>
      <c r="DN177" s="10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  <c r="VA177" s="1"/>
      <c r="VB177" s="1"/>
      <c r="VC177" s="1"/>
      <c r="VD177" s="1"/>
      <c r="VE177" s="1"/>
      <c r="VF177" s="1"/>
      <c r="VG177" s="1"/>
      <c r="VH177" s="1"/>
      <c r="VI177" s="1"/>
      <c r="VJ177" s="1"/>
      <c r="VK177" s="1"/>
      <c r="VL177" s="1"/>
      <c r="VM177" s="1"/>
      <c r="VN177" s="1"/>
      <c r="VO177" s="1"/>
      <c r="VP177" s="1"/>
      <c r="VQ177" s="1"/>
      <c r="VR177" s="1"/>
      <c r="VS177" s="1"/>
      <c r="VT177" s="1"/>
      <c r="VU177" s="1"/>
      <c r="VV177" s="1"/>
      <c r="VW177" s="1"/>
      <c r="VX177" s="1"/>
      <c r="VY177" s="1"/>
      <c r="VZ177" s="1"/>
      <c r="WA177" s="1"/>
      <c r="WB177" s="1"/>
      <c r="WC177" s="1"/>
      <c r="WD177" s="1"/>
      <c r="WE177" s="1"/>
      <c r="WF177" s="1"/>
      <c r="WG177" s="1"/>
      <c r="WH177" s="1"/>
      <c r="WI177" s="1"/>
      <c r="WJ177" s="1"/>
      <c r="WK177" s="1"/>
      <c r="WL177" s="1"/>
      <c r="WM177" s="1"/>
      <c r="WN177" s="1"/>
      <c r="WO177" s="1"/>
      <c r="WP177" s="1"/>
      <c r="WQ177" s="1"/>
      <c r="WR177" s="1"/>
      <c r="WS177" s="1"/>
      <c r="WT177" s="1"/>
      <c r="WU177" s="1"/>
      <c r="WV177" s="1"/>
      <c r="WW177" s="1"/>
      <c r="WX177" s="1"/>
      <c r="WY177" s="1"/>
      <c r="WZ177" s="1"/>
      <c r="XA177" s="1"/>
      <c r="XB177" s="1"/>
      <c r="XC177" s="1"/>
      <c r="XD177" s="1"/>
      <c r="XE177" s="1"/>
      <c r="XF177" s="1"/>
      <c r="XG177" s="1"/>
      <c r="XH177" s="1"/>
      <c r="XI177" s="1"/>
      <c r="XJ177" s="1"/>
      <c r="XK177" s="1"/>
      <c r="XL177" s="1"/>
      <c r="XM177" s="1"/>
      <c r="XN177" s="1"/>
      <c r="XO177" s="1"/>
      <c r="XP177" s="1"/>
      <c r="XQ177" s="1"/>
      <c r="XR177" s="1"/>
      <c r="XS177" s="1"/>
      <c r="XT177" s="1"/>
      <c r="XU177" s="1"/>
      <c r="XV177" s="1"/>
      <c r="XW177" s="1"/>
      <c r="XX177" s="1"/>
      <c r="XY177" s="1"/>
      <c r="XZ177" s="1"/>
      <c r="YA177" s="1"/>
      <c r="YB177" s="1"/>
      <c r="YC177" s="1"/>
      <c r="YD177" s="1"/>
      <c r="YE177" s="1"/>
      <c r="YF177" s="1"/>
      <c r="YG177" s="1"/>
      <c r="YH177" s="1"/>
      <c r="YI177" s="1"/>
      <c r="YJ177" s="1"/>
      <c r="YK177" s="1"/>
      <c r="YL177" s="1"/>
      <c r="YM177" s="1"/>
      <c r="YN177" s="1"/>
      <c r="YO177" s="1"/>
      <c r="YP177" s="1"/>
      <c r="YQ177" s="1"/>
      <c r="YR177" s="1"/>
      <c r="YS177" s="1"/>
      <c r="YT177" s="1"/>
      <c r="YU177" s="1"/>
      <c r="YV177" s="1"/>
      <c r="YW177" s="1"/>
      <c r="YX177" s="1"/>
      <c r="YY177" s="1"/>
      <c r="YZ177" s="1"/>
      <c r="ZA177" s="1"/>
      <c r="ZB177" s="1"/>
      <c r="ZC177" s="1"/>
      <c r="ZD177" s="1"/>
      <c r="ZE177" s="1"/>
      <c r="ZF177" s="1"/>
      <c r="ZG177" s="1"/>
      <c r="ZH177" s="1"/>
      <c r="ZI177" s="1"/>
      <c r="ZJ177" s="1"/>
      <c r="ZK177" s="1"/>
      <c r="ZL177" s="1"/>
      <c r="ZM177" s="1"/>
      <c r="ZN177" s="1"/>
      <c r="ZO177" s="1"/>
      <c r="ZP177" s="1"/>
      <c r="ZQ177" s="1"/>
      <c r="ZR177" s="1"/>
      <c r="ZS177" s="1"/>
      <c r="ZT177" s="1"/>
      <c r="ZU177" s="1"/>
      <c r="ZV177" s="1"/>
      <c r="ZW177" s="1"/>
      <c r="ZX177" s="1"/>
      <c r="ZY177" s="1"/>
      <c r="ZZ177" s="1"/>
    </row>
    <row r="178" ht="19.5" customHeight="1">
      <c r="A178" s="10"/>
      <c r="B178" s="10"/>
      <c r="C178" s="10"/>
      <c r="D178" s="10" t="str">
        <f t="shared" si="2"/>
        <v/>
      </c>
      <c r="E178" s="287" t="str">
        <f t="array" ref="E178">IF(B178="","",IF(B178&lt;&gt;B177,SUMPRODUCT(($B$5:B178&lt;&gt;$B$4:B177)*($B$5:B178&lt;&gt;"")),""))</f>
        <v/>
      </c>
      <c r="F178" s="10" t="str">
        <f t="shared" si="3"/>
        <v/>
      </c>
      <c r="G178" s="10" t="str">
        <f t="shared" si="4"/>
        <v/>
      </c>
      <c r="H178" s="288" t="str">
        <f t="shared" si="5"/>
        <v/>
      </c>
      <c r="I178" s="10"/>
      <c r="J178" s="10"/>
      <c r="K178" s="10"/>
      <c r="L178" s="10" t="str">
        <f t="shared" si="6"/>
        <v/>
      </c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L178" s="10"/>
      <c r="BM178" s="10"/>
      <c r="BN178" s="10"/>
      <c r="BO178" s="10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  <c r="CD178" s="10"/>
      <c r="CE178" s="10"/>
      <c r="CF178" s="10"/>
      <c r="CG178" s="10"/>
      <c r="CH178" s="10"/>
      <c r="CI178" s="10"/>
      <c r="CJ178" s="10"/>
      <c r="CK178" s="10"/>
      <c r="CL178" s="10"/>
      <c r="CM178" s="10"/>
      <c r="CN178" s="10"/>
      <c r="CO178" s="10"/>
      <c r="CP178" s="10"/>
      <c r="CQ178" s="10"/>
      <c r="CR178" s="10"/>
      <c r="CS178" s="10"/>
      <c r="CT178" s="10"/>
      <c r="CU178" s="10"/>
      <c r="CV178" s="10"/>
      <c r="CW178" s="10"/>
      <c r="CX178" s="10"/>
      <c r="CY178" s="10"/>
      <c r="CZ178" s="10"/>
      <c r="DA178" s="10"/>
      <c r="DB178" s="10"/>
      <c r="DC178" s="10"/>
      <c r="DD178" s="10"/>
      <c r="DE178" s="10"/>
      <c r="DF178" s="10"/>
      <c r="DG178" s="10"/>
      <c r="DH178" s="10"/>
      <c r="DI178" s="10"/>
      <c r="DJ178" s="10"/>
      <c r="DK178" s="10"/>
      <c r="DL178" s="10"/>
      <c r="DM178" s="10"/>
      <c r="DN178" s="10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  <c r="VA178" s="1"/>
      <c r="VB178" s="1"/>
      <c r="VC178" s="1"/>
      <c r="VD178" s="1"/>
      <c r="VE178" s="1"/>
      <c r="VF178" s="1"/>
      <c r="VG178" s="1"/>
      <c r="VH178" s="1"/>
      <c r="VI178" s="1"/>
      <c r="VJ178" s="1"/>
      <c r="VK178" s="1"/>
      <c r="VL178" s="1"/>
      <c r="VM178" s="1"/>
      <c r="VN178" s="1"/>
      <c r="VO178" s="1"/>
      <c r="VP178" s="1"/>
      <c r="VQ178" s="1"/>
      <c r="VR178" s="1"/>
      <c r="VS178" s="1"/>
      <c r="VT178" s="1"/>
      <c r="VU178" s="1"/>
      <c r="VV178" s="1"/>
      <c r="VW178" s="1"/>
      <c r="VX178" s="1"/>
      <c r="VY178" s="1"/>
      <c r="VZ178" s="1"/>
      <c r="WA178" s="1"/>
      <c r="WB178" s="1"/>
      <c r="WC178" s="1"/>
      <c r="WD178" s="1"/>
      <c r="WE178" s="1"/>
      <c r="WF178" s="1"/>
      <c r="WG178" s="1"/>
      <c r="WH178" s="1"/>
      <c r="WI178" s="1"/>
      <c r="WJ178" s="1"/>
      <c r="WK178" s="1"/>
      <c r="WL178" s="1"/>
      <c r="WM178" s="1"/>
      <c r="WN178" s="1"/>
      <c r="WO178" s="1"/>
      <c r="WP178" s="1"/>
      <c r="WQ178" s="1"/>
      <c r="WR178" s="1"/>
      <c r="WS178" s="1"/>
      <c r="WT178" s="1"/>
      <c r="WU178" s="1"/>
      <c r="WV178" s="1"/>
      <c r="WW178" s="1"/>
      <c r="WX178" s="1"/>
      <c r="WY178" s="1"/>
      <c r="WZ178" s="1"/>
      <c r="XA178" s="1"/>
      <c r="XB178" s="1"/>
      <c r="XC178" s="1"/>
      <c r="XD178" s="1"/>
      <c r="XE178" s="1"/>
      <c r="XF178" s="1"/>
      <c r="XG178" s="1"/>
      <c r="XH178" s="1"/>
      <c r="XI178" s="1"/>
      <c r="XJ178" s="1"/>
      <c r="XK178" s="1"/>
      <c r="XL178" s="1"/>
      <c r="XM178" s="1"/>
      <c r="XN178" s="1"/>
      <c r="XO178" s="1"/>
      <c r="XP178" s="1"/>
      <c r="XQ178" s="1"/>
      <c r="XR178" s="1"/>
      <c r="XS178" s="1"/>
      <c r="XT178" s="1"/>
      <c r="XU178" s="1"/>
      <c r="XV178" s="1"/>
      <c r="XW178" s="1"/>
      <c r="XX178" s="1"/>
      <c r="XY178" s="1"/>
      <c r="XZ178" s="1"/>
      <c r="YA178" s="1"/>
      <c r="YB178" s="1"/>
      <c r="YC178" s="1"/>
      <c r="YD178" s="1"/>
      <c r="YE178" s="1"/>
      <c r="YF178" s="1"/>
      <c r="YG178" s="1"/>
      <c r="YH178" s="1"/>
      <c r="YI178" s="1"/>
      <c r="YJ178" s="1"/>
      <c r="YK178" s="1"/>
      <c r="YL178" s="1"/>
      <c r="YM178" s="1"/>
      <c r="YN178" s="1"/>
      <c r="YO178" s="1"/>
      <c r="YP178" s="1"/>
      <c r="YQ178" s="1"/>
      <c r="YR178" s="1"/>
      <c r="YS178" s="1"/>
      <c r="YT178" s="1"/>
      <c r="YU178" s="1"/>
      <c r="YV178" s="1"/>
      <c r="YW178" s="1"/>
      <c r="YX178" s="1"/>
      <c r="YY178" s="1"/>
      <c r="YZ178" s="1"/>
      <c r="ZA178" s="1"/>
      <c r="ZB178" s="1"/>
      <c r="ZC178" s="1"/>
      <c r="ZD178" s="1"/>
      <c r="ZE178" s="1"/>
      <c r="ZF178" s="1"/>
      <c r="ZG178" s="1"/>
      <c r="ZH178" s="1"/>
      <c r="ZI178" s="1"/>
      <c r="ZJ178" s="1"/>
      <c r="ZK178" s="1"/>
      <c r="ZL178" s="1"/>
      <c r="ZM178" s="1"/>
      <c r="ZN178" s="1"/>
      <c r="ZO178" s="1"/>
      <c r="ZP178" s="1"/>
      <c r="ZQ178" s="1"/>
      <c r="ZR178" s="1"/>
      <c r="ZS178" s="1"/>
      <c r="ZT178" s="1"/>
      <c r="ZU178" s="1"/>
      <c r="ZV178" s="1"/>
      <c r="ZW178" s="1"/>
      <c r="ZX178" s="1"/>
      <c r="ZY178" s="1"/>
      <c r="ZZ178" s="1"/>
    </row>
    <row r="179" ht="19.5" customHeight="1">
      <c r="A179" s="10"/>
      <c r="B179" s="10"/>
      <c r="C179" s="10"/>
      <c r="D179" s="10" t="str">
        <f t="shared" si="2"/>
        <v/>
      </c>
      <c r="E179" s="287" t="str">
        <f t="array" ref="E179">IF(B179="","",IF(B179&lt;&gt;B178,SUMPRODUCT(($B$5:B179&lt;&gt;$B$4:B178)*($B$5:B179&lt;&gt;"")),""))</f>
        <v/>
      </c>
      <c r="F179" s="10" t="str">
        <f t="shared" si="3"/>
        <v/>
      </c>
      <c r="G179" s="10" t="str">
        <f t="shared" si="4"/>
        <v/>
      </c>
      <c r="H179" s="288" t="str">
        <f t="shared" si="5"/>
        <v/>
      </c>
      <c r="I179" s="10"/>
      <c r="J179" s="10"/>
      <c r="K179" s="10"/>
      <c r="L179" s="10" t="str">
        <f t="shared" si="6"/>
        <v/>
      </c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  <c r="BB179" s="10"/>
      <c r="BC179" s="10"/>
      <c r="BD179" s="10"/>
      <c r="BE179" s="10"/>
      <c r="BF179" s="10"/>
      <c r="BG179" s="10"/>
      <c r="BH179" s="10"/>
      <c r="BI179" s="10"/>
      <c r="BJ179" s="10"/>
      <c r="BK179" s="10"/>
      <c r="BL179" s="10"/>
      <c r="BM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  <c r="CD179" s="10"/>
      <c r="CE179" s="10"/>
      <c r="CF179" s="10"/>
      <c r="CG179" s="10"/>
      <c r="CH179" s="10"/>
      <c r="CI179" s="10"/>
      <c r="CJ179" s="10"/>
      <c r="CK179" s="10"/>
      <c r="CL179" s="10"/>
      <c r="CM179" s="10"/>
      <c r="CN179" s="10"/>
      <c r="CO179" s="10"/>
      <c r="CP179" s="10"/>
      <c r="CQ179" s="10"/>
      <c r="CR179" s="10"/>
      <c r="CS179" s="10"/>
      <c r="CT179" s="10"/>
      <c r="CU179" s="10"/>
      <c r="CV179" s="10"/>
      <c r="CW179" s="10"/>
      <c r="CX179" s="10"/>
      <c r="CY179" s="10"/>
      <c r="CZ179" s="10"/>
      <c r="DA179" s="10"/>
      <c r="DB179" s="10"/>
      <c r="DC179" s="10"/>
      <c r="DD179" s="10"/>
      <c r="DE179" s="10"/>
      <c r="DF179" s="10"/>
      <c r="DG179" s="10"/>
      <c r="DH179" s="10"/>
      <c r="DI179" s="10"/>
      <c r="DJ179" s="10"/>
      <c r="DK179" s="10"/>
      <c r="DL179" s="10"/>
      <c r="DM179" s="10"/>
      <c r="DN179" s="10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  <c r="VA179" s="1"/>
      <c r="VB179" s="1"/>
      <c r="VC179" s="1"/>
      <c r="VD179" s="1"/>
      <c r="VE179" s="1"/>
      <c r="VF179" s="1"/>
      <c r="VG179" s="1"/>
      <c r="VH179" s="1"/>
      <c r="VI179" s="1"/>
      <c r="VJ179" s="1"/>
      <c r="VK179" s="1"/>
      <c r="VL179" s="1"/>
      <c r="VM179" s="1"/>
      <c r="VN179" s="1"/>
      <c r="VO179" s="1"/>
      <c r="VP179" s="1"/>
      <c r="VQ179" s="1"/>
      <c r="VR179" s="1"/>
      <c r="VS179" s="1"/>
      <c r="VT179" s="1"/>
      <c r="VU179" s="1"/>
      <c r="VV179" s="1"/>
      <c r="VW179" s="1"/>
      <c r="VX179" s="1"/>
      <c r="VY179" s="1"/>
      <c r="VZ179" s="1"/>
      <c r="WA179" s="1"/>
      <c r="WB179" s="1"/>
      <c r="WC179" s="1"/>
      <c r="WD179" s="1"/>
      <c r="WE179" s="1"/>
      <c r="WF179" s="1"/>
      <c r="WG179" s="1"/>
      <c r="WH179" s="1"/>
      <c r="WI179" s="1"/>
      <c r="WJ179" s="1"/>
      <c r="WK179" s="1"/>
      <c r="WL179" s="1"/>
      <c r="WM179" s="1"/>
      <c r="WN179" s="1"/>
      <c r="WO179" s="1"/>
      <c r="WP179" s="1"/>
      <c r="WQ179" s="1"/>
      <c r="WR179" s="1"/>
      <c r="WS179" s="1"/>
      <c r="WT179" s="1"/>
      <c r="WU179" s="1"/>
      <c r="WV179" s="1"/>
      <c r="WW179" s="1"/>
      <c r="WX179" s="1"/>
      <c r="WY179" s="1"/>
      <c r="WZ179" s="1"/>
      <c r="XA179" s="1"/>
      <c r="XB179" s="1"/>
      <c r="XC179" s="1"/>
      <c r="XD179" s="1"/>
      <c r="XE179" s="1"/>
      <c r="XF179" s="1"/>
      <c r="XG179" s="1"/>
      <c r="XH179" s="1"/>
      <c r="XI179" s="1"/>
      <c r="XJ179" s="1"/>
      <c r="XK179" s="1"/>
      <c r="XL179" s="1"/>
      <c r="XM179" s="1"/>
      <c r="XN179" s="1"/>
      <c r="XO179" s="1"/>
      <c r="XP179" s="1"/>
      <c r="XQ179" s="1"/>
      <c r="XR179" s="1"/>
      <c r="XS179" s="1"/>
      <c r="XT179" s="1"/>
      <c r="XU179" s="1"/>
      <c r="XV179" s="1"/>
      <c r="XW179" s="1"/>
      <c r="XX179" s="1"/>
      <c r="XY179" s="1"/>
      <c r="XZ179" s="1"/>
      <c r="YA179" s="1"/>
      <c r="YB179" s="1"/>
      <c r="YC179" s="1"/>
      <c r="YD179" s="1"/>
      <c r="YE179" s="1"/>
      <c r="YF179" s="1"/>
      <c r="YG179" s="1"/>
      <c r="YH179" s="1"/>
      <c r="YI179" s="1"/>
      <c r="YJ179" s="1"/>
      <c r="YK179" s="1"/>
      <c r="YL179" s="1"/>
      <c r="YM179" s="1"/>
      <c r="YN179" s="1"/>
      <c r="YO179" s="1"/>
      <c r="YP179" s="1"/>
      <c r="YQ179" s="1"/>
      <c r="YR179" s="1"/>
      <c r="YS179" s="1"/>
      <c r="YT179" s="1"/>
      <c r="YU179" s="1"/>
      <c r="YV179" s="1"/>
      <c r="YW179" s="1"/>
      <c r="YX179" s="1"/>
      <c r="YY179" s="1"/>
      <c r="YZ179" s="1"/>
      <c r="ZA179" s="1"/>
      <c r="ZB179" s="1"/>
      <c r="ZC179" s="1"/>
      <c r="ZD179" s="1"/>
      <c r="ZE179" s="1"/>
      <c r="ZF179" s="1"/>
      <c r="ZG179" s="1"/>
      <c r="ZH179" s="1"/>
      <c r="ZI179" s="1"/>
      <c r="ZJ179" s="1"/>
      <c r="ZK179" s="1"/>
      <c r="ZL179" s="1"/>
      <c r="ZM179" s="1"/>
      <c r="ZN179" s="1"/>
      <c r="ZO179" s="1"/>
      <c r="ZP179" s="1"/>
      <c r="ZQ179" s="1"/>
      <c r="ZR179" s="1"/>
      <c r="ZS179" s="1"/>
      <c r="ZT179" s="1"/>
      <c r="ZU179" s="1"/>
      <c r="ZV179" s="1"/>
      <c r="ZW179" s="1"/>
      <c r="ZX179" s="1"/>
      <c r="ZY179" s="1"/>
      <c r="ZZ179" s="1"/>
    </row>
    <row r="180" ht="19.5" customHeight="1">
      <c r="A180" s="10"/>
      <c r="B180" s="10"/>
      <c r="C180" s="10"/>
      <c r="D180" s="10" t="str">
        <f t="shared" si="2"/>
        <v/>
      </c>
      <c r="E180" s="287" t="str">
        <f t="array" ref="E180">IF(B180="","",IF(B180&lt;&gt;B179,SUMPRODUCT(($B$5:B180&lt;&gt;$B$4:B179)*($B$5:B180&lt;&gt;"")),""))</f>
        <v/>
      </c>
      <c r="F180" s="10" t="str">
        <f t="shared" si="3"/>
        <v/>
      </c>
      <c r="G180" s="10" t="str">
        <f t="shared" si="4"/>
        <v/>
      </c>
      <c r="H180" s="288" t="str">
        <f t="shared" si="5"/>
        <v/>
      </c>
      <c r="I180" s="10"/>
      <c r="J180" s="10"/>
      <c r="K180" s="10"/>
      <c r="L180" s="10" t="str">
        <f t="shared" si="6"/>
        <v/>
      </c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L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  <c r="CG180" s="10"/>
      <c r="CH180" s="10"/>
      <c r="CI180" s="10"/>
      <c r="CJ180" s="10"/>
      <c r="CK180" s="10"/>
      <c r="CL180" s="10"/>
      <c r="CM180" s="10"/>
      <c r="CN180" s="10"/>
      <c r="CO180" s="10"/>
      <c r="CP180" s="10"/>
      <c r="CQ180" s="10"/>
      <c r="CR180" s="10"/>
      <c r="CS180" s="10"/>
      <c r="CT180" s="10"/>
      <c r="CU180" s="10"/>
      <c r="CV180" s="10"/>
      <c r="CW180" s="10"/>
      <c r="CX180" s="10"/>
      <c r="CY180" s="10"/>
      <c r="CZ180" s="10"/>
      <c r="DA180" s="10"/>
      <c r="DB180" s="10"/>
      <c r="DC180" s="10"/>
      <c r="DD180" s="10"/>
      <c r="DE180" s="10"/>
      <c r="DF180" s="10"/>
      <c r="DG180" s="10"/>
      <c r="DH180" s="10"/>
      <c r="DI180" s="10"/>
      <c r="DJ180" s="10"/>
      <c r="DK180" s="10"/>
      <c r="DL180" s="10"/>
      <c r="DM180" s="10"/>
      <c r="DN180" s="10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  <c r="VA180" s="1"/>
      <c r="VB180" s="1"/>
      <c r="VC180" s="1"/>
      <c r="VD180" s="1"/>
      <c r="VE180" s="1"/>
      <c r="VF180" s="1"/>
      <c r="VG180" s="1"/>
      <c r="VH180" s="1"/>
      <c r="VI180" s="1"/>
      <c r="VJ180" s="1"/>
      <c r="VK180" s="1"/>
      <c r="VL180" s="1"/>
      <c r="VM180" s="1"/>
      <c r="VN180" s="1"/>
      <c r="VO180" s="1"/>
      <c r="VP180" s="1"/>
      <c r="VQ180" s="1"/>
      <c r="VR180" s="1"/>
      <c r="VS180" s="1"/>
      <c r="VT180" s="1"/>
      <c r="VU180" s="1"/>
      <c r="VV180" s="1"/>
      <c r="VW180" s="1"/>
      <c r="VX180" s="1"/>
      <c r="VY180" s="1"/>
      <c r="VZ180" s="1"/>
      <c r="WA180" s="1"/>
      <c r="WB180" s="1"/>
      <c r="WC180" s="1"/>
      <c r="WD180" s="1"/>
      <c r="WE180" s="1"/>
      <c r="WF180" s="1"/>
      <c r="WG180" s="1"/>
      <c r="WH180" s="1"/>
      <c r="WI180" s="1"/>
      <c r="WJ180" s="1"/>
      <c r="WK180" s="1"/>
      <c r="WL180" s="1"/>
      <c r="WM180" s="1"/>
      <c r="WN180" s="1"/>
      <c r="WO180" s="1"/>
      <c r="WP180" s="1"/>
      <c r="WQ180" s="1"/>
      <c r="WR180" s="1"/>
      <c r="WS180" s="1"/>
      <c r="WT180" s="1"/>
      <c r="WU180" s="1"/>
      <c r="WV180" s="1"/>
      <c r="WW180" s="1"/>
      <c r="WX180" s="1"/>
      <c r="WY180" s="1"/>
      <c r="WZ180" s="1"/>
      <c r="XA180" s="1"/>
      <c r="XB180" s="1"/>
      <c r="XC180" s="1"/>
      <c r="XD180" s="1"/>
      <c r="XE180" s="1"/>
      <c r="XF180" s="1"/>
      <c r="XG180" s="1"/>
      <c r="XH180" s="1"/>
      <c r="XI180" s="1"/>
      <c r="XJ180" s="1"/>
      <c r="XK180" s="1"/>
      <c r="XL180" s="1"/>
      <c r="XM180" s="1"/>
      <c r="XN180" s="1"/>
      <c r="XO180" s="1"/>
      <c r="XP180" s="1"/>
      <c r="XQ180" s="1"/>
      <c r="XR180" s="1"/>
      <c r="XS180" s="1"/>
      <c r="XT180" s="1"/>
      <c r="XU180" s="1"/>
      <c r="XV180" s="1"/>
      <c r="XW180" s="1"/>
      <c r="XX180" s="1"/>
      <c r="XY180" s="1"/>
      <c r="XZ180" s="1"/>
      <c r="YA180" s="1"/>
      <c r="YB180" s="1"/>
      <c r="YC180" s="1"/>
      <c r="YD180" s="1"/>
      <c r="YE180" s="1"/>
      <c r="YF180" s="1"/>
      <c r="YG180" s="1"/>
      <c r="YH180" s="1"/>
      <c r="YI180" s="1"/>
      <c r="YJ180" s="1"/>
      <c r="YK180" s="1"/>
      <c r="YL180" s="1"/>
      <c r="YM180" s="1"/>
      <c r="YN180" s="1"/>
      <c r="YO180" s="1"/>
      <c r="YP180" s="1"/>
      <c r="YQ180" s="1"/>
      <c r="YR180" s="1"/>
      <c r="YS180" s="1"/>
      <c r="YT180" s="1"/>
      <c r="YU180" s="1"/>
      <c r="YV180" s="1"/>
      <c r="YW180" s="1"/>
      <c r="YX180" s="1"/>
      <c r="YY180" s="1"/>
      <c r="YZ180" s="1"/>
      <c r="ZA180" s="1"/>
      <c r="ZB180" s="1"/>
      <c r="ZC180" s="1"/>
      <c r="ZD180" s="1"/>
      <c r="ZE180" s="1"/>
      <c r="ZF180" s="1"/>
      <c r="ZG180" s="1"/>
      <c r="ZH180" s="1"/>
      <c r="ZI180" s="1"/>
      <c r="ZJ180" s="1"/>
      <c r="ZK180" s="1"/>
      <c r="ZL180" s="1"/>
      <c r="ZM180" s="1"/>
      <c r="ZN180" s="1"/>
      <c r="ZO180" s="1"/>
      <c r="ZP180" s="1"/>
      <c r="ZQ180" s="1"/>
      <c r="ZR180" s="1"/>
      <c r="ZS180" s="1"/>
      <c r="ZT180" s="1"/>
      <c r="ZU180" s="1"/>
      <c r="ZV180" s="1"/>
      <c r="ZW180" s="1"/>
      <c r="ZX180" s="1"/>
      <c r="ZY180" s="1"/>
      <c r="ZZ180" s="1"/>
    </row>
    <row r="181" ht="19.5" customHeight="1">
      <c r="A181" s="10"/>
      <c r="B181" s="10"/>
      <c r="C181" s="10"/>
      <c r="D181" s="10" t="str">
        <f t="shared" si="2"/>
        <v/>
      </c>
      <c r="E181" s="287" t="str">
        <f t="array" ref="E181">IF(B181="","",IF(B181&lt;&gt;B180,SUMPRODUCT(($B$5:B181&lt;&gt;$B$4:B180)*($B$5:B181&lt;&gt;"")),""))</f>
        <v/>
      </c>
      <c r="F181" s="10" t="str">
        <f t="shared" si="3"/>
        <v/>
      </c>
      <c r="G181" s="10" t="str">
        <f t="shared" si="4"/>
        <v/>
      </c>
      <c r="H181" s="288" t="str">
        <f t="shared" si="5"/>
        <v/>
      </c>
      <c r="I181" s="10"/>
      <c r="J181" s="10"/>
      <c r="K181" s="10"/>
      <c r="L181" s="10" t="str">
        <f t="shared" si="6"/>
        <v/>
      </c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  <c r="BI181" s="10"/>
      <c r="BJ181" s="10"/>
      <c r="BK181" s="10"/>
      <c r="BL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/>
      <c r="CZ181" s="10"/>
      <c r="DA181" s="10"/>
      <c r="DB181" s="10"/>
      <c r="DC181" s="10"/>
      <c r="DD181" s="10"/>
      <c r="DE181" s="10"/>
      <c r="DF181" s="10"/>
      <c r="DG181" s="10"/>
      <c r="DH181" s="10"/>
      <c r="DI181" s="10"/>
      <c r="DJ181" s="10"/>
      <c r="DK181" s="10"/>
      <c r="DL181" s="10"/>
      <c r="DM181" s="10"/>
      <c r="DN181" s="10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  <c r="VA181" s="1"/>
      <c r="VB181" s="1"/>
      <c r="VC181" s="1"/>
      <c r="VD181" s="1"/>
      <c r="VE181" s="1"/>
      <c r="VF181" s="1"/>
      <c r="VG181" s="1"/>
      <c r="VH181" s="1"/>
      <c r="VI181" s="1"/>
      <c r="VJ181" s="1"/>
      <c r="VK181" s="1"/>
      <c r="VL181" s="1"/>
      <c r="VM181" s="1"/>
      <c r="VN181" s="1"/>
      <c r="VO181" s="1"/>
      <c r="VP181" s="1"/>
      <c r="VQ181" s="1"/>
      <c r="VR181" s="1"/>
      <c r="VS181" s="1"/>
      <c r="VT181" s="1"/>
      <c r="VU181" s="1"/>
      <c r="VV181" s="1"/>
      <c r="VW181" s="1"/>
      <c r="VX181" s="1"/>
      <c r="VY181" s="1"/>
      <c r="VZ181" s="1"/>
      <c r="WA181" s="1"/>
      <c r="WB181" s="1"/>
      <c r="WC181" s="1"/>
      <c r="WD181" s="1"/>
      <c r="WE181" s="1"/>
      <c r="WF181" s="1"/>
      <c r="WG181" s="1"/>
      <c r="WH181" s="1"/>
      <c r="WI181" s="1"/>
      <c r="WJ181" s="1"/>
      <c r="WK181" s="1"/>
      <c r="WL181" s="1"/>
      <c r="WM181" s="1"/>
      <c r="WN181" s="1"/>
      <c r="WO181" s="1"/>
      <c r="WP181" s="1"/>
      <c r="WQ181" s="1"/>
      <c r="WR181" s="1"/>
      <c r="WS181" s="1"/>
      <c r="WT181" s="1"/>
      <c r="WU181" s="1"/>
      <c r="WV181" s="1"/>
      <c r="WW181" s="1"/>
      <c r="WX181" s="1"/>
      <c r="WY181" s="1"/>
      <c r="WZ181" s="1"/>
      <c r="XA181" s="1"/>
      <c r="XB181" s="1"/>
      <c r="XC181" s="1"/>
      <c r="XD181" s="1"/>
      <c r="XE181" s="1"/>
      <c r="XF181" s="1"/>
      <c r="XG181" s="1"/>
      <c r="XH181" s="1"/>
      <c r="XI181" s="1"/>
      <c r="XJ181" s="1"/>
      <c r="XK181" s="1"/>
      <c r="XL181" s="1"/>
      <c r="XM181" s="1"/>
      <c r="XN181" s="1"/>
      <c r="XO181" s="1"/>
      <c r="XP181" s="1"/>
      <c r="XQ181" s="1"/>
      <c r="XR181" s="1"/>
      <c r="XS181" s="1"/>
      <c r="XT181" s="1"/>
      <c r="XU181" s="1"/>
      <c r="XV181" s="1"/>
      <c r="XW181" s="1"/>
      <c r="XX181" s="1"/>
      <c r="XY181" s="1"/>
      <c r="XZ181" s="1"/>
      <c r="YA181" s="1"/>
      <c r="YB181" s="1"/>
      <c r="YC181" s="1"/>
      <c r="YD181" s="1"/>
      <c r="YE181" s="1"/>
      <c r="YF181" s="1"/>
      <c r="YG181" s="1"/>
      <c r="YH181" s="1"/>
      <c r="YI181" s="1"/>
      <c r="YJ181" s="1"/>
      <c r="YK181" s="1"/>
      <c r="YL181" s="1"/>
      <c r="YM181" s="1"/>
      <c r="YN181" s="1"/>
      <c r="YO181" s="1"/>
      <c r="YP181" s="1"/>
      <c r="YQ181" s="1"/>
      <c r="YR181" s="1"/>
      <c r="YS181" s="1"/>
      <c r="YT181" s="1"/>
      <c r="YU181" s="1"/>
      <c r="YV181" s="1"/>
      <c r="YW181" s="1"/>
      <c r="YX181" s="1"/>
      <c r="YY181" s="1"/>
      <c r="YZ181" s="1"/>
      <c r="ZA181" s="1"/>
      <c r="ZB181" s="1"/>
      <c r="ZC181" s="1"/>
      <c r="ZD181" s="1"/>
      <c r="ZE181" s="1"/>
      <c r="ZF181" s="1"/>
      <c r="ZG181" s="1"/>
      <c r="ZH181" s="1"/>
      <c r="ZI181" s="1"/>
      <c r="ZJ181" s="1"/>
      <c r="ZK181" s="1"/>
      <c r="ZL181" s="1"/>
      <c r="ZM181" s="1"/>
      <c r="ZN181" s="1"/>
      <c r="ZO181" s="1"/>
      <c r="ZP181" s="1"/>
      <c r="ZQ181" s="1"/>
      <c r="ZR181" s="1"/>
      <c r="ZS181" s="1"/>
      <c r="ZT181" s="1"/>
      <c r="ZU181" s="1"/>
      <c r="ZV181" s="1"/>
      <c r="ZW181" s="1"/>
      <c r="ZX181" s="1"/>
      <c r="ZY181" s="1"/>
      <c r="ZZ181" s="1"/>
    </row>
    <row r="182" ht="19.5" customHeight="1">
      <c r="A182" s="10"/>
      <c r="B182" s="10"/>
      <c r="C182" s="10"/>
      <c r="D182" s="10" t="str">
        <f t="shared" si="2"/>
        <v/>
      </c>
      <c r="E182" s="287" t="str">
        <f t="array" ref="E182">IF(B182="","",IF(B182&lt;&gt;B181,SUMPRODUCT(($B$5:B182&lt;&gt;$B$4:B181)*($B$5:B182&lt;&gt;"")),""))</f>
        <v/>
      </c>
      <c r="F182" s="10" t="str">
        <f t="shared" si="3"/>
        <v/>
      </c>
      <c r="G182" s="10" t="str">
        <f t="shared" si="4"/>
        <v/>
      </c>
      <c r="H182" s="288" t="str">
        <f t="shared" si="5"/>
        <v/>
      </c>
      <c r="I182" s="10"/>
      <c r="J182" s="10"/>
      <c r="K182" s="10"/>
      <c r="L182" s="10" t="str">
        <f t="shared" si="6"/>
        <v/>
      </c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  <c r="BI182" s="10"/>
      <c r="BJ182" s="10"/>
      <c r="BK182" s="10"/>
      <c r="BL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  <c r="CG182" s="10"/>
      <c r="CH182" s="10"/>
      <c r="CI182" s="10"/>
      <c r="CJ182" s="10"/>
      <c r="CK182" s="10"/>
      <c r="CL182" s="10"/>
      <c r="CM182" s="10"/>
      <c r="CN182" s="10"/>
      <c r="CO182" s="10"/>
      <c r="CP182" s="10"/>
      <c r="CQ182" s="10"/>
      <c r="CR182" s="10"/>
      <c r="CS182" s="10"/>
      <c r="CT182" s="10"/>
      <c r="CU182" s="10"/>
      <c r="CV182" s="10"/>
      <c r="CW182" s="10"/>
      <c r="CX182" s="10"/>
      <c r="CY182" s="10"/>
      <c r="CZ182" s="10"/>
      <c r="DA182" s="10"/>
      <c r="DB182" s="10"/>
      <c r="DC182" s="10"/>
      <c r="DD182" s="10"/>
      <c r="DE182" s="10"/>
      <c r="DF182" s="10"/>
      <c r="DG182" s="10"/>
      <c r="DH182" s="10"/>
      <c r="DI182" s="10"/>
      <c r="DJ182" s="10"/>
      <c r="DK182" s="10"/>
      <c r="DL182" s="10"/>
      <c r="DM182" s="10"/>
      <c r="DN182" s="10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  <c r="VA182" s="1"/>
      <c r="VB182" s="1"/>
      <c r="VC182" s="1"/>
      <c r="VD182" s="1"/>
      <c r="VE182" s="1"/>
      <c r="VF182" s="1"/>
      <c r="VG182" s="1"/>
      <c r="VH182" s="1"/>
      <c r="VI182" s="1"/>
      <c r="VJ182" s="1"/>
      <c r="VK182" s="1"/>
      <c r="VL182" s="1"/>
      <c r="VM182" s="1"/>
      <c r="VN182" s="1"/>
      <c r="VO182" s="1"/>
      <c r="VP182" s="1"/>
      <c r="VQ182" s="1"/>
      <c r="VR182" s="1"/>
      <c r="VS182" s="1"/>
      <c r="VT182" s="1"/>
      <c r="VU182" s="1"/>
      <c r="VV182" s="1"/>
      <c r="VW182" s="1"/>
      <c r="VX182" s="1"/>
      <c r="VY182" s="1"/>
      <c r="VZ182" s="1"/>
      <c r="WA182" s="1"/>
      <c r="WB182" s="1"/>
      <c r="WC182" s="1"/>
      <c r="WD182" s="1"/>
      <c r="WE182" s="1"/>
      <c r="WF182" s="1"/>
      <c r="WG182" s="1"/>
      <c r="WH182" s="1"/>
      <c r="WI182" s="1"/>
      <c r="WJ182" s="1"/>
      <c r="WK182" s="1"/>
      <c r="WL182" s="1"/>
      <c r="WM182" s="1"/>
      <c r="WN182" s="1"/>
      <c r="WO182" s="1"/>
      <c r="WP182" s="1"/>
      <c r="WQ182" s="1"/>
      <c r="WR182" s="1"/>
      <c r="WS182" s="1"/>
      <c r="WT182" s="1"/>
      <c r="WU182" s="1"/>
      <c r="WV182" s="1"/>
      <c r="WW182" s="1"/>
      <c r="WX182" s="1"/>
      <c r="WY182" s="1"/>
      <c r="WZ182" s="1"/>
      <c r="XA182" s="1"/>
      <c r="XB182" s="1"/>
      <c r="XC182" s="1"/>
      <c r="XD182" s="1"/>
      <c r="XE182" s="1"/>
      <c r="XF182" s="1"/>
      <c r="XG182" s="1"/>
      <c r="XH182" s="1"/>
      <c r="XI182" s="1"/>
      <c r="XJ182" s="1"/>
      <c r="XK182" s="1"/>
      <c r="XL182" s="1"/>
      <c r="XM182" s="1"/>
      <c r="XN182" s="1"/>
      <c r="XO182" s="1"/>
      <c r="XP182" s="1"/>
      <c r="XQ182" s="1"/>
      <c r="XR182" s="1"/>
      <c r="XS182" s="1"/>
      <c r="XT182" s="1"/>
      <c r="XU182" s="1"/>
      <c r="XV182" s="1"/>
      <c r="XW182" s="1"/>
      <c r="XX182" s="1"/>
      <c r="XY182" s="1"/>
      <c r="XZ182" s="1"/>
      <c r="YA182" s="1"/>
      <c r="YB182" s="1"/>
      <c r="YC182" s="1"/>
      <c r="YD182" s="1"/>
      <c r="YE182" s="1"/>
      <c r="YF182" s="1"/>
      <c r="YG182" s="1"/>
      <c r="YH182" s="1"/>
      <c r="YI182" s="1"/>
      <c r="YJ182" s="1"/>
      <c r="YK182" s="1"/>
      <c r="YL182" s="1"/>
      <c r="YM182" s="1"/>
      <c r="YN182" s="1"/>
      <c r="YO182" s="1"/>
      <c r="YP182" s="1"/>
      <c r="YQ182" s="1"/>
      <c r="YR182" s="1"/>
      <c r="YS182" s="1"/>
      <c r="YT182" s="1"/>
      <c r="YU182" s="1"/>
      <c r="YV182" s="1"/>
      <c r="YW182" s="1"/>
      <c r="YX182" s="1"/>
      <c r="YY182" s="1"/>
      <c r="YZ182" s="1"/>
      <c r="ZA182" s="1"/>
      <c r="ZB182" s="1"/>
      <c r="ZC182" s="1"/>
      <c r="ZD182" s="1"/>
      <c r="ZE182" s="1"/>
      <c r="ZF182" s="1"/>
      <c r="ZG182" s="1"/>
      <c r="ZH182" s="1"/>
      <c r="ZI182" s="1"/>
      <c r="ZJ182" s="1"/>
      <c r="ZK182" s="1"/>
      <c r="ZL182" s="1"/>
      <c r="ZM182" s="1"/>
      <c r="ZN182" s="1"/>
      <c r="ZO182" s="1"/>
      <c r="ZP182" s="1"/>
      <c r="ZQ182" s="1"/>
      <c r="ZR182" s="1"/>
      <c r="ZS182" s="1"/>
      <c r="ZT182" s="1"/>
      <c r="ZU182" s="1"/>
      <c r="ZV182" s="1"/>
      <c r="ZW182" s="1"/>
      <c r="ZX182" s="1"/>
      <c r="ZY182" s="1"/>
      <c r="ZZ182" s="1"/>
    </row>
    <row r="183" ht="19.5" customHeight="1">
      <c r="A183" s="10"/>
      <c r="B183" s="10"/>
      <c r="C183" s="10"/>
      <c r="D183" s="10" t="str">
        <f t="shared" si="2"/>
        <v/>
      </c>
      <c r="E183" s="287" t="str">
        <f t="array" ref="E183">IF(B183="","",IF(B183&lt;&gt;B182,SUMPRODUCT(($B$5:B183&lt;&gt;$B$4:B182)*($B$5:B183&lt;&gt;"")),""))</f>
        <v/>
      </c>
      <c r="F183" s="10" t="str">
        <f t="shared" si="3"/>
        <v/>
      </c>
      <c r="G183" s="10" t="str">
        <f t="shared" si="4"/>
        <v/>
      </c>
      <c r="H183" s="288" t="str">
        <f t="shared" si="5"/>
        <v/>
      </c>
      <c r="I183" s="10"/>
      <c r="J183" s="10"/>
      <c r="K183" s="10"/>
      <c r="L183" s="10" t="str">
        <f t="shared" si="6"/>
        <v/>
      </c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  <c r="BI183" s="10"/>
      <c r="BJ183" s="10"/>
      <c r="BK183" s="10"/>
      <c r="BL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  <c r="CD183" s="10"/>
      <c r="CE183" s="10"/>
      <c r="CF183" s="10"/>
      <c r="CG183" s="10"/>
      <c r="CH183" s="10"/>
      <c r="CI183" s="10"/>
      <c r="CJ183" s="10"/>
      <c r="CK183" s="10"/>
      <c r="CL183" s="10"/>
      <c r="CM183" s="10"/>
      <c r="CN183" s="10"/>
      <c r="CO183" s="10"/>
      <c r="CP183" s="10"/>
      <c r="CQ183" s="10"/>
      <c r="CR183" s="10"/>
      <c r="CS183" s="10"/>
      <c r="CT183" s="10"/>
      <c r="CU183" s="10"/>
      <c r="CV183" s="10"/>
      <c r="CW183" s="10"/>
      <c r="CX183" s="10"/>
      <c r="CY183" s="10"/>
      <c r="CZ183" s="10"/>
      <c r="DA183" s="10"/>
      <c r="DB183" s="10"/>
      <c r="DC183" s="10"/>
      <c r="DD183" s="10"/>
      <c r="DE183" s="10"/>
      <c r="DF183" s="10"/>
      <c r="DG183" s="10"/>
      <c r="DH183" s="10"/>
      <c r="DI183" s="10"/>
      <c r="DJ183" s="10"/>
      <c r="DK183" s="10"/>
      <c r="DL183" s="10"/>
      <c r="DM183" s="10"/>
      <c r="DN183" s="10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  <c r="VA183" s="1"/>
      <c r="VB183" s="1"/>
      <c r="VC183" s="1"/>
      <c r="VD183" s="1"/>
      <c r="VE183" s="1"/>
      <c r="VF183" s="1"/>
      <c r="VG183" s="1"/>
      <c r="VH183" s="1"/>
      <c r="VI183" s="1"/>
      <c r="VJ183" s="1"/>
      <c r="VK183" s="1"/>
      <c r="VL183" s="1"/>
      <c r="VM183" s="1"/>
      <c r="VN183" s="1"/>
      <c r="VO183" s="1"/>
      <c r="VP183" s="1"/>
      <c r="VQ183" s="1"/>
      <c r="VR183" s="1"/>
      <c r="VS183" s="1"/>
      <c r="VT183" s="1"/>
      <c r="VU183" s="1"/>
      <c r="VV183" s="1"/>
      <c r="VW183" s="1"/>
      <c r="VX183" s="1"/>
      <c r="VY183" s="1"/>
      <c r="VZ183" s="1"/>
      <c r="WA183" s="1"/>
      <c r="WB183" s="1"/>
      <c r="WC183" s="1"/>
      <c r="WD183" s="1"/>
      <c r="WE183" s="1"/>
      <c r="WF183" s="1"/>
      <c r="WG183" s="1"/>
      <c r="WH183" s="1"/>
      <c r="WI183" s="1"/>
      <c r="WJ183" s="1"/>
      <c r="WK183" s="1"/>
      <c r="WL183" s="1"/>
      <c r="WM183" s="1"/>
      <c r="WN183" s="1"/>
      <c r="WO183" s="1"/>
      <c r="WP183" s="1"/>
      <c r="WQ183" s="1"/>
      <c r="WR183" s="1"/>
      <c r="WS183" s="1"/>
      <c r="WT183" s="1"/>
      <c r="WU183" s="1"/>
      <c r="WV183" s="1"/>
      <c r="WW183" s="1"/>
      <c r="WX183" s="1"/>
      <c r="WY183" s="1"/>
      <c r="WZ183" s="1"/>
      <c r="XA183" s="1"/>
      <c r="XB183" s="1"/>
      <c r="XC183" s="1"/>
      <c r="XD183" s="1"/>
      <c r="XE183" s="1"/>
      <c r="XF183" s="1"/>
      <c r="XG183" s="1"/>
      <c r="XH183" s="1"/>
      <c r="XI183" s="1"/>
      <c r="XJ183" s="1"/>
      <c r="XK183" s="1"/>
      <c r="XL183" s="1"/>
      <c r="XM183" s="1"/>
      <c r="XN183" s="1"/>
      <c r="XO183" s="1"/>
      <c r="XP183" s="1"/>
      <c r="XQ183" s="1"/>
      <c r="XR183" s="1"/>
      <c r="XS183" s="1"/>
      <c r="XT183" s="1"/>
      <c r="XU183" s="1"/>
      <c r="XV183" s="1"/>
      <c r="XW183" s="1"/>
      <c r="XX183" s="1"/>
      <c r="XY183" s="1"/>
      <c r="XZ183" s="1"/>
      <c r="YA183" s="1"/>
      <c r="YB183" s="1"/>
      <c r="YC183" s="1"/>
      <c r="YD183" s="1"/>
      <c r="YE183" s="1"/>
      <c r="YF183" s="1"/>
      <c r="YG183" s="1"/>
      <c r="YH183" s="1"/>
      <c r="YI183" s="1"/>
      <c r="YJ183" s="1"/>
      <c r="YK183" s="1"/>
      <c r="YL183" s="1"/>
      <c r="YM183" s="1"/>
      <c r="YN183" s="1"/>
      <c r="YO183" s="1"/>
      <c r="YP183" s="1"/>
      <c r="YQ183" s="1"/>
      <c r="YR183" s="1"/>
      <c r="YS183" s="1"/>
      <c r="YT183" s="1"/>
      <c r="YU183" s="1"/>
      <c r="YV183" s="1"/>
      <c r="YW183" s="1"/>
      <c r="YX183" s="1"/>
      <c r="YY183" s="1"/>
      <c r="YZ183" s="1"/>
      <c r="ZA183" s="1"/>
      <c r="ZB183" s="1"/>
      <c r="ZC183" s="1"/>
      <c r="ZD183" s="1"/>
      <c r="ZE183" s="1"/>
      <c r="ZF183" s="1"/>
      <c r="ZG183" s="1"/>
      <c r="ZH183" s="1"/>
      <c r="ZI183" s="1"/>
      <c r="ZJ183" s="1"/>
      <c r="ZK183" s="1"/>
      <c r="ZL183" s="1"/>
      <c r="ZM183" s="1"/>
      <c r="ZN183" s="1"/>
      <c r="ZO183" s="1"/>
      <c r="ZP183" s="1"/>
      <c r="ZQ183" s="1"/>
      <c r="ZR183" s="1"/>
      <c r="ZS183" s="1"/>
      <c r="ZT183" s="1"/>
      <c r="ZU183" s="1"/>
      <c r="ZV183" s="1"/>
      <c r="ZW183" s="1"/>
      <c r="ZX183" s="1"/>
      <c r="ZY183" s="1"/>
      <c r="ZZ183" s="1"/>
    </row>
    <row r="184" ht="19.5" customHeight="1">
      <c r="A184" s="10"/>
      <c r="B184" s="10"/>
      <c r="C184" s="10"/>
      <c r="D184" s="10" t="str">
        <f t="shared" si="2"/>
        <v/>
      </c>
      <c r="E184" s="287" t="str">
        <f t="array" ref="E184">IF(B184="","",IF(B184&lt;&gt;B183,SUMPRODUCT(($B$5:B184&lt;&gt;$B$4:B183)*($B$5:B184&lt;&gt;"")),""))</f>
        <v/>
      </c>
      <c r="F184" s="10" t="str">
        <f t="shared" si="3"/>
        <v/>
      </c>
      <c r="G184" s="10" t="str">
        <f t="shared" si="4"/>
        <v/>
      </c>
      <c r="H184" s="288" t="str">
        <f t="shared" si="5"/>
        <v/>
      </c>
      <c r="I184" s="10"/>
      <c r="J184" s="10"/>
      <c r="K184" s="10"/>
      <c r="L184" s="10" t="str">
        <f t="shared" si="6"/>
        <v/>
      </c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  <c r="BI184" s="10"/>
      <c r="BJ184" s="10"/>
      <c r="BK184" s="10"/>
      <c r="BL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0"/>
      <c r="CG184" s="10"/>
      <c r="CH184" s="10"/>
      <c r="CI184" s="10"/>
      <c r="CJ184" s="10"/>
      <c r="CK184" s="10"/>
      <c r="CL184" s="10"/>
      <c r="CM184" s="10"/>
      <c r="CN184" s="10"/>
      <c r="CO184" s="10"/>
      <c r="CP184" s="10"/>
      <c r="CQ184" s="10"/>
      <c r="CR184" s="10"/>
      <c r="CS184" s="10"/>
      <c r="CT184" s="10"/>
      <c r="CU184" s="10"/>
      <c r="CV184" s="10"/>
      <c r="CW184" s="10"/>
      <c r="CX184" s="10"/>
      <c r="CY184" s="10"/>
      <c r="CZ184" s="10"/>
      <c r="DA184" s="10"/>
      <c r="DB184" s="10"/>
      <c r="DC184" s="10"/>
      <c r="DD184" s="10"/>
      <c r="DE184" s="10"/>
      <c r="DF184" s="10"/>
      <c r="DG184" s="10"/>
      <c r="DH184" s="10"/>
      <c r="DI184" s="10"/>
      <c r="DJ184" s="10"/>
      <c r="DK184" s="10"/>
      <c r="DL184" s="10"/>
      <c r="DM184" s="10"/>
      <c r="DN184" s="10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  <c r="VA184" s="1"/>
      <c r="VB184" s="1"/>
      <c r="VC184" s="1"/>
      <c r="VD184" s="1"/>
      <c r="VE184" s="1"/>
      <c r="VF184" s="1"/>
      <c r="VG184" s="1"/>
      <c r="VH184" s="1"/>
      <c r="VI184" s="1"/>
      <c r="VJ184" s="1"/>
      <c r="VK184" s="1"/>
      <c r="VL184" s="1"/>
      <c r="VM184" s="1"/>
      <c r="VN184" s="1"/>
      <c r="VO184" s="1"/>
      <c r="VP184" s="1"/>
      <c r="VQ184" s="1"/>
      <c r="VR184" s="1"/>
      <c r="VS184" s="1"/>
      <c r="VT184" s="1"/>
      <c r="VU184" s="1"/>
      <c r="VV184" s="1"/>
      <c r="VW184" s="1"/>
      <c r="VX184" s="1"/>
      <c r="VY184" s="1"/>
      <c r="VZ184" s="1"/>
      <c r="WA184" s="1"/>
      <c r="WB184" s="1"/>
      <c r="WC184" s="1"/>
      <c r="WD184" s="1"/>
      <c r="WE184" s="1"/>
      <c r="WF184" s="1"/>
      <c r="WG184" s="1"/>
      <c r="WH184" s="1"/>
      <c r="WI184" s="1"/>
      <c r="WJ184" s="1"/>
      <c r="WK184" s="1"/>
      <c r="WL184" s="1"/>
      <c r="WM184" s="1"/>
      <c r="WN184" s="1"/>
      <c r="WO184" s="1"/>
      <c r="WP184" s="1"/>
      <c r="WQ184" s="1"/>
      <c r="WR184" s="1"/>
      <c r="WS184" s="1"/>
      <c r="WT184" s="1"/>
      <c r="WU184" s="1"/>
      <c r="WV184" s="1"/>
      <c r="WW184" s="1"/>
      <c r="WX184" s="1"/>
      <c r="WY184" s="1"/>
      <c r="WZ184" s="1"/>
      <c r="XA184" s="1"/>
      <c r="XB184" s="1"/>
      <c r="XC184" s="1"/>
      <c r="XD184" s="1"/>
      <c r="XE184" s="1"/>
      <c r="XF184" s="1"/>
      <c r="XG184" s="1"/>
      <c r="XH184" s="1"/>
      <c r="XI184" s="1"/>
      <c r="XJ184" s="1"/>
      <c r="XK184" s="1"/>
      <c r="XL184" s="1"/>
      <c r="XM184" s="1"/>
      <c r="XN184" s="1"/>
      <c r="XO184" s="1"/>
      <c r="XP184" s="1"/>
      <c r="XQ184" s="1"/>
      <c r="XR184" s="1"/>
      <c r="XS184" s="1"/>
      <c r="XT184" s="1"/>
      <c r="XU184" s="1"/>
      <c r="XV184" s="1"/>
      <c r="XW184" s="1"/>
      <c r="XX184" s="1"/>
      <c r="XY184" s="1"/>
      <c r="XZ184" s="1"/>
      <c r="YA184" s="1"/>
      <c r="YB184" s="1"/>
      <c r="YC184" s="1"/>
      <c r="YD184" s="1"/>
      <c r="YE184" s="1"/>
      <c r="YF184" s="1"/>
      <c r="YG184" s="1"/>
      <c r="YH184" s="1"/>
      <c r="YI184" s="1"/>
      <c r="YJ184" s="1"/>
      <c r="YK184" s="1"/>
      <c r="YL184" s="1"/>
      <c r="YM184" s="1"/>
      <c r="YN184" s="1"/>
      <c r="YO184" s="1"/>
      <c r="YP184" s="1"/>
      <c r="YQ184" s="1"/>
      <c r="YR184" s="1"/>
      <c r="YS184" s="1"/>
      <c r="YT184" s="1"/>
      <c r="YU184" s="1"/>
      <c r="YV184" s="1"/>
      <c r="YW184" s="1"/>
      <c r="YX184" s="1"/>
      <c r="YY184" s="1"/>
      <c r="YZ184" s="1"/>
      <c r="ZA184" s="1"/>
      <c r="ZB184" s="1"/>
      <c r="ZC184" s="1"/>
      <c r="ZD184" s="1"/>
      <c r="ZE184" s="1"/>
      <c r="ZF184" s="1"/>
      <c r="ZG184" s="1"/>
      <c r="ZH184" s="1"/>
      <c r="ZI184" s="1"/>
      <c r="ZJ184" s="1"/>
      <c r="ZK184" s="1"/>
      <c r="ZL184" s="1"/>
      <c r="ZM184" s="1"/>
      <c r="ZN184" s="1"/>
      <c r="ZO184" s="1"/>
      <c r="ZP184" s="1"/>
      <c r="ZQ184" s="1"/>
      <c r="ZR184" s="1"/>
      <c r="ZS184" s="1"/>
      <c r="ZT184" s="1"/>
      <c r="ZU184" s="1"/>
      <c r="ZV184" s="1"/>
      <c r="ZW184" s="1"/>
      <c r="ZX184" s="1"/>
      <c r="ZY184" s="1"/>
      <c r="ZZ184" s="1"/>
    </row>
    <row r="185" ht="19.5" customHeight="1">
      <c r="A185" s="10"/>
      <c r="B185" s="10"/>
      <c r="C185" s="10"/>
      <c r="D185" s="10" t="str">
        <f t="shared" si="2"/>
        <v/>
      </c>
      <c r="E185" s="287" t="str">
        <f t="array" ref="E185">IF(B185="","",IF(B185&lt;&gt;B184,SUMPRODUCT(($B$5:B185&lt;&gt;$B$4:B184)*($B$5:B185&lt;&gt;"")),""))</f>
        <v/>
      </c>
      <c r="F185" s="10" t="str">
        <f t="shared" si="3"/>
        <v/>
      </c>
      <c r="G185" s="10" t="str">
        <f t="shared" si="4"/>
        <v/>
      </c>
      <c r="H185" s="288" t="str">
        <f t="shared" si="5"/>
        <v/>
      </c>
      <c r="I185" s="10"/>
      <c r="J185" s="10"/>
      <c r="K185" s="10"/>
      <c r="L185" s="10" t="str">
        <f t="shared" si="6"/>
        <v/>
      </c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  <c r="BB185" s="10"/>
      <c r="BC185" s="10"/>
      <c r="BD185" s="10"/>
      <c r="BE185" s="10"/>
      <c r="BF185" s="10"/>
      <c r="BG185" s="10"/>
      <c r="BH185" s="10"/>
      <c r="BI185" s="10"/>
      <c r="BJ185" s="10"/>
      <c r="BK185" s="10"/>
      <c r="BL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  <c r="CG185" s="10"/>
      <c r="CH185" s="10"/>
      <c r="CI185" s="10"/>
      <c r="CJ185" s="10"/>
      <c r="CK185" s="10"/>
      <c r="CL185" s="10"/>
      <c r="CM185" s="10"/>
      <c r="CN185" s="10"/>
      <c r="CO185" s="10"/>
      <c r="CP185" s="10"/>
      <c r="CQ185" s="10"/>
      <c r="CR185" s="10"/>
      <c r="CS185" s="10"/>
      <c r="CT185" s="10"/>
      <c r="CU185" s="10"/>
      <c r="CV185" s="10"/>
      <c r="CW185" s="10"/>
      <c r="CX185" s="10"/>
      <c r="CY185" s="10"/>
      <c r="CZ185" s="10"/>
      <c r="DA185" s="10"/>
      <c r="DB185" s="10"/>
      <c r="DC185" s="10"/>
      <c r="DD185" s="10"/>
      <c r="DE185" s="10"/>
      <c r="DF185" s="10"/>
      <c r="DG185" s="10"/>
      <c r="DH185" s="10"/>
      <c r="DI185" s="10"/>
      <c r="DJ185" s="10"/>
      <c r="DK185" s="10"/>
      <c r="DL185" s="10"/>
      <c r="DM185" s="10"/>
      <c r="DN185" s="10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  <c r="VA185" s="1"/>
      <c r="VB185" s="1"/>
      <c r="VC185" s="1"/>
      <c r="VD185" s="1"/>
      <c r="VE185" s="1"/>
      <c r="VF185" s="1"/>
      <c r="VG185" s="1"/>
      <c r="VH185" s="1"/>
      <c r="VI185" s="1"/>
      <c r="VJ185" s="1"/>
      <c r="VK185" s="1"/>
      <c r="VL185" s="1"/>
      <c r="VM185" s="1"/>
      <c r="VN185" s="1"/>
      <c r="VO185" s="1"/>
      <c r="VP185" s="1"/>
      <c r="VQ185" s="1"/>
      <c r="VR185" s="1"/>
      <c r="VS185" s="1"/>
      <c r="VT185" s="1"/>
      <c r="VU185" s="1"/>
      <c r="VV185" s="1"/>
      <c r="VW185" s="1"/>
      <c r="VX185" s="1"/>
      <c r="VY185" s="1"/>
      <c r="VZ185" s="1"/>
      <c r="WA185" s="1"/>
      <c r="WB185" s="1"/>
      <c r="WC185" s="1"/>
      <c r="WD185" s="1"/>
      <c r="WE185" s="1"/>
      <c r="WF185" s="1"/>
      <c r="WG185" s="1"/>
      <c r="WH185" s="1"/>
      <c r="WI185" s="1"/>
      <c r="WJ185" s="1"/>
      <c r="WK185" s="1"/>
      <c r="WL185" s="1"/>
      <c r="WM185" s="1"/>
      <c r="WN185" s="1"/>
      <c r="WO185" s="1"/>
      <c r="WP185" s="1"/>
      <c r="WQ185" s="1"/>
      <c r="WR185" s="1"/>
      <c r="WS185" s="1"/>
      <c r="WT185" s="1"/>
      <c r="WU185" s="1"/>
      <c r="WV185" s="1"/>
      <c r="WW185" s="1"/>
      <c r="WX185" s="1"/>
      <c r="WY185" s="1"/>
      <c r="WZ185" s="1"/>
      <c r="XA185" s="1"/>
      <c r="XB185" s="1"/>
      <c r="XC185" s="1"/>
      <c r="XD185" s="1"/>
      <c r="XE185" s="1"/>
      <c r="XF185" s="1"/>
      <c r="XG185" s="1"/>
      <c r="XH185" s="1"/>
      <c r="XI185" s="1"/>
      <c r="XJ185" s="1"/>
      <c r="XK185" s="1"/>
      <c r="XL185" s="1"/>
      <c r="XM185" s="1"/>
      <c r="XN185" s="1"/>
      <c r="XO185" s="1"/>
      <c r="XP185" s="1"/>
      <c r="XQ185" s="1"/>
      <c r="XR185" s="1"/>
      <c r="XS185" s="1"/>
      <c r="XT185" s="1"/>
      <c r="XU185" s="1"/>
      <c r="XV185" s="1"/>
      <c r="XW185" s="1"/>
      <c r="XX185" s="1"/>
      <c r="XY185" s="1"/>
      <c r="XZ185" s="1"/>
      <c r="YA185" s="1"/>
      <c r="YB185" s="1"/>
      <c r="YC185" s="1"/>
      <c r="YD185" s="1"/>
      <c r="YE185" s="1"/>
      <c r="YF185" s="1"/>
      <c r="YG185" s="1"/>
      <c r="YH185" s="1"/>
      <c r="YI185" s="1"/>
      <c r="YJ185" s="1"/>
      <c r="YK185" s="1"/>
      <c r="YL185" s="1"/>
      <c r="YM185" s="1"/>
      <c r="YN185" s="1"/>
      <c r="YO185" s="1"/>
      <c r="YP185" s="1"/>
      <c r="YQ185" s="1"/>
      <c r="YR185" s="1"/>
      <c r="YS185" s="1"/>
      <c r="YT185" s="1"/>
      <c r="YU185" s="1"/>
      <c r="YV185" s="1"/>
      <c r="YW185" s="1"/>
      <c r="YX185" s="1"/>
      <c r="YY185" s="1"/>
      <c r="YZ185" s="1"/>
      <c r="ZA185" s="1"/>
      <c r="ZB185" s="1"/>
      <c r="ZC185" s="1"/>
      <c r="ZD185" s="1"/>
      <c r="ZE185" s="1"/>
      <c r="ZF185" s="1"/>
      <c r="ZG185" s="1"/>
      <c r="ZH185" s="1"/>
      <c r="ZI185" s="1"/>
      <c r="ZJ185" s="1"/>
      <c r="ZK185" s="1"/>
      <c r="ZL185" s="1"/>
      <c r="ZM185" s="1"/>
      <c r="ZN185" s="1"/>
      <c r="ZO185" s="1"/>
      <c r="ZP185" s="1"/>
      <c r="ZQ185" s="1"/>
      <c r="ZR185" s="1"/>
      <c r="ZS185" s="1"/>
      <c r="ZT185" s="1"/>
      <c r="ZU185" s="1"/>
      <c r="ZV185" s="1"/>
      <c r="ZW185" s="1"/>
      <c r="ZX185" s="1"/>
      <c r="ZY185" s="1"/>
      <c r="ZZ185" s="1"/>
    </row>
    <row r="186" ht="19.5" customHeight="1">
      <c r="A186" s="10"/>
      <c r="B186" s="10"/>
      <c r="C186" s="10"/>
      <c r="D186" s="10" t="str">
        <f t="shared" si="2"/>
        <v/>
      </c>
      <c r="E186" s="287" t="str">
        <f t="array" ref="E186">IF(B186="","",IF(B186&lt;&gt;B185,SUMPRODUCT(($B$5:B186&lt;&gt;$B$4:B185)*($B$5:B186&lt;&gt;"")),""))</f>
        <v/>
      </c>
      <c r="F186" s="10" t="str">
        <f t="shared" si="3"/>
        <v/>
      </c>
      <c r="G186" s="10" t="str">
        <f t="shared" si="4"/>
        <v/>
      </c>
      <c r="H186" s="288" t="str">
        <f t="shared" si="5"/>
        <v/>
      </c>
      <c r="I186" s="10"/>
      <c r="J186" s="10"/>
      <c r="K186" s="10"/>
      <c r="L186" s="10" t="str">
        <f t="shared" si="6"/>
        <v/>
      </c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/>
      <c r="BI186" s="10"/>
      <c r="BJ186" s="10"/>
      <c r="BK186" s="10"/>
      <c r="BL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  <c r="CD186" s="10"/>
      <c r="CE186" s="10"/>
      <c r="CF186" s="10"/>
      <c r="CG186" s="10"/>
      <c r="CH186" s="10"/>
      <c r="CI186" s="10"/>
      <c r="CJ186" s="10"/>
      <c r="CK186" s="10"/>
      <c r="CL186" s="10"/>
      <c r="CM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0"/>
      <c r="DA186" s="10"/>
      <c r="DB186" s="10"/>
      <c r="DC186" s="10"/>
      <c r="DD186" s="10"/>
      <c r="DE186" s="10"/>
      <c r="DF186" s="10"/>
      <c r="DG186" s="10"/>
      <c r="DH186" s="10"/>
      <c r="DI186" s="10"/>
      <c r="DJ186" s="10"/>
      <c r="DK186" s="10"/>
      <c r="DL186" s="10"/>
      <c r="DM186" s="10"/>
      <c r="DN186" s="10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  <c r="VA186" s="1"/>
      <c r="VB186" s="1"/>
      <c r="VC186" s="1"/>
      <c r="VD186" s="1"/>
      <c r="VE186" s="1"/>
      <c r="VF186" s="1"/>
      <c r="VG186" s="1"/>
      <c r="VH186" s="1"/>
      <c r="VI186" s="1"/>
      <c r="VJ186" s="1"/>
      <c r="VK186" s="1"/>
      <c r="VL186" s="1"/>
      <c r="VM186" s="1"/>
      <c r="VN186" s="1"/>
      <c r="VO186" s="1"/>
      <c r="VP186" s="1"/>
      <c r="VQ186" s="1"/>
      <c r="VR186" s="1"/>
      <c r="VS186" s="1"/>
      <c r="VT186" s="1"/>
      <c r="VU186" s="1"/>
      <c r="VV186" s="1"/>
      <c r="VW186" s="1"/>
      <c r="VX186" s="1"/>
      <c r="VY186" s="1"/>
      <c r="VZ186" s="1"/>
      <c r="WA186" s="1"/>
      <c r="WB186" s="1"/>
      <c r="WC186" s="1"/>
      <c r="WD186" s="1"/>
      <c r="WE186" s="1"/>
      <c r="WF186" s="1"/>
      <c r="WG186" s="1"/>
      <c r="WH186" s="1"/>
      <c r="WI186" s="1"/>
      <c r="WJ186" s="1"/>
      <c r="WK186" s="1"/>
      <c r="WL186" s="1"/>
      <c r="WM186" s="1"/>
      <c r="WN186" s="1"/>
      <c r="WO186" s="1"/>
      <c r="WP186" s="1"/>
      <c r="WQ186" s="1"/>
      <c r="WR186" s="1"/>
      <c r="WS186" s="1"/>
      <c r="WT186" s="1"/>
      <c r="WU186" s="1"/>
      <c r="WV186" s="1"/>
      <c r="WW186" s="1"/>
      <c r="WX186" s="1"/>
      <c r="WY186" s="1"/>
      <c r="WZ186" s="1"/>
      <c r="XA186" s="1"/>
      <c r="XB186" s="1"/>
      <c r="XC186" s="1"/>
      <c r="XD186" s="1"/>
      <c r="XE186" s="1"/>
      <c r="XF186" s="1"/>
      <c r="XG186" s="1"/>
      <c r="XH186" s="1"/>
      <c r="XI186" s="1"/>
      <c r="XJ186" s="1"/>
      <c r="XK186" s="1"/>
      <c r="XL186" s="1"/>
      <c r="XM186" s="1"/>
      <c r="XN186" s="1"/>
      <c r="XO186" s="1"/>
      <c r="XP186" s="1"/>
      <c r="XQ186" s="1"/>
      <c r="XR186" s="1"/>
      <c r="XS186" s="1"/>
      <c r="XT186" s="1"/>
      <c r="XU186" s="1"/>
      <c r="XV186" s="1"/>
      <c r="XW186" s="1"/>
      <c r="XX186" s="1"/>
      <c r="XY186" s="1"/>
      <c r="XZ186" s="1"/>
      <c r="YA186" s="1"/>
      <c r="YB186" s="1"/>
      <c r="YC186" s="1"/>
      <c r="YD186" s="1"/>
      <c r="YE186" s="1"/>
      <c r="YF186" s="1"/>
      <c r="YG186" s="1"/>
      <c r="YH186" s="1"/>
      <c r="YI186" s="1"/>
      <c r="YJ186" s="1"/>
      <c r="YK186" s="1"/>
      <c r="YL186" s="1"/>
      <c r="YM186" s="1"/>
      <c r="YN186" s="1"/>
      <c r="YO186" s="1"/>
      <c r="YP186" s="1"/>
      <c r="YQ186" s="1"/>
      <c r="YR186" s="1"/>
      <c r="YS186" s="1"/>
      <c r="YT186" s="1"/>
      <c r="YU186" s="1"/>
      <c r="YV186" s="1"/>
      <c r="YW186" s="1"/>
      <c r="YX186" s="1"/>
      <c r="YY186" s="1"/>
      <c r="YZ186" s="1"/>
      <c r="ZA186" s="1"/>
      <c r="ZB186" s="1"/>
      <c r="ZC186" s="1"/>
      <c r="ZD186" s="1"/>
      <c r="ZE186" s="1"/>
      <c r="ZF186" s="1"/>
      <c r="ZG186" s="1"/>
      <c r="ZH186" s="1"/>
      <c r="ZI186" s="1"/>
      <c r="ZJ186" s="1"/>
      <c r="ZK186" s="1"/>
      <c r="ZL186" s="1"/>
      <c r="ZM186" s="1"/>
      <c r="ZN186" s="1"/>
      <c r="ZO186" s="1"/>
      <c r="ZP186" s="1"/>
      <c r="ZQ186" s="1"/>
      <c r="ZR186" s="1"/>
      <c r="ZS186" s="1"/>
      <c r="ZT186" s="1"/>
      <c r="ZU186" s="1"/>
      <c r="ZV186" s="1"/>
      <c r="ZW186" s="1"/>
      <c r="ZX186" s="1"/>
      <c r="ZY186" s="1"/>
      <c r="ZZ186" s="1"/>
    </row>
    <row r="187" ht="19.5" customHeight="1">
      <c r="A187" s="10"/>
      <c r="B187" s="10"/>
      <c r="C187" s="10"/>
      <c r="D187" s="10" t="str">
        <f t="shared" si="2"/>
        <v/>
      </c>
      <c r="E187" s="287" t="str">
        <f t="array" ref="E187">IF(B187="","",IF(B187&lt;&gt;B186,SUMPRODUCT(($B$5:B187&lt;&gt;$B$4:B186)*($B$5:B187&lt;&gt;"")),""))</f>
        <v/>
      </c>
      <c r="F187" s="10" t="str">
        <f t="shared" si="3"/>
        <v/>
      </c>
      <c r="G187" s="10" t="str">
        <f t="shared" si="4"/>
        <v/>
      </c>
      <c r="H187" s="288" t="str">
        <f t="shared" si="5"/>
        <v/>
      </c>
      <c r="I187" s="10"/>
      <c r="J187" s="10"/>
      <c r="K187" s="10"/>
      <c r="L187" s="10" t="str">
        <f t="shared" si="6"/>
        <v/>
      </c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  <c r="BI187" s="10"/>
      <c r="BJ187" s="10"/>
      <c r="BK187" s="10"/>
      <c r="BL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  <c r="CG187" s="10"/>
      <c r="CH187" s="10"/>
      <c r="CI187" s="10"/>
      <c r="CJ187" s="10"/>
      <c r="CK187" s="10"/>
      <c r="CL187" s="10"/>
      <c r="CM187" s="10"/>
      <c r="CN187" s="10"/>
      <c r="CO187" s="10"/>
      <c r="CP187" s="10"/>
      <c r="CQ187" s="10"/>
      <c r="CR187" s="10"/>
      <c r="CS187" s="10"/>
      <c r="CT187" s="10"/>
      <c r="CU187" s="10"/>
      <c r="CV187" s="10"/>
      <c r="CW187" s="10"/>
      <c r="CX187" s="10"/>
      <c r="CY187" s="10"/>
      <c r="CZ187" s="10"/>
      <c r="DA187" s="10"/>
      <c r="DB187" s="10"/>
      <c r="DC187" s="10"/>
      <c r="DD187" s="10"/>
      <c r="DE187" s="10"/>
      <c r="DF187" s="10"/>
      <c r="DG187" s="10"/>
      <c r="DH187" s="10"/>
      <c r="DI187" s="10"/>
      <c r="DJ187" s="10"/>
      <c r="DK187" s="10"/>
      <c r="DL187" s="10"/>
      <c r="DM187" s="10"/>
      <c r="DN187" s="10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  <c r="VA187" s="1"/>
      <c r="VB187" s="1"/>
      <c r="VC187" s="1"/>
      <c r="VD187" s="1"/>
      <c r="VE187" s="1"/>
      <c r="VF187" s="1"/>
      <c r="VG187" s="1"/>
      <c r="VH187" s="1"/>
      <c r="VI187" s="1"/>
      <c r="VJ187" s="1"/>
      <c r="VK187" s="1"/>
      <c r="VL187" s="1"/>
      <c r="VM187" s="1"/>
      <c r="VN187" s="1"/>
      <c r="VO187" s="1"/>
      <c r="VP187" s="1"/>
      <c r="VQ187" s="1"/>
      <c r="VR187" s="1"/>
      <c r="VS187" s="1"/>
      <c r="VT187" s="1"/>
      <c r="VU187" s="1"/>
      <c r="VV187" s="1"/>
      <c r="VW187" s="1"/>
      <c r="VX187" s="1"/>
      <c r="VY187" s="1"/>
      <c r="VZ187" s="1"/>
      <c r="WA187" s="1"/>
      <c r="WB187" s="1"/>
      <c r="WC187" s="1"/>
      <c r="WD187" s="1"/>
      <c r="WE187" s="1"/>
      <c r="WF187" s="1"/>
      <c r="WG187" s="1"/>
      <c r="WH187" s="1"/>
      <c r="WI187" s="1"/>
      <c r="WJ187" s="1"/>
      <c r="WK187" s="1"/>
      <c r="WL187" s="1"/>
      <c r="WM187" s="1"/>
      <c r="WN187" s="1"/>
      <c r="WO187" s="1"/>
      <c r="WP187" s="1"/>
      <c r="WQ187" s="1"/>
      <c r="WR187" s="1"/>
      <c r="WS187" s="1"/>
      <c r="WT187" s="1"/>
      <c r="WU187" s="1"/>
      <c r="WV187" s="1"/>
      <c r="WW187" s="1"/>
      <c r="WX187" s="1"/>
      <c r="WY187" s="1"/>
      <c r="WZ187" s="1"/>
      <c r="XA187" s="1"/>
      <c r="XB187" s="1"/>
      <c r="XC187" s="1"/>
      <c r="XD187" s="1"/>
      <c r="XE187" s="1"/>
      <c r="XF187" s="1"/>
      <c r="XG187" s="1"/>
      <c r="XH187" s="1"/>
      <c r="XI187" s="1"/>
      <c r="XJ187" s="1"/>
      <c r="XK187" s="1"/>
      <c r="XL187" s="1"/>
      <c r="XM187" s="1"/>
      <c r="XN187" s="1"/>
      <c r="XO187" s="1"/>
      <c r="XP187" s="1"/>
      <c r="XQ187" s="1"/>
      <c r="XR187" s="1"/>
      <c r="XS187" s="1"/>
      <c r="XT187" s="1"/>
      <c r="XU187" s="1"/>
      <c r="XV187" s="1"/>
      <c r="XW187" s="1"/>
      <c r="XX187" s="1"/>
      <c r="XY187" s="1"/>
      <c r="XZ187" s="1"/>
      <c r="YA187" s="1"/>
      <c r="YB187" s="1"/>
      <c r="YC187" s="1"/>
      <c r="YD187" s="1"/>
      <c r="YE187" s="1"/>
      <c r="YF187" s="1"/>
      <c r="YG187" s="1"/>
      <c r="YH187" s="1"/>
      <c r="YI187" s="1"/>
      <c r="YJ187" s="1"/>
      <c r="YK187" s="1"/>
      <c r="YL187" s="1"/>
      <c r="YM187" s="1"/>
      <c r="YN187" s="1"/>
      <c r="YO187" s="1"/>
      <c r="YP187" s="1"/>
      <c r="YQ187" s="1"/>
      <c r="YR187" s="1"/>
      <c r="YS187" s="1"/>
      <c r="YT187" s="1"/>
      <c r="YU187" s="1"/>
      <c r="YV187" s="1"/>
      <c r="YW187" s="1"/>
      <c r="YX187" s="1"/>
      <c r="YY187" s="1"/>
      <c r="YZ187" s="1"/>
      <c r="ZA187" s="1"/>
      <c r="ZB187" s="1"/>
      <c r="ZC187" s="1"/>
      <c r="ZD187" s="1"/>
      <c r="ZE187" s="1"/>
      <c r="ZF187" s="1"/>
      <c r="ZG187" s="1"/>
      <c r="ZH187" s="1"/>
      <c r="ZI187" s="1"/>
      <c r="ZJ187" s="1"/>
      <c r="ZK187" s="1"/>
      <c r="ZL187" s="1"/>
      <c r="ZM187" s="1"/>
      <c r="ZN187" s="1"/>
      <c r="ZO187" s="1"/>
      <c r="ZP187" s="1"/>
      <c r="ZQ187" s="1"/>
      <c r="ZR187" s="1"/>
      <c r="ZS187" s="1"/>
      <c r="ZT187" s="1"/>
      <c r="ZU187" s="1"/>
      <c r="ZV187" s="1"/>
      <c r="ZW187" s="1"/>
      <c r="ZX187" s="1"/>
      <c r="ZY187" s="1"/>
      <c r="ZZ187" s="1"/>
    </row>
    <row r="188" ht="19.5" customHeight="1">
      <c r="A188" s="10"/>
      <c r="B188" s="10"/>
      <c r="C188" s="10"/>
      <c r="D188" s="10" t="str">
        <f t="shared" si="2"/>
        <v/>
      </c>
      <c r="E188" s="287" t="str">
        <f t="array" ref="E188">IF(B188="","",IF(B188&lt;&gt;B187,SUMPRODUCT(($B$5:B188&lt;&gt;$B$4:B187)*($B$5:B188&lt;&gt;"")),""))</f>
        <v/>
      </c>
      <c r="F188" s="10" t="str">
        <f t="shared" si="3"/>
        <v/>
      </c>
      <c r="G188" s="10" t="str">
        <f t="shared" si="4"/>
        <v/>
      </c>
      <c r="H188" s="288" t="str">
        <f t="shared" si="5"/>
        <v/>
      </c>
      <c r="I188" s="10"/>
      <c r="J188" s="10"/>
      <c r="K188" s="10"/>
      <c r="L188" s="10" t="str">
        <f t="shared" si="6"/>
        <v/>
      </c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0"/>
      <c r="BL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0"/>
      <c r="CM188" s="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0"/>
      <c r="DA188" s="10"/>
      <c r="DB188" s="10"/>
      <c r="DC188" s="10"/>
      <c r="DD188" s="10"/>
      <c r="DE188" s="10"/>
      <c r="DF188" s="10"/>
      <c r="DG188" s="10"/>
      <c r="DH188" s="10"/>
      <c r="DI188" s="10"/>
      <c r="DJ188" s="10"/>
      <c r="DK188" s="10"/>
      <c r="DL188" s="10"/>
      <c r="DM188" s="10"/>
      <c r="DN188" s="10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  <c r="VA188" s="1"/>
      <c r="VB188" s="1"/>
      <c r="VC188" s="1"/>
      <c r="VD188" s="1"/>
      <c r="VE188" s="1"/>
      <c r="VF188" s="1"/>
      <c r="VG188" s="1"/>
      <c r="VH188" s="1"/>
      <c r="VI188" s="1"/>
      <c r="VJ188" s="1"/>
      <c r="VK188" s="1"/>
      <c r="VL188" s="1"/>
      <c r="VM188" s="1"/>
      <c r="VN188" s="1"/>
      <c r="VO188" s="1"/>
      <c r="VP188" s="1"/>
      <c r="VQ188" s="1"/>
      <c r="VR188" s="1"/>
      <c r="VS188" s="1"/>
      <c r="VT188" s="1"/>
      <c r="VU188" s="1"/>
      <c r="VV188" s="1"/>
      <c r="VW188" s="1"/>
      <c r="VX188" s="1"/>
      <c r="VY188" s="1"/>
      <c r="VZ188" s="1"/>
      <c r="WA188" s="1"/>
      <c r="WB188" s="1"/>
      <c r="WC188" s="1"/>
      <c r="WD188" s="1"/>
      <c r="WE188" s="1"/>
      <c r="WF188" s="1"/>
      <c r="WG188" s="1"/>
      <c r="WH188" s="1"/>
      <c r="WI188" s="1"/>
      <c r="WJ188" s="1"/>
      <c r="WK188" s="1"/>
      <c r="WL188" s="1"/>
      <c r="WM188" s="1"/>
      <c r="WN188" s="1"/>
      <c r="WO188" s="1"/>
      <c r="WP188" s="1"/>
      <c r="WQ188" s="1"/>
      <c r="WR188" s="1"/>
      <c r="WS188" s="1"/>
      <c r="WT188" s="1"/>
      <c r="WU188" s="1"/>
      <c r="WV188" s="1"/>
      <c r="WW188" s="1"/>
      <c r="WX188" s="1"/>
      <c r="WY188" s="1"/>
      <c r="WZ188" s="1"/>
      <c r="XA188" s="1"/>
      <c r="XB188" s="1"/>
      <c r="XC188" s="1"/>
      <c r="XD188" s="1"/>
      <c r="XE188" s="1"/>
      <c r="XF188" s="1"/>
      <c r="XG188" s="1"/>
      <c r="XH188" s="1"/>
      <c r="XI188" s="1"/>
      <c r="XJ188" s="1"/>
      <c r="XK188" s="1"/>
      <c r="XL188" s="1"/>
      <c r="XM188" s="1"/>
      <c r="XN188" s="1"/>
      <c r="XO188" s="1"/>
      <c r="XP188" s="1"/>
      <c r="XQ188" s="1"/>
      <c r="XR188" s="1"/>
      <c r="XS188" s="1"/>
      <c r="XT188" s="1"/>
      <c r="XU188" s="1"/>
      <c r="XV188" s="1"/>
      <c r="XW188" s="1"/>
      <c r="XX188" s="1"/>
      <c r="XY188" s="1"/>
      <c r="XZ188" s="1"/>
      <c r="YA188" s="1"/>
      <c r="YB188" s="1"/>
      <c r="YC188" s="1"/>
      <c r="YD188" s="1"/>
      <c r="YE188" s="1"/>
      <c r="YF188" s="1"/>
      <c r="YG188" s="1"/>
      <c r="YH188" s="1"/>
      <c r="YI188" s="1"/>
      <c r="YJ188" s="1"/>
      <c r="YK188" s="1"/>
      <c r="YL188" s="1"/>
      <c r="YM188" s="1"/>
      <c r="YN188" s="1"/>
      <c r="YO188" s="1"/>
      <c r="YP188" s="1"/>
      <c r="YQ188" s="1"/>
      <c r="YR188" s="1"/>
      <c r="YS188" s="1"/>
      <c r="YT188" s="1"/>
      <c r="YU188" s="1"/>
      <c r="YV188" s="1"/>
      <c r="YW188" s="1"/>
      <c r="YX188" s="1"/>
      <c r="YY188" s="1"/>
      <c r="YZ188" s="1"/>
      <c r="ZA188" s="1"/>
      <c r="ZB188" s="1"/>
      <c r="ZC188" s="1"/>
      <c r="ZD188" s="1"/>
      <c r="ZE188" s="1"/>
      <c r="ZF188" s="1"/>
      <c r="ZG188" s="1"/>
      <c r="ZH188" s="1"/>
      <c r="ZI188" s="1"/>
      <c r="ZJ188" s="1"/>
      <c r="ZK188" s="1"/>
      <c r="ZL188" s="1"/>
      <c r="ZM188" s="1"/>
      <c r="ZN188" s="1"/>
      <c r="ZO188" s="1"/>
      <c r="ZP188" s="1"/>
      <c r="ZQ188" s="1"/>
      <c r="ZR188" s="1"/>
      <c r="ZS188" s="1"/>
      <c r="ZT188" s="1"/>
      <c r="ZU188" s="1"/>
      <c r="ZV188" s="1"/>
      <c r="ZW188" s="1"/>
      <c r="ZX188" s="1"/>
      <c r="ZY188" s="1"/>
      <c r="ZZ188" s="1"/>
    </row>
    <row r="189" ht="19.5" customHeight="1">
      <c r="A189" s="10"/>
      <c r="B189" s="10"/>
      <c r="C189" s="10"/>
      <c r="D189" s="10" t="str">
        <f t="shared" si="2"/>
        <v/>
      </c>
      <c r="E189" s="287" t="str">
        <f t="array" ref="E189">IF(B189="","",IF(B189&lt;&gt;B188,SUMPRODUCT(($B$5:B189&lt;&gt;$B$4:B188)*($B$5:B189&lt;&gt;"")),""))</f>
        <v/>
      </c>
      <c r="F189" s="10" t="str">
        <f t="shared" si="3"/>
        <v/>
      </c>
      <c r="G189" s="10" t="str">
        <f t="shared" si="4"/>
        <v/>
      </c>
      <c r="H189" s="288" t="str">
        <f t="shared" si="5"/>
        <v/>
      </c>
      <c r="I189" s="10"/>
      <c r="J189" s="10"/>
      <c r="K189" s="10"/>
      <c r="L189" s="10" t="str">
        <f t="shared" si="6"/>
        <v/>
      </c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L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0"/>
      <c r="CM189" s="10"/>
      <c r="CN189" s="10"/>
      <c r="CO189" s="10"/>
      <c r="CP189" s="10"/>
      <c r="CQ189" s="10"/>
      <c r="CR189" s="10"/>
      <c r="CS189" s="10"/>
      <c r="CT189" s="10"/>
      <c r="CU189" s="10"/>
      <c r="CV189" s="10"/>
      <c r="CW189" s="10"/>
      <c r="CX189" s="10"/>
      <c r="CY189" s="10"/>
      <c r="CZ189" s="10"/>
      <c r="DA189" s="10"/>
      <c r="DB189" s="10"/>
      <c r="DC189" s="10"/>
      <c r="DD189" s="10"/>
      <c r="DE189" s="10"/>
      <c r="DF189" s="10"/>
      <c r="DG189" s="10"/>
      <c r="DH189" s="10"/>
      <c r="DI189" s="10"/>
      <c r="DJ189" s="10"/>
      <c r="DK189" s="10"/>
      <c r="DL189" s="10"/>
      <c r="DM189" s="10"/>
      <c r="DN189" s="10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  <c r="VA189" s="1"/>
      <c r="VB189" s="1"/>
      <c r="VC189" s="1"/>
      <c r="VD189" s="1"/>
      <c r="VE189" s="1"/>
      <c r="VF189" s="1"/>
      <c r="VG189" s="1"/>
      <c r="VH189" s="1"/>
      <c r="VI189" s="1"/>
      <c r="VJ189" s="1"/>
      <c r="VK189" s="1"/>
      <c r="VL189" s="1"/>
      <c r="VM189" s="1"/>
      <c r="VN189" s="1"/>
      <c r="VO189" s="1"/>
      <c r="VP189" s="1"/>
      <c r="VQ189" s="1"/>
      <c r="VR189" s="1"/>
      <c r="VS189" s="1"/>
      <c r="VT189" s="1"/>
      <c r="VU189" s="1"/>
      <c r="VV189" s="1"/>
      <c r="VW189" s="1"/>
      <c r="VX189" s="1"/>
      <c r="VY189" s="1"/>
      <c r="VZ189" s="1"/>
      <c r="WA189" s="1"/>
      <c r="WB189" s="1"/>
      <c r="WC189" s="1"/>
      <c r="WD189" s="1"/>
      <c r="WE189" s="1"/>
      <c r="WF189" s="1"/>
      <c r="WG189" s="1"/>
      <c r="WH189" s="1"/>
      <c r="WI189" s="1"/>
      <c r="WJ189" s="1"/>
      <c r="WK189" s="1"/>
      <c r="WL189" s="1"/>
      <c r="WM189" s="1"/>
      <c r="WN189" s="1"/>
      <c r="WO189" s="1"/>
      <c r="WP189" s="1"/>
      <c r="WQ189" s="1"/>
      <c r="WR189" s="1"/>
      <c r="WS189" s="1"/>
      <c r="WT189" s="1"/>
      <c r="WU189" s="1"/>
      <c r="WV189" s="1"/>
      <c r="WW189" s="1"/>
      <c r="WX189" s="1"/>
      <c r="WY189" s="1"/>
      <c r="WZ189" s="1"/>
      <c r="XA189" s="1"/>
      <c r="XB189" s="1"/>
      <c r="XC189" s="1"/>
      <c r="XD189" s="1"/>
      <c r="XE189" s="1"/>
      <c r="XF189" s="1"/>
      <c r="XG189" s="1"/>
      <c r="XH189" s="1"/>
      <c r="XI189" s="1"/>
      <c r="XJ189" s="1"/>
      <c r="XK189" s="1"/>
      <c r="XL189" s="1"/>
      <c r="XM189" s="1"/>
      <c r="XN189" s="1"/>
      <c r="XO189" s="1"/>
      <c r="XP189" s="1"/>
      <c r="XQ189" s="1"/>
      <c r="XR189" s="1"/>
      <c r="XS189" s="1"/>
      <c r="XT189" s="1"/>
      <c r="XU189" s="1"/>
      <c r="XV189" s="1"/>
      <c r="XW189" s="1"/>
      <c r="XX189" s="1"/>
      <c r="XY189" s="1"/>
      <c r="XZ189" s="1"/>
      <c r="YA189" s="1"/>
      <c r="YB189" s="1"/>
      <c r="YC189" s="1"/>
      <c r="YD189" s="1"/>
      <c r="YE189" s="1"/>
      <c r="YF189" s="1"/>
      <c r="YG189" s="1"/>
      <c r="YH189" s="1"/>
      <c r="YI189" s="1"/>
      <c r="YJ189" s="1"/>
      <c r="YK189" s="1"/>
      <c r="YL189" s="1"/>
      <c r="YM189" s="1"/>
      <c r="YN189" s="1"/>
      <c r="YO189" s="1"/>
      <c r="YP189" s="1"/>
      <c r="YQ189" s="1"/>
      <c r="YR189" s="1"/>
      <c r="YS189" s="1"/>
      <c r="YT189" s="1"/>
      <c r="YU189" s="1"/>
      <c r="YV189" s="1"/>
      <c r="YW189" s="1"/>
      <c r="YX189" s="1"/>
      <c r="YY189" s="1"/>
      <c r="YZ189" s="1"/>
      <c r="ZA189" s="1"/>
      <c r="ZB189" s="1"/>
      <c r="ZC189" s="1"/>
      <c r="ZD189" s="1"/>
      <c r="ZE189" s="1"/>
      <c r="ZF189" s="1"/>
      <c r="ZG189" s="1"/>
      <c r="ZH189" s="1"/>
      <c r="ZI189" s="1"/>
      <c r="ZJ189" s="1"/>
      <c r="ZK189" s="1"/>
      <c r="ZL189" s="1"/>
      <c r="ZM189" s="1"/>
      <c r="ZN189" s="1"/>
      <c r="ZO189" s="1"/>
      <c r="ZP189" s="1"/>
      <c r="ZQ189" s="1"/>
      <c r="ZR189" s="1"/>
      <c r="ZS189" s="1"/>
      <c r="ZT189" s="1"/>
      <c r="ZU189" s="1"/>
      <c r="ZV189" s="1"/>
      <c r="ZW189" s="1"/>
      <c r="ZX189" s="1"/>
      <c r="ZY189" s="1"/>
      <c r="ZZ189" s="1"/>
    </row>
    <row r="190" ht="19.5" customHeight="1">
      <c r="A190" s="10"/>
      <c r="B190" s="10"/>
      <c r="C190" s="10"/>
      <c r="D190" s="10" t="str">
        <f t="shared" si="2"/>
        <v/>
      </c>
      <c r="E190" s="287" t="str">
        <f t="array" ref="E190">IF(B190="","",IF(B190&lt;&gt;B189,SUMPRODUCT(($B$5:B190&lt;&gt;$B$4:B189)*($B$5:B190&lt;&gt;"")),""))</f>
        <v/>
      </c>
      <c r="F190" s="10" t="str">
        <f t="shared" si="3"/>
        <v/>
      </c>
      <c r="G190" s="10" t="str">
        <f t="shared" si="4"/>
        <v/>
      </c>
      <c r="H190" s="288" t="str">
        <f t="shared" si="5"/>
        <v/>
      </c>
      <c r="I190" s="10"/>
      <c r="J190" s="10"/>
      <c r="K190" s="10"/>
      <c r="L190" s="10" t="str">
        <f t="shared" si="6"/>
        <v/>
      </c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B190" s="10"/>
      <c r="BC190" s="10"/>
      <c r="BD190" s="10"/>
      <c r="BE190" s="10"/>
      <c r="BF190" s="10"/>
      <c r="BG190" s="10"/>
      <c r="BH190" s="10"/>
      <c r="BI190" s="10"/>
      <c r="BJ190" s="10"/>
      <c r="BK190" s="10"/>
      <c r="BL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  <c r="CG190" s="10"/>
      <c r="CH190" s="10"/>
      <c r="CI190" s="10"/>
      <c r="CJ190" s="10"/>
      <c r="CK190" s="10"/>
      <c r="CL190" s="10"/>
      <c r="CM190" s="10"/>
      <c r="CN190" s="10"/>
      <c r="CO190" s="10"/>
      <c r="CP190" s="10"/>
      <c r="CQ190" s="10"/>
      <c r="CR190" s="10"/>
      <c r="CS190" s="10"/>
      <c r="CT190" s="10"/>
      <c r="CU190" s="10"/>
      <c r="CV190" s="10"/>
      <c r="CW190" s="10"/>
      <c r="CX190" s="10"/>
      <c r="CY190" s="10"/>
      <c r="CZ190" s="10"/>
      <c r="DA190" s="10"/>
      <c r="DB190" s="10"/>
      <c r="DC190" s="10"/>
      <c r="DD190" s="10"/>
      <c r="DE190" s="10"/>
      <c r="DF190" s="10"/>
      <c r="DG190" s="10"/>
      <c r="DH190" s="10"/>
      <c r="DI190" s="10"/>
      <c r="DJ190" s="10"/>
      <c r="DK190" s="10"/>
      <c r="DL190" s="10"/>
      <c r="DM190" s="10"/>
      <c r="DN190" s="10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  <c r="VA190" s="1"/>
      <c r="VB190" s="1"/>
      <c r="VC190" s="1"/>
      <c r="VD190" s="1"/>
      <c r="VE190" s="1"/>
      <c r="VF190" s="1"/>
      <c r="VG190" s="1"/>
      <c r="VH190" s="1"/>
      <c r="VI190" s="1"/>
      <c r="VJ190" s="1"/>
      <c r="VK190" s="1"/>
      <c r="VL190" s="1"/>
      <c r="VM190" s="1"/>
      <c r="VN190" s="1"/>
      <c r="VO190" s="1"/>
      <c r="VP190" s="1"/>
      <c r="VQ190" s="1"/>
      <c r="VR190" s="1"/>
      <c r="VS190" s="1"/>
      <c r="VT190" s="1"/>
      <c r="VU190" s="1"/>
      <c r="VV190" s="1"/>
      <c r="VW190" s="1"/>
      <c r="VX190" s="1"/>
      <c r="VY190" s="1"/>
      <c r="VZ190" s="1"/>
      <c r="WA190" s="1"/>
      <c r="WB190" s="1"/>
      <c r="WC190" s="1"/>
      <c r="WD190" s="1"/>
      <c r="WE190" s="1"/>
      <c r="WF190" s="1"/>
      <c r="WG190" s="1"/>
      <c r="WH190" s="1"/>
      <c r="WI190" s="1"/>
      <c r="WJ190" s="1"/>
      <c r="WK190" s="1"/>
      <c r="WL190" s="1"/>
      <c r="WM190" s="1"/>
      <c r="WN190" s="1"/>
      <c r="WO190" s="1"/>
      <c r="WP190" s="1"/>
      <c r="WQ190" s="1"/>
      <c r="WR190" s="1"/>
      <c r="WS190" s="1"/>
      <c r="WT190" s="1"/>
      <c r="WU190" s="1"/>
      <c r="WV190" s="1"/>
      <c r="WW190" s="1"/>
      <c r="WX190" s="1"/>
      <c r="WY190" s="1"/>
      <c r="WZ190" s="1"/>
      <c r="XA190" s="1"/>
      <c r="XB190" s="1"/>
      <c r="XC190" s="1"/>
      <c r="XD190" s="1"/>
      <c r="XE190" s="1"/>
      <c r="XF190" s="1"/>
      <c r="XG190" s="1"/>
      <c r="XH190" s="1"/>
      <c r="XI190" s="1"/>
      <c r="XJ190" s="1"/>
      <c r="XK190" s="1"/>
      <c r="XL190" s="1"/>
      <c r="XM190" s="1"/>
      <c r="XN190" s="1"/>
      <c r="XO190" s="1"/>
      <c r="XP190" s="1"/>
      <c r="XQ190" s="1"/>
      <c r="XR190" s="1"/>
      <c r="XS190" s="1"/>
      <c r="XT190" s="1"/>
      <c r="XU190" s="1"/>
      <c r="XV190" s="1"/>
      <c r="XW190" s="1"/>
      <c r="XX190" s="1"/>
      <c r="XY190" s="1"/>
      <c r="XZ190" s="1"/>
      <c r="YA190" s="1"/>
      <c r="YB190" s="1"/>
      <c r="YC190" s="1"/>
      <c r="YD190" s="1"/>
      <c r="YE190" s="1"/>
      <c r="YF190" s="1"/>
      <c r="YG190" s="1"/>
      <c r="YH190" s="1"/>
      <c r="YI190" s="1"/>
      <c r="YJ190" s="1"/>
      <c r="YK190" s="1"/>
      <c r="YL190" s="1"/>
      <c r="YM190" s="1"/>
      <c r="YN190" s="1"/>
      <c r="YO190" s="1"/>
      <c r="YP190" s="1"/>
      <c r="YQ190" s="1"/>
      <c r="YR190" s="1"/>
      <c r="YS190" s="1"/>
      <c r="YT190" s="1"/>
      <c r="YU190" s="1"/>
      <c r="YV190" s="1"/>
      <c r="YW190" s="1"/>
      <c r="YX190" s="1"/>
      <c r="YY190" s="1"/>
      <c r="YZ190" s="1"/>
      <c r="ZA190" s="1"/>
      <c r="ZB190" s="1"/>
      <c r="ZC190" s="1"/>
      <c r="ZD190" s="1"/>
      <c r="ZE190" s="1"/>
      <c r="ZF190" s="1"/>
      <c r="ZG190" s="1"/>
      <c r="ZH190" s="1"/>
      <c r="ZI190" s="1"/>
      <c r="ZJ190" s="1"/>
      <c r="ZK190" s="1"/>
      <c r="ZL190" s="1"/>
      <c r="ZM190" s="1"/>
      <c r="ZN190" s="1"/>
      <c r="ZO190" s="1"/>
      <c r="ZP190" s="1"/>
      <c r="ZQ190" s="1"/>
      <c r="ZR190" s="1"/>
      <c r="ZS190" s="1"/>
      <c r="ZT190" s="1"/>
      <c r="ZU190" s="1"/>
      <c r="ZV190" s="1"/>
      <c r="ZW190" s="1"/>
      <c r="ZX190" s="1"/>
      <c r="ZY190" s="1"/>
      <c r="ZZ190" s="1"/>
    </row>
    <row r="191" ht="19.5" customHeight="1">
      <c r="A191" s="10"/>
      <c r="B191" s="10"/>
      <c r="C191" s="10"/>
      <c r="D191" s="10" t="str">
        <f t="shared" si="2"/>
        <v/>
      </c>
      <c r="E191" s="287" t="str">
        <f t="array" ref="E191">IF(B191="","",IF(B191&lt;&gt;B190,SUMPRODUCT(($B$5:B191&lt;&gt;$B$4:B190)*($B$5:B191&lt;&gt;"")),""))</f>
        <v/>
      </c>
      <c r="F191" s="10" t="str">
        <f t="shared" si="3"/>
        <v/>
      </c>
      <c r="G191" s="10" t="str">
        <f t="shared" si="4"/>
        <v/>
      </c>
      <c r="H191" s="288" t="str">
        <f t="shared" si="5"/>
        <v/>
      </c>
      <c r="I191" s="10"/>
      <c r="J191" s="10"/>
      <c r="K191" s="10"/>
      <c r="L191" s="10" t="str">
        <f t="shared" si="6"/>
        <v/>
      </c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  <c r="BB191" s="10"/>
      <c r="BC191" s="10"/>
      <c r="BD191" s="10"/>
      <c r="BE191" s="10"/>
      <c r="BF191" s="10"/>
      <c r="BG191" s="10"/>
      <c r="BH191" s="10"/>
      <c r="BI191" s="10"/>
      <c r="BJ191" s="10"/>
      <c r="BK191" s="10"/>
      <c r="BL191" s="10"/>
      <c r="BM191" s="10"/>
      <c r="BN191" s="10"/>
      <c r="BO191" s="10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  <c r="CD191" s="10"/>
      <c r="CE191" s="10"/>
      <c r="CF191" s="10"/>
      <c r="CG191" s="10"/>
      <c r="CH191" s="10"/>
      <c r="CI191" s="10"/>
      <c r="CJ191" s="10"/>
      <c r="CK191" s="10"/>
      <c r="CL191" s="10"/>
      <c r="CM191" s="10"/>
      <c r="CN191" s="10"/>
      <c r="CO191" s="10"/>
      <c r="CP191" s="10"/>
      <c r="CQ191" s="10"/>
      <c r="CR191" s="10"/>
      <c r="CS191" s="10"/>
      <c r="CT191" s="10"/>
      <c r="CU191" s="10"/>
      <c r="CV191" s="10"/>
      <c r="CW191" s="10"/>
      <c r="CX191" s="10"/>
      <c r="CY191" s="10"/>
      <c r="CZ191" s="10"/>
      <c r="DA191" s="10"/>
      <c r="DB191" s="10"/>
      <c r="DC191" s="10"/>
      <c r="DD191" s="10"/>
      <c r="DE191" s="10"/>
      <c r="DF191" s="10"/>
      <c r="DG191" s="10"/>
      <c r="DH191" s="10"/>
      <c r="DI191" s="10"/>
      <c r="DJ191" s="10"/>
      <c r="DK191" s="10"/>
      <c r="DL191" s="10"/>
      <c r="DM191" s="10"/>
      <c r="DN191" s="10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  <c r="VA191" s="1"/>
      <c r="VB191" s="1"/>
      <c r="VC191" s="1"/>
      <c r="VD191" s="1"/>
      <c r="VE191" s="1"/>
      <c r="VF191" s="1"/>
      <c r="VG191" s="1"/>
      <c r="VH191" s="1"/>
      <c r="VI191" s="1"/>
      <c r="VJ191" s="1"/>
      <c r="VK191" s="1"/>
      <c r="VL191" s="1"/>
      <c r="VM191" s="1"/>
      <c r="VN191" s="1"/>
      <c r="VO191" s="1"/>
      <c r="VP191" s="1"/>
      <c r="VQ191" s="1"/>
      <c r="VR191" s="1"/>
      <c r="VS191" s="1"/>
      <c r="VT191" s="1"/>
      <c r="VU191" s="1"/>
      <c r="VV191" s="1"/>
      <c r="VW191" s="1"/>
      <c r="VX191" s="1"/>
      <c r="VY191" s="1"/>
      <c r="VZ191" s="1"/>
      <c r="WA191" s="1"/>
      <c r="WB191" s="1"/>
      <c r="WC191" s="1"/>
      <c r="WD191" s="1"/>
      <c r="WE191" s="1"/>
      <c r="WF191" s="1"/>
      <c r="WG191" s="1"/>
      <c r="WH191" s="1"/>
      <c r="WI191" s="1"/>
      <c r="WJ191" s="1"/>
      <c r="WK191" s="1"/>
      <c r="WL191" s="1"/>
      <c r="WM191" s="1"/>
      <c r="WN191" s="1"/>
      <c r="WO191" s="1"/>
      <c r="WP191" s="1"/>
      <c r="WQ191" s="1"/>
      <c r="WR191" s="1"/>
      <c r="WS191" s="1"/>
      <c r="WT191" s="1"/>
      <c r="WU191" s="1"/>
      <c r="WV191" s="1"/>
      <c r="WW191" s="1"/>
      <c r="WX191" s="1"/>
      <c r="WY191" s="1"/>
      <c r="WZ191" s="1"/>
      <c r="XA191" s="1"/>
      <c r="XB191" s="1"/>
      <c r="XC191" s="1"/>
      <c r="XD191" s="1"/>
      <c r="XE191" s="1"/>
      <c r="XF191" s="1"/>
      <c r="XG191" s="1"/>
      <c r="XH191" s="1"/>
      <c r="XI191" s="1"/>
      <c r="XJ191" s="1"/>
      <c r="XK191" s="1"/>
      <c r="XL191" s="1"/>
      <c r="XM191" s="1"/>
      <c r="XN191" s="1"/>
      <c r="XO191" s="1"/>
      <c r="XP191" s="1"/>
      <c r="XQ191" s="1"/>
      <c r="XR191" s="1"/>
      <c r="XS191" s="1"/>
      <c r="XT191" s="1"/>
      <c r="XU191" s="1"/>
      <c r="XV191" s="1"/>
      <c r="XW191" s="1"/>
      <c r="XX191" s="1"/>
      <c r="XY191" s="1"/>
      <c r="XZ191" s="1"/>
      <c r="YA191" s="1"/>
      <c r="YB191" s="1"/>
      <c r="YC191" s="1"/>
      <c r="YD191" s="1"/>
      <c r="YE191" s="1"/>
      <c r="YF191" s="1"/>
      <c r="YG191" s="1"/>
      <c r="YH191" s="1"/>
      <c r="YI191" s="1"/>
      <c r="YJ191" s="1"/>
      <c r="YK191" s="1"/>
      <c r="YL191" s="1"/>
      <c r="YM191" s="1"/>
      <c r="YN191" s="1"/>
      <c r="YO191" s="1"/>
      <c r="YP191" s="1"/>
      <c r="YQ191" s="1"/>
      <c r="YR191" s="1"/>
      <c r="YS191" s="1"/>
      <c r="YT191" s="1"/>
      <c r="YU191" s="1"/>
      <c r="YV191" s="1"/>
      <c r="YW191" s="1"/>
      <c r="YX191" s="1"/>
      <c r="YY191" s="1"/>
      <c r="YZ191" s="1"/>
      <c r="ZA191" s="1"/>
      <c r="ZB191" s="1"/>
      <c r="ZC191" s="1"/>
      <c r="ZD191" s="1"/>
      <c r="ZE191" s="1"/>
      <c r="ZF191" s="1"/>
      <c r="ZG191" s="1"/>
      <c r="ZH191" s="1"/>
      <c r="ZI191" s="1"/>
      <c r="ZJ191" s="1"/>
      <c r="ZK191" s="1"/>
      <c r="ZL191" s="1"/>
      <c r="ZM191" s="1"/>
      <c r="ZN191" s="1"/>
      <c r="ZO191" s="1"/>
      <c r="ZP191" s="1"/>
      <c r="ZQ191" s="1"/>
      <c r="ZR191" s="1"/>
      <c r="ZS191" s="1"/>
      <c r="ZT191" s="1"/>
      <c r="ZU191" s="1"/>
      <c r="ZV191" s="1"/>
      <c r="ZW191" s="1"/>
      <c r="ZX191" s="1"/>
      <c r="ZY191" s="1"/>
      <c r="ZZ191" s="1"/>
    </row>
    <row r="192" ht="19.5" customHeight="1">
      <c r="A192" s="10"/>
      <c r="B192" s="10"/>
      <c r="C192" s="10"/>
      <c r="D192" s="10" t="str">
        <f t="shared" si="2"/>
        <v/>
      </c>
      <c r="E192" s="287" t="str">
        <f t="array" ref="E192">IF(B192="","",IF(B192&lt;&gt;B191,SUMPRODUCT(($B$5:B192&lt;&gt;$B$4:B191)*($B$5:B192&lt;&gt;"")),""))</f>
        <v/>
      </c>
      <c r="F192" s="10" t="str">
        <f t="shared" si="3"/>
        <v/>
      </c>
      <c r="G192" s="10" t="str">
        <f t="shared" si="4"/>
        <v/>
      </c>
      <c r="H192" s="288" t="str">
        <f t="shared" si="5"/>
        <v/>
      </c>
      <c r="I192" s="10"/>
      <c r="J192" s="10"/>
      <c r="K192" s="10"/>
      <c r="L192" s="10" t="str">
        <f t="shared" si="6"/>
        <v/>
      </c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0"/>
      <c r="BL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  <c r="CQ192" s="10"/>
      <c r="CR192" s="10"/>
      <c r="CS192" s="10"/>
      <c r="CT192" s="10"/>
      <c r="CU192" s="10"/>
      <c r="CV192" s="10"/>
      <c r="CW192" s="10"/>
      <c r="CX192" s="10"/>
      <c r="CY192" s="10"/>
      <c r="CZ192" s="10"/>
      <c r="DA192" s="10"/>
      <c r="DB192" s="10"/>
      <c r="DC192" s="10"/>
      <c r="DD192" s="10"/>
      <c r="DE192" s="10"/>
      <c r="DF192" s="10"/>
      <c r="DG192" s="10"/>
      <c r="DH192" s="10"/>
      <c r="DI192" s="10"/>
      <c r="DJ192" s="10"/>
      <c r="DK192" s="10"/>
      <c r="DL192" s="10"/>
      <c r="DM192" s="10"/>
      <c r="DN192" s="10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  <c r="VA192" s="1"/>
      <c r="VB192" s="1"/>
      <c r="VC192" s="1"/>
      <c r="VD192" s="1"/>
      <c r="VE192" s="1"/>
      <c r="VF192" s="1"/>
      <c r="VG192" s="1"/>
      <c r="VH192" s="1"/>
      <c r="VI192" s="1"/>
      <c r="VJ192" s="1"/>
      <c r="VK192" s="1"/>
      <c r="VL192" s="1"/>
      <c r="VM192" s="1"/>
      <c r="VN192" s="1"/>
      <c r="VO192" s="1"/>
      <c r="VP192" s="1"/>
      <c r="VQ192" s="1"/>
      <c r="VR192" s="1"/>
      <c r="VS192" s="1"/>
      <c r="VT192" s="1"/>
      <c r="VU192" s="1"/>
      <c r="VV192" s="1"/>
      <c r="VW192" s="1"/>
      <c r="VX192" s="1"/>
      <c r="VY192" s="1"/>
      <c r="VZ192" s="1"/>
      <c r="WA192" s="1"/>
      <c r="WB192" s="1"/>
      <c r="WC192" s="1"/>
      <c r="WD192" s="1"/>
      <c r="WE192" s="1"/>
      <c r="WF192" s="1"/>
      <c r="WG192" s="1"/>
      <c r="WH192" s="1"/>
      <c r="WI192" s="1"/>
      <c r="WJ192" s="1"/>
      <c r="WK192" s="1"/>
      <c r="WL192" s="1"/>
      <c r="WM192" s="1"/>
      <c r="WN192" s="1"/>
      <c r="WO192" s="1"/>
      <c r="WP192" s="1"/>
      <c r="WQ192" s="1"/>
      <c r="WR192" s="1"/>
      <c r="WS192" s="1"/>
      <c r="WT192" s="1"/>
      <c r="WU192" s="1"/>
      <c r="WV192" s="1"/>
      <c r="WW192" s="1"/>
      <c r="WX192" s="1"/>
      <c r="WY192" s="1"/>
      <c r="WZ192" s="1"/>
      <c r="XA192" s="1"/>
      <c r="XB192" s="1"/>
      <c r="XC192" s="1"/>
      <c r="XD192" s="1"/>
      <c r="XE192" s="1"/>
      <c r="XF192" s="1"/>
      <c r="XG192" s="1"/>
      <c r="XH192" s="1"/>
      <c r="XI192" s="1"/>
      <c r="XJ192" s="1"/>
      <c r="XK192" s="1"/>
      <c r="XL192" s="1"/>
      <c r="XM192" s="1"/>
      <c r="XN192" s="1"/>
      <c r="XO192" s="1"/>
      <c r="XP192" s="1"/>
      <c r="XQ192" s="1"/>
      <c r="XR192" s="1"/>
      <c r="XS192" s="1"/>
      <c r="XT192" s="1"/>
      <c r="XU192" s="1"/>
      <c r="XV192" s="1"/>
      <c r="XW192" s="1"/>
      <c r="XX192" s="1"/>
      <c r="XY192" s="1"/>
      <c r="XZ192" s="1"/>
      <c r="YA192" s="1"/>
      <c r="YB192" s="1"/>
      <c r="YC192" s="1"/>
      <c r="YD192" s="1"/>
      <c r="YE192" s="1"/>
      <c r="YF192" s="1"/>
      <c r="YG192" s="1"/>
      <c r="YH192" s="1"/>
      <c r="YI192" s="1"/>
      <c r="YJ192" s="1"/>
      <c r="YK192" s="1"/>
      <c r="YL192" s="1"/>
      <c r="YM192" s="1"/>
      <c r="YN192" s="1"/>
      <c r="YO192" s="1"/>
      <c r="YP192" s="1"/>
      <c r="YQ192" s="1"/>
      <c r="YR192" s="1"/>
      <c r="YS192" s="1"/>
      <c r="YT192" s="1"/>
      <c r="YU192" s="1"/>
      <c r="YV192" s="1"/>
      <c r="YW192" s="1"/>
      <c r="YX192" s="1"/>
      <c r="YY192" s="1"/>
      <c r="YZ192" s="1"/>
      <c r="ZA192" s="1"/>
      <c r="ZB192" s="1"/>
      <c r="ZC192" s="1"/>
      <c r="ZD192" s="1"/>
      <c r="ZE192" s="1"/>
      <c r="ZF192" s="1"/>
      <c r="ZG192" s="1"/>
      <c r="ZH192" s="1"/>
      <c r="ZI192" s="1"/>
      <c r="ZJ192" s="1"/>
      <c r="ZK192" s="1"/>
      <c r="ZL192" s="1"/>
      <c r="ZM192" s="1"/>
      <c r="ZN192" s="1"/>
      <c r="ZO192" s="1"/>
      <c r="ZP192" s="1"/>
      <c r="ZQ192" s="1"/>
      <c r="ZR192" s="1"/>
      <c r="ZS192" s="1"/>
      <c r="ZT192" s="1"/>
      <c r="ZU192" s="1"/>
      <c r="ZV192" s="1"/>
      <c r="ZW192" s="1"/>
      <c r="ZX192" s="1"/>
      <c r="ZY192" s="1"/>
      <c r="ZZ192" s="1"/>
    </row>
    <row r="193" ht="19.5" customHeight="1">
      <c r="A193" s="10"/>
      <c r="B193" s="10"/>
      <c r="C193" s="10"/>
      <c r="D193" s="10" t="str">
        <f t="shared" si="2"/>
        <v/>
      </c>
      <c r="E193" s="287" t="str">
        <f t="array" ref="E193">IF(B193="","",IF(B193&lt;&gt;B192,SUMPRODUCT(($B$5:B193&lt;&gt;$B$4:B192)*($B$5:B193&lt;&gt;"")),""))</f>
        <v/>
      </c>
      <c r="F193" s="10" t="str">
        <f t="shared" si="3"/>
        <v/>
      </c>
      <c r="G193" s="10" t="str">
        <f t="shared" si="4"/>
        <v/>
      </c>
      <c r="H193" s="288" t="str">
        <f t="shared" si="5"/>
        <v/>
      </c>
      <c r="I193" s="10"/>
      <c r="J193" s="10"/>
      <c r="K193" s="10"/>
      <c r="L193" s="10" t="str">
        <f t="shared" si="6"/>
        <v/>
      </c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  <c r="BI193" s="10"/>
      <c r="BJ193" s="10"/>
      <c r="BK193" s="10"/>
      <c r="BL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  <c r="CQ193" s="10"/>
      <c r="CR193" s="10"/>
      <c r="CS193" s="10"/>
      <c r="CT193" s="10"/>
      <c r="CU193" s="10"/>
      <c r="CV193" s="10"/>
      <c r="CW193" s="10"/>
      <c r="CX193" s="10"/>
      <c r="CY193" s="10"/>
      <c r="CZ193" s="10"/>
      <c r="DA193" s="10"/>
      <c r="DB193" s="10"/>
      <c r="DC193" s="10"/>
      <c r="DD193" s="10"/>
      <c r="DE193" s="10"/>
      <c r="DF193" s="10"/>
      <c r="DG193" s="10"/>
      <c r="DH193" s="10"/>
      <c r="DI193" s="10"/>
      <c r="DJ193" s="10"/>
      <c r="DK193" s="10"/>
      <c r="DL193" s="10"/>
      <c r="DM193" s="10"/>
      <c r="DN193" s="10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  <c r="VA193" s="1"/>
      <c r="VB193" s="1"/>
      <c r="VC193" s="1"/>
      <c r="VD193" s="1"/>
      <c r="VE193" s="1"/>
      <c r="VF193" s="1"/>
      <c r="VG193" s="1"/>
      <c r="VH193" s="1"/>
      <c r="VI193" s="1"/>
      <c r="VJ193" s="1"/>
      <c r="VK193" s="1"/>
      <c r="VL193" s="1"/>
      <c r="VM193" s="1"/>
      <c r="VN193" s="1"/>
      <c r="VO193" s="1"/>
      <c r="VP193" s="1"/>
      <c r="VQ193" s="1"/>
      <c r="VR193" s="1"/>
      <c r="VS193" s="1"/>
      <c r="VT193" s="1"/>
      <c r="VU193" s="1"/>
      <c r="VV193" s="1"/>
      <c r="VW193" s="1"/>
      <c r="VX193" s="1"/>
      <c r="VY193" s="1"/>
      <c r="VZ193" s="1"/>
      <c r="WA193" s="1"/>
      <c r="WB193" s="1"/>
      <c r="WC193" s="1"/>
      <c r="WD193" s="1"/>
      <c r="WE193" s="1"/>
      <c r="WF193" s="1"/>
      <c r="WG193" s="1"/>
      <c r="WH193" s="1"/>
      <c r="WI193" s="1"/>
      <c r="WJ193" s="1"/>
      <c r="WK193" s="1"/>
      <c r="WL193" s="1"/>
      <c r="WM193" s="1"/>
      <c r="WN193" s="1"/>
      <c r="WO193" s="1"/>
      <c r="WP193" s="1"/>
      <c r="WQ193" s="1"/>
      <c r="WR193" s="1"/>
      <c r="WS193" s="1"/>
      <c r="WT193" s="1"/>
      <c r="WU193" s="1"/>
      <c r="WV193" s="1"/>
      <c r="WW193" s="1"/>
      <c r="WX193" s="1"/>
      <c r="WY193" s="1"/>
      <c r="WZ193" s="1"/>
      <c r="XA193" s="1"/>
      <c r="XB193" s="1"/>
      <c r="XC193" s="1"/>
      <c r="XD193" s="1"/>
      <c r="XE193" s="1"/>
      <c r="XF193" s="1"/>
      <c r="XG193" s="1"/>
      <c r="XH193" s="1"/>
      <c r="XI193" s="1"/>
      <c r="XJ193" s="1"/>
      <c r="XK193" s="1"/>
      <c r="XL193" s="1"/>
      <c r="XM193" s="1"/>
      <c r="XN193" s="1"/>
      <c r="XO193" s="1"/>
      <c r="XP193" s="1"/>
      <c r="XQ193" s="1"/>
      <c r="XR193" s="1"/>
      <c r="XS193" s="1"/>
      <c r="XT193" s="1"/>
      <c r="XU193" s="1"/>
      <c r="XV193" s="1"/>
      <c r="XW193" s="1"/>
      <c r="XX193" s="1"/>
      <c r="XY193" s="1"/>
      <c r="XZ193" s="1"/>
      <c r="YA193" s="1"/>
      <c r="YB193" s="1"/>
      <c r="YC193" s="1"/>
      <c r="YD193" s="1"/>
      <c r="YE193" s="1"/>
      <c r="YF193" s="1"/>
      <c r="YG193" s="1"/>
      <c r="YH193" s="1"/>
      <c r="YI193" s="1"/>
      <c r="YJ193" s="1"/>
      <c r="YK193" s="1"/>
      <c r="YL193" s="1"/>
      <c r="YM193" s="1"/>
      <c r="YN193" s="1"/>
      <c r="YO193" s="1"/>
      <c r="YP193" s="1"/>
      <c r="YQ193" s="1"/>
      <c r="YR193" s="1"/>
      <c r="YS193" s="1"/>
      <c r="YT193" s="1"/>
      <c r="YU193" s="1"/>
      <c r="YV193" s="1"/>
      <c r="YW193" s="1"/>
      <c r="YX193" s="1"/>
      <c r="YY193" s="1"/>
      <c r="YZ193" s="1"/>
      <c r="ZA193" s="1"/>
      <c r="ZB193" s="1"/>
      <c r="ZC193" s="1"/>
      <c r="ZD193" s="1"/>
      <c r="ZE193" s="1"/>
      <c r="ZF193" s="1"/>
      <c r="ZG193" s="1"/>
      <c r="ZH193" s="1"/>
      <c r="ZI193" s="1"/>
      <c r="ZJ193" s="1"/>
      <c r="ZK193" s="1"/>
      <c r="ZL193" s="1"/>
      <c r="ZM193" s="1"/>
      <c r="ZN193" s="1"/>
      <c r="ZO193" s="1"/>
      <c r="ZP193" s="1"/>
      <c r="ZQ193" s="1"/>
      <c r="ZR193" s="1"/>
      <c r="ZS193" s="1"/>
      <c r="ZT193" s="1"/>
      <c r="ZU193" s="1"/>
      <c r="ZV193" s="1"/>
      <c r="ZW193" s="1"/>
      <c r="ZX193" s="1"/>
      <c r="ZY193" s="1"/>
      <c r="ZZ193" s="1"/>
    </row>
    <row r="194" ht="19.5" customHeight="1">
      <c r="A194" s="10"/>
      <c r="B194" s="10"/>
      <c r="C194" s="10"/>
      <c r="D194" s="10" t="str">
        <f t="shared" si="2"/>
        <v/>
      </c>
      <c r="E194" s="287" t="str">
        <f t="array" ref="E194">IF(B194="","",IF(B194&lt;&gt;B193,SUMPRODUCT(($B$5:B194&lt;&gt;$B$4:B193)*($B$5:B194&lt;&gt;"")),""))</f>
        <v/>
      </c>
      <c r="F194" s="10" t="str">
        <f t="shared" si="3"/>
        <v/>
      </c>
      <c r="G194" s="10" t="str">
        <f t="shared" si="4"/>
        <v/>
      </c>
      <c r="H194" s="288" t="str">
        <f t="shared" si="5"/>
        <v/>
      </c>
      <c r="I194" s="10"/>
      <c r="J194" s="10"/>
      <c r="K194" s="10"/>
      <c r="L194" s="10" t="str">
        <f t="shared" si="6"/>
        <v/>
      </c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L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10"/>
      <c r="CM194" s="10"/>
      <c r="CN194" s="10"/>
      <c r="CO194" s="10"/>
      <c r="CP194" s="10"/>
      <c r="CQ194" s="10"/>
      <c r="CR194" s="10"/>
      <c r="CS194" s="10"/>
      <c r="CT194" s="10"/>
      <c r="CU194" s="10"/>
      <c r="CV194" s="10"/>
      <c r="CW194" s="10"/>
      <c r="CX194" s="10"/>
      <c r="CY194" s="10"/>
      <c r="CZ194" s="10"/>
      <c r="DA194" s="10"/>
      <c r="DB194" s="10"/>
      <c r="DC194" s="10"/>
      <c r="DD194" s="10"/>
      <c r="DE194" s="10"/>
      <c r="DF194" s="10"/>
      <c r="DG194" s="10"/>
      <c r="DH194" s="10"/>
      <c r="DI194" s="10"/>
      <c r="DJ194" s="10"/>
      <c r="DK194" s="10"/>
      <c r="DL194" s="10"/>
      <c r="DM194" s="10"/>
      <c r="DN194" s="10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  <c r="VA194" s="1"/>
      <c r="VB194" s="1"/>
      <c r="VC194" s="1"/>
      <c r="VD194" s="1"/>
      <c r="VE194" s="1"/>
      <c r="VF194" s="1"/>
      <c r="VG194" s="1"/>
      <c r="VH194" s="1"/>
      <c r="VI194" s="1"/>
      <c r="VJ194" s="1"/>
      <c r="VK194" s="1"/>
      <c r="VL194" s="1"/>
      <c r="VM194" s="1"/>
      <c r="VN194" s="1"/>
      <c r="VO194" s="1"/>
      <c r="VP194" s="1"/>
      <c r="VQ194" s="1"/>
      <c r="VR194" s="1"/>
      <c r="VS194" s="1"/>
      <c r="VT194" s="1"/>
      <c r="VU194" s="1"/>
      <c r="VV194" s="1"/>
      <c r="VW194" s="1"/>
      <c r="VX194" s="1"/>
      <c r="VY194" s="1"/>
      <c r="VZ194" s="1"/>
      <c r="WA194" s="1"/>
      <c r="WB194" s="1"/>
      <c r="WC194" s="1"/>
      <c r="WD194" s="1"/>
      <c r="WE194" s="1"/>
      <c r="WF194" s="1"/>
      <c r="WG194" s="1"/>
      <c r="WH194" s="1"/>
      <c r="WI194" s="1"/>
      <c r="WJ194" s="1"/>
      <c r="WK194" s="1"/>
      <c r="WL194" s="1"/>
      <c r="WM194" s="1"/>
      <c r="WN194" s="1"/>
      <c r="WO194" s="1"/>
      <c r="WP194" s="1"/>
      <c r="WQ194" s="1"/>
      <c r="WR194" s="1"/>
      <c r="WS194" s="1"/>
      <c r="WT194" s="1"/>
      <c r="WU194" s="1"/>
      <c r="WV194" s="1"/>
      <c r="WW194" s="1"/>
      <c r="WX194" s="1"/>
      <c r="WY194" s="1"/>
      <c r="WZ194" s="1"/>
      <c r="XA194" s="1"/>
      <c r="XB194" s="1"/>
      <c r="XC194" s="1"/>
      <c r="XD194" s="1"/>
      <c r="XE194" s="1"/>
      <c r="XF194" s="1"/>
      <c r="XG194" s="1"/>
      <c r="XH194" s="1"/>
      <c r="XI194" s="1"/>
      <c r="XJ194" s="1"/>
      <c r="XK194" s="1"/>
      <c r="XL194" s="1"/>
      <c r="XM194" s="1"/>
      <c r="XN194" s="1"/>
      <c r="XO194" s="1"/>
      <c r="XP194" s="1"/>
      <c r="XQ194" s="1"/>
      <c r="XR194" s="1"/>
      <c r="XS194" s="1"/>
      <c r="XT194" s="1"/>
      <c r="XU194" s="1"/>
      <c r="XV194" s="1"/>
      <c r="XW194" s="1"/>
      <c r="XX194" s="1"/>
      <c r="XY194" s="1"/>
      <c r="XZ194" s="1"/>
      <c r="YA194" s="1"/>
      <c r="YB194" s="1"/>
      <c r="YC194" s="1"/>
      <c r="YD194" s="1"/>
      <c r="YE194" s="1"/>
      <c r="YF194" s="1"/>
      <c r="YG194" s="1"/>
      <c r="YH194" s="1"/>
      <c r="YI194" s="1"/>
      <c r="YJ194" s="1"/>
      <c r="YK194" s="1"/>
      <c r="YL194" s="1"/>
      <c r="YM194" s="1"/>
      <c r="YN194" s="1"/>
      <c r="YO194" s="1"/>
      <c r="YP194" s="1"/>
      <c r="YQ194" s="1"/>
      <c r="YR194" s="1"/>
      <c r="YS194" s="1"/>
      <c r="YT194" s="1"/>
      <c r="YU194" s="1"/>
      <c r="YV194" s="1"/>
      <c r="YW194" s="1"/>
      <c r="YX194" s="1"/>
      <c r="YY194" s="1"/>
      <c r="YZ194" s="1"/>
      <c r="ZA194" s="1"/>
      <c r="ZB194" s="1"/>
      <c r="ZC194" s="1"/>
      <c r="ZD194" s="1"/>
      <c r="ZE194" s="1"/>
      <c r="ZF194" s="1"/>
      <c r="ZG194" s="1"/>
      <c r="ZH194" s="1"/>
      <c r="ZI194" s="1"/>
      <c r="ZJ194" s="1"/>
      <c r="ZK194" s="1"/>
      <c r="ZL194" s="1"/>
      <c r="ZM194" s="1"/>
      <c r="ZN194" s="1"/>
      <c r="ZO194" s="1"/>
      <c r="ZP194" s="1"/>
      <c r="ZQ194" s="1"/>
      <c r="ZR194" s="1"/>
      <c r="ZS194" s="1"/>
      <c r="ZT194" s="1"/>
      <c r="ZU194" s="1"/>
      <c r="ZV194" s="1"/>
      <c r="ZW194" s="1"/>
      <c r="ZX194" s="1"/>
      <c r="ZY194" s="1"/>
      <c r="ZZ194" s="1"/>
    </row>
    <row r="195" ht="19.5" customHeight="1">
      <c r="A195" s="10"/>
      <c r="B195" s="10"/>
      <c r="C195" s="10"/>
      <c r="D195" s="10" t="str">
        <f t="shared" si="2"/>
        <v/>
      </c>
      <c r="E195" s="287" t="str">
        <f t="array" ref="E195">IF(B195="","",IF(B195&lt;&gt;B194,SUMPRODUCT(($B$5:B195&lt;&gt;$B$4:B194)*($B$5:B195&lt;&gt;"")),""))</f>
        <v/>
      </c>
      <c r="F195" s="10" t="str">
        <f t="shared" si="3"/>
        <v/>
      </c>
      <c r="G195" s="10" t="str">
        <f t="shared" si="4"/>
        <v/>
      </c>
      <c r="H195" s="288" t="str">
        <f t="shared" si="5"/>
        <v/>
      </c>
      <c r="I195" s="10"/>
      <c r="J195" s="10"/>
      <c r="K195" s="10"/>
      <c r="L195" s="10" t="str">
        <f t="shared" si="6"/>
        <v/>
      </c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  <c r="BB195" s="10"/>
      <c r="BC195" s="10"/>
      <c r="BD195" s="10"/>
      <c r="BE195" s="10"/>
      <c r="BF195" s="10"/>
      <c r="BG195" s="10"/>
      <c r="BH195" s="10"/>
      <c r="BI195" s="10"/>
      <c r="BJ195" s="10"/>
      <c r="BK195" s="10"/>
      <c r="BL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  <c r="CD195" s="10"/>
      <c r="CE195" s="10"/>
      <c r="CF195" s="10"/>
      <c r="CG195" s="10"/>
      <c r="CH195" s="10"/>
      <c r="CI195" s="10"/>
      <c r="CJ195" s="10"/>
      <c r="CK195" s="10"/>
      <c r="CL195" s="10"/>
      <c r="CM195" s="10"/>
      <c r="CN195" s="10"/>
      <c r="CO195" s="10"/>
      <c r="CP195" s="10"/>
      <c r="CQ195" s="10"/>
      <c r="CR195" s="10"/>
      <c r="CS195" s="10"/>
      <c r="CT195" s="10"/>
      <c r="CU195" s="10"/>
      <c r="CV195" s="10"/>
      <c r="CW195" s="10"/>
      <c r="CX195" s="10"/>
      <c r="CY195" s="10"/>
      <c r="CZ195" s="10"/>
      <c r="DA195" s="10"/>
      <c r="DB195" s="10"/>
      <c r="DC195" s="10"/>
      <c r="DD195" s="10"/>
      <c r="DE195" s="10"/>
      <c r="DF195" s="10"/>
      <c r="DG195" s="10"/>
      <c r="DH195" s="10"/>
      <c r="DI195" s="10"/>
      <c r="DJ195" s="10"/>
      <c r="DK195" s="10"/>
      <c r="DL195" s="10"/>
      <c r="DM195" s="10"/>
      <c r="DN195" s="10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  <c r="VA195" s="1"/>
      <c r="VB195" s="1"/>
      <c r="VC195" s="1"/>
      <c r="VD195" s="1"/>
      <c r="VE195" s="1"/>
      <c r="VF195" s="1"/>
      <c r="VG195" s="1"/>
      <c r="VH195" s="1"/>
      <c r="VI195" s="1"/>
      <c r="VJ195" s="1"/>
      <c r="VK195" s="1"/>
      <c r="VL195" s="1"/>
      <c r="VM195" s="1"/>
      <c r="VN195" s="1"/>
      <c r="VO195" s="1"/>
      <c r="VP195" s="1"/>
      <c r="VQ195" s="1"/>
      <c r="VR195" s="1"/>
      <c r="VS195" s="1"/>
      <c r="VT195" s="1"/>
      <c r="VU195" s="1"/>
      <c r="VV195" s="1"/>
      <c r="VW195" s="1"/>
      <c r="VX195" s="1"/>
      <c r="VY195" s="1"/>
      <c r="VZ195" s="1"/>
      <c r="WA195" s="1"/>
      <c r="WB195" s="1"/>
      <c r="WC195" s="1"/>
      <c r="WD195" s="1"/>
      <c r="WE195" s="1"/>
      <c r="WF195" s="1"/>
      <c r="WG195" s="1"/>
      <c r="WH195" s="1"/>
      <c r="WI195" s="1"/>
      <c r="WJ195" s="1"/>
      <c r="WK195" s="1"/>
      <c r="WL195" s="1"/>
      <c r="WM195" s="1"/>
      <c r="WN195" s="1"/>
      <c r="WO195" s="1"/>
      <c r="WP195" s="1"/>
      <c r="WQ195" s="1"/>
      <c r="WR195" s="1"/>
      <c r="WS195" s="1"/>
      <c r="WT195" s="1"/>
      <c r="WU195" s="1"/>
      <c r="WV195" s="1"/>
      <c r="WW195" s="1"/>
      <c r="WX195" s="1"/>
      <c r="WY195" s="1"/>
      <c r="WZ195" s="1"/>
      <c r="XA195" s="1"/>
      <c r="XB195" s="1"/>
      <c r="XC195" s="1"/>
      <c r="XD195" s="1"/>
      <c r="XE195" s="1"/>
      <c r="XF195" s="1"/>
      <c r="XG195" s="1"/>
      <c r="XH195" s="1"/>
      <c r="XI195" s="1"/>
      <c r="XJ195" s="1"/>
      <c r="XK195" s="1"/>
      <c r="XL195" s="1"/>
      <c r="XM195" s="1"/>
      <c r="XN195" s="1"/>
      <c r="XO195" s="1"/>
      <c r="XP195" s="1"/>
      <c r="XQ195" s="1"/>
      <c r="XR195" s="1"/>
      <c r="XS195" s="1"/>
      <c r="XT195" s="1"/>
      <c r="XU195" s="1"/>
      <c r="XV195" s="1"/>
      <c r="XW195" s="1"/>
      <c r="XX195" s="1"/>
      <c r="XY195" s="1"/>
      <c r="XZ195" s="1"/>
      <c r="YA195" s="1"/>
      <c r="YB195" s="1"/>
      <c r="YC195" s="1"/>
      <c r="YD195" s="1"/>
      <c r="YE195" s="1"/>
      <c r="YF195" s="1"/>
      <c r="YG195" s="1"/>
      <c r="YH195" s="1"/>
      <c r="YI195" s="1"/>
      <c r="YJ195" s="1"/>
      <c r="YK195" s="1"/>
      <c r="YL195" s="1"/>
      <c r="YM195" s="1"/>
      <c r="YN195" s="1"/>
      <c r="YO195" s="1"/>
      <c r="YP195" s="1"/>
      <c r="YQ195" s="1"/>
      <c r="YR195" s="1"/>
      <c r="YS195" s="1"/>
      <c r="YT195" s="1"/>
      <c r="YU195" s="1"/>
      <c r="YV195" s="1"/>
      <c r="YW195" s="1"/>
      <c r="YX195" s="1"/>
      <c r="YY195" s="1"/>
      <c r="YZ195" s="1"/>
      <c r="ZA195" s="1"/>
      <c r="ZB195" s="1"/>
      <c r="ZC195" s="1"/>
      <c r="ZD195" s="1"/>
      <c r="ZE195" s="1"/>
      <c r="ZF195" s="1"/>
      <c r="ZG195" s="1"/>
      <c r="ZH195" s="1"/>
      <c r="ZI195" s="1"/>
      <c r="ZJ195" s="1"/>
      <c r="ZK195" s="1"/>
      <c r="ZL195" s="1"/>
      <c r="ZM195" s="1"/>
      <c r="ZN195" s="1"/>
      <c r="ZO195" s="1"/>
      <c r="ZP195" s="1"/>
      <c r="ZQ195" s="1"/>
      <c r="ZR195" s="1"/>
      <c r="ZS195" s="1"/>
      <c r="ZT195" s="1"/>
      <c r="ZU195" s="1"/>
      <c r="ZV195" s="1"/>
      <c r="ZW195" s="1"/>
      <c r="ZX195" s="1"/>
      <c r="ZY195" s="1"/>
      <c r="ZZ195" s="1"/>
    </row>
    <row r="196" ht="19.5" customHeight="1">
      <c r="A196" s="10"/>
      <c r="B196" s="10"/>
      <c r="C196" s="10"/>
      <c r="D196" s="10" t="str">
        <f t="shared" si="2"/>
        <v/>
      </c>
      <c r="E196" s="287" t="str">
        <f t="array" ref="E196">IF(B196="","",IF(B196&lt;&gt;B195,SUMPRODUCT(($B$5:B196&lt;&gt;$B$4:B195)*($B$5:B196&lt;&gt;"")),""))</f>
        <v/>
      </c>
      <c r="F196" s="10" t="str">
        <f t="shared" si="3"/>
        <v/>
      </c>
      <c r="G196" s="10" t="str">
        <f t="shared" si="4"/>
        <v/>
      </c>
      <c r="H196" s="288" t="str">
        <f t="shared" si="5"/>
        <v/>
      </c>
      <c r="I196" s="10"/>
      <c r="J196" s="10"/>
      <c r="K196" s="10"/>
      <c r="L196" s="10" t="str">
        <f t="shared" si="6"/>
        <v/>
      </c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/>
      <c r="BH196" s="10"/>
      <c r="BI196" s="10"/>
      <c r="BJ196" s="10"/>
      <c r="BK196" s="10"/>
      <c r="BL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  <c r="CD196" s="10"/>
      <c r="CE196" s="10"/>
      <c r="CF196" s="10"/>
      <c r="CG196" s="10"/>
      <c r="CH196" s="10"/>
      <c r="CI196" s="10"/>
      <c r="CJ196" s="10"/>
      <c r="CK196" s="10"/>
      <c r="CL196" s="10"/>
      <c r="CM196" s="10"/>
      <c r="CN196" s="10"/>
      <c r="CO196" s="10"/>
      <c r="CP196" s="10"/>
      <c r="CQ196" s="10"/>
      <c r="CR196" s="10"/>
      <c r="CS196" s="10"/>
      <c r="CT196" s="10"/>
      <c r="CU196" s="10"/>
      <c r="CV196" s="10"/>
      <c r="CW196" s="10"/>
      <c r="CX196" s="10"/>
      <c r="CY196" s="10"/>
      <c r="CZ196" s="10"/>
      <c r="DA196" s="10"/>
      <c r="DB196" s="10"/>
      <c r="DC196" s="10"/>
      <c r="DD196" s="10"/>
      <c r="DE196" s="10"/>
      <c r="DF196" s="10"/>
      <c r="DG196" s="10"/>
      <c r="DH196" s="10"/>
      <c r="DI196" s="10"/>
      <c r="DJ196" s="10"/>
      <c r="DK196" s="10"/>
      <c r="DL196" s="10"/>
      <c r="DM196" s="10"/>
      <c r="DN196" s="10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  <c r="VA196" s="1"/>
      <c r="VB196" s="1"/>
      <c r="VC196" s="1"/>
      <c r="VD196" s="1"/>
      <c r="VE196" s="1"/>
      <c r="VF196" s="1"/>
      <c r="VG196" s="1"/>
      <c r="VH196" s="1"/>
      <c r="VI196" s="1"/>
      <c r="VJ196" s="1"/>
      <c r="VK196" s="1"/>
      <c r="VL196" s="1"/>
      <c r="VM196" s="1"/>
      <c r="VN196" s="1"/>
      <c r="VO196" s="1"/>
      <c r="VP196" s="1"/>
      <c r="VQ196" s="1"/>
      <c r="VR196" s="1"/>
      <c r="VS196" s="1"/>
      <c r="VT196" s="1"/>
      <c r="VU196" s="1"/>
      <c r="VV196" s="1"/>
      <c r="VW196" s="1"/>
      <c r="VX196" s="1"/>
      <c r="VY196" s="1"/>
      <c r="VZ196" s="1"/>
      <c r="WA196" s="1"/>
      <c r="WB196" s="1"/>
      <c r="WC196" s="1"/>
      <c r="WD196" s="1"/>
      <c r="WE196" s="1"/>
      <c r="WF196" s="1"/>
      <c r="WG196" s="1"/>
      <c r="WH196" s="1"/>
      <c r="WI196" s="1"/>
      <c r="WJ196" s="1"/>
      <c r="WK196" s="1"/>
      <c r="WL196" s="1"/>
      <c r="WM196" s="1"/>
      <c r="WN196" s="1"/>
      <c r="WO196" s="1"/>
      <c r="WP196" s="1"/>
      <c r="WQ196" s="1"/>
      <c r="WR196" s="1"/>
      <c r="WS196" s="1"/>
      <c r="WT196" s="1"/>
      <c r="WU196" s="1"/>
      <c r="WV196" s="1"/>
      <c r="WW196" s="1"/>
      <c r="WX196" s="1"/>
      <c r="WY196" s="1"/>
      <c r="WZ196" s="1"/>
      <c r="XA196" s="1"/>
      <c r="XB196" s="1"/>
      <c r="XC196" s="1"/>
      <c r="XD196" s="1"/>
      <c r="XE196" s="1"/>
      <c r="XF196" s="1"/>
      <c r="XG196" s="1"/>
      <c r="XH196" s="1"/>
      <c r="XI196" s="1"/>
      <c r="XJ196" s="1"/>
      <c r="XK196" s="1"/>
      <c r="XL196" s="1"/>
      <c r="XM196" s="1"/>
      <c r="XN196" s="1"/>
      <c r="XO196" s="1"/>
      <c r="XP196" s="1"/>
      <c r="XQ196" s="1"/>
      <c r="XR196" s="1"/>
      <c r="XS196" s="1"/>
      <c r="XT196" s="1"/>
      <c r="XU196" s="1"/>
      <c r="XV196" s="1"/>
      <c r="XW196" s="1"/>
      <c r="XX196" s="1"/>
      <c r="XY196" s="1"/>
      <c r="XZ196" s="1"/>
      <c r="YA196" s="1"/>
      <c r="YB196" s="1"/>
      <c r="YC196" s="1"/>
      <c r="YD196" s="1"/>
      <c r="YE196" s="1"/>
      <c r="YF196" s="1"/>
      <c r="YG196" s="1"/>
      <c r="YH196" s="1"/>
      <c r="YI196" s="1"/>
      <c r="YJ196" s="1"/>
      <c r="YK196" s="1"/>
      <c r="YL196" s="1"/>
      <c r="YM196" s="1"/>
      <c r="YN196" s="1"/>
      <c r="YO196" s="1"/>
      <c r="YP196" s="1"/>
      <c r="YQ196" s="1"/>
      <c r="YR196" s="1"/>
      <c r="YS196" s="1"/>
      <c r="YT196" s="1"/>
      <c r="YU196" s="1"/>
      <c r="YV196" s="1"/>
      <c r="YW196" s="1"/>
      <c r="YX196" s="1"/>
      <c r="YY196" s="1"/>
      <c r="YZ196" s="1"/>
      <c r="ZA196" s="1"/>
      <c r="ZB196" s="1"/>
      <c r="ZC196" s="1"/>
      <c r="ZD196" s="1"/>
      <c r="ZE196" s="1"/>
      <c r="ZF196" s="1"/>
      <c r="ZG196" s="1"/>
      <c r="ZH196" s="1"/>
      <c r="ZI196" s="1"/>
      <c r="ZJ196" s="1"/>
      <c r="ZK196" s="1"/>
      <c r="ZL196" s="1"/>
      <c r="ZM196" s="1"/>
      <c r="ZN196" s="1"/>
      <c r="ZO196" s="1"/>
      <c r="ZP196" s="1"/>
      <c r="ZQ196" s="1"/>
      <c r="ZR196" s="1"/>
      <c r="ZS196" s="1"/>
      <c r="ZT196" s="1"/>
      <c r="ZU196" s="1"/>
      <c r="ZV196" s="1"/>
      <c r="ZW196" s="1"/>
      <c r="ZX196" s="1"/>
      <c r="ZY196" s="1"/>
      <c r="ZZ196" s="1"/>
    </row>
    <row r="197" ht="19.5" customHeight="1">
      <c r="A197" s="10"/>
      <c r="B197" s="10"/>
      <c r="C197" s="10"/>
      <c r="D197" s="10" t="str">
        <f t="shared" si="2"/>
        <v/>
      </c>
      <c r="E197" s="287" t="str">
        <f t="array" ref="E197">IF(B197="","",IF(B197&lt;&gt;B196,SUMPRODUCT(($B$5:B197&lt;&gt;$B$4:B196)*($B$5:B197&lt;&gt;"")),""))</f>
        <v/>
      </c>
      <c r="F197" s="10" t="str">
        <f t="shared" si="3"/>
        <v/>
      </c>
      <c r="G197" s="10" t="str">
        <f t="shared" si="4"/>
        <v/>
      </c>
      <c r="H197" s="288" t="str">
        <f t="shared" si="5"/>
        <v/>
      </c>
      <c r="I197" s="10"/>
      <c r="J197" s="10"/>
      <c r="K197" s="10"/>
      <c r="L197" s="10" t="str">
        <f t="shared" si="6"/>
        <v/>
      </c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  <c r="BB197" s="10"/>
      <c r="BC197" s="10"/>
      <c r="BD197" s="10"/>
      <c r="BE197" s="10"/>
      <c r="BF197" s="10"/>
      <c r="BG197" s="10"/>
      <c r="BH197" s="10"/>
      <c r="BI197" s="10"/>
      <c r="BJ197" s="10"/>
      <c r="BK197" s="10"/>
      <c r="BL197" s="10"/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  <c r="CD197" s="10"/>
      <c r="CE197" s="10"/>
      <c r="CF197" s="10"/>
      <c r="CG197" s="10"/>
      <c r="CH197" s="10"/>
      <c r="CI197" s="10"/>
      <c r="CJ197" s="10"/>
      <c r="CK197" s="10"/>
      <c r="CL197" s="10"/>
      <c r="CM197" s="10"/>
      <c r="CN197" s="10"/>
      <c r="CO197" s="10"/>
      <c r="CP197" s="10"/>
      <c r="CQ197" s="10"/>
      <c r="CR197" s="10"/>
      <c r="CS197" s="10"/>
      <c r="CT197" s="10"/>
      <c r="CU197" s="10"/>
      <c r="CV197" s="10"/>
      <c r="CW197" s="10"/>
      <c r="CX197" s="10"/>
      <c r="CY197" s="10"/>
      <c r="CZ197" s="10"/>
      <c r="DA197" s="10"/>
      <c r="DB197" s="10"/>
      <c r="DC197" s="10"/>
      <c r="DD197" s="10"/>
      <c r="DE197" s="10"/>
      <c r="DF197" s="10"/>
      <c r="DG197" s="10"/>
      <c r="DH197" s="10"/>
      <c r="DI197" s="10"/>
      <c r="DJ197" s="10"/>
      <c r="DK197" s="10"/>
      <c r="DL197" s="10"/>
      <c r="DM197" s="10"/>
      <c r="DN197" s="10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  <c r="VA197" s="1"/>
      <c r="VB197" s="1"/>
      <c r="VC197" s="1"/>
      <c r="VD197" s="1"/>
      <c r="VE197" s="1"/>
      <c r="VF197" s="1"/>
      <c r="VG197" s="1"/>
      <c r="VH197" s="1"/>
      <c r="VI197" s="1"/>
      <c r="VJ197" s="1"/>
      <c r="VK197" s="1"/>
      <c r="VL197" s="1"/>
      <c r="VM197" s="1"/>
      <c r="VN197" s="1"/>
      <c r="VO197" s="1"/>
      <c r="VP197" s="1"/>
      <c r="VQ197" s="1"/>
      <c r="VR197" s="1"/>
      <c r="VS197" s="1"/>
      <c r="VT197" s="1"/>
      <c r="VU197" s="1"/>
      <c r="VV197" s="1"/>
      <c r="VW197" s="1"/>
      <c r="VX197" s="1"/>
      <c r="VY197" s="1"/>
      <c r="VZ197" s="1"/>
      <c r="WA197" s="1"/>
      <c r="WB197" s="1"/>
      <c r="WC197" s="1"/>
      <c r="WD197" s="1"/>
      <c r="WE197" s="1"/>
      <c r="WF197" s="1"/>
      <c r="WG197" s="1"/>
      <c r="WH197" s="1"/>
      <c r="WI197" s="1"/>
      <c r="WJ197" s="1"/>
      <c r="WK197" s="1"/>
      <c r="WL197" s="1"/>
      <c r="WM197" s="1"/>
      <c r="WN197" s="1"/>
      <c r="WO197" s="1"/>
      <c r="WP197" s="1"/>
      <c r="WQ197" s="1"/>
      <c r="WR197" s="1"/>
      <c r="WS197" s="1"/>
      <c r="WT197" s="1"/>
      <c r="WU197" s="1"/>
      <c r="WV197" s="1"/>
      <c r="WW197" s="1"/>
      <c r="WX197" s="1"/>
      <c r="WY197" s="1"/>
      <c r="WZ197" s="1"/>
      <c r="XA197" s="1"/>
      <c r="XB197" s="1"/>
      <c r="XC197" s="1"/>
      <c r="XD197" s="1"/>
      <c r="XE197" s="1"/>
      <c r="XF197" s="1"/>
      <c r="XG197" s="1"/>
      <c r="XH197" s="1"/>
      <c r="XI197" s="1"/>
      <c r="XJ197" s="1"/>
      <c r="XK197" s="1"/>
      <c r="XL197" s="1"/>
      <c r="XM197" s="1"/>
      <c r="XN197" s="1"/>
      <c r="XO197" s="1"/>
      <c r="XP197" s="1"/>
      <c r="XQ197" s="1"/>
      <c r="XR197" s="1"/>
      <c r="XS197" s="1"/>
      <c r="XT197" s="1"/>
      <c r="XU197" s="1"/>
      <c r="XV197" s="1"/>
      <c r="XW197" s="1"/>
      <c r="XX197" s="1"/>
      <c r="XY197" s="1"/>
      <c r="XZ197" s="1"/>
      <c r="YA197" s="1"/>
      <c r="YB197" s="1"/>
      <c r="YC197" s="1"/>
      <c r="YD197" s="1"/>
      <c r="YE197" s="1"/>
      <c r="YF197" s="1"/>
      <c r="YG197" s="1"/>
      <c r="YH197" s="1"/>
      <c r="YI197" s="1"/>
      <c r="YJ197" s="1"/>
      <c r="YK197" s="1"/>
      <c r="YL197" s="1"/>
      <c r="YM197" s="1"/>
      <c r="YN197" s="1"/>
      <c r="YO197" s="1"/>
      <c r="YP197" s="1"/>
      <c r="YQ197" s="1"/>
      <c r="YR197" s="1"/>
      <c r="YS197" s="1"/>
      <c r="YT197" s="1"/>
      <c r="YU197" s="1"/>
      <c r="YV197" s="1"/>
      <c r="YW197" s="1"/>
      <c r="YX197" s="1"/>
      <c r="YY197" s="1"/>
      <c r="YZ197" s="1"/>
      <c r="ZA197" s="1"/>
      <c r="ZB197" s="1"/>
      <c r="ZC197" s="1"/>
      <c r="ZD197" s="1"/>
      <c r="ZE197" s="1"/>
      <c r="ZF197" s="1"/>
      <c r="ZG197" s="1"/>
      <c r="ZH197" s="1"/>
      <c r="ZI197" s="1"/>
      <c r="ZJ197" s="1"/>
      <c r="ZK197" s="1"/>
      <c r="ZL197" s="1"/>
      <c r="ZM197" s="1"/>
      <c r="ZN197" s="1"/>
      <c r="ZO197" s="1"/>
      <c r="ZP197" s="1"/>
      <c r="ZQ197" s="1"/>
      <c r="ZR197" s="1"/>
      <c r="ZS197" s="1"/>
      <c r="ZT197" s="1"/>
      <c r="ZU197" s="1"/>
      <c r="ZV197" s="1"/>
      <c r="ZW197" s="1"/>
      <c r="ZX197" s="1"/>
      <c r="ZY197" s="1"/>
      <c r="ZZ197" s="1"/>
    </row>
    <row r="198" ht="19.5" customHeight="1">
      <c r="A198" s="10"/>
      <c r="B198" s="10"/>
      <c r="C198" s="10"/>
      <c r="D198" s="10" t="str">
        <f t="shared" si="2"/>
        <v/>
      </c>
      <c r="E198" s="287" t="str">
        <f t="array" ref="E198">IF(B198="","",IF(B198&lt;&gt;B197,SUMPRODUCT(($B$5:B198&lt;&gt;$B$4:B197)*($B$5:B198&lt;&gt;"")),""))</f>
        <v/>
      </c>
      <c r="F198" s="10" t="str">
        <f t="shared" si="3"/>
        <v/>
      </c>
      <c r="G198" s="10" t="str">
        <f t="shared" si="4"/>
        <v/>
      </c>
      <c r="H198" s="288" t="str">
        <f t="shared" si="5"/>
        <v/>
      </c>
      <c r="I198" s="10"/>
      <c r="J198" s="10"/>
      <c r="K198" s="10"/>
      <c r="L198" s="10" t="str">
        <f t="shared" si="6"/>
        <v/>
      </c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L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  <c r="CG198" s="10"/>
      <c r="CH198" s="10"/>
      <c r="CI198" s="10"/>
      <c r="CJ198" s="10"/>
      <c r="CK198" s="10"/>
      <c r="CL198" s="10"/>
      <c r="CM198" s="10"/>
      <c r="CN198" s="10"/>
      <c r="CO198" s="10"/>
      <c r="CP198" s="10"/>
      <c r="CQ198" s="10"/>
      <c r="CR198" s="10"/>
      <c r="CS198" s="10"/>
      <c r="CT198" s="10"/>
      <c r="CU198" s="10"/>
      <c r="CV198" s="10"/>
      <c r="CW198" s="10"/>
      <c r="CX198" s="10"/>
      <c r="CY198" s="10"/>
      <c r="CZ198" s="10"/>
      <c r="DA198" s="10"/>
      <c r="DB198" s="10"/>
      <c r="DC198" s="10"/>
      <c r="DD198" s="10"/>
      <c r="DE198" s="10"/>
      <c r="DF198" s="10"/>
      <c r="DG198" s="10"/>
      <c r="DH198" s="10"/>
      <c r="DI198" s="10"/>
      <c r="DJ198" s="10"/>
      <c r="DK198" s="10"/>
      <c r="DL198" s="10"/>
      <c r="DM198" s="10"/>
      <c r="DN198" s="10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  <c r="VA198" s="1"/>
      <c r="VB198" s="1"/>
      <c r="VC198" s="1"/>
      <c r="VD198" s="1"/>
      <c r="VE198" s="1"/>
      <c r="VF198" s="1"/>
      <c r="VG198" s="1"/>
      <c r="VH198" s="1"/>
      <c r="VI198" s="1"/>
      <c r="VJ198" s="1"/>
      <c r="VK198" s="1"/>
      <c r="VL198" s="1"/>
      <c r="VM198" s="1"/>
      <c r="VN198" s="1"/>
      <c r="VO198" s="1"/>
      <c r="VP198" s="1"/>
      <c r="VQ198" s="1"/>
      <c r="VR198" s="1"/>
      <c r="VS198" s="1"/>
      <c r="VT198" s="1"/>
      <c r="VU198" s="1"/>
      <c r="VV198" s="1"/>
      <c r="VW198" s="1"/>
      <c r="VX198" s="1"/>
      <c r="VY198" s="1"/>
      <c r="VZ198" s="1"/>
      <c r="WA198" s="1"/>
      <c r="WB198" s="1"/>
      <c r="WC198" s="1"/>
      <c r="WD198" s="1"/>
      <c r="WE198" s="1"/>
      <c r="WF198" s="1"/>
      <c r="WG198" s="1"/>
      <c r="WH198" s="1"/>
      <c r="WI198" s="1"/>
      <c r="WJ198" s="1"/>
      <c r="WK198" s="1"/>
      <c r="WL198" s="1"/>
      <c r="WM198" s="1"/>
      <c r="WN198" s="1"/>
      <c r="WO198" s="1"/>
      <c r="WP198" s="1"/>
      <c r="WQ198" s="1"/>
      <c r="WR198" s="1"/>
      <c r="WS198" s="1"/>
      <c r="WT198" s="1"/>
      <c r="WU198" s="1"/>
      <c r="WV198" s="1"/>
      <c r="WW198" s="1"/>
      <c r="WX198" s="1"/>
      <c r="WY198" s="1"/>
      <c r="WZ198" s="1"/>
      <c r="XA198" s="1"/>
      <c r="XB198" s="1"/>
      <c r="XC198" s="1"/>
      <c r="XD198" s="1"/>
      <c r="XE198" s="1"/>
      <c r="XF198" s="1"/>
      <c r="XG198" s="1"/>
      <c r="XH198" s="1"/>
      <c r="XI198" s="1"/>
      <c r="XJ198" s="1"/>
      <c r="XK198" s="1"/>
      <c r="XL198" s="1"/>
      <c r="XM198" s="1"/>
      <c r="XN198" s="1"/>
      <c r="XO198" s="1"/>
      <c r="XP198" s="1"/>
      <c r="XQ198" s="1"/>
      <c r="XR198" s="1"/>
      <c r="XS198" s="1"/>
      <c r="XT198" s="1"/>
      <c r="XU198" s="1"/>
      <c r="XV198" s="1"/>
      <c r="XW198" s="1"/>
      <c r="XX198" s="1"/>
      <c r="XY198" s="1"/>
      <c r="XZ198" s="1"/>
      <c r="YA198" s="1"/>
      <c r="YB198" s="1"/>
      <c r="YC198" s="1"/>
      <c r="YD198" s="1"/>
      <c r="YE198" s="1"/>
      <c r="YF198" s="1"/>
      <c r="YG198" s="1"/>
      <c r="YH198" s="1"/>
      <c r="YI198" s="1"/>
      <c r="YJ198" s="1"/>
      <c r="YK198" s="1"/>
      <c r="YL198" s="1"/>
      <c r="YM198" s="1"/>
      <c r="YN198" s="1"/>
      <c r="YO198" s="1"/>
      <c r="YP198" s="1"/>
      <c r="YQ198" s="1"/>
      <c r="YR198" s="1"/>
      <c r="YS198" s="1"/>
      <c r="YT198" s="1"/>
      <c r="YU198" s="1"/>
      <c r="YV198" s="1"/>
      <c r="YW198" s="1"/>
      <c r="YX198" s="1"/>
      <c r="YY198" s="1"/>
      <c r="YZ198" s="1"/>
      <c r="ZA198" s="1"/>
      <c r="ZB198" s="1"/>
      <c r="ZC198" s="1"/>
      <c r="ZD198" s="1"/>
      <c r="ZE198" s="1"/>
      <c r="ZF198" s="1"/>
      <c r="ZG198" s="1"/>
      <c r="ZH198" s="1"/>
      <c r="ZI198" s="1"/>
      <c r="ZJ198" s="1"/>
      <c r="ZK198" s="1"/>
      <c r="ZL198" s="1"/>
      <c r="ZM198" s="1"/>
      <c r="ZN198" s="1"/>
      <c r="ZO198" s="1"/>
      <c r="ZP198" s="1"/>
      <c r="ZQ198" s="1"/>
      <c r="ZR198" s="1"/>
      <c r="ZS198" s="1"/>
      <c r="ZT198" s="1"/>
      <c r="ZU198" s="1"/>
      <c r="ZV198" s="1"/>
      <c r="ZW198" s="1"/>
      <c r="ZX198" s="1"/>
      <c r="ZY198" s="1"/>
      <c r="ZZ198" s="1"/>
    </row>
    <row r="199" ht="19.5" customHeight="1">
      <c r="A199" s="10"/>
      <c r="B199" s="10"/>
      <c r="C199" s="10"/>
      <c r="D199" s="10" t="str">
        <f t="shared" si="2"/>
        <v/>
      </c>
      <c r="E199" s="287" t="str">
        <f t="array" ref="E199">IF(B199="","",IF(B199&lt;&gt;B198,SUMPRODUCT(($B$5:B199&lt;&gt;$B$4:B198)*($B$5:B199&lt;&gt;"")),""))</f>
        <v/>
      </c>
      <c r="F199" s="10" t="str">
        <f t="shared" si="3"/>
        <v/>
      </c>
      <c r="G199" s="10" t="str">
        <f t="shared" si="4"/>
        <v/>
      </c>
      <c r="H199" s="288" t="str">
        <f t="shared" si="5"/>
        <v/>
      </c>
      <c r="I199" s="10"/>
      <c r="J199" s="10"/>
      <c r="K199" s="10"/>
      <c r="L199" s="10" t="str">
        <f t="shared" si="6"/>
        <v/>
      </c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L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L199" s="10"/>
      <c r="CM199" s="10"/>
      <c r="CN199" s="10"/>
      <c r="CO199" s="10"/>
      <c r="CP199" s="10"/>
      <c r="CQ199" s="10"/>
      <c r="CR199" s="10"/>
      <c r="CS199" s="10"/>
      <c r="CT199" s="10"/>
      <c r="CU199" s="10"/>
      <c r="CV199" s="10"/>
      <c r="CW199" s="10"/>
      <c r="CX199" s="10"/>
      <c r="CY199" s="10"/>
      <c r="CZ199" s="10"/>
      <c r="DA199" s="10"/>
      <c r="DB199" s="10"/>
      <c r="DC199" s="10"/>
      <c r="DD199" s="10"/>
      <c r="DE199" s="10"/>
      <c r="DF199" s="10"/>
      <c r="DG199" s="10"/>
      <c r="DH199" s="10"/>
      <c r="DI199" s="10"/>
      <c r="DJ199" s="10"/>
      <c r="DK199" s="10"/>
      <c r="DL199" s="10"/>
      <c r="DM199" s="10"/>
      <c r="DN199" s="10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  <c r="VA199" s="1"/>
      <c r="VB199" s="1"/>
      <c r="VC199" s="1"/>
      <c r="VD199" s="1"/>
      <c r="VE199" s="1"/>
      <c r="VF199" s="1"/>
      <c r="VG199" s="1"/>
      <c r="VH199" s="1"/>
      <c r="VI199" s="1"/>
      <c r="VJ199" s="1"/>
      <c r="VK199" s="1"/>
      <c r="VL199" s="1"/>
      <c r="VM199" s="1"/>
      <c r="VN199" s="1"/>
      <c r="VO199" s="1"/>
      <c r="VP199" s="1"/>
      <c r="VQ199" s="1"/>
      <c r="VR199" s="1"/>
      <c r="VS199" s="1"/>
      <c r="VT199" s="1"/>
      <c r="VU199" s="1"/>
      <c r="VV199" s="1"/>
      <c r="VW199" s="1"/>
      <c r="VX199" s="1"/>
      <c r="VY199" s="1"/>
      <c r="VZ199" s="1"/>
      <c r="WA199" s="1"/>
      <c r="WB199" s="1"/>
      <c r="WC199" s="1"/>
      <c r="WD199" s="1"/>
      <c r="WE199" s="1"/>
      <c r="WF199" s="1"/>
      <c r="WG199" s="1"/>
      <c r="WH199" s="1"/>
      <c r="WI199" s="1"/>
      <c r="WJ199" s="1"/>
      <c r="WK199" s="1"/>
      <c r="WL199" s="1"/>
      <c r="WM199" s="1"/>
      <c r="WN199" s="1"/>
      <c r="WO199" s="1"/>
      <c r="WP199" s="1"/>
      <c r="WQ199" s="1"/>
      <c r="WR199" s="1"/>
      <c r="WS199" s="1"/>
      <c r="WT199" s="1"/>
      <c r="WU199" s="1"/>
      <c r="WV199" s="1"/>
      <c r="WW199" s="1"/>
      <c r="WX199" s="1"/>
      <c r="WY199" s="1"/>
      <c r="WZ199" s="1"/>
      <c r="XA199" s="1"/>
      <c r="XB199" s="1"/>
      <c r="XC199" s="1"/>
      <c r="XD199" s="1"/>
      <c r="XE199" s="1"/>
      <c r="XF199" s="1"/>
      <c r="XG199" s="1"/>
      <c r="XH199" s="1"/>
      <c r="XI199" s="1"/>
      <c r="XJ199" s="1"/>
      <c r="XK199" s="1"/>
      <c r="XL199" s="1"/>
      <c r="XM199" s="1"/>
      <c r="XN199" s="1"/>
      <c r="XO199" s="1"/>
      <c r="XP199" s="1"/>
      <c r="XQ199" s="1"/>
      <c r="XR199" s="1"/>
      <c r="XS199" s="1"/>
      <c r="XT199" s="1"/>
      <c r="XU199" s="1"/>
      <c r="XV199" s="1"/>
      <c r="XW199" s="1"/>
      <c r="XX199" s="1"/>
      <c r="XY199" s="1"/>
      <c r="XZ199" s="1"/>
      <c r="YA199" s="1"/>
      <c r="YB199" s="1"/>
      <c r="YC199" s="1"/>
      <c r="YD199" s="1"/>
      <c r="YE199" s="1"/>
      <c r="YF199" s="1"/>
      <c r="YG199" s="1"/>
      <c r="YH199" s="1"/>
      <c r="YI199" s="1"/>
      <c r="YJ199" s="1"/>
      <c r="YK199" s="1"/>
      <c r="YL199" s="1"/>
      <c r="YM199" s="1"/>
      <c r="YN199" s="1"/>
      <c r="YO199" s="1"/>
      <c r="YP199" s="1"/>
      <c r="YQ199" s="1"/>
      <c r="YR199" s="1"/>
      <c r="YS199" s="1"/>
      <c r="YT199" s="1"/>
      <c r="YU199" s="1"/>
      <c r="YV199" s="1"/>
      <c r="YW199" s="1"/>
      <c r="YX199" s="1"/>
      <c r="YY199" s="1"/>
      <c r="YZ199" s="1"/>
      <c r="ZA199" s="1"/>
      <c r="ZB199" s="1"/>
      <c r="ZC199" s="1"/>
      <c r="ZD199" s="1"/>
      <c r="ZE199" s="1"/>
      <c r="ZF199" s="1"/>
      <c r="ZG199" s="1"/>
      <c r="ZH199" s="1"/>
      <c r="ZI199" s="1"/>
      <c r="ZJ199" s="1"/>
      <c r="ZK199" s="1"/>
      <c r="ZL199" s="1"/>
      <c r="ZM199" s="1"/>
      <c r="ZN199" s="1"/>
      <c r="ZO199" s="1"/>
      <c r="ZP199" s="1"/>
      <c r="ZQ199" s="1"/>
      <c r="ZR199" s="1"/>
      <c r="ZS199" s="1"/>
      <c r="ZT199" s="1"/>
      <c r="ZU199" s="1"/>
      <c r="ZV199" s="1"/>
      <c r="ZW199" s="1"/>
      <c r="ZX199" s="1"/>
      <c r="ZY199" s="1"/>
      <c r="ZZ199" s="1"/>
    </row>
    <row r="200" ht="19.5" customHeight="1">
      <c r="A200" s="10"/>
      <c r="B200" s="10"/>
      <c r="C200" s="10"/>
      <c r="D200" s="10" t="str">
        <f t="shared" si="2"/>
        <v/>
      </c>
      <c r="E200" s="287" t="str">
        <f t="array" ref="E200">IF(B200="","",IF(B200&lt;&gt;B199,SUMPRODUCT(($B$5:B200&lt;&gt;$B$4:B199)*($B$5:B200&lt;&gt;"")),""))</f>
        <v/>
      </c>
      <c r="F200" s="10" t="str">
        <f t="shared" si="3"/>
        <v/>
      </c>
      <c r="G200" s="10" t="str">
        <f t="shared" si="4"/>
        <v/>
      </c>
      <c r="H200" s="288" t="str">
        <f t="shared" si="5"/>
        <v/>
      </c>
      <c r="I200" s="10"/>
      <c r="J200" s="10"/>
      <c r="K200" s="10"/>
      <c r="L200" s="10" t="str">
        <f t="shared" si="6"/>
        <v/>
      </c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  <c r="BI200" s="10"/>
      <c r="BJ200" s="10"/>
      <c r="BK200" s="10"/>
      <c r="BL200" s="10"/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  <c r="CD200" s="10"/>
      <c r="CE200" s="10"/>
      <c r="CF200" s="10"/>
      <c r="CG200" s="10"/>
      <c r="CH200" s="10"/>
      <c r="CI200" s="10"/>
      <c r="CJ200" s="10"/>
      <c r="CK200" s="10"/>
      <c r="CL200" s="10"/>
      <c r="CM200" s="10"/>
      <c r="CN200" s="10"/>
      <c r="CO200" s="10"/>
      <c r="CP200" s="10"/>
      <c r="CQ200" s="10"/>
      <c r="CR200" s="10"/>
      <c r="CS200" s="10"/>
      <c r="CT200" s="10"/>
      <c r="CU200" s="10"/>
      <c r="CV200" s="10"/>
      <c r="CW200" s="10"/>
      <c r="CX200" s="10"/>
      <c r="CY200" s="10"/>
      <c r="CZ200" s="10"/>
      <c r="DA200" s="10"/>
      <c r="DB200" s="10"/>
      <c r="DC200" s="10"/>
      <c r="DD200" s="10"/>
      <c r="DE200" s="10"/>
      <c r="DF200" s="10"/>
      <c r="DG200" s="10"/>
      <c r="DH200" s="10"/>
      <c r="DI200" s="10"/>
      <c r="DJ200" s="10"/>
      <c r="DK200" s="10"/>
      <c r="DL200" s="10"/>
      <c r="DM200" s="10"/>
      <c r="DN200" s="10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  <c r="VA200" s="1"/>
      <c r="VB200" s="1"/>
      <c r="VC200" s="1"/>
      <c r="VD200" s="1"/>
      <c r="VE200" s="1"/>
      <c r="VF200" s="1"/>
      <c r="VG200" s="1"/>
      <c r="VH200" s="1"/>
      <c r="VI200" s="1"/>
      <c r="VJ200" s="1"/>
      <c r="VK200" s="1"/>
      <c r="VL200" s="1"/>
      <c r="VM200" s="1"/>
      <c r="VN200" s="1"/>
      <c r="VO200" s="1"/>
      <c r="VP200" s="1"/>
      <c r="VQ200" s="1"/>
      <c r="VR200" s="1"/>
      <c r="VS200" s="1"/>
      <c r="VT200" s="1"/>
      <c r="VU200" s="1"/>
      <c r="VV200" s="1"/>
      <c r="VW200" s="1"/>
      <c r="VX200" s="1"/>
      <c r="VY200" s="1"/>
      <c r="VZ200" s="1"/>
      <c r="WA200" s="1"/>
      <c r="WB200" s="1"/>
      <c r="WC200" s="1"/>
      <c r="WD200" s="1"/>
      <c r="WE200" s="1"/>
      <c r="WF200" s="1"/>
      <c r="WG200" s="1"/>
      <c r="WH200" s="1"/>
      <c r="WI200" s="1"/>
      <c r="WJ200" s="1"/>
      <c r="WK200" s="1"/>
      <c r="WL200" s="1"/>
      <c r="WM200" s="1"/>
      <c r="WN200" s="1"/>
      <c r="WO200" s="1"/>
      <c r="WP200" s="1"/>
      <c r="WQ200" s="1"/>
      <c r="WR200" s="1"/>
      <c r="WS200" s="1"/>
      <c r="WT200" s="1"/>
      <c r="WU200" s="1"/>
      <c r="WV200" s="1"/>
      <c r="WW200" s="1"/>
      <c r="WX200" s="1"/>
      <c r="WY200" s="1"/>
      <c r="WZ200" s="1"/>
      <c r="XA200" s="1"/>
      <c r="XB200" s="1"/>
      <c r="XC200" s="1"/>
      <c r="XD200" s="1"/>
      <c r="XE200" s="1"/>
      <c r="XF200" s="1"/>
      <c r="XG200" s="1"/>
      <c r="XH200" s="1"/>
      <c r="XI200" s="1"/>
      <c r="XJ200" s="1"/>
      <c r="XK200" s="1"/>
      <c r="XL200" s="1"/>
      <c r="XM200" s="1"/>
      <c r="XN200" s="1"/>
      <c r="XO200" s="1"/>
      <c r="XP200" s="1"/>
      <c r="XQ200" s="1"/>
      <c r="XR200" s="1"/>
      <c r="XS200" s="1"/>
      <c r="XT200" s="1"/>
      <c r="XU200" s="1"/>
      <c r="XV200" s="1"/>
      <c r="XW200" s="1"/>
      <c r="XX200" s="1"/>
      <c r="XY200" s="1"/>
      <c r="XZ200" s="1"/>
      <c r="YA200" s="1"/>
      <c r="YB200" s="1"/>
      <c r="YC200" s="1"/>
      <c r="YD200" s="1"/>
      <c r="YE200" s="1"/>
      <c r="YF200" s="1"/>
      <c r="YG200" s="1"/>
      <c r="YH200" s="1"/>
      <c r="YI200" s="1"/>
      <c r="YJ200" s="1"/>
      <c r="YK200" s="1"/>
      <c r="YL200" s="1"/>
      <c r="YM200" s="1"/>
      <c r="YN200" s="1"/>
      <c r="YO200" s="1"/>
      <c r="YP200" s="1"/>
      <c r="YQ200" s="1"/>
      <c r="YR200" s="1"/>
      <c r="YS200" s="1"/>
      <c r="YT200" s="1"/>
      <c r="YU200" s="1"/>
      <c r="YV200" s="1"/>
      <c r="YW200" s="1"/>
      <c r="YX200" s="1"/>
      <c r="YY200" s="1"/>
      <c r="YZ200" s="1"/>
      <c r="ZA200" s="1"/>
      <c r="ZB200" s="1"/>
      <c r="ZC200" s="1"/>
      <c r="ZD200" s="1"/>
      <c r="ZE200" s="1"/>
      <c r="ZF200" s="1"/>
      <c r="ZG200" s="1"/>
      <c r="ZH200" s="1"/>
      <c r="ZI200" s="1"/>
      <c r="ZJ200" s="1"/>
      <c r="ZK200" s="1"/>
      <c r="ZL200" s="1"/>
      <c r="ZM200" s="1"/>
      <c r="ZN200" s="1"/>
      <c r="ZO200" s="1"/>
      <c r="ZP200" s="1"/>
      <c r="ZQ200" s="1"/>
      <c r="ZR200" s="1"/>
      <c r="ZS200" s="1"/>
      <c r="ZT200" s="1"/>
      <c r="ZU200" s="1"/>
      <c r="ZV200" s="1"/>
      <c r="ZW200" s="1"/>
      <c r="ZX200" s="1"/>
      <c r="ZY200" s="1"/>
      <c r="ZZ200" s="1"/>
    </row>
  </sheetData>
  <mergeCells count="4">
    <mergeCell ref="BT2:CG2"/>
    <mergeCell ref="CH2:CU2"/>
    <mergeCell ref="CV2:DI2"/>
    <mergeCell ref="DJ2:DN2"/>
  </mergeCells>
  <conditionalFormatting sqref="H5:N200">
    <cfRule type="expression" dxfId="18" priority="1">
      <formula>NOT(OR($I5="データ基盤",$I5="インフラ"))</formula>
    </cfRule>
  </conditionalFormatting>
  <conditionalFormatting sqref="O5:O200">
    <cfRule type="containsText" dxfId="19" priority="2" operator="containsText" text="準備中">
      <formula>NOT(ISERROR(SEARCH(("準備中"),(O5))))</formula>
    </cfRule>
  </conditionalFormatting>
  <conditionalFormatting sqref="P5:CV200">
    <cfRule type="expression" dxfId="20" priority="3">
      <formula>AND($H5&lt;&gt;"",OR(P$4="土",P$4="日"))</formula>
    </cfRule>
  </conditionalFormatting>
  <conditionalFormatting sqref="P5:ZZ200">
    <cfRule type="expression" dxfId="21" priority="4">
      <formula>AND(P$3&lt;&gt;"",OR($I5="DX道場",$I5="U-SLIM"),P$3&gt;=$M5,P$3&lt;=$N5)</formula>
    </cfRule>
  </conditionalFormatting>
  <conditionalFormatting sqref="E5:J42 E6:H200">
    <cfRule type="expression" dxfId="23" priority="5">
      <formula>AND($E5&lt;&gt;"",NOT(ISNUMBER($E5)))</formula>
    </cfRule>
  </conditionalFormatting>
  <conditionalFormatting sqref="J5:J200">
    <cfRule type="expression" dxfId="24" priority="6">
      <formula>AND($H5&lt;&gt;"",$J5="")</formula>
    </cfRule>
  </conditionalFormatting>
  <conditionalFormatting sqref="O5:O200">
    <cfRule type="containsText" dxfId="25" priority="7" operator="containsText" text="完了">
      <formula>NOT(ISERROR(SEARCH(("完了"),(O5))))</formula>
    </cfRule>
  </conditionalFormatting>
  <conditionalFormatting sqref="O5:O200">
    <cfRule type="containsText" dxfId="26" priority="8" operator="containsText" text="進行中">
      <formula>NOT(ISERROR(SEARCH(("進行中"),(O5))))</formula>
    </cfRule>
  </conditionalFormatting>
  <conditionalFormatting sqref="P3:ZZ4">
    <cfRule type="expression" dxfId="20" priority="9">
      <formula>AND(OR(P$4="土",P$4="日"))</formula>
    </cfRule>
  </conditionalFormatting>
  <conditionalFormatting sqref="P5:ZZ200">
    <cfRule type="expression" dxfId="22" priority="10">
      <formula>AND(P$3&lt;&gt;"",$I5="インフラ",P$3&gt;=$M5,P$3&lt;=$N5)</formula>
    </cfRule>
  </conditionalFormatting>
  <conditionalFormatting sqref="P5:ZZ200">
    <cfRule type="expression" dxfId="27" priority="11">
      <formula>AND(P$3&lt;&gt;"",P$3&gt;=$M5,P$3&lt;=$N5)</formula>
    </cfRule>
  </conditionalFormatting>
  <conditionalFormatting sqref="P5:ZZ200">
    <cfRule type="expression" dxfId="28" priority="12">
      <formula>AND(P$3&lt;&gt;"",$I5="データ基盤",P$3&gt;=$M5,P$3&lt;=$N5)</formula>
    </cfRule>
  </conditionalFormatting>
  <conditionalFormatting sqref="P5:ZZ200">
    <cfRule type="expression" dxfId="29" priority="13">
      <formula>AND($H5&lt;&gt;"",P$3&lt;&gt;"")</formula>
    </cfRule>
  </conditionalFormatting>
  <conditionalFormatting sqref="G5:O200">
    <cfRule type="expression" dxfId="29" priority="14">
      <formula>$H5&lt;&gt;""</formula>
    </cfRule>
  </conditionalFormatting>
  <conditionalFormatting sqref="J5:J200">
    <cfRule type="expression" dxfId="30" priority="15">
      <formula>$H5&lt;&gt;""</formula>
    </cfRule>
  </conditionalFormatting>
  <conditionalFormatting sqref="I5:I200">
    <cfRule type="expression" dxfId="31" priority="16">
      <formula>$H5&lt;&gt;""</formula>
    </cfRule>
  </conditionalFormatting>
  <conditionalFormatting sqref="M5:M200">
    <cfRule type="expression" dxfId="31" priority="17">
      <formula>$H5&lt;&gt;""</formula>
    </cfRule>
  </conditionalFormatting>
  <conditionalFormatting sqref="N5:N200">
    <cfRule type="expression" dxfId="30" priority="18">
      <formula>$H5&lt;&gt;""</formula>
    </cfRule>
  </conditionalFormatting>
  <conditionalFormatting sqref="O5:O200">
    <cfRule type="expression" dxfId="30" priority="19">
      <formula>$H5&lt;&gt;""</formula>
    </cfRule>
  </conditionalFormatting>
  <conditionalFormatting sqref="E5:E200">
    <cfRule type="expression" dxfId="32" priority="20">
      <formula>$H5&lt;&gt;""</formula>
    </cfRule>
  </conditionalFormatting>
  <conditionalFormatting sqref="D5:D200">
    <cfRule type="expression" dxfId="31" priority="21">
      <formula>$H5&lt;&gt;""</formula>
    </cfRule>
  </conditionalFormatting>
  <conditionalFormatting sqref="E5:O200">
    <cfRule type="expression" dxfId="33" priority="22">
      <formula>$F6&lt;&gt;""</formula>
    </cfRule>
  </conditionalFormatting>
  <conditionalFormatting sqref="P5:ZZ200">
    <cfRule type="expression" dxfId="33" priority="23">
      <formula>AND(P$3&lt;&gt;"",$F6&lt;&gt;"")</formula>
    </cfRule>
  </conditionalFormatting>
  <conditionalFormatting sqref="P3:ZZ3">
    <cfRule type="expression" dxfId="34" priority="24">
      <formula>P$3&lt;&gt;""</formula>
    </cfRule>
  </conditionalFormatting>
  <conditionalFormatting sqref="P2:ZZ2">
    <cfRule type="expression" dxfId="35" priority="25">
      <formula>P$3&lt;&gt;""</formula>
    </cfRule>
  </conditionalFormatting>
  <conditionalFormatting sqref="P3:ZZ4">
    <cfRule type="expression" dxfId="36" priority="26">
      <formula>P$3&lt;&gt;""</formula>
    </cfRule>
  </conditionalFormatting>
  <conditionalFormatting sqref="P2:ZZ4">
    <cfRule type="expression" dxfId="31" priority="27">
      <formula>P$2&lt;&gt;""</formula>
    </cfRule>
  </conditionalFormatting>
  <conditionalFormatting sqref="P5:ZZ200">
    <cfRule type="expression" dxfId="31" priority="28">
      <formula>AND($H5&lt;&gt;"",P$2&lt;&gt;"")</formula>
    </cfRule>
  </conditionalFormatting>
  <conditionalFormatting sqref="P3:ZZ4">
    <cfRule type="expression" dxfId="37" priority="29">
      <formula>AND(N$2&lt;&gt;"",P$4="水")</formula>
    </cfRule>
  </conditionalFormatting>
  <conditionalFormatting sqref="P2:ZZ4">
    <cfRule type="expression" dxfId="30" priority="30">
      <formula>AND(P$3&lt;&gt;"",Q$3="")</formula>
    </cfRule>
  </conditionalFormatting>
  <conditionalFormatting sqref="P5:ZZ200">
    <cfRule type="expression" dxfId="30" priority="31">
      <formula>AND($H5&lt;&gt;"",P$3&lt;&gt;"",Q$3="")</formula>
    </cfRule>
  </conditionalFormatting>
  <conditionalFormatting sqref="D5:O200">
    <cfRule type="expression" dxfId="33" priority="32">
      <formula>AND($H5&lt;&gt;"",$H6="")</formula>
    </cfRule>
  </conditionalFormatting>
  <conditionalFormatting sqref="P5:ZZ200">
    <cfRule type="expression" dxfId="33" priority="33">
      <formula>AND(P$3&lt;&gt;"",$H5&lt;&gt;"",$H6="")</formula>
    </cfRule>
  </conditionalFormatting>
  <conditionalFormatting sqref="P2:ZZ2">
    <cfRule type="expression" dxfId="38" priority="34">
      <formula>P$3&lt;&gt;""</formula>
    </cfRule>
  </conditionalFormatting>
  <conditionalFormatting sqref="O5:O125">
    <cfRule type="expression" dxfId="13" priority="35">
      <formula>O5="準備中"</formula>
    </cfRule>
  </conditionalFormatting>
  <conditionalFormatting sqref="O5:O125">
    <cfRule type="expression" dxfId="6" priority="36">
      <formula>O5="進行中"</formula>
    </cfRule>
  </conditionalFormatting>
  <conditionalFormatting sqref="O5:O125">
    <cfRule type="expression" dxfId="7" priority="37">
      <formula>O5="完了"</formula>
    </cfRule>
  </conditionalFormatting>
  <conditionalFormatting sqref="O5:O125">
    <cfRule type="expression" dxfId="13" priority="38">
      <formula>O5="準備中"</formula>
    </cfRule>
  </conditionalFormatting>
  <conditionalFormatting sqref="O5:O125">
    <cfRule type="expression" dxfId="6" priority="39">
      <formula>O5="進行中"</formula>
    </cfRule>
  </conditionalFormatting>
  <conditionalFormatting sqref="O5:O125">
    <cfRule type="expression" dxfId="7" priority="40">
      <formula>O5="完了"</formula>
    </cfRule>
  </conditionalFormatting>
  <conditionalFormatting sqref="P5:DN200">
    <cfRule type="expression" dxfId="16" priority="41">
      <formula>AND(P$3&gt;=$M5,P$3&lt;=$N5,$O5="完了")</formula>
    </cfRule>
  </conditionalFormatting>
  <conditionalFormatting sqref="P5:DN200">
    <cfRule type="expression" dxfId="15" priority="42">
      <formula>AND(P$3&gt;=$M5,P$3&lt;=$N5,$O5="進行中")</formula>
    </cfRule>
  </conditionalFormatting>
  <conditionalFormatting sqref="P5:DN200">
    <cfRule type="expression" dxfId="14" priority="43">
      <formula>AND(P$3&gt;=$M5,P$3&lt;=$N5,$O5="準備中")</formula>
    </cfRule>
  </conditionalFormatting>
  <conditionalFormatting sqref="P5:DN200">
    <cfRule type="expression" dxfId="39" priority="44">
      <formula>WEEKDAY(P$3,2)&gt;=6</formula>
    </cfRule>
  </conditionalFormatting>
  <conditionalFormatting sqref="P3:DN4">
    <cfRule type="expression" dxfId="40" priority="45">
      <formula>WEEKDAY(P$3,2)&gt;=6</formula>
    </cfRule>
  </conditionalFormatting>
  <dataValidations>
    <dataValidation type="list" allowBlank="1" showErrorMessage="1" sqref="O5:O200">
      <formula1>"準備中,進行中,完了"</formula1>
    </dataValidation>
    <dataValidation type="custom" allowBlank="1" showInputMessage="1" showErrorMessage="1" prompt="編集不可 - D～H列は編集不可です。_x000a_A～C列を編集してください（その内容に応じてD～H列が自動で入力されます）。" sqref="D3:H200">
      <formula1>FALSE</formula1>
    </dataValidation>
    <dataValidation type="list" allowBlank="1" showErrorMessage="1" sqref="I5:I200">
      <formula1>"データ基盤,インフラ,U-SLIM,DX道場,Cloudera,トヨタシステムズ"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hidden="1" min="1" max="1" width="9.0"/>
    <col customWidth="1" hidden="1" min="2" max="2" width="6.43"/>
    <col customWidth="1" hidden="1" min="3" max="3" width="27.29"/>
    <col customWidth="1" hidden="1" min="4" max="4" width="56.43"/>
    <col customWidth="1" min="5" max="5" width="9.14"/>
    <col customWidth="1" min="6" max="6" width="5.29"/>
    <col customWidth="1" min="7" max="7" width="21.0"/>
    <col customWidth="1" min="8" max="8" width="55.57"/>
    <col customWidth="1" min="9" max="10" width="9.0"/>
    <col customWidth="1" min="11" max="11" width="13.0"/>
    <col customWidth="1" min="12" max="13" width="6.43"/>
    <col customWidth="1" min="14" max="14" width="8.0"/>
    <col customWidth="1" min="15" max="99" width="4.43"/>
    <col customWidth="1" min="100" max="100" width="9.0"/>
  </cols>
  <sheetData>
    <row r="1" ht="16.5" customHeight="1">
      <c r="A1" s="1" t="s">
        <v>1</v>
      </c>
      <c r="B1" s="1"/>
      <c r="C1" s="1"/>
      <c r="D1" s="3"/>
      <c r="E1" s="1" t="s">
        <v>4</v>
      </c>
      <c r="F1" s="1" t="s">
        <v>5</v>
      </c>
      <c r="G1" s="1"/>
      <c r="H1" s="3"/>
      <c r="I1" s="1"/>
      <c r="J1" s="1"/>
      <c r="K1" s="1"/>
      <c r="L1" s="5"/>
      <c r="M1" s="5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</row>
    <row r="2" ht="16.5" customHeight="1">
      <c r="A2" s="1"/>
      <c r="B2" s="1"/>
      <c r="C2" s="1"/>
      <c r="D2" s="3"/>
      <c r="E2" s="1"/>
      <c r="F2" s="11" t="s">
        <v>20</v>
      </c>
      <c r="G2" s="1"/>
      <c r="H2" s="3"/>
      <c r="I2" s="1"/>
      <c r="J2" s="1"/>
      <c r="K2" s="1"/>
      <c r="L2" s="5"/>
      <c r="M2" s="5"/>
      <c r="N2" s="1"/>
      <c r="O2" s="12" t="s">
        <v>21</v>
      </c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4"/>
      <c r="AC2" s="13" t="s">
        <v>27</v>
      </c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4"/>
      <c r="AQ2" s="13" t="s">
        <v>30</v>
      </c>
      <c r="AR2" s="13"/>
      <c r="AS2" s="15"/>
      <c r="AT2" s="15"/>
      <c r="AU2" s="15"/>
      <c r="AV2" s="16" t="s">
        <v>34</v>
      </c>
      <c r="AW2" s="16"/>
      <c r="AX2" s="16" t="s">
        <v>36</v>
      </c>
      <c r="AY2" s="16" t="s">
        <v>36</v>
      </c>
      <c r="AZ2" s="16" t="s">
        <v>36</v>
      </c>
      <c r="BA2" s="16" t="s">
        <v>36</v>
      </c>
      <c r="BB2" s="16" t="s">
        <v>36</v>
      </c>
      <c r="BC2" s="16" t="s">
        <v>36</v>
      </c>
      <c r="BD2" s="17" t="s">
        <v>37</v>
      </c>
      <c r="BE2" s="13" t="s">
        <v>39</v>
      </c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4"/>
      <c r="BS2" s="13" t="s">
        <v>42</v>
      </c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4"/>
      <c r="CG2" s="13" t="s">
        <v>47</v>
      </c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4"/>
      <c r="CU2" s="14" t="s">
        <v>51</v>
      </c>
      <c r="CV2" s="1"/>
    </row>
    <row r="3" ht="16.5" customHeight="1">
      <c r="A3" s="1" t="s">
        <v>52</v>
      </c>
      <c r="B3" s="1" t="s">
        <v>53</v>
      </c>
      <c r="C3" s="1" t="s">
        <v>54</v>
      </c>
      <c r="D3" s="3" t="s">
        <v>55</v>
      </c>
      <c r="E3" s="18" t="s">
        <v>56</v>
      </c>
      <c r="F3" s="18" t="s">
        <v>57</v>
      </c>
      <c r="G3" s="19"/>
      <c r="H3" s="20"/>
      <c r="I3" s="19" t="s">
        <v>60</v>
      </c>
      <c r="J3" s="21"/>
      <c r="K3" s="21" t="s">
        <v>62</v>
      </c>
      <c r="L3" s="22" t="s">
        <v>63</v>
      </c>
      <c r="M3" s="23"/>
      <c r="N3" s="21" t="s">
        <v>67</v>
      </c>
      <c r="O3" s="24">
        <v>46209.0</v>
      </c>
      <c r="P3" s="25">
        <v>46210.0</v>
      </c>
      <c r="Q3" s="26">
        <v>46211.0</v>
      </c>
      <c r="R3" s="25">
        <v>46212.0</v>
      </c>
      <c r="S3" s="25">
        <v>46213.0</v>
      </c>
      <c r="T3" s="25">
        <v>46214.0</v>
      </c>
      <c r="U3" s="25">
        <v>46215.0</v>
      </c>
      <c r="V3" s="25">
        <v>46216.0</v>
      </c>
      <c r="W3" s="25">
        <v>46217.0</v>
      </c>
      <c r="X3" s="25">
        <v>46218.0</v>
      </c>
      <c r="Y3" s="25">
        <v>46219.0</v>
      </c>
      <c r="Z3" s="25">
        <v>46220.0</v>
      </c>
      <c r="AA3" s="25">
        <v>46221.0</v>
      </c>
      <c r="AB3" s="27">
        <v>46222.0</v>
      </c>
      <c r="AC3" s="28">
        <v>46223.0</v>
      </c>
      <c r="AD3" s="25">
        <v>46224.0</v>
      </c>
      <c r="AE3" s="26">
        <v>46225.0</v>
      </c>
      <c r="AF3" s="25">
        <v>46226.0</v>
      </c>
      <c r="AG3" s="25">
        <v>46227.0</v>
      </c>
      <c r="AH3" s="25">
        <v>46228.0</v>
      </c>
      <c r="AI3" s="25">
        <v>46229.0</v>
      </c>
      <c r="AJ3" s="25">
        <v>46230.0</v>
      </c>
      <c r="AK3" s="25">
        <v>46231.0</v>
      </c>
      <c r="AL3" s="25">
        <v>46232.0</v>
      </c>
      <c r="AM3" s="25">
        <v>46233.0</v>
      </c>
      <c r="AN3" s="25">
        <v>46234.0</v>
      </c>
      <c r="AO3" s="25">
        <v>46235.0</v>
      </c>
      <c r="AP3" s="27">
        <v>46236.0</v>
      </c>
      <c r="AQ3" s="24">
        <v>46237.0</v>
      </c>
      <c r="AR3" s="25">
        <v>46238.0</v>
      </c>
      <c r="AS3" s="26">
        <v>46239.0</v>
      </c>
      <c r="AT3" s="25">
        <v>46240.0</v>
      </c>
      <c r="AU3" s="25">
        <v>46241.0</v>
      </c>
      <c r="AV3" s="25">
        <v>46242.0</v>
      </c>
      <c r="AW3" s="25">
        <v>46243.0</v>
      </c>
      <c r="AX3" s="31">
        <v>46244.0</v>
      </c>
      <c r="AY3" s="32">
        <v>46245.0</v>
      </c>
      <c r="AZ3" s="31">
        <v>46246.0</v>
      </c>
      <c r="BA3" s="31">
        <v>46247.0</v>
      </c>
      <c r="BB3" s="31">
        <v>46248.0</v>
      </c>
      <c r="BC3" s="25">
        <v>46249.0</v>
      </c>
      <c r="BD3" s="27">
        <v>46250.0</v>
      </c>
      <c r="BE3" s="24">
        <v>46251.0</v>
      </c>
      <c r="BF3" s="25">
        <v>46252.0</v>
      </c>
      <c r="BG3" s="26">
        <v>46253.0</v>
      </c>
      <c r="BH3" s="25">
        <v>46254.0</v>
      </c>
      <c r="BI3" s="25">
        <v>46255.0</v>
      </c>
      <c r="BJ3" s="25">
        <v>46256.0</v>
      </c>
      <c r="BK3" s="25">
        <v>46257.0</v>
      </c>
      <c r="BL3" s="25">
        <v>46258.0</v>
      </c>
      <c r="BM3" s="25">
        <v>46259.0</v>
      </c>
      <c r="BN3" s="25">
        <v>46260.0</v>
      </c>
      <c r="BO3" s="25">
        <v>46261.0</v>
      </c>
      <c r="BP3" s="25">
        <v>46262.0</v>
      </c>
      <c r="BQ3" s="25">
        <v>46263.0</v>
      </c>
      <c r="BR3" s="27">
        <v>46264.0</v>
      </c>
      <c r="BS3" s="24">
        <v>46265.0</v>
      </c>
      <c r="BT3" s="25">
        <v>46266.0</v>
      </c>
      <c r="BU3" s="26">
        <v>46267.0</v>
      </c>
      <c r="BV3" s="25">
        <v>46268.0</v>
      </c>
      <c r="BW3" s="25">
        <v>46269.0</v>
      </c>
      <c r="BX3" s="25">
        <v>46270.0</v>
      </c>
      <c r="BY3" s="25">
        <v>46271.0</v>
      </c>
      <c r="BZ3" s="25">
        <v>46272.0</v>
      </c>
      <c r="CA3" s="25">
        <v>46273.0</v>
      </c>
      <c r="CB3" s="25">
        <v>46274.0</v>
      </c>
      <c r="CC3" s="25">
        <v>46275.0</v>
      </c>
      <c r="CD3" s="25">
        <v>46276.0</v>
      </c>
      <c r="CE3" s="25">
        <v>46277.0</v>
      </c>
      <c r="CF3" s="27">
        <v>46278.0</v>
      </c>
      <c r="CG3" s="24">
        <v>46279.0</v>
      </c>
      <c r="CH3" s="25">
        <v>46280.0</v>
      </c>
      <c r="CI3" s="26">
        <v>46281.0</v>
      </c>
      <c r="CJ3" s="25">
        <v>46282.0</v>
      </c>
      <c r="CK3" s="25">
        <v>46283.0</v>
      </c>
      <c r="CL3" s="25">
        <v>46284.0</v>
      </c>
      <c r="CM3" s="25">
        <v>46285.0</v>
      </c>
      <c r="CN3" s="25">
        <v>46286.0</v>
      </c>
      <c r="CO3" s="25">
        <v>46287.0</v>
      </c>
      <c r="CP3" s="25">
        <v>46288.0</v>
      </c>
      <c r="CQ3" s="25">
        <v>46289.0</v>
      </c>
      <c r="CR3" s="25">
        <v>46290.0</v>
      </c>
      <c r="CS3" s="25">
        <v>46291.0</v>
      </c>
      <c r="CT3" s="27">
        <v>46292.0</v>
      </c>
      <c r="CU3" s="34">
        <v>46293.0</v>
      </c>
      <c r="CV3" s="5"/>
    </row>
    <row r="4" ht="16.5" customHeight="1">
      <c r="A4" s="1"/>
      <c r="B4" s="35"/>
      <c r="C4" s="1" t="s">
        <v>92</v>
      </c>
      <c r="D4" s="3" t="s">
        <v>92</v>
      </c>
      <c r="E4" s="36" t="s">
        <v>52</v>
      </c>
      <c r="F4" s="37" t="s">
        <v>53</v>
      </c>
      <c r="G4" s="38" t="s">
        <v>54</v>
      </c>
      <c r="H4" s="39" t="s">
        <v>55</v>
      </c>
      <c r="I4" s="38" t="s">
        <v>95</v>
      </c>
      <c r="J4" s="40" t="s">
        <v>96</v>
      </c>
      <c r="K4" s="41" t="s">
        <v>98</v>
      </c>
      <c r="L4" s="42" t="s">
        <v>100</v>
      </c>
      <c r="M4" s="43" t="s">
        <v>101</v>
      </c>
      <c r="N4" s="41"/>
      <c r="O4" s="44" t="s">
        <v>17</v>
      </c>
      <c r="P4" s="45" t="s">
        <v>64</v>
      </c>
      <c r="Q4" s="46" t="s">
        <v>23</v>
      </c>
      <c r="R4" s="45" t="s">
        <v>13</v>
      </c>
      <c r="S4" s="45" t="s">
        <v>32</v>
      </c>
      <c r="T4" s="45" t="s">
        <v>103</v>
      </c>
      <c r="U4" s="45" t="s">
        <v>46</v>
      </c>
      <c r="V4" s="45" t="s">
        <v>17</v>
      </c>
      <c r="W4" s="45" t="s">
        <v>64</v>
      </c>
      <c r="X4" s="45" t="s">
        <v>23</v>
      </c>
      <c r="Y4" s="45" t="s">
        <v>13</v>
      </c>
      <c r="Z4" s="45" t="s">
        <v>32</v>
      </c>
      <c r="AA4" s="45" t="s">
        <v>103</v>
      </c>
      <c r="AB4" s="48" t="s">
        <v>46</v>
      </c>
      <c r="AC4" s="49" t="s">
        <v>17</v>
      </c>
      <c r="AD4" s="45" t="s">
        <v>64</v>
      </c>
      <c r="AE4" s="46" t="s">
        <v>23</v>
      </c>
      <c r="AF4" s="45" t="s">
        <v>13</v>
      </c>
      <c r="AG4" s="45" t="s">
        <v>32</v>
      </c>
      <c r="AH4" s="45" t="s">
        <v>103</v>
      </c>
      <c r="AI4" s="45" t="s">
        <v>46</v>
      </c>
      <c r="AJ4" s="45" t="s">
        <v>17</v>
      </c>
      <c r="AK4" s="45" t="s">
        <v>64</v>
      </c>
      <c r="AL4" s="45" t="s">
        <v>23</v>
      </c>
      <c r="AM4" s="45" t="s">
        <v>13</v>
      </c>
      <c r="AN4" s="45" t="s">
        <v>32</v>
      </c>
      <c r="AO4" s="45" t="s">
        <v>103</v>
      </c>
      <c r="AP4" s="48" t="s">
        <v>46</v>
      </c>
      <c r="AQ4" s="44" t="s">
        <v>17</v>
      </c>
      <c r="AR4" s="45" t="s">
        <v>64</v>
      </c>
      <c r="AS4" s="46" t="s">
        <v>23</v>
      </c>
      <c r="AT4" s="45" t="s">
        <v>13</v>
      </c>
      <c r="AU4" s="45" t="s">
        <v>32</v>
      </c>
      <c r="AV4" s="45" t="s">
        <v>103</v>
      </c>
      <c r="AW4" s="45" t="s">
        <v>46</v>
      </c>
      <c r="AX4" s="50" t="s">
        <v>17</v>
      </c>
      <c r="AY4" s="51" t="s">
        <v>64</v>
      </c>
      <c r="AZ4" s="50" t="s">
        <v>23</v>
      </c>
      <c r="BA4" s="50" t="s">
        <v>13</v>
      </c>
      <c r="BB4" s="50" t="s">
        <v>32</v>
      </c>
      <c r="BC4" s="45" t="s">
        <v>103</v>
      </c>
      <c r="BD4" s="48" t="s">
        <v>46</v>
      </c>
      <c r="BE4" s="44" t="s">
        <v>17</v>
      </c>
      <c r="BF4" s="45" t="s">
        <v>64</v>
      </c>
      <c r="BG4" s="46" t="s">
        <v>23</v>
      </c>
      <c r="BH4" s="45" t="s">
        <v>13</v>
      </c>
      <c r="BI4" s="45" t="s">
        <v>32</v>
      </c>
      <c r="BJ4" s="45" t="s">
        <v>103</v>
      </c>
      <c r="BK4" s="45" t="s">
        <v>46</v>
      </c>
      <c r="BL4" s="45" t="s">
        <v>17</v>
      </c>
      <c r="BM4" s="45" t="s">
        <v>64</v>
      </c>
      <c r="BN4" s="45" t="s">
        <v>23</v>
      </c>
      <c r="BO4" s="45" t="s">
        <v>13</v>
      </c>
      <c r="BP4" s="45" t="s">
        <v>32</v>
      </c>
      <c r="BQ4" s="45" t="s">
        <v>103</v>
      </c>
      <c r="BR4" s="48" t="s">
        <v>46</v>
      </c>
      <c r="BS4" s="44" t="s">
        <v>17</v>
      </c>
      <c r="BT4" s="45" t="s">
        <v>64</v>
      </c>
      <c r="BU4" s="46" t="s">
        <v>23</v>
      </c>
      <c r="BV4" s="45" t="s">
        <v>13</v>
      </c>
      <c r="BW4" s="45" t="s">
        <v>32</v>
      </c>
      <c r="BX4" s="45" t="s">
        <v>103</v>
      </c>
      <c r="BY4" s="45" t="s">
        <v>46</v>
      </c>
      <c r="BZ4" s="45" t="s">
        <v>17</v>
      </c>
      <c r="CA4" s="45" t="s">
        <v>64</v>
      </c>
      <c r="CB4" s="45" t="s">
        <v>23</v>
      </c>
      <c r="CC4" s="45" t="s">
        <v>13</v>
      </c>
      <c r="CD4" s="45" t="s">
        <v>32</v>
      </c>
      <c r="CE4" s="45" t="s">
        <v>103</v>
      </c>
      <c r="CF4" s="48" t="s">
        <v>46</v>
      </c>
      <c r="CG4" s="44" t="s">
        <v>17</v>
      </c>
      <c r="CH4" s="45" t="s">
        <v>64</v>
      </c>
      <c r="CI4" s="46" t="s">
        <v>23</v>
      </c>
      <c r="CJ4" s="45" t="s">
        <v>13</v>
      </c>
      <c r="CK4" s="45" t="s">
        <v>32</v>
      </c>
      <c r="CL4" s="45" t="s">
        <v>103</v>
      </c>
      <c r="CM4" s="45" t="s">
        <v>46</v>
      </c>
      <c r="CN4" s="45" t="s">
        <v>17</v>
      </c>
      <c r="CO4" s="45" t="s">
        <v>64</v>
      </c>
      <c r="CP4" s="45" t="s">
        <v>23</v>
      </c>
      <c r="CQ4" s="45" t="s">
        <v>13</v>
      </c>
      <c r="CR4" s="45" t="s">
        <v>32</v>
      </c>
      <c r="CS4" s="45" t="s">
        <v>103</v>
      </c>
      <c r="CT4" s="48" t="s">
        <v>46</v>
      </c>
      <c r="CU4" s="52" t="s">
        <v>17</v>
      </c>
      <c r="CV4" s="1"/>
    </row>
    <row r="5" ht="16.5" customHeight="1">
      <c r="A5" s="1" t="s">
        <v>113</v>
      </c>
      <c r="B5" s="1">
        <v>1.0</v>
      </c>
      <c r="C5" s="1" t="s">
        <v>114</v>
      </c>
      <c r="D5" s="3" t="s">
        <v>115</v>
      </c>
      <c r="E5" s="56" t="str">
        <f t="shared" ref="E5:H5" si="1">IF(A5&lt;&gt;"", IF(A5=A4, "", A5), "")</f>
        <v>Dataviz</v>
      </c>
      <c r="F5" s="57">
        <f t="shared" si="1"/>
        <v>1</v>
      </c>
      <c r="G5" s="58" t="str">
        <f t="shared" si="1"/>
        <v>プロジェクト管理</v>
      </c>
      <c r="H5" s="59" t="str">
        <f t="shared" si="1"/>
        <v>PowerBI関連</v>
      </c>
      <c r="I5" s="60" t="s">
        <v>117</v>
      </c>
      <c r="J5" s="61" t="s">
        <v>117</v>
      </c>
      <c r="K5" s="62" t="s">
        <v>98</v>
      </c>
      <c r="L5" s="24">
        <v>46209.0</v>
      </c>
      <c r="M5" s="27">
        <v>46293.0</v>
      </c>
      <c r="N5" s="63" t="s">
        <v>118</v>
      </c>
      <c r="O5" s="60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1"/>
      <c r="AC5" s="65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1"/>
      <c r="AQ5" s="60"/>
      <c r="AR5" s="64"/>
      <c r="AS5" s="64"/>
      <c r="AT5" s="64"/>
      <c r="AU5" s="64"/>
      <c r="AV5" s="64"/>
      <c r="AW5" s="64"/>
      <c r="AX5" s="66"/>
      <c r="AY5" s="67"/>
      <c r="AZ5" s="66"/>
      <c r="BA5" s="66"/>
      <c r="BB5" s="66"/>
      <c r="BC5" s="64"/>
      <c r="BD5" s="61"/>
      <c r="BE5" s="60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1"/>
      <c r="BS5" s="60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1"/>
      <c r="CG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1"/>
      <c r="CU5" s="62"/>
      <c r="CV5" s="1"/>
    </row>
    <row r="6" ht="16.5" customHeight="1">
      <c r="A6" s="1" t="s">
        <v>113</v>
      </c>
      <c r="B6" s="1">
        <v>2.0</v>
      </c>
      <c r="C6" s="1" t="s">
        <v>114</v>
      </c>
      <c r="D6" s="3" t="s">
        <v>120</v>
      </c>
      <c r="E6" s="56" t="str">
        <f t="shared" ref="E6:H6" si="2">IF(A6&lt;&gt;"", IF(A6=A5, "", A6), "")</f>
        <v/>
      </c>
      <c r="F6" s="68">
        <f t="shared" si="2"/>
        <v>2</v>
      </c>
      <c r="G6" s="58" t="str">
        <f t="shared" si="2"/>
        <v/>
      </c>
      <c r="H6" s="69" t="str">
        <f t="shared" si="2"/>
        <v>dataviz関連カンレン</v>
      </c>
      <c r="I6" s="70" t="s">
        <v>117</v>
      </c>
      <c r="J6" s="71" t="s">
        <v>117</v>
      </c>
      <c r="K6" s="72" t="s">
        <v>98</v>
      </c>
      <c r="L6" s="73">
        <v>46209.0</v>
      </c>
      <c r="M6" s="74">
        <v>46293.0</v>
      </c>
      <c r="N6" s="75" t="s">
        <v>118</v>
      </c>
      <c r="O6" s="70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1"/>
      <c r="AC6" s="77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1"/>
      <c r="AQ6" s="70"/>
      <c r="AR6" s="76"/>
      <c r="AS6" s="76"/>
      <c r="AT6" s="76"/>
      <c r="AU6" s="76"/>
      <c r="AV6" s="76"/>
      <c r="AW6" s="76"/>
      <c r="AX6" s="78"/>
      <c r="AY6" s="79"/>
      <c r="AZ6" s="78"/>
      <c r="BA6" s="78"/>
      <c r="BB6" s="78"/>
      <c r="BC6" s="76"/>
      <c r="BD6" s="71"/>
      <c r="BE6" s="70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1"/>
      <c r="BS6" s="70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1"/>
      <c r="CG6" s="70"/>
      <c r="CH6" s="76"/>
      <c r="CI6" s="76"/>
      <c r="CJ6" s="76"/>
      <c r="CK6" s="76"/>
      <c r="CL6" s="76"/>
      <c r="CM6" s="76"/>
      <c r="CN6" s="76"/>
      <c r="CO6" s="76"/>
      <c r="CP6" s="76"/>
      <c r="CQ6" s="76"/>
      <c r="CR6" s="76"/>
      <c r="CS6" s="76"/>
      <c r="CT6" s="71"/>
      <c r="CU6" s="72"/>
      <c r="CV6" s="1"/>
    </row>
    <row r="7" ht="16.5" customHeight="1">
      <c r="A7" s="1" t="s">
        <v>113</v>
      </c>
      <c r="B7" s="1">
        <v>3.0</v>
      </c>
      <c r="C7" s="1" t="s">
        <v>115</v>
      </c>
      <c r="D7" s="3" t="s">
        <v>121</v>
      </c>
      <c r="E7" s="80" t="str">
        <f t="shared" ref="E7:H7" si="3">IF(A7&lt;&gt;"", IF(A7=A6, "", A7), "")</f>
        <v/>
      </c>
      <c r="F7" s="81">
        <f t="shared" si="3"/>
        <v>3</v>
      </c>
      <c r="G7" s="82" t="str">
        <f t="shared" si="3"/>
        <v>PowerBI関連</v>
      </c>
      <c r="H7" s="83" t="str">
        <f t="shared" si="3"/>
        <v>PowerBI帳票仕様変更対応</v>
      </c>
      <c r="I7" s="84" t="s">
        <v>117</v>
      </c>
      <c r="J7" s="85" t="s">
        <v>117</v>
      </c>
      <c r="K7" s="86" t="s">
        <v>98</v>
      </c>
      <c r="L7" s="87">
        <v>46209.0</v>
      </c>
      <c r="M7" s="88">
        <v>46293.0</v>
      </c>
      <c r="N7" s="89" t="s">
        <v>118</v>
      </c>
      <c r="O7" s="84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85"/>
      <c r="AC7" s="91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85"/>
      <c r="AQ7" s="84"/>
      <c r="AR7" s="90"/>
      <c r="AS7" s="90"/>
      <c r="AT7" s="90"/>
      <c r="AU7" s="90"/>
      <c r="AV7" s="90"/>
      <c r="AW7" s="90"/>
      <c r="AX7" s="92"/>
      <c r="AY7" s="93"/>
      <c r="AZ7" s="92"/>
      <c r="BA7" s="92"/>
      <c r="BB7" s="92"/>
      <c r="BC7" s="90"/>
      <c r="BD7" s="85"/>
      <c r="BE7" s="84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85"/>
      <c r="BS7" s="84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85"/>
      <c r="CG7" s="84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85"/>
      <c r="CU7" s="86"/>
      <c r="CV7" s="1"/>
    </row>
    <row r="8" ht="16.5" customHeight="1">
      <c r="A8" s="1" t="s">
        <v>113</v>
      </c>
      <c r="B8" s="1">
        <v>4.0</v>
      </c>
      <c r="C8" s="1" t="s">
        <v>115</v>
      </c>
      <c r="D8" s="3" t="s">
        <v>122</v>
      </c>
      <c r="E8" s="56" t="str">
        <f t="shared" ref="E8:H8" si="4">IF(A8&lt;&gt;"", IF(A8=A7, "", A8), "")</f>
        <v/>
      </c>
      <c r="F8" s="94">
        <f t="shared" si="4"/>
        <v>4</v>
      </c>
      <c r="G8" s="95" t="str">
        <f t="shared" si="4"/>
        <v/>
      </c>
      <c r="H8" s="96" t="str">
        <f t="shared" si="4"/>
        <v>NEO帳票仕様変更対応(仕様変更と全国展開対応)</v>
      </c>
      <c r="I8" s="97" t="s">
        <v>117</v>
      </c>
      <c r="J8" s="98" t="s">
        <v>117</v>
      </c>
      <c r="K8" s="99" t="s">
        <v>98</v>
      </c>
      <c r="L8" s="100">
        <v>46209.0</v>
      </c>
      <c r="M8" s="101">
        <v>46293.0</v>
      </c>
      <c r="N8" s="102" t="s">
        <v>118</v>
      </c>
      <c r="O8" s="97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98"/>
      <c r="AC8" s="104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98"/>
      <c r="AQ8" s="97"/>
      <c r="AR8" s="103"/>
      <c r="AS8" s="103"/>
      <c r="AT8" s="103"/>
      <c r="AU8" s="103"/>
      <c r="AV8" s="103"/>
      <c r="AW8" s="103"/>
      <c r="AX8" s="105"/>
      <c r="AY8" s="106"/>
      <c r="AZ8" s="105"/>
      <c r="BA8" s="105"/>
      <c r="BB8" s="105"/>
      <c r="BC8" s="103"/>
      <c r="BD8" s="98"/>
      <c r="BE8" s="97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98"/>
      <c r="BS8" s="97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98"/>
      <c r="CG8" s="97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98"/>
      <c r="CU8" s="99"/>
      <c r="CV8" s="1"/>
    </row>
    <row r="9" ht="16.5" customHeight="1">
      <c r="A9" s="1" t="s">
        <v>113</v>
      </c>
      <c r="B9" s="1">
        <v>5.0</v>
      </c>
      <c r="C9" s="1" t="s">
        <v>123</v>
      </c>
      <c r="D9" s="3" t="s">
        <v>124</v>
      </c>
      <c r="E9" s="56" t="str">
        <f t="shared" ref="E9:H9" si="5">IF(A9&lt;&gt;"", IF(A9=A8, "", A9), "")</f>
        <v/>
      </c>
      <c r="F9" s="107">
        <f t="shared" si="5"/>
        <v>5</v>
      </c>
      <c r="G9" s="58" t="str">
        <f t="shared" si="5"/>
        <v>問合せ</v>
      </c>
      <c r="H9" s="109" t="str">
        <f t="shared" si="5"/>
        <v>顧客問合せ対応コキャクトイアワタイオウ</v>
      </c>
      <c r="I9" s="58" t="s">
        <v>117</v>
      </c>
      <c r="J9" s="110" t="s">
        <v>117</v>
      </c>
      <c r="K9" s="112" t="s">
        <v>98</v>
      </c>
      <c r="L9" s="113">
        <v>46209.0</v>
      </c>
      <c r="M9" s="115">
        <v>46293.0</v>
      </c>
      <c r="N9" s="116" t="s">
        <v>118</v>
      </c>
      <c r="O9" s="58"/>
      <c r="P9" s="117"/>
      <c r="Q9" s="117"/>
      <c r="R9" s="117"/>
      <c r="S9" s="117"/>
      <c r="T9" s="117"/>
      <c r="U9" s="117"/>
      <c r="V9" s="117"/>
      <c r="W9" s="117"/>
      <c r="X9" s="117"/>
      <c r="Y9" s="117"/>
      <c r="Z9" s="117"/>
      <c r="AA9" s="117"/>
      <c r="AB9" s="110"/>
      <c r="AC9" s="120"/>
      <c r="AD9" s="117"/>
      <c r="AE9" s="117"/>
      <c r="AF9" s="117"/>
      <c r="AG9" s="117"/>
      <c r="AH9" s="117"/>
      <c r="AI9" s="117"/>
      <c r="AJ9" s="117"/>
      <c r="AK9" s="117"/>
      <c r="AL9" s="117"/>
      <c r="AM9" s="117"/>
      <c r="AN9" s="117"/>
      <c r="AO9" s="117"/>
      <c r="AP9" s="110"/>
      <c r="AQ9" s="58"/>
      <c r="AR9" s="117"/>
      <c r="AS9" s="117"/>
      <c r="AT9" s="117"/>
      <c r="AU9" s="117"/>
      <c r="AV9" s="117"/>
      <c r="AW9" s="117"/>
      <c r="AX9" s="124"/>
      <c r="AY9" s="125"/>
      <c r="AZ9" s="124"/>
      <c r="BA9" s="124"/>
      <c r="BB9" s="124"/>
      <c r="BC9" s="117"/>
      <c r="BD9" s="110"/>
      <c r="BE9" s="58"/>
      <c r="BF9" s="117"/>
      <c r="BG9" s="117"/>
      <c r="BH9" s="117"/>
      <c r="BI9" s="117"/>
      <c r="BJ9" s="117"/>
      <c r="BK9" s="117"/>
      <c r="BL9" s="117"/>
      <c r="BM9" s="117"/>
      <c r="BN9" s="117"/>
      <c r="BO9" s="117"/>
      <c r="BP9" s="117"/>
      <c r="BQ9" s="117"/>
      <c r="BR9" s="110"/>
      <c r="BS9" s="58"/>
      <c r="BT9" s="117"/>
      <c r="BU9" s="117"/>
      <c r="BV9" s="117"/>
      <c r="BW9" s="117"/>
      <c r="BX9" s="117"/>
      <c r="BY9" s="117"/>
      <c r="BZ9" s="117"/>
      <c r="CA9" s="117"/>
      <c r="CB9" s="117"/>
      <c r="CC9" s="117"/>
      <c r="CD9" s="117"/>
      <c r="CE9" s="117"/>
      <c r="CF9" s="110"/>
      <c r="CG9" s="58"/>
      <c r="CH9" s="117"/>
      <c r="CI9" s="117"/>
      <c r="CJ9" s="117"/>
      <c r="CK9" s="117"/>
      <c r="CL9" s="117"/>
      <c r="CM9" s="117"/>
      <c r="CN9" s="117"/>
      <c r="CO9" s="117"/>
      <c r="CP9" s="117"/>
      <c r="CQ9" s="117"/>
      <c r="CR9" s="117"/>
      <c r="CS9" s="117"/>
      <c r="CT9" s="110"/>
      <c r="CU9" s="112"/>
      <c r="CV9" s="1"/>
    </row>
    <row r="10" ht="16.5" customHeight="1">
      <c r="A10" s="1" t="s">
        <v>113</v>
      </c>
      <c r="B10" s="1">
        <v>6.0</v>
      </c>
      <c r="C10" s="1" t="s">
        <v>126</v>
      </c>
      <c r="D10" s="3" t="s">
        <v>127</v>
      </c>
      <c r="E10" s="56" t="str">
        <f t="shared" ref="E10:H10" si="6">IF(A10&lt;&gt;"", IF(A10=A9, "", A10), "")</f>
        <v/>
      </c>
      <c r="F10" s="126">
        <f t="shared" si="6"/>
        <v>6</v>
      </c>
      <c r="G10" s="82" t="str">
        <f t="shared" si="6"/>
        <v>dataviz開発（既存機能）</v>
      </c>
      <c r="H10" s="127" t="str">
        <f t="shared" si="6"/>
        <v>残った帳票の開発（SMB空き枠カレンダー、新車受注分析、長崎_経営ダッシュボード 、マスタメンテナンス機能の一部）ノコチョウヒョウカイハツイチブ</v>
      </c>
      <c r="I10" s="82" t="s">
        <v>117</v>
      </c>
      <c r="J10" s="128" t="s">
        <v>117</v>
      </c>
      <c r="K10" s="129" t="s">
        <v>98</v>
      </c>
      <c r="L10" s="130">
        <v>46209.0</v>
      </c>
      <c r="M10" s="131">
        <v>46220.0</v>
      </c>
      <c r="N10" s="132" t="s">
        <v>118</v>
      </c>
      <c r="O10" s="82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28"/>
      <c r="AC10" s="134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28"/>
      <c r="AQ10" s="82"/>
      <c r="AR10" s="133"/>
      <c r="AS10" s="133"/>
      <c r="AT10" s="133"/>
      <c r="AU10" s="133"/>
      <c r="AV10" s="133"/>
      <c r="AW10" s="133"/>
      <c r="AX10" s="135"/>
      <c r="AY10" s="136"/>
      <c r="AZ10" s="135"/>
      <c r="BA10" s="135"/>
      <c r="BB10" s="135"/>
      <c r="BC10" s="133"/>
      <c r="BD10" s="128"/>
      <c r="BE10" s="82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28"/>
      <c r="BS10" s="82"/>
      <c r="BT10" s="133"/>
      <c r="BU10" s="133"/>
      <c r="BV10" s="133"/>
      <c r="BW10" s="133"/>
      <c r="BX10" s="133"/>
      <c r="BY10" s="133"/>
      <c r="BZ10" s="133"/>
      <c r="CA10" s="133"/>
      <c r="CB10" s="133"/>
      <c r="CC10" s="133"/>
      <c r="CD10" s="133"/>
      <c r="CE10" s="133"/>
      <c r="CF10" s="128"/>
      <c r="CG10" s="82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28"/>
      <c r="CU10" s="129"/>
      <c r="CV10" s="1"/>
    </row>
    <row r="11" ht="16.5" customHeight="1">
      <c r="A11" s="1" t="s">
        <v>113</v>
      </c>
      <c r="B11" s="1">
        <v>7.0</v>
      </c>
      <c r="C11" s="1" t="s">
        <v>128</v>
      </c>
      <c r="D11" s="3" t="s">
        <v>129</v>
      </c>
      <c r="E11" s="56" t="str">
        <f t="shared" ref="E11:E16" si="8">IF(A11&lt;&gt;"", IF(A11=A10, "", A11), "")</f>
        <v/>
      </c>
      <c r="F11" s="81">
        <f t="shared" ref="F11:H11" si="7">IF(B11&lt;&gt;"", IF(B11=B18, "", B11), "")</f>
        <v>7</v>
      </c>
      <c r="G11" s="133" t="str">
        <f t="shared" si="7"/>
        <v>dataviz開発（マージ対応）</v>
      </c>
      <c r="H11" s="86" t="str">
        <f t="shared" si="7"/>
        <v>新車受注分析</v>
      </c>
      <c r="I11" s="84" t="s">
        <v>117</v>
      </c>
      <c r="J11" s="85" t="s">
        <v>117</v>
      </c>
      <c r="K11" s="86" t="s">
        <v>98</v>
      </c>
      <c r="L11" s="87">
        <v>46216.0</v>
      </c>
      <c r="M11" s="88">
        <v>46234.0</v>
      </c>
      <c r="N11" s="89" t="s">
        <v>130</v>
      </c>
      <c r="O11" s="84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85"/>
      <c r="AC11" s="91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85"/>
      <c r="AQ11" s="84"/>
      <c r="AR11" s="90"/>
      <c r="AS11" s="90"/>
      <c r="AT11" s="90"/>
      <c r="AU11" s="90"/>
      <c r="AV11" s="90"/>
      <c r="AW11" s="90"/>
      <c r="AX11" s="92"/>
      <c r="AY11" s="93"/>
      <c r="AZ11" s="92"/>
      <c r="BA11" s="92"/>
      <c r="BB11" s="92"/>
      <c r="BC11" s="90"/>
      <c r="BD11" s="85"/>
      <c r="BE11" s="84"/>
      <c r="BF11" s="90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85"/>
      <c r="BS11" s="84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85"/>
      <c r="CG11" s="84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85"/>
      <c r="CU11" s="86"/>
      <c r="CV11" s="1"/>
    </row>
    <row r="12" ht="16.5" customHeight="1">
      <c r="A12" s="1" t="s">
        <v>113</v>
      </c>
      <c r="B12" s="1">
        <v>8.0</v>
      </c>
      <c r="C12" s="1" t="s">
        <v>128</v>
      </c>
      <c r="D12" s="3" t="s">
        <v>131</v>
      </c>
      <c r="E12" s="56" t="str">
        <f t="shared" si="8"/>
        <v/>
      </c>
      <c r="F12" s="137">
        <f t="shared" ref="F12:H12" si="9">IF(B12&lt;&gt;"", IF(B12=B11, "", B12), "")</f>
        <v>8</v>
      </c>
      <c r="G12" s="58" t="str">
        <f t="shared" si="9"/>
        <v/>
      </c>
      <c r="H12" s="138" t="str">
        <f t="shared" si="9"/>
        <v>中古車受注分析（マスタ画面含め）ガメンフク</v>
      </c>
      <c r="I12" s="139" t="s">
        <v>117</v>
      </c>
      <c r="J12" s="140" t="s">
        <v>117</v>
      </c>
      <c r="K12" s="141" t="s">
        <v>98</v>
      </c>
      <c r="L12" s="142">
        <v>46216.0</v>
      </c>
      <c r="M12" s="143">
        <v>46234.0</v>
      </c>
      <c r="N12" s="144" t="s">
        <v>130</v>
      </c>
      <c r="O12" s="139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  <c r="AA12" s="145"/>
      <c r="AB12" s="140"/>
      <c r="AC12" s="146"/>
      <c r="AD12" s="145"/>
      <c r="AE12" s="145"/>
      <c r="AF12" s="145"/>
      <c r="AG12" s="145"/>
      <c r="AH12" s="145"/>
      <c r="AI12" s="145"/>
      <c r="AJ12" s="145"/>
      <c r="AK12" s="145"/>
      <c r="AL12" s="145"/>
      <c r="AM12" s="145"/>
      <c r="AN12" s="145"/>
      <c r="AO12" s="145"/>
      <c r="AP12" s="140"/>
      <c r="AQ12" s="139"/>
      <c r="AR12" s="145"/>
      <c r="AS12" s="145"/>
      <c r="AT12" s="145"/>
      <c r="AU12" s="145"/>
      <c r="AV12" s="145"/>
      <c r="AW12" s="145"/>
      <c r="AX12" s="147"/>
      <c r="AY12" s="148"/>
      <c r="AZ12" s="147"/>
      <c r="BA12" s="147"/>
      <c r="BB12" s="147"/>
      <c r="BC12" s="145"/>
      <c r="BD12" s="140"/>
      <c r="BE12" s="139"/>
      <c r="BF12" s="145"/>
      <c r="BG12" s="145"/>
      <c r="BH12" s="145"/>
      <c r="BI12" s="145"/>
      <c r="BJ12" s="145"/>
      <c r="BK12" s="145"/>
      <c r="BL12" s="145"/>
      <c r="BM12" s="145"/>
      <c r="BN12" s="145"/>
      <c r="BO12" s="145"/>
      <c r="BP12" s="145"/>
      <c r="BQ12" s="145"/>
      <c r="BR12" s="140"/>
      <c r="BS12" s="139"/>
      <c r="BT12" s="145"/>
      <c r="BU12" s="145"/>
      <c r="BV12" s="145"/>
      <c r="BW12" s="145"/>
      <c r="BX12" s="145"/>
      <c r="BY12" s="145"/>
      <c r="BZ12" s="145"/>
      <c r="CA12" s="145"/>
      <c r="CB12" s="145"/>
      <c r="CC12" s="145"/>
      <c r="CD12" s="145"/>
      <c r="CE12" s="145"/>
      <c r="CF12" s="140"/>
      <c r="CG12" s="139"/>
      <c r="CH12" s="145"/>
      <c r="CI12" s="145"/>
      <c r="CJ12" s="145"/>
      <c r="CK12" s="145"/>
      <c r="CL12" s="145"/>
      <c r="CM12" s="145"/>
      <c r="CN12" s="145"/>
      <c r="CO12" s="145"/>
      <c r="CP12" s="145"/>
      <c r="CQ12" s="145"/>
      <c r="CR12" s="145"/>
      <c r="CS12" s="145"/>
      <c r="CT12" s="140"/>
      <c r="CU12" s="141"/>
      <c r="CV12" s="1"/>
    </row>
    <row r="13" ht="16.5" customHeight="1">
      <c r="A13" s="1" t="s">
        <v>113</v>
      </c>
      <c r="B13" s="1">
        <v>9.0</v>
      </c>
      <c r="C13" s="1" t="s">
        <v>128</v>
      </c>
      <c r="D13" s="3" t="s">
        <v>132</v>
      </c>
      <c r="E13" s="56" t="str">
        <f t="shared" si="8"/>
        <v/>
      </c>
      <c r="F13" s="137">
        <f t="shared" ref="F13:H13" si="10">IF(B13&lt;&gt;"", IF(B13=B12, "", B13), "")</f>
        <v>9</v>
      </c>
      <c r="G13" s="58" t="str">
        <f t="shared" si="10"/>
        <v/>
      </c>
      <c r="H13" s="138" t="str">
        <f t="shared" si="10"/>
        <v>中古車仕入・在庫情報</v>
      </c>
      <c r="I13" s="139" t="s">
        <v>117</v>
      </c>
      <c r="J13" s="140" t="s">
        <v>117</v>
      </c>
      <c r="K13" s="141" t="s">
        <v>98</v>
      </c>
      <c r="L13" s="142">
        <v>46216.0</v>
      </c>
      <c r="M13" s="143">
        <v>46234.0</v>
      </c>
      <c r="N13" s="144" t="s">
        <v>130</v>
      </c>
      <c r="O13" s="139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0"/>
      <c r="AC13" s="146"/>
      <c r="AD13" s="145"/>
      <c r="AE13" s="145"/>
      <c r="AF13" s="145"/>
      <c r="AG13" s="145"/>
      <c r="AH13" s="145"/>
      <c r="AI13" s="145"/>
      <c r="AJ13" s="145"/>
      <c r="AK13" s="145"/>
      <c r="AL13" s="145"/>
      <c r="AM13" s="145"/>
      <c r="AN13" s="145"/>
      <c r="AO13" s="145"/>
      <c r="AP13" s="140"/>
      <c r="AQ13" s="139"/>
      <c r="AR13" s="145"/>
      <c r="AS13" s="145"/>
      <c r="AT13" s="145"/>
      <c r="AU13" s="145"/>
      <c r="AV13" s="145"/>
      <c r="AW13" s="145"/>
      <c r="AX13" s="147"/>
      <c r="AY13" s="148"/>
      <c r="AZ13" s="147"/>
      <c r="BA13" s="147"/>
      <c r="BB13" s="147"/>
      <c r="BC13" s="145"/>
      <c r="BD13" s="140"/>
      <c r="BE13" s="139"/>
      <c r="BF13" s="145"/>
      <c r="BG13" s="145"/>
      <c r="BH13" s="145"/>
      <c r="BI13" s="145"/>
      <c r="BJ13" s="145"/>
      <c r="BK13" s="145"/>
      <c r="BL13" s="145"/>
      <c r="BM13" s="145"/>
      <c r="BN13" s="145"/>
      <c r="BO13" s="145"/>
      <c r="BP13" s="145"/>
      <c r="BQ13" s="145"/>
      <c r="BR13" s="140"/>
      <c r="BS13" s="139"/>
      <c r="BT13" s="145"/>
      <c r="BU13" s="145"/>
      <c r="BV13" s="145"/>
      <c r="BW13" s="145"/>
      <c r="BX13" s="145"/>
      <c r="BY13" s="145"/>
      <c r="BZ13" s="145"/>
      <c r="CA13" s="145"/>
      <c r="CB13" s="145"/>
      <c r="CC13" s="145"/>
      <c r="CD13" s="145"/>
      <c r="CE13" s="145"/>
      <c r="CF13" s="140"/>
      <c r="CG13" s="139"/>
      <c r="CH13" s="145"/>
      <c r="CI13" s="145"/>
      <c r="CJ13" s="145"/>
      <c r="CK13" s="145"/>
      <c r="CL13" s="145"/>
      <c r="CM13" s="145"/>
      <c r="CN13" s="145"/>
      <c r="CO13" s="145"/>
      <c r="CP13" s="145"/>
      <c r="CQ13" s="145"/>
      <c r="CR13" s="145"/>
      <c r="CS13" s="145"/>
      <c r="CT13" s="140"/>
      <c r="CU13" s="141"/>
      <c r="CV13" s="1"/>
    </row>
    <row r="14" ht="16.5" customHeight="1">
      <c r="A14" s="1" t="s">
        <v>113</v>
      </c>
      <c r="B14" s="1">
        <v>10.0</v>
      </c>
      <c r="C14" s="1" t="s">
        <v>128</v>
      </c>
      <c r="D14" s="3" t="s">
        <v>133</v>
      </c>
      <c r="E14" s="56" t="str">
        <f t="shared" si="8"/>
        <v/>
      </c>
      <c r="F14" s="137">
        <f t="shared" ref="F14:H14" si="11">IF(B14&lt;&gt;"", IF(B14=B13, "", B14), "")</f>
        <v>10</v>
      </c>
      <c r="G14" s="58" t="str">
        <f t="shared" si="11"/>
        <v/>
      </c>
      <c r="H14" s="138" t="str">
        <f t="shared" si="11"/>
        <v>市場処置の実施状況と部品管理見える化</v>
      </c>
      <c r="I14" s="139" t="s">
        <v>117</v>
      </c>
      <c r="J14" s="140" t="s">
        <v>117</v>
      </c>
      <c r="K14" s="141" t="s">
        <v>98</v>
      </c>
      <c r="L14" s="142">
        <v>46216.0</v>
      </c>
      <c r="M14" s="143">
        <v>46220.0</v>
      </c>
      <c r="N14" s="144" t="s">
        <v>130</v>
      </c>
      <c r="O14" s="139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  <c r="AA14" s="145"/>
      <c r="AB14" s="140"/>
      <c r="AC14" s="146"/>
      <c r="AD14" s="145"/>
      <c r="AE14" s="145"/>
      <c r="AF14" s="145"/>
      <c r="AG14" s="145"/>
      <c r="AH14" s="145"/>
      <c r="AI14" s="145"/>
      <c r="AJ14" s="145"/>
      <c r="AK14" s="145"/>
      <c r="AL14" s="145"/>
      <c r="AM14" s="145"/>
      <c r="AN14" s="145"/>
      <c r="AO14" s="145"/>
      <c r="AP14" s="140"/>
      <c r="AQ14" s="139"/>
      <c r="AR14" s="145"/>
      <c r="AS14" s="145"/>
      <c r="AT14" s="145"/>
      <c r="AU14" s="145"/>
      <c r="AV14" s="145"/>
      <c r="AW14" s="145"/>
      <c r="AX14" s="147"/>
      <c r="AY14" s="148"/>
      <c r="AZ14" s="147"/>
      <c r="BA14" s="147"/>
      <c r="BB14" s="147"/>
      <c r="BC14" s="145"/>
      <c r="BD14" s="140"/>
      <c r="BE14" s="139"/>
      <c r="BF14" s="145"/>
      <c r="BG14" s="145"/>
      <c r="BH14" s="145"/>
      <c r="BI14" s="145"/>
      <c r="BJ14" s="145"/>
      <c r="BK14" s="145"/>
      <c r="BL14" s="145"/>
      <c r="BM14" s="145"/>
      <c r="BN14" s="145"/>
      <c r="BO14" s="145"/>
      <c r="BP14" s="145"/>
      <c r="BQ14" s="145"/>
      <c r="BR14" s="140"/>
      <c r="BS14" s="139"/>
      <c r="BT14" s="145"/>
      <c r="BU14" s="145"/>
      <c r="BV14" s="145"/>
      <c r="BW14" s="145"/>
      <c r="BX14" s="145"/>
      <c r="BY14" s="145"/>
      <c r="BZ14" s="145"/>
      <c r="CA14" s="145"/>
      <c r="CB14" s="145"/>
      <c r="CC14" s="145"/>
      <c r="CD14" s="145"/>
      <c r="CE14" s="145"/>
      <c r="CF14" s="140"/>
      <c r="CG14" s="139"/>
      <c r="CH14" s="145"/>
      <c r="CI14" s="145"/>
      <c r="CJ14" s="145"/>
      <c r="CK14" s="145"/>
      <c r="CL14" s="145"/>
      <c r="CM14" s="145"/>
      <c r="CN14" s="145"/>
      <c r="CO14" s="145"/>
      <c r="CP14" s="145"/>
      <c r="CQ14" s="145"/>
      <c r="CR14" s="145"/>
      <c r="CS14" s="145"/>
      <c r="CT14" s="140"/>
      <c r="CU14" s="141"/>
      <c r="CV14" s="1"/>
    </row>
    <row r="15" ht="16.5" customHeight="1">
      <c r="A15" s="1" t="s">
        <v>113</v>
      </c>
      <c r="B15" s="1">
        <v>11.0</v>
      </c>
      <c r="C15" s="1" t="s">
        <v>128</v>
      </c>
      <c r="D15" s="3" t="s">
        <v>134</v>
      </c>
      <c r="E15" s="56" t="str">
        <f t="shared" si="8"/>
        <v/>
      </c>
      <c r="F15" s="137">
        <f t="shared" ref="F15:H15" si="12">IF(B15&lt;&gt;"", IF(B15=B14, "", B15), "")</f>
        <v>11</v>
      </c>
      <c r="G15" s="58" t="str">
        <f t="shared" si="12"/>
        <v/>
      </c>
      <c r="H15" s="138" t="str">
        <f t="shared" si="12"/>
        <v>NEO 契約№変更対応の帳票改修</v>
      </c>
      <c r="I15" s="139" t="s">
        <v>117</v>
      </c>
      <c r="J15" s="140" t="s">
        <v>117</v>
      </c>
      <c r="K15" s="141" t="s">
        <v>98</v>
      </c>
      <c r="L15" s="142">
        <v>46224.0</v>
      </c>
      <c r="M15" s="143">
        <v>46227.0</v>
      </c>
      <c r="N15" s="144" t="s">
        <v>130</v>
      </c>
      <c r="O15" s="139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  <c r="AA15" s="145"/>
      <c r="AB15" s="140"/>
      <c r="AC15" s="146"/>
      <c r="AD15" s="145"/>
      <c r="AE15" s="145"/>
      <c r="AF15" s="145"/>
      <c r="AG15" s="145"/>
      <c r="AH15" s="145"/>
      <c r="AI15" s="145"/>
      <c r="AJ15" s="145"/>
      <c r="AK15" s="145"/>
      <c r="AL15" s="145"/>
      <c r="AM15" s="145"/>
      <c r="AN15" s="145"/>
      <c r="AO15" s="145"/>
      <c r="AP15" s="140"/>
      <c r="AQ15" s="139"/>
      <c r="AR15" s="145"/>
      <c r="AS15" s="145"/>
      <c r="AT15" s="145"/>
      <c r="AU15" s="145"/>
      <c r="AV15" s="145"/>
      <c r="AW15" s="145"/>
      <c r="AX15" s="147"/>
      <c r="AY15" s="148"/>
      <c r="AZ15" s="147"/>
      <c r="BA15" s="147"/>
      <c r="BB15" s="147"/>
      <c r="BC15" s="145"/>
      <c r="BD15" s="140"/>
      <c r="BE15" s="139"/>
      <c r="BF15" s="145"/>
      <c r="BG15" s="145"/>
      <c r="BH15" s="145"/>
      <c r="BI15" s="145"/>
      <c r="BJ15" s="145"/>
      <c r="BK15" s="145"/>
      <c r="BL15" s="145"/>
      <c r="BM15" s="145"/>
      <c r="BN15" s="145"/>
      <c r="BO15" s="145"/>
      <c r="BP15" s="145"/>
      <c r="BQ15" s="145"/>
      <c r="BR15" s="140"/>
      <c r="BS15" s="139"/>
      <c r="BT15" s="145"/>
      <c r="BU15" s="145"/>
      <c r="BV15" s="145"/>
      <c r="BW15" s="145"/>
      <c r="BX15" s="145"/>
      <c r="BY15" s="145"/>
      <c r="BZ15" s="145"/>
      <c r="CA15" s="145"/>
      <c r="CB15" s="145"/>
      <c r="CC15" s="145"/>
      <c r="CD15" s="145"/>
      <c r="CE15" s="145"/>
      <c r="CF15" s="140"/>
      <c r="CG15" s="139"/>
      <c r="CH15" s="145"/>
      <c r="CI15" s="145"/>
      <c r="CJ15" s="145"/>
      <c r="CK15" s="145"/>
      <c r="CL15" s="145"/>
      <c r="CM15" s="145"/>
      <c r="CN15" s="145"/>
      <c r="CO15" s="145"/>
      <c r="CP15" s="145"/>
      <c r="CQ15" s="145"/>
      <c r="CR15" s="145"/>
      <c r="CS15" s="145"/>
      <c r="CT15" s="140"/>
      <c r="CU15" s="141"/>
      <c r="CV15" s="1"/>
    </row>
    <row r="16" ht="16.5" customHeight="1">
      <c r="A16" s="1" t="s">
        <v>113</v>
      </c>
      <c r="B16" s="1">
        <v>12.0</v>
      </c>
      <c r="C16" s="1" t="s">
        <v>128</v>
      </c>
      <c r="D16" s="3" t="s">
        <v>135</v>
      </c>
      <c r="E16" s="56" t="str">
        <f t="shared" si="8"/>
        <v/>
      </c>
      <c r="F16" s="68">
        <f t="shared" ref="F16:H16" si="13">IF(B16&lt;&gt;"", IF(B16=B15, "", B16), "")</f>
        <v>12</v>
      </c>
      <c r="G16" s="58" t="str">
        <f t="shared" si="13"/>
        <v/>
      </c>
      <c r="H16" s="69" t="str">
        <f t="shared" si="13"/>
        <v>ストール充足率の見える化</v>
      </c>
      <c r="I16" s="70" t="s">
        <v>117</v>
      </c>
      <c r="J16" s="71" t="s">
        <v>117</v>
      </c>
      <c r="K16" s="72" t="s">
        <v>98</v>
      </c>
      <c r="L16" s="73">
        <v>46230.0</v>
      </c>
      <c r="M16" s="74">
        <v>46234.0</v>
      </c>
      <c r="N16" s="75" t="s">
        <v>130</v>
      </c>
      <c r="O16" s="70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1"/>
      <c r="AC16" s="77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1"/>
      <c r="AQ16" s="70"/>
      <c r="AR16" s="76"/>
      <c r="AS16" s="76"/>
      <c r="AT16" s="76"/>
      <c r="AU16" s="76"/>
      <c r="AV16" s="76"/>
      <c r="AW16" s="76"/>
      <c r="AX16" s="78"/>
      <c r="AY16" s="79"/>
      <c r="AZ16" s="78"/>
      <c r="BA16" s="78"/>
      <c r="BB16" s="78"/>
      <c r="BC16" s="76"/>
      <c r="BD16" s="71"/>
      <c r="BE16" s="70"/>
      <c r="BF16" s="76"/>
      <c r="BG16" s="76"/>
      <c r="BH16" s="76"/>
      <c r="BI16" s="76"/>
      <c r="BJ16" s="76"/>
      <c r="BK16" s="76"/>
      <c r="BL16" s="76"/>
      <c r="BM16" s="76"/>
      <c r="BN16" s="76"/>
      <c r="BO16" s="76"/>
      <c r="BP16" s="76"/>
      <c r="BQ16" s="76"/>
      <c r="BR16" s="71"/>
      <c r="BS16" s="70"/>
      <c r="BT16" s="76"/>
      <c r="BU16" s="76"/>
      <c r="BV16" s="76"/>
      <c r="BW16" s="76"/>
      <c r="BX16" s="76"/>
      <c r="BY16" s="76"/>
      <c r="BZ16" s="76"/>
      <c r="CA16" s="76"/>
      <c r="CB16" s="76"/>
      <c r="CC16" s="76"/>
      <c r="CD16" s="76"/>
      <c r="CE16" s="76"/>
      <c r="CF16" s="71"/>
      <c r="CG16" s="70"/>
      <c r="CH16" s="76"/>
      <c r="CI16" s="76"/>
      <c r="CJ16" s="76"/>
      <c r="CK16" s="76"/>
      <c r="CL16" s="76"/>
      <c r="CM16" s="76"/>
      <c r="CN16" s="76"/>
      <c r="CO16" s="76"/>
      <c r="CP16" s="76"/>
      <c r="CQ16" s="76"/>
      <c r="CR16" s="76"/>
      <c r="CS16" s="76"/>
      <c r="CT16" s="71"/>
      <c r="CU16" s="72"/>
      <c r="CV16" s="1"/>
    </row>
    <row r="17" ht="16.5" customHeight="1">
      <c r="A17" s="1" t="s">
        <v>113</v>
      </c>
      <c r="B17" s="1" t="s">
        <v>140</v>
      </c>
      <c r="C17" s="1" t="s">
        <v>141</v>
      </c>
      <c r="D17" s="3" t="s">
        <v>142</v>
      </c>
      <c r="E17" s="56"/>
      <c r="F17" s="81" t="str">
        <f t="shared" ref="F17:H17" si="14">IF(B17&lt;&gt;"", IF(B17=B10, "", B17), "")</f>
        <v>A</v>
      </c>
      <c r="G17" s="82" t="str">
        <f t="shared" si="14"/>
        <v>事前準備</v>
      </c>
      <c r="H17" s="83" t="str">
        <f t="shared" si="14"/>
        <v>Dataviz構成図整理</v>
      </c>
      <c r="I17" s="84" t="s">
        <v>143</v>
      </c>
      <c r="J17" s="85" t="s">
        <v>144</v>
      </c>
      <c r="K17" s="159" t="s">
        <v>145</v>
      </c>
      <c r="L17" s="87">
        <v>46212.0</v>
      </c>
      <c r="M17" s="88">
        <v>46213.0</v>
      </c>
      <c r="N17" s="89" t="s">
        <v>118</v>
      </c>
      <c r="O17" s="84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  <c r="AB17" s="85"/>
      <c r="AC17" s="91"/>
      <c r="AD17" s="90"/>
      <c r="AE17" s="90"/>
      <c r="AF17" s="90"/>
      <c r="AG17" s="90"/>
      <c r="AH17" s="90"/>
      <c r="AI17" s="90"/>
      <c r="AJ17" s="90"/>
      <c r="AK17" s="90"/>
      <c r="AL17" s="90"/>
      <c r="AM17" s="90"/>
      <c r="AN17" s="90"/>
      <c r="AO17" s="90"/>
      <c r="AP17" s="85"/>
      <c r="AQ17" s="84"/>
      <c r="AR17" s="90"/>
      <c r="AS17" s="90"/>
      <c r="AT17" s="90"/>
      <c r="AU17" s="90"/>
      <c r="AV17" s="90"/>
      <c r="AW17" s="90"/>
      <c r="AX17" s="92"/>
      <c r="AY17" s="93"/>
      <c r="AZ17" s="92"/>
      <c r="BA17" s="92"/>
      <c r="BB17" s="92"/>
      <c r="BC17" s="90"/>
      <c r="BD17" s="85"/>
      <c r="BE17" s="84"/>
      <c r="BF17" s="90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85"/>
      <c r="BS17" s="84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85"/>
      <c r="CG17" s="84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85"/>
      <c r="CU17" s="86"/>
      <c r="CV17" s="1"/>
    </row>
    <row r="18" ht="16.5" customHeight="1">
      <c r="A18" s="1" t="s">
        <v>113</v>
      </c>
      <c r="B18" s="1" t="s">
        <v>146</v>
      </c>
      <c r="C18" s="1" t="s">
        <v>141</v>
      </c>
      <c r="D18" s="3" t="s">
        <v>147</v>
      </c>
      <c r="E18" s="56"/>
      <c r="F18" s="68" t="str">
        <f>IF(B18&lt;&gt;"", IF(B18=B11, "", B18), "")</f>
        <v>B</v>
      </c>
      <c r="G18" s="58"/>
      <c r="H18" s="69" t="str">
        <f>IF(D18&lt;&gt;"", IF(D18=D11, "", D18), "")</f>
        <v>WBS作成</v>
      </c>
      <c r="I18" s="97" t="s">
        <v>143</v>
      </c>
      <c r="J18" s="98" t="s">
        <v>148</v>
      </c>
      <c r="K18" s="161" t="s">
        <v>149</v>
      </c>
      <c r="L18" s="100">
        <v>46212.0</v>
      </c>
      <c r="M18" s="101">
        <v>46213.0</v>
      </c>
      <c r="N18" s="144" t="s">
        <v>118</v>
      </c>
      <c r="O18" s="97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98"/>
      <c r="AC18" s="104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3"/>
      <c r="AO18" s="103"/>
      <c r="AP18" s="98"/>
      <c r="AQ18" s="97"/>
      <c r="AR18" s="103"/>
      <c r="AS18" s="103"/>
      <c r="AT18" s="103"/>
      <c r="AU18" s="103"/>
      <c r="AV18" s="103"/>
      <c r="AW18" s="103"/>
      <c r="AX18" s="105"/>
      <c r="AY18" s="106"/>
      <c r="AZ18" s="105"/>
      <c r="BA18" s="105"/>
      <c r="BB18" s="105"/>
      <c r="BC18" s="103"/>
      <c r="BD18" s="98"/>
      <c r="BE18" s="97"/>
      <c r="BF18" s="103"/>
      <c r="BG18" s="103"/>
      <c r="BH18" s="103"/>
      <c r="BI18" s="103"/>
      <c r="BJ18" s="103"/>
      <c r="BK18" s="103"/>
      <c r="BL18" s="103"/>
      <c r="BM18" s="103"/>
      <c r="BN18" s="103"/>
      <c r="BO18" s="103"/>
      <c r="BP18" s="103"/>
      <c r="BQ18" s="103"/>
      <c r="BR18" s="98"/>
      <c r="BS18" s="97"/>
      <c r="BT18" s="103"/>
      <c r="BU18" s="103"/>
      <c r="BV18" s="103"/>
      <c r="BW18" s="103"/>
      <c r="BX18" s="103"/>
      <c r="BY18" s="103"/>
      <c r="BZ18" s="103"/>
      <c r="CA18" s="103"/>
      <c r="CB18" s="103"/>
      <c r="CC18" s="103"/>
      <c r="CD18" s="103"/>
      <c r="CE18" s="103"/>
      <c r="CF18" s="98"/>
      <c r="CG18" s="97"/>
      <c r="CH18" s="103"/>
      <c r="CI18" s="103"/>
      <c r="CJ18" s="103"/>
      <c r="CK18" s="103"/>
      <c r="CL18" s="103"/>
      <c r="CM18" s="103"/>
      <c r="CN18" s="103"/>
      <c r="CO18" s="103"/>
      <c r="CP18" s="103"/>
      <c r="CQ18" s="103"/>
      <c r="CR18" s="103"/>
      <c r="CS18" s="103"/>
      <c r="CT18" s="98"/>
      <c r="CU18" s="99"/>
      <c r="CV18" s="1"/>
    </row>
    <row r="19" ht="16.5" customHeight="1">
      <c r="A19" s="1" t="s">
        <v>113</v>
      </c>
      <c r="B19" s="1">
        <v>13.0</v>
      </c>
      <c r="C19" s="1" t="s">
        <v>150</v>
      </c>
      <c r="D19" s="3" t="s">
        <v>151</v>
      </c>
      <c r="E19" s="56" t="str">
        <f t="shared" ref="E19:H19" si="15">IF(A19&lt;&gt;"", IF(A19=A16, "", A19), "")</f>
        <v/>
      </c>
      <c r="F19" s="81">
        <f t="shared" si="15"/>
        <v>13</v>
      </c>
      <c r="G19" s="82" t="str">
        <f t="shared" si="15"/>
        <v>権限設計</v>
      </c>
      <c r="H19" s="83" t="str">
        <f t="shared" si="15"/>
        <v>各販社のユーザー情報収集</v>
      </c>
      <c r="I19" s="84" t="s">
        <v>117</v>
      </c>
      <c r="J19" s="85" t="s">
        <v>117</v>
      </c>
      <c r="K19" s="62" t="s">
        <v>98</v>
      </c>
      <c r="L19" s="87">
        <v>46216.0</v>
      </c>
      <c r="M19" s="88">
        <v>46220.0</v>
      </c>
      <c r="N19" s="89" t="s">
        <v>130</v>
      </c>
      <c r="O19" s="84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85"/>
      <c r="AC19" s="91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85"/>
      <c r="AQ19" s="84"/>
      <c r="AR19" s="90"/>
      <c r="AS19" s="90"/>
      <c r="AT19" s="90"/>
      <c r="AU19" s="90"/>
      <c r="AV19" s="90"/>
      <c r="AW19" s="90"/>
      <c r="AX19" s="92"/>
      <c r="AY19" s="93"/>
      <c r="AZ19" s="92"/>
      <c r="BA19" s="92"/>
      <c r="BB19" s="92"/>
      <c r="BC19" s="90"/>
      <c r="BD19" s="85"/>
      <c r="BE19" s="84"/>
      <c r="BF19" s="90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85"/>
      <c r="BS19" s="84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85"/>
      <c r="CG19" s="84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85"/>
      <c r="CU19" s="86"/>
      <c r="CV19" s="1"/>
    </row>
    <row r="20" ht="16.5" customHeight="1">
      <c r="A20" s="1" t="s">
        <v>113</v>
      </c>
      <c r="B20" s="1">
        <v>14.0</v>
      </c>
      <c r="C20" s="1" t="s">
        <v>150</v>
      </c>
      <c r="D20" s="3" t="s">
        <v>152</v>
      </c>
      <c r="E20" s="56" t="str">
        <f t="shared" ref="E20:H20" si="16">IF(A20&lt;&gt;"", IF(A20=A19, "", A20), "")</f>
        <v/>
      </c>
      <c r="F20" s="137">
        <f t="shared" si="16"/>
        <v>14</v>
      </c>
      <c r="G20" s="58" t="str">
        <f t="shared" si="16"/>
        <v/>
      </c>
      <c r="H20" s="138" t="str">
        <f t="shared" si="16"/>
        <v>Ranger権限設定のデモのスクリプト作成とインフラチームへの説明セツメイ</v>
      </c>
      <c r="I20" s="139" t="s">
        <v>117</v>
      </c>
      <c r="J20" s="140" t="s">
        <v>117</v>
      </c>
      <c r="K20" s="141" t="s">
        <v>98</v>
      </c>
      <c r="L20" s="142">
        <v>46224.0</v>
      </c>
      <c r="M20" s="143">
        <v>46227.0</v>
      </c>
      <c r="N20" s="144" t="s">
        <v>130</v>
      </c>
      <c r="O20" s="139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  <c r="AA20" s="145"/>
      <c r="AB20" s="140"/>
      <c r="AC20" s="146"/>
      <c r="AD20" s="145"/>
      <c r="AE20" s="145"/>
      <c r="AF20" s="145"/>
      <c r="AG20" s="145"/>
      <c r="AH20" s="145"/>
      <c r="AI20" s="145"/>
      <c r="AJ20" s="145"/>
      <c r="AK20" s="145"/>
      <c r="AL20" s="145"/>
      <c r="AM20" s="145"/>
      <c r="AN20" s="145"/>
      <c r="AO20" s="145"/>
      <c r="AP20" s="140"/>
      <c r="AQ20" s="139"/>
      <c r="AR20" s="145"/>
      <c r="AS20" s="145"/>
      <c r="AT20" s="145"/>
      <c r="AU20" s="145"/>
      <c r="AV20" s="145"/>
      <c r="AW20" s="145"/>
      <c r="AX20" s="147"/>
      <c r="AY20" s="148"/>
      <c r="AZ20" s="147"/>
      <c r="BA20" s="147"/>
      <c r="BB20" s="147"/>
      <c r="BC20" s="145"/>
      <c r="BD20" s="140"/>
      <c r="BE20" s="139"/>
      <c r="BF20" s="145"/>
      <c r="BG20" s="145"/>
      <c r="BH20" s="145"/>
      <c r="BI20" s="145"/>
      <c r="BJ20" s="145"/>
      <c r="BK20" s="145"/>
      <c r="BL20" s="145"/>
      <c r="BM20" s="145"/>
      <c r="BN20" s="145"/>
      <c r="BO20" s="145"/>
      <c r="BP20" s="145"/>
      <c r="BQ20" s="145"/>
      <c r="BR20" s="140"/>
      <c r="BS20" s="139"/>
      <c r="BT20" s="145"/>
      <c r="BU20" s="145"/>
      <c r="BV20" s="145"/>
      <c r="BW20" s="145"/>
      <c r="BX20" s="145"/>
      <c r="BY20" s="145"/>
      <c r="BZ20" s="145"/>
      <c r="CA20" s="145"/>
      <c r="CB20" s="145"/>
      <c r="CC20" s="145"/>
      <c r="CD20" s="145"/>
      <c r="CE20" s="145"/>
      <c r="CF20" s="140"/>
      <c r="CG20" s="139"/>
      <c r="CH20" s="145"/>
      <c r="CI20" s="145"/>
      <c r="CJ20" s="145"/>
      <c r="CK20" s="145"/>
      <c r="CL20" s="145"/>
      <c r="CM20" s="145"/>
      <c r="CN20" s="145"/>
      <c r="CO20" s="145"/>
      <c r="CP20" s="145"/>
      <c r="CQ20" s="145"/>
      <c r="CR20" s="145"/>
      <c r="CS20" s="145"/>
      <c r="CT20" s="140"/>
      <c r="CU20" s="141"/>
      <c r="CV20" s="1"/>
    </row>
    <row r="21" ht="16.5" customHeight="1">
      <c r="A21" s="1" t="s">
        <v>113</v>
      </c>
      <c r="B21" s="1" t="s">
        <v>153</v>
      </c>
      <c r="C21" s="1" t="s">
        <v>150</v>
      </c>
      <c r="D21" s="3" t="s">
        <v>154</v>
      </c>
      <c r="E21" s="56"/>
      <c r="F21" s="137" t="str">
        <f t="shared" ref="F21:H21" si="17">IF(B21&lt;&gt;"", IF(B21=B20, "", B21), "")</f>
        <v>C</v>
      </c>
      <c r="G21" s="58" t="str">
        <f t="shared" si="17"/>
        <v/>
      </c>
      <c r="H21" s="138" t="str">
        <f t="shared" si="17"/>
        <v>Ranger権限設定のレビュー（Clouderaに連携）</v>
      </c>
      <c r="I21" s="162" t="s">
        <v>143</v>
      </c>
      <c r="J21" s="163"/>
      <c r="K21" s="141"/>
      <c r="L21" s="142">
        <v>46212.0</v>
      </c>
      <c r="M21" s="143">
        <v>46218.0</v>
      </c>
      <c r="N21" s="144" t="s">
        <v>130</v>
      </c>
      <c r="O21" s="139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0"/>
      <c r="AC21" s="146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0"/>
      <c r="AQ21" s="139"/>
      <c r="AR21" s="145"/>
      <c r="AS21" s="145"/>
      <c r="AT21" s="145"/>
      <c r="AU21" s="145"/>
      <c r="AV21" s="145"/>
      <c r="AW21" s="145"/>
      <c r="AX21" s="147"/>
      <c r="AY21" s="148"/>
      <c r="AZ21" s="147"/>
      <c r="BA21" s="147"/>
      <c r="BB21" s="147"/>
      <c r="BC21" s="145"/>
      <c r="BD21" s="140"/>
      <c r="BE21" s="139"/>
      <c r="BF21" s="145"/>
      <c r="BG21" s="145"/>
      <c r="BH21" s="145"/>
      <c r="BI21" s="145"/>
      <c r="BJ21" s="145"/>
      <c r="BK21" s="145"/>
      <c r="BL21" s="145"/>
      <c r="BM21" s="145"/>
      <c r="BN21" s="145"/>
      <c r="BO21" s="145"/>
      <c r="BP21" s="145"/>
      <c r="BQ21" s="145"/>
      <c r="BR21" s="140"/>
      <c r="BS21" s="139"/>
      <c r="BT21" s="145"/>
      <c r="BU21" s="145"/>
      <c r="BV21" s="145"/>
      <c r="BW21" s="145"/>
      <c r="BX21" s="145"/>
      <c r="BY21" s="145"/>
      <c r="BZ21" s="145"/>
      <c r="CA21" s="145"/>
      <c r="CB21" s="145"/>
      <c r="CC21" s="145"/>
      <c r="CD21" s="145"/>
      <c r="CE21" s="145"/>
      <c r="CF21" s="140"/>
      <c r="CG21" s="139"/>
      <c r="CH21" s="145"/>
      <c r="CI21" s="145"/>
      <c r="CJ21" s="145"/>
      <c r="CK21" s="145"/>
      <c r="CL21" s="145"/>
      <c r="CM21" s="145"/>
      <c r="CN21" s="145"/>
      <c r="CO21" s="145"/>
      <c r="CP21" s="145"/>
      <c r="CQ21" s="145"/>
      <c r="CR21" s="145"/>
      <c r="CS21" s="145"/>
      <c r="CT21" s="140"/>
      <c r="CU21" s="141"/>
      <c r="CV21" s="1"/>
    </row>
    <row r="22" ht="16.5" customHeight="1">
      <c r="A22" s="1" t="s">
        <v>113</v>
      </c>
      <c r="B22" s="1">
        <v>15.0</v>
      </c>
      <c r="C22" s="1" t="s">
        <v>150</v>
      </c>
      <c r="D22" s="3" t="s">
        <v>155</v>
      </c>
      <c r="E22" s="56" t="str">
        <f>IF(A22&lt;&gt;"", IF(A22=A20, "", A22), "")</f>
        <v/>
      </c>
      <c r="F22" s="137">
        <f t="shared" ref="F22:H22" si="18">IF(B22&lt;&gt;"", IF(B22=B21, "", B22), "")</f>
        <v>15</v>
      </c>
      <c r="G22" s="58" t="str">
        <f t="shared" si="18"/>
        <v/>
      </c>
      <c r="H22" s="138" t="str">
        <f t="shared" si="18"/>
        <v>各販社ユーザー向けRangeロール作成（検証環境）ケンショウカンキョウ</v>
      </c>
      <c r="I22" s="162" t="s">
        <v>143</v>
      </c>
      <c r="J22" s="140"/>
      <c r="K22" s="141"/>
      <c r="L22" s="142">
        <v>46230.0</v>
      </c>
      <c r="M22" s="143">
        <v>46234.0</v>
      </c>
      <c r="N22" s="144" t="s">
        <v>130</v>
      </c>
      <c r="O22" s="139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0"/>
      <c r="AC22" s="146"/>
      <c r="AD22" s="14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0"/>
      <c r="AQ22" s="139"/>
      <c r="AR22" s="145"/>
      <c r="AS22" s="145"/>
      <c r="AT22" s="145"/>
      <c r="AU22" s="145"/>
      <c r="AV22" s="145"/>
      <c r="AW22" s="145"/>
      <c r="AX22" s="147"/>
      <c r="AY22" s="148"/>
      <c r="AZ22" s="147"/>
      <c r="BA22" s="147"/>
      <c r="BB22" s="147"/>
      <c r="BC22" s="145"/>
      <c r="BD22" s="140"/>
      <c r="BE22" s="139"/>
      <c r="BF22" s="145"/>
      <c r="BG22" s="145"/>
      <c r="BH22" s="145"/>
      <c r="BI22" s="145"/>
      <c r="BJ22" s="145"/>
      <c r="BK22" s="145"/>
      <c r="BL22" s="145"/>
      <c r="BM22" s="145"/>
      <c r="BN22" s="145"/>
      <c r="BO22" s="145"/>
      <c r="BP22" s="145"/>
      <c r="BQ22" s="145"/>
      <c r="BR22" s="140"/>
      <c r="BS22" s="139"/>
      <c r="BT22" s="145"/>
      <c r="BU22" s="145"/>
      <c r="BV22" s="145"/>
      <c r="BW22" s="145"/>
      <c r="BX22" s="145"/>
      <c r="BY22" s="145"/>
      <c r="BZ22" s="145"/>
      <c r="CA22" s="145"/>
      <c r="CB22" s="145"/>
      <c r="CC22" s="145"/>
      <c r="CD22" s="145"/>
      <c r="CE22" s="145"/>
      <c r="CF22" s="140"/>
      <c r="CG22" s="139"/>
      <c r="CH22" s="145"/>
      <c r="CI22" s="145"/>
      <c r="CJ22" s="145"/>
      <c r="CK22" s="145"/>
      <c r="CL22" s="145"/>
      <c r="CM22" s="145"/>
      <c r="CN22" s="145"/>
      <c r="CO22" s="145"/>
      <c r="CP22" s="145"/>
      <c r="CQ22" s="145"/>
      <c r="CR22" s="145"/>
      <c r="CS22" s="145"/>
      <c r="CT22" s="140"/>
      <c r="CU22" s="141"/>
      <c r="CV22" s="1"/>
    </row>
    <row r="23" ht="16.5" customHeight="1">
      <c r="A23" s="1" t="s">
        <v>113</v>
      </c>
      <c r="B23" s="1">
        <v>16.0</v>
      </c>
      <c r="C23" s="1" t="s">
        <v>150</v>
      </c>
      <c r="D23" s="3" t="s">
        <v>156</v>
      </c>
      <c r="E23" s="56" t="str">
        <f t="shared" ref="E23:H23" si="19">IF(A23&lt;&gt;"", IF(A23=A22, "", A23), "")</f>
        <v/>
      </c>
      <c r="F23" s="137">
        <f t="shared" si="19"/>
        <v>16</v>
      </c>
      <c r="G23" s="58" t="str">
        <f t="shared" si="19"/>
        <v/>
      </c>
      <c r="H23" s="138" t="str">
        <f t="shared" si="19"/>
        <v>各販社ユーザー向けユーザ権限付与（検証環境）ケンゲンフヨ</v>
      </c>
      <c r="I23" s="162" t="s">
        <v>143</v>
      </c>
      <c r="J23" s="140"/>
      <c r="K23" s="141"/>
      <c r="L23" s="142">
        <v>46230.0</v>
      </c>
      <c r="M23" s="143">
        <v>46234.0</v>
      </c>
      <c r="N23" s="144" t="s">
        <v>130</v>
      </c>
      <c r="O23" s="139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  <c r="AA23" s="145"/>
      <c r="AB23" s="140"/>
      <c r="AC23" s="146"/>
      <c r="AD23" s="145"/>
      <c r="AE23" s="145"/>
      <c r="AF23" s="145"/>
      <c r="AG23" s="145"/>
      <c r="AH23" s="145"/>
      <c r="AI23" s="145"/>
      <c r="AJ23" s="145"/>
      <c r="AK23" s="145"/>
      <c r="AL23" s="145"/>
      <c r="AM23" s="145"/>
      <c r="AN23" s="145"/>
      <c r="AO23" s="145"/>
      <c r="AP23" s="140"/>
      <c r="AQ23" s="139"/>
      <c r="AR23" s="145"/>
      <c r="AS23" s="145"/>
      <c r="AT23" s="145"/>
      <c r="AU23" s="145"/>
      <c r="AV23" s="145"/>
      <c r="AW23" s="145"/>
      <c r="AX23" s="147"/>
      <c r="AY23" s="148"/>
      <c r="AZ23" s="147"/>
      <c r="BA23" s="147"/>
      <c r="BB23" s="147"/>
      <c r="BC23" s="145"/>
      <c r="BD23" s="140"/>
      <c r="BE23" s="139"/>
      <c r="BF23" s="145"/>
      <c r="BG23" s="145"/>
      <c r="BH23" s="145"/>
      <c r="BI23" s="145"/>
      <c r="BJ23" s="145"/>
      <c r="BK23" s="145"/>
      <c r="BL23" s="145"/>
      <c r="BM23" s="145"/>
      <c r="BN23" s="145"/>
      <c r="BO23" s="145"/>
      <c r="BP23" s="145"/>
      <c r="BQ23" s="145"/>
      <c r="BR23" s="140"/>
      <c r="BS23" s="139"/>
      <c r="BT23" s="145"/>
      <c r="BU23" s="145"/>
      <c r="BV23" s="145"/>
      <c r="BW23" s="145"/>
      <c r="BX23" s="145"/>
      <c r="BY23" s="145"/>
      <c r="BZ23" s="145"/>
      <c r="CA23" s="145"/>
      <c r="CB23" s="145"/>
      <c r="CC23" s="145"/>
      <c r="CD23" s="145"/>
      <c r="CE23" s="145"/>
      <c r="CF23" s="140"/>
      <c r="CG23" s="139"/>
      <c r="CH23" s="145"/>
      <c r="CI23" s="145"/>
      <c r="CJ23" s="145"/>
      <c r="CK23" s="145"/>
      <c r="CL23" s="145"/>
      <c r="CM23" s="145"/>
      <c r="CN23" s="145"/>
      <c r="CO23" s="145"/>
      <c r="CP23" s="145"/>
      <c r="CQ23" s="145"/>
      <c r="CR23" s="145"/>
      <c r="CS23" s="145"/>
      <c r="CT23" s="140"/>
      <c r="CU23" s="141"/>
      <c r="CV23" s="1"/>
    </row>
    <row r="24" ht="16.5" customHeight="1">
      <c r="A24" s="1" t="s">
        <v>113</v>
      </c>
      <c r="B24" s="1">
        <v>17.0</v>
      </c>
      <c r="C24" s="1" t="s">
        <v>150</v>
      </c>
      <c r="D24" s="3" t="s">
        <v>160</v>
      </c>
      <c r="E24" s="56" t="str">
        <f t="shared" ref="E24:H24" si="20">IF(A24&lt;&gt;"", IF(A24=A23, "", A24), "")</f>
        <v/>
      </c>
      <c r="F24" s="137">
        <f t="shared" si="20"/>
        <v>17</v>
      </c>
      <c r="G24" s="58" t="str">
        <f t="shared" si="20"/>
        <v/>
      </c>
      <c r="H24" s="138" t="str">
        <f t="shared" si="20"/>
        <v>Dataviz関連ユーザ権限設計レビュー（設計は６月にやった）カンレンケンゲンセッケイセッケイガツ</v>
      </c>
      <c r="I24" s="162" t="s">
        <v>117</v>
      </c>
      <c r="J24" s="140" t="s">
        <v>117</v>
      </c>
      <c r="K24" s="141" t="s">
        <v>98</v>
      </c>
      <c r="L24" s="142">
        <v>46209.0</v>
      </c>
      <c r="M24" s="143">
        <v>46220.0</v>
      </c>
      <c r="N24" s="144" t="s">
        <v>130</v>
      </c>
      <c r="O24" s="139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0"/>
      <c r="AC24" s="146"/>
      <c r="AD24" s="145"/>
      <c r="AE24" s="145"/>
      <c r="AF24" s="145"/>
      <c r="AG24" s="145"/>
      <c r="AH24" s="145"/>
      <c r="AI24" s="145"/>
      <c r="AJ24" s="145"/>
      <c r="AK24" s="145"/>
      <c r="AL24" s="145"/>
      <c r="AM24" s="145"/>
      <c r="AN24" s="145"/>
      <c r="AO24" s="145"/>
      <c r="AP24" s="140"/>
      <c r="AQ24" s="139"/>
      <c r="AR24" s="145"/>
      <c r="AS24" s="145"/>
      <c r="AT24" s="145"/>
      <c r="AU24" s="145"/>
      <c r="AV24" s="145"/>
      <c r="AW24" s="145"/>
      <c r="AX24" s="147"/>
      <c r="AY24" s="148"/>
      <c r="AZ24" s="147"/>
      <c r="BA24" s="147"/>
      <c r="BB24" s="147"/>
      <c r="BC24" s="145"/>
      <c r="BD24" s="140"/>
      <c r="BE24" s="139"/>
      <c r="BF24" s="145"/>
      <c r="BG24" s="145"/>
      <c r="BH24" s="145"/>
      <c r="BI24" s="145"/>
      <c r="BJ24" s="145"/>
      <c r="BK24" s="145"/>
      <c r="BL24" s="145"/>
      <c r="BM24" s="145"/>
      <c r="BN24" s="145"/>
      <c r="BO24" s="145"/>
      <c r="BP24" s="145"/>
      <c r="BQ24" s="145"/>
      <c r="BR24" s="140"/>
      <c r="BS24" s="139"/>
      <c r="BT24" s="145"/>
      <c r="BU24" s="145"/>
      <c r="BV24" s="145"/>
      <c r="BW24" s="145"/>
      <c r="BX24" s="145"/>
      <c r="BY24" s="145"/>
      <c r="BZ24" s="145"/>
      <c r="CA24" s="145"/>
      <c r="CB24" s="145"/>
      <c r="CC24" s="145"/>
      <c r="CD24" s="145"/>
      <c r="CE24" s="145"/>
      <c r="CF24" s="140"/>
      <c r="CG24" s="139"/>
      <c r="CH24" s="145"/>
      <c r="CI24" s="145"/>
      <c r="CJ24" s="145"/>
      <c r="CK24" s="145"/>
      <c r="CL24" s="145"/>
      <c r="CM24" s="145"/>
      <c r="CN24" s="145"/>
      <c r="CO24" s="145"/>
      <c r="CP24" s="145"/>
      <c r="CQ24" s="145"/>
      <c r="CR24" s="145"/>
      <c r="CS24" s="145"/>
      <c r="CT24" s="140"/>
      <c r="CU24" s="141"/>
      <c r="CV24" s="1"/>
    </row>
    <row r="25" ht="16.5" customHeight="1">
      <c r="A25" s="1" t="s">
        <v>113</v>
      </c>
      <c r="B25" s="1">
        <v>18.0</v>
      </c>
      <c r="C25" s="1" t="s">
        <v>150</v>
      </c>
      <c r="D25" s="3" t="s">
        <v>161</v>
      </c>
      <c r="E25" s="56" t="str">
        <f t="shared" ref="E25:H25" si="21">IF(A25&lt;&gt;"", IF(A25=A24, "", A25), "")</f>
        <v/>
      </c>
      <c r="F25" s="94">
        <f t="shared" si="21"/>
        <v>18</v>
      </c>
      <c r="G25" s="95" t="str">
        <f t="shared" si="21"/>
        <v/>
      </c>
      <c r="H25" s="96" t="str">
        <f t="shared" si="21"/>
        <v>Dataviz関連ユーザ権限設計検証カンレンケンゲンセッケイケンショウ</v>
      </c>
      <c r="I25" s="166" t="s">
        <v>117</v>
      </c>
      <c r="J25" s="98" t="s">
        <v>117</v>
      </c>
      <c r="K25" s="99" t="s">
        <v>98</v>
      </c>
      <c r="L25" s="100">
        <v>46230.0</v>
      </c>
      <c r="M25" s="101">
        <v>46255.0</v>
      </c>
      <c r="N25" s="102" t="s">
        <v>130</v>
      </c>
      <c r="O25" s="97"/>
      <c r="P25" s="103"/>
      <c r="Q25" s="103"/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98"/>
      <c r="AC25" s="104"/>
      <c r="AD25" s="103"/>
      <c r="AE25" s="103"/>
      <c r="AF25" s="103"/>
      <c r="AG25" s="103"/>
      <c r="AH25" s="103"/>
      <c r="AI25" s="103"/>
      <c r="AJ25" s="103"/>
      <c r="AK25" s="103"/>
      <c r="AL25" s="103"/>
      <c r="AM25" s="103"/>
      <c r="AN25" s="103"/>
      <c r="AO25" s="103"/>
      <c r="AP25" s="98"/>
      <c r="AQ25" s="97"/>
      <c r="AR25" s="103"/>
      <c r="AS25" s="103"/>
      <c r="AT25" s="103"/>
      <c r="AU25" s="103"/>
      <c r="AV25" s="103"/>
      <c r="AW25" s="103"/>
      <c r="AX25" s="105"/>
      <c r="AY25" s="106"/>
      <c r="AZ25" s="105"/>
      <c r="BA25" s="105"/>
      <c r="BB25" s="105"/>
      <c r="BC25" s="103"/>
      <c r="BD25" s="98"/>
      <c r="BE25" s="97"/>
      <c r="BF25" s="103"/>
      <c r="BG25" s="103"/>
      <c r="BH25" s="103"/>
      <c r="BI25" s="103"/>
      <c r="BJ25" s="103"/>
      <c r="BK25" s="103"/>
      <c r="BL25" s="103"/>
      <c r="BM25" s="103"/>
      <c r="BN25" s="103"/>
      <c r="BO25" s="103"/>
      <c r="BP25" s="103"/>
      <c r="BQ25" s="103"/>
      <c r="BR25" s="98"/>
      <c r="BS25" s="97"/>
      <c r="BT25" s="103"/>
      <c r="BU25" s="103"/>
      <c r="BV25" s="103"/>
      <c r="BW25" s="103"/>
      <c r="BX25" s="103"/>
      <c r="BY25" s="103"/>
      <c r="BZ25" s="103"/>
      <c r="CA25" s="103"/>
      <c r="CB25" s="103"/>
      <c r="CC25" s="103"/>
      <c r="CD25" s="103"/>
      <c r="CE25" s="103"/>
      <c r="CF25" s="98"/>
      <c r="CG25" s="97"/>
      <c r="CH25" s="103"/>
      <c r="CI25" s="103"/>
      <c r="CJ25" s="103"/>
      <c r="CK25" s="103"/>
      <c r="CL25" s="103"/>
      <c r="CM25" s="103"/>
      <c r="CN25" s="103"/>
      <c r="CO25" s="103"/>
      <c r="CP25" s="103"/>
      <c r="CQ25" s="103"/>
      <c r="CR25" s="103"/>
      <c r="CS25" s="103"/>
      <c r="CT25" s="98"/>
      <c r="CU25" s="99"/>
      <c r="CV25" s="1"/>
    </row>
    <row r="26" ht="16.5" customHeight="1">
      <c r="A26" s="1" t="s">
        <v>113</v>
      </c>
      <c r="B26" s="1" t="s">
        <v>162</v>
      </c>
      <c r="C26" s="1" t="s">
        <v>163</v>
      </c>
      <c r="D26" s="3" t="s">
        <v>164</v>
      </c>
      <c r="E26" s="56"/>
      <c r="F26" s="57" t="str">
        <f t="shared" ref="F26:H26" si="22">IF(B26&lt;&gt;"", IF(B26=B25, "", B26), "")</f>
        <v>D</v>
      </c>
      <c r="G26" s="58" t="str">
        <f t="shared" si="22"/>
        <v>認証方式変更</v>
      </c>
      <c r="H26" s="59" t="str">
        <f t="shared" si="22"/>
        <v>GAC申請</v>
      </c>
      <c r="I26" s="173" t="s">
        <v>143</v>
      </c>
      <c r="J26" s="174"/>
      <c r="K26" s="62"/>
      <c r="L26" s="24">
        <v>46212.0</v>
      </c>
      <c r="M26" s="27">
        <v>46218.0</v>
      </c>
      <c r="N26" s="63" t="s">
        <v>130</v>
      </c>
      <c r="O26" s="60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1"/>
      <c r="AC26" s="65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1"/>
      <c r="AQ26" s="60"/>
      <c r="AR26" s="64"/>
      <c r="AS26" s="64"/>
      <c r="AT26" s="64"/>
      <c r="AU26" s="64"/>
      <c r="AV26" s="64"/>
      <c r="AW26" s="64"/>
      <c r="AX26" s="66"/>
      <c r="AY26" s="67"/>
      <c r="AZ26" s="66"/>
      <c r="BA26" s="66"/>
      <c r="BB26" s="66"/>
      <c r="BC26" s="64"/>
      <c r="BD26" s="61"/>
      <c r="BE26" s="60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1"/>
      <c r="BS26" s="60"/>
      <c r="BT26" s="64"/>
      <c r="BU26" s="64"/>
      <c r="BV26" s="64"/>
      <c r="BW26" s="64"/>
      <c r="BX26" s="64"/>
      <c r="BY26" s="64"/>
      <c r="BZ26" s="64"/>
      <c r="CA26" s="64"/>
      <c r="CB26" s="64"/>
      <c r="CC26" s="64"/>
      <c r="CD26" s="64"/>
      <c r="CE26" s="64"/>
      <c r="CF26" s="61"/>
      <c r="CG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1"/>
      <c r="CU26" s="62"/>
      <c r="CV26" s="1"/>
    </row>
    <row r="27" ht="16.5" customHeight="1">
      <c r="A27" s="1" t="s">
        <v>113</v>
      </c>
      <c r="B27" s="1">
        <v>19.0</v>
      </c>
      <c r="C27" s="1" t="s">
        <v>163</v>
      </c>
      <c r="D27" s="3" t="s">
        <v>165</v>
      </c>
      <c r="E27" s="56" t="str">
        <f>IF(A27&lt;&gt;"", IF(A27=A25, "", A27), "")</f>
        <v/>
      </c>
      <c r="F27" s="137">
        <f t="shared" ref="F27:H27" si="23">IF(B27&lt;&gt;"", IF(B27=B26, "", B27), "")</f>
        <v>19</v>
      </c>
      <c r="G27" s="58" t="str">
        <f t="shared" si="23"/>
        <v/>
      </c>
      <c r="H27" s="138" t="str">
        <f t="shared" si="23"/>
        <v>ATSC／GAC CDP導入（検証環境）
※望ましいのは7月末前に完了、できない場合、8/7前に完了必須</v>
      </c>
      <c r="I27" s="139" t="s">
        <v>143</v>
      </c>
      <c r="J27" s="140"/>
      <c r="K27" s="141"/>
      <c r="L27" s="142">
        <v>46209.0</v>
      </c>
      <c r="M27" s="143">
        <v>46234.0</v>
      </c>
      <c r="N27" s="144" t="s">
        <v>130</v>
      </c>
      <c r="O27" s="139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  <c r="AA27" s="145"/>
      <c r="AB27" s="140"/>
      <c r="AC27" s="146"/>
      <c r="AD27" s="145"/>
      <c r="AE27" s="145"/>
      <c r="AF27" s="145"/>
      <c r="AG27" s="145"/>
      <c r="AH27" s="145"/>
      <c r="AI27" s="145"/>
      <c r="AJ27" s="145"/>
      <c r="AK27" s="145"/>
      <c r="AL27" s="145"/>
      <c r="AM27" s="145"/>
      <c r="AN27" s="145"/>
      <c r="AO27" s="145"/>
      <c r="AP27" s="140"/>
      <c r="AQ27" s="139"/>
      <c r="AR27" s="145"/>
      <c r="AS27" s="145"/>
      <c r="AT27" s="145"/>
      <c r="AU27" s="145"/>
      <c r="AV27" s="145"/>
      <c r="AW27" s="145"/>
      <c r="AX27" s="147"/>
      <c r="AY27" s="148"/>
      <c r="AZ27" s="147"/>
      <c r="BA27" s="147"/>
      <c r="BB27" s="147"/>
      <c r="BC27" s="145"/>
      <c r="BD27" s="140"/>
      <c r="BE27" s="139"/>
      <c r="BF27" s="145"/>
      <c r="BG27" s="145"/>
      <c r="BH27" s="145"/>
      <c r="BI27" s="145"/>
      <c r="BJ27" s="145"/>
      <c r="BK27" s="145"/>
      <c r="BL27" s="145"/>
      <c r="BM27" s="145"/>
      <c r="BN27" s="145"/>
      <c r="BO27" s="145"/>
      <c r="BP27" s="145"/>
      <c r="BQ27" s="145"/>
      <c r="BR27" s="140"/>
      <c r="BS27" s="139"/>
      <c r="BT27" s="145"/>
      <c r="BU27" s="145"/>
      <c r="BV27" s="145"/>
      <c r="BW27" s="145"/>
      <c r="BX27" s="145"/>
      <c r="BY27" s="145"/>
      <c r="BZ27" s="145"/>
      <c r="CA27" s="145"/>
      <c r="CB27" s="145"/>
      <c r="CC27" s="145"/>
      <c r="CD27" s="145"/>
      <c r="CE27" s="145"/>
      <c r="CF27" s="140"/>
      <c r="CG27" s="139"/>
      <c r="CH27" s="145"/>
      <c r="CI27" s="145"/>
      <c r="CJ27" s="145"/>
      <c r="CK27" s="145"/>
      <c r="CL27" s="145"/>
      <c r="CM27" s="145"/>
      <c r="CN27" s="145"/>
      <c r="CO27" s="145"/>
      <c r="CP27" s="145"/>
      <c r="CQ27" s="145"/>
      <c r="CR27" s="145"/>
      <c r="CS27" s="145"/>
      <c r="CT27" s="140"/>
      <c r="CU27" s="141"/>
      <c r="CV27" s="1"/>
    </row>
    <row r="28" ht="16.5" customHeight="1">
      <c r="A28" s="1" t="s">
        <v>113</v>
      </c>
      <c r="B28" s="1">
        <v>20.0</v>
      </c>
      <c r="C28" s="1" t="s">
        <v>163</v>
      </c>
      <c r="D28" s="3" t="s">
        <v>166</v>
      </c>
      <c r="E28" s="56" t="str">
        <f t="shared" ref="E28:H28" si="24">IF(A28&lt;&gt;"", IF(A28=A27, "", A28), "")</f>
        <v/>
      </c>
      <c r="F28" s="68">
        <f t="shared" si="24"/>
        <v>20</v>
      </c>
      <c r="G28" s="58" t="str">
        <f t="shared" si="24"/>
        <v/>
      </c>
      <c r="H28" s="69" t="str">
        <f t="shared" si="24"/>
        <v>ATSC／GAC  Web導入（検証環境）ドウニュウ</v>
      </c>
      <c r="I28" s="70" t="s">
        <v>117</v>
      </c>
      <c r="J28" s="71" t="s">
        <v>117</v>
      </c>
      <c r="K28" s="72" t="s">
        <v>98</v>
      </c>
      <c r="L28" s="73">
        <v>46237.0</v>
      </c>
      <c r="M28" s="74">
        <v>46248.0</v>
      </c>
      <c r="N28" s="75" t="s">
        <v>130</v>
      </c>
      <c r="O28" s="70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1"/>
      <c r="AC28" s="77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1"/>
      <c r="AQ28" s="70"/>
      <c r="AR28" s="76"/>
      <c r="AS28" s="76"/>
      <c r="AT28" s="76"/>
      <c r="AU28" s="76"/>
      <c r="AV28" s="76"/>
      <c r="AW28" s="76"/>
      <c r="AX28" s="78"/>
      <c r="AY28" s="79"/>
      <c r="AZ28" s="78"/>
      <c r="BA28" s="78"/>
      <c r="BB28" s="78"/>
      <c r="BC28" s="76"/>
      <c r="BD28" s="71"/>
      <c r="BE28" s="70"/>
      <c r="BF28" s="76"/>
      <c r="BG28" s="76"/>
      <c r="BH28" s="76"/>
      <c r="BI28" s="76"/>
      <c r="BJ28" s="76"/>
      <c r="BK28" s="76"/>
      <c r="BL28" s="76"/>
      <c r="BM28" s="76"/>
      <c r="BN28" s="76"/>
      <c r="BO28" s="76"/>
      <c r="BP28" s="76"/>
      <c r="BQ28" s="76"/>
      <c r="BR28" s="71"/>
      <c r="BS28" s="70"/>
      <c r="BT28" s="76"/>
      <c r="BU28" s="76"/>
      <c r="BV28" s="76"/>
      <c r="BW28" s="76"/>
      <c r="BX28" s="76"/>
      <c r="BY28" s="76"/>
      <c r="BZ28" s="76"/>
      <c r="CA28" s="76"/>
      <c r="CB28" s="76"/>
      <c r="CC28" s="76"/>
      <c r="CD28" s="76"/>
      <c r="CE28" s="76"/>
      <c r="CF28" s="71"/>
      <c r="CG28" s="70"/>
      <c r="CH28" s="76"/>
      <c r="CI28" s="76"/>
      <c r="CJ28" s="76"/>
      <c r="CK28" s="76"/>
      <c r="CL28" s="76"/>
      <c r="CM28" s="76"/>
      <c r="CN28" s="76"/>
      <c r="CO28" s="76"/>
      <c r="CP28" s="76"/>
      <c r="CQ28" s="76"/>
      <c r="CR28" s="76"/>
      <c r="CS28" s="76"/>
      <c r="CT28" s="71"/>
      <c r="CU28" s="72"/>
      <c r="CV28" s="1"/>
    </row>
    <row r="29" ht="16.5" customHeight="1">
      <c r="A29" s="1" t="s">
        <v>113</v>
      </c>
      <c r="B29" s="1">
        <v>21.0</v>
      </c>
      <c r="C29" s="1" t="s">
        <v>168</v>
      </c>
      <c r="D29" s="3" t="s">
        <v>169</v>
      </c>
      <c r="E29" s="56" t="str">
        <f t="shared" ref="E29:H29" si="25">IF(A29&lt;&gt;"", IF(A29=A28, "", A29), "")</f>
        <v/>
      </c>
      <c r="F29" s="81">
        <f t="shared" si="25"/>
        <v>21</v>
      </c>
      <c r="G29" s="82" t="str">
        <f t="shared" si="25"/>
        <v>中間テーブル</v>
      </c>
      <c r="H29" s="83" t="str">
        <f t="shared" si="25"/>
        <v>JOB環境の申込カンキョウモウシコミ</v>
      </c>
      <c r="I29" s="84" t="s">
        <v>117</v>
      </c>
      <c r="J29" s="85" t="s">
        <v>117</v>
      </c>
      <c r="K29" s="86" t="s">
        <v>98</v>
      </c>
      <c r="L29" s="87">
        <v>46216.0</v>
      </c>
      <c r="M29" s="88">
        <v>46225.0</v>
      </c>
      <c r="N29" s="89" t="s">
        <v>130</v>
      </c>
      <c r="O29" s="84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85"/>
      <c r="AC29" s="91"/>
      <c r="AD29" s="90"/>
      <c r="AE29" s="90"/>
      <c r="AF29" s="90"/>
      <c r="AG29" s="90"/>
      <c r="AH29" s="90"/>
      <c r="AI29" s="90"/>
      <c r="AJ29" s="90"/>
      <c r="AK29" s="90"/>
      <c r="AL29" s="90"/>
      <c r="AM29" s="90"/>
      <c r="AN29" s="90"/>
      <c r="AO29" s="90"/>
      <c r="AP29" s="85"/>
      <c r="AQ29" s="84"/>
      <c r="AR29" s="90"/>
      <c r="AS29" s="90"/>
      <c r="AT29" s="90"/>
      <c r="AU29" s="90"/>
      <c r="AV29" s="90"/>
      <c r="AW29" s="90"/>
      <c r="AX29" s="92"/>
      <c r="AY29" s="93"/>
      <c r="AZ29" s="92"/>
      <c r="BA29" s="92"/>
      <c r="BB29" s="92"/>
      <c r="BC29" s="90"/>
      <c r="BD29" s="85"/>
      <c r="BE29" s="84"/>
      <c r="BF29" s="90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85"/>
      <c r="BS29" s="84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85"/>
      <c r="CG29" s="84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85"/>
      <c r="CU29" s="86"/>
      <c r="CV29" s="1"/>
    </row>
    <row r="30" ht="16.5" customHeight="1">
      <c r="A30" s="1" t="s">
        <v>113</v>
      </c>
      <c r="B30" s="1">
        <v>22.0</v>
      </c>
      <c r="C30" s="1" t="s">
        <v>168</v>
      </c>
      <c r="D30" s="3" t="s">
        <v>170</v>
      </c>
      <c r="E30" s="56" t="str">
        <f t="shared" ref="E30:H30" si="26">IF(A30&lt;&gt;"", IF(A30=A29, "", A30), "")</f>
        <v/>
      </c>
      <c r="F30" s="137">
        <f t="shared" si="26"/>
        <v>22</v>
      </c>
      <c r="G30" s="58" t="str">
        <f t="shared" si="26"/>
        <v/>
      </c>
      <c r="H30" s="138" t="str">
        <f t="shared" si="26"/>
        <v>JOB環境の構築コウチク</v>
      </c>
      <c r="I30" s="139" t="s">
        <v>143</v>
      </c>
      <c r="J30" s="140"/>
      <c r="K30" s="141"/>
      <c r="L30" s="142">
        <v>46226.0</v>
      </c>
      <c r="M30" s="143">
        <v>46234.0</v>
      </c>
      <c r="N30" s="144" t="s">
        <v>130</v>
      </c>
      <c r="O30" s="139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  <c r="AA30" s="145"/>
      <c r="AB30" s="140"/>
      <c r="AC30" s="146"/>
      <c r="AD30" s="145"/>
      <c r="AE30" s="145"/>
      <c r="AF30" s="145"/>
      <c r="AG30" s="145"/>
      <c r="AH30" s="145"/>
      <c r="AI30" s="145"/>
      <c r="AJ30" s="145"/>
      <c r="AK30" s="145"/>
      <c r="AL30" s="145"/>
      <c r="AM30" s="145"/>
      <c r="AN30" s="145"/>
      <c r="AO30" s="145"/>
      <c r="AP30" s="140"/>
      <c r="AQ30" s="139"/>
      <c r="AR30" s="145"/>
      <c r="AS30" s="145"/>
      <c r="AT30" s="145"/>
      <c r="AU30" s="145"/>
      <c r="AV30" s="145"/>
      <c r="AW30" s="145"/>
      <c r="AX30" s="147"/>
      <c r="AY30" s="148"/>
      <c r="AZ30" s="147"/>
      <c r="BA30" s="147"/>
      <c r="BB30" s="147"/>
      <c r="BC30" s="145"/>
      <c r="BD30" s="140"/>
      <c r="BE30" s="139"/>
      <c r="BF30" s="145"/>
      <c r="BG30" s="145"/>
      <c r="BH30" s="145"/>
      <c r="BI30" s="145"/>
      <c r="BJ30" s="145"/>
      <c r="BK30" s="145"/>
      <c r="BL30" s="145"/>
      <c r="BM30" s="145"/>
      <c r="BN30" s="145"/>
      <c r="BO30" s="145"/>
      <c r="BP30" s="145"/>
      <c r="BQ30" s="145"/>
      <c r="BR30" s="140"/>
      <c r="BS30" s="139"/>
      <c r="BT30" s="145"/>
      <c r="BU30" s="145"/>
      <c r="BV30" s="145"/>
      <c r="BW30" s="145"/>
      <c r="BX30" s="145"/>
      <c r="BY30" s="145"/>
      <c r="BZ30" s="145"/>
      <c r="CA30" s="145"/>
      <c r="CB30" s="145"/>
      <c r="CC30" s="145"/>
      <c r="CD30" s="145"/>
      <c r="CE30" s="145"/>
      <c r="CF30" s="140"/>
      <c r="CG30" s="139"/>
      <c r="CH30" s="145"/>
      <c r="CI30" s="145"/>
      <c r="CJ30" s="145"/>
      <c r="CK30" s="145"/>
      <c r="CL30" s="145"/>
      <c r="CM30" s="145"/>
      <c r="CN30" s="145"/>
      <c r="CO30" s="145"/>
      <c r="CP30" s="145"/>
      <c r="CQ30" s="145"/>
      <c r="CR30" s="145"/>
      <c r="CS30" s="145"/>
      <c r="CT30" s="140"/>
      <c r="CU30" s="141"/>
      <c r="CV30" s="1"/>
    </row>
    <row r="31" ht="16.5" customHeight="1">
      <c r="A31" s="1" t="s">
        <v>113</v>
      </c>
      <c r="B31" s="1">
        <v>23.0</v>
      </c>
      <c r="C31" s="1" t="s">
        <v>168</v>
      </c>
      <c r="D31" s="3" t="s">
        <v>171</v>
      </c>
      <c r="E31" s="56" t="str">
        <f t="shared" ref="E31:H31" si="27">IF(A31&lt;&gt;"", IF(A31=A30, "", A31), "")</f>
        <v/>
      </c>
      <c r="F31" s="137">
        <f t="shared" si="27"/>
        <v>23</v>
      </c>
      <c r="G31" s="58" t="str">
        <f t="shared" si="27"/>
        <v/>
      </c>
      <c r="H31" s="138" t="str">
        <f t="shared" si="27"/>
        <v>中間テーブル更新のJOB作成コウシンサクセイ</v>
      </c>
      <c r="I31" s="139" t="s">
        <v>117</v>
      </c>
      <c r="J31" s="140" t="s">
        <v>117</v>
      </c>
      <c r="K31" s="141" t="s">
        <v>98</v>
      </c>
      <c r="L31" s="142">
        <v>46237.0</v>
      </c>
      <c r="M31" s="143">
        <v>46248.0</v>
      </c>
      <c r="N31" s="144" t="s">
        <v>130</v>
      </c>
      <c r="O31" s="139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  <c r="AA31" s="145"/>
      <c r="AB31" s="140"/>
      <c r="AC31" s="146"/>
      <c r="AD31" s="145"/>
      <c r="AE31" s="145"/>
      <c r="AF31" s="145"/>
      <c r="AG31" s="145"/>
      <c r="AH31" s="145"/>
      <c r="AI31" s="145"/>
      <c r="AJ31" s="145"/>
      <c r="AK31" s="145"/>
      <c r="AL31" s="145"/>
      <c r="AM31" s="145"/>
      <c r="AN31" s="145"/>
      <c r="AO31" s="145"/>
      <c r="AP31" s="140"/>
      <c r="AQ31" s="139"/>
      <c r="AR31" s="145"/>
      <c r="AS31" s="145"/>
      <c r="AT31" s="145"/>
      <c r="AU31" s="145"/>
      <c r="AV31" s="145"/>
      <c r="AW31" s="145"/>
      <c r="AX31" s="147"/>
      <c r="AY31" s="148"/>
      <c r="AZ31" s="147"/>
      <c r="BA31" s="147"/>
      <c r="BB31" s="147"/>
      <c r="BC31" s="145"/>
      <c r="BD31" s="140"/>
      <c r="BE31" s="139"/>
      <c r="BF31" s="145"/>
      <c r="BG31" s="145"/>
      <c r="BH31" s="145"/>
      <c r="BI31" s="145"/>
      <c r="BJ31" s="145"/>
      <c r="BK31" s="145"/>
      <c r="BL31" s="145"/>
      <c r="BM31" s="145"/>
      <c r="BN31" s="145"/>
      <c r="BO31" s="145"/>
      <c r="BP31" s="145"/>
      <c r="BQ31" s="145"/>
      <c r="BR31" s="140"/>
      <c r="BS31" s="139"/>
      <c r="BT31" s="145"/>
      <c r="BU31" s="145"/>
      <c r="BV31" s="145"/>
      <c r="BW31" s="145"/>
      <c r="BX31" s="145"/>
      <c r="BY31" s="145"/>
      <c r="BZ31" s="145"/>
      <c r="CA31" s="145"/>
      <c r="CB31" s="145"/>
      <c r="CC31" s="145"/>
      <c r="CD31" s="145"/>
      <c r="CE31" s="145"/>
      <c r="CF31" s="140"/>
      <c r="CG31" s="139"/>
      <c r="CH31" s="145"/>
      <c r="CI31" s="145"/>
      <c r="CJ31" s="145"/>
      <c r="CK31" s="145"/>
      <c r="CL31" s="145"/>
      <c r="CM31" s="145"/>
      <c r="CN31" s="145"/>
      <c r="CO31" s="145"/>
      <c r="CP31" s="145"/>
      <c r="CQ31" s="145"/>
      <c r="CR31" s="145"/>
      <c r="CS31" s="145"/>
      <c r="CT31" s="140"/>
      <c r="CU31" s="141"/>
      <c r="CV31" s="1"/>
    </row>
    <row r="32" ht="16.5" customHeight="1">
      <c r="A32" s="1" t="s">
        <v>113</v>
      </c>
      <c r="B32" s="1">
        <v>24.0</v>
      </c>
      <c r="C32" s="1" t="s">
        <v>168</v>
      </c>
      <c r="D32" s="3" t="s">
        <v>172</v>
      </c>
      <c r="E32" s="56" t="str">
        <f t="shared" ref="E32:H32" si="28">IF(A32&lt;&gt;"", IF(A32=A31, "", A32), "")</f>
        <v/>
      </c>
      <c r="F32" s="137">
        <f t="shared" si="28"/>
        <v>24</v>
      </c>
      <c r="G32" s="58" t="str">
        <f t="shared" si="28"/>
        <v/>
      </c>
      <c r="H32" s="138" t="str">
        <f t="shared" si="28"/>
        <v>テスト</v>
      </c>
      <c r="I32" s="139" t="s">
        <v>117</v>
      </c>
      <c r="J32" s="140" t="s">
        <v>117</v>
      </c>
      <c r="K32" s="141" t="s">
        <v>98</v>
      </c>
      <c r="L32" s="142">
        <v>46244.0</v>
      </c>
      <c r="M32" s="143">
        <v>46255.0</v>
      </c>
      <c r="N32" s="144" t="s">
        <v>130</v>
      </c>
      <c r="O32" s="139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  <c r="AA32" s="145"/>
      <c r="AB32" s="140"/>
      <c r="AC32" s="146"/>
      <c r="AD32" s="145"/>
      <c r="AE32" s="145"/>
      <c r="AF32" s="145"/>
      <c r="AG32" s="145"/>
      <c r="AH32" s="145"/>
      <c r="AI32" s="145"/>
      <c r="AJ32" s="145"/>
      <c r="AK32" s="145"/>
      <c r="AL32" s="145"/>
      <c r="AM32" s="145"/>
      <c r="AN32" s="145"/>
      <c r="AO32" s="145"/>
      <c r="AP32" s="140"/>
      <c r="AQ32" s="139"/>
      <c r="AR32" s="145"/>
      <c r="AS32" s="145"/>
      <c r="AT32" s="145"/>
      <c r="AU32" s="145"/>
      <c r="AV32" s="145"/>
      <c r="AW32" s="145"/>
      <c r="AX32" s="147"/>
      <c r="AY32" s="148"/>
      <c r="AZ32" s="147"/>
      <c r="BA32" s="147"/>
      <c r="BB32" s="147"/>
      <c r="BC32" s="145"/>
      <c r="BD32" s="140"/>
      <c r="BE32" s="139"/>
      <c r="BF32" s="145"/>
      <c r="BG32" s="145"/>
      <c r="BH32" s="145"/>
      <c r="BI32" s="145"/>
      <c r="BJ32" s="145"/>
      <c r="BK32" s="145"/>
      <c r="BL32" s="145"/>
      <c r="BM32" s="145"/>
      <c r="BN32" s="145"/>
      <c r="BO32" s="145"/>
      <c r="BP32" s="145"/>
      <c r="BQ32" s="145"/>
      <c r="BR32" s="140"/>
      <c r="BS32" s="139"/>
      <c r="BT32" s="145"/>
      <c r="BU32" s="145"/>
      <c r="BV32" s="145"/>
      <c r="BW32" s="145"/>
      <c r="BX32" s="145"/>
      <c r="BY32" s="145"/>
      <c r="BZ32" s="145"/>
      <c r="CA32" s="145"/>
      <c r="CB32" s="145"/>
      <c r="CC32" s="145"/>
      <c r="CD32" s="145"/>
      <c r="CE32" s="145"/>
      <c r="CF32" s="140"/>
      <c r="CG32" s="139"/>
      <c r="CH32" s="145"/>
      <c r="CI32" s="145"/>
      <c r="CJ32" s="145"/>
      <c r="CK32" s="145"/>
      <c r="CL32" s="145"/>
      <c r="CM32" s="145"/>
      <c r="CN32" s="145"/>
      <c r="CO32" s="145"/>
      <c r="CP32" s="145"/>
      <c r="CQ32" s="145"/>
      <c r="CR32" s="145"/>
      <c r="CS32" s="145"/>
      <c r="CT32" s="140"/>
      <c r="CU32" s="141"/>
      <c r="CV32" s="1"/>
    </row>
    <row r="33" ht="16.5" customHeight="1">
      <c r="A33" s="1" t="s">
        <v>113</v>
      </c>
      <c r="B33" s="1">
        <v>25.0</v>
      </c>
      <c r="C33" s="1" t="s">
        <v>168</v>
      </c>
      <c r="D33" s="3" t="s">
        <v>173</v>
      </c>
      <c r="E33" s="56" t="str">
        <f t="shared" ref="E33:H33" si="29">IF(A33&lt;&gt;"", IF(A33=A32, "", A33), "")</f>
        <v/>
      </c>
      <c r="F33" s="94">
        <f t="shared" si="29"/>
        <v>25</v>
      </c>
      <c r="G33" s="95" t="str">
        <f t="shared" si="29"/>
        <v/>
      </c>
      <c r="H33" s="96" t="str">
        <f t="shared" si="29"/>
        <v>詳細設計書改修</v>
      </c>
      <c r="I33" s="97" t="s">
        <v>117</v>
      </c>
      <c r="J33" s="98" t="s">
        <v>117</v>
      </c>
      <c r="K33" s="99" t="s">
        <v>98</v>
      </c>
      <c r="L33" s="100">
        <v>46251.0</v>
      </c>
      <c r="M33" s="101">
        <v>46262.0</v>
      </c>
      <c r="N33" s="102" t="s">
        <v>130</v>
      </c>
      <c r="O33" s="97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98"/>
      <c r="AC33" s="104"/>
      <c r="AD33" s="103"/>
      <c r="AE33" s="103"/>
      <c r="AF33" s="103"/>
      <c r="AG33" s="103"/>
      <c r="AH33" s="103"/>
      <c r="AI33" s="103"/>
      <c r="AJ33" s="103"/>
      <c r="AK33" s="103"/>
      <c r="AL33" s="103"/>
      <c r="AM33" s="103"/>
      <c r="AN33" s="103"/>
      <c r="AO33" s="103"/>
      <c r="AP33" s="98"/>
      <c r="AQ33" s="97"/>
      <c r="AR33" s="103"/>
      <c r="AS33" s="103"/>
      <c r="AT33" s="103"/>
      <c r="AU33" s="103"/>
      <c r="AV33" s="103"/>
      <c r="AW33" s="103"/>
      <c r="AX33" s="105"/>
      <c r="AY33" s="106"/>
      <c r="AZ33" s="105"/>
      <c r="BA33" s="105"/>
      <c r="BB33" s="105"/>
      <c r="BC33" s="103"/>
      <c r="BD33" s="98"/>
      <c r="BE33" s="97"/>
      <c r="BF33" s="103"/>
      <c r="BG33" s="103"/>
      <c r="BH33" s="103"/>
      <c r="BI33" s="103"/>
      <c r="BJ33" s="103"/>
      <c r="BK33" s="103"/>
      <c r="BL33" s="103"/>
      <c r="BM33" s="103"/>
      <c r="BN33" s="103"/>
      <c r="BO33" s="103"/>
      <c r="BP33" s="103"/>
      <c r="BQ33" s="103"/>
      <c r="BR33" s="98"/>
      <c r="BS33" s="97"/>
      <c r="BT33" s="103"/>
      <c r="BU33" s="103"/>
      <c r="BV33" s="103"/>
      <c r="BW33" s="103"/>
      <c r="BX33" s="103"/>
      <c r="BY33" s="103"/>
      <c r="BZ33" s="103"/>
      <c r="CA33" s="103"/>
      <c r="CB33" s="103"/>
      <c r="CC33" s="103"/>
      <c r="CD33" s="103"/>
      <c r="CE33" s="103"/>
      <c r="CF33" s="98"/>
      <c r="CG33" s="97"/>
      <c r="CH33" s="103"/>
      <c r="CI33" s="103"/>
      <c r="CJ33" s="103"/>
      <c r="CK33" s="103"/>
      <c r="CL33" s="103"/>
      <c r="CM33" s="103"/>
      <c r="CN33" s="103"/>
      <c r="CO33" s="103"/>
      <c r="CP33" s="103"/>
      <c r="CQ33" s="103"/>
      <c r="CR33" s="103"/>
      <c r="CS33" s="103"/>
      <c r="CT33" s="98"/>
      <c r="CU33" s="99"/>
      <c r="CV33" s="1"/>
    </row>
    <row r="34" ht="16.5" customHeight="1">
      <c r="A34" s="1" t="s">
        <v>113</v>
      </c>
      <c r="B34" s="1">
        <v>26.0</v>
      </c>
      <c r="C34" s="1" t="s">
        <v>175</v>
      </c>
      <c r="D34" s="3" t="s">
        <v>176</v>
      </c>
      <c r="E34" s="56" t="str">
        <f t="shared" ref="E34:H34" si="30">IF(A34&lt;&gt;"", IF(A34=A33, "", A34), "")</f>
        <v/>
      </c>
      <c r="F34" s="57">
        <f t="shared" si="30"/>
        <v>26</v>
      </c>
      <c r="G34" s="58" t="str">
        <f t="shared" si="30"/>
        <v>資料整備</v>
      </c>
      <c r="H34" s="59" t="str">
        <f t="shared" si="30"/>
        <v>マニュアル改修</v>
      </c>
      <c r="I34" s="60" t="s">
        <v>117</v>
      </c>
      <c r="J34" s="61" t="s">
        <v>117</v>
      </c>
      <c r="K34" s="62" t="s">
        <v>98</v>
      </c>
      <c r="L34" s="24">
        <v>46251.0</v>
      </c>
      <c r="M34" s="27">
        <v>46262.0</v>
      </c>
      <c r="N34" s="63" t="s">
        <v>130</v>
      </c>
      <c r="O34" s="60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1"/>
      <c r="AC34" s="65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1"/>
      <c r="AQ34" s="60"/>
      <c r="AR34" s="64"/>
      <c r="AS34" s="64"/>
      <c r="AT34" s="64"/>
      <c r="AU34" s="64"/>
      <c r="AV34" s="64"/>
      <c r="AW34" s="64"/>
      <c r="AX34" s="66"/>
      <c r="AY34" s="67"/>
      <c r="AZ34" s="66"/>
      <c r="BA34" s="66"/>
      <c r="BB34" s="66"/>
      <c r="BC34" s="64"/>
      <c r="BD34" s="61"/>
      <c r="BE34" s="60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1"/>
      <c r="BS34" s="60"/>
      <c r="BT34" s="64"/>
      <c r="BU34" s="64"/>
      <c r="BV34" s="64"/>
      <c r="BW34" s="64"/>
      <c r="BX34" s="64"/>
      <c r="BY34" s="64"/>
      <c r="BZ34" s="64"/>
      <c r="CA34" s="64"/>
      <c r="CB34" s="64"/>
      <c r="CC34" s="64"/>
      <c r="CD34" s="64"/>
      <c r="CE34" s="64"/>
      <c r="CF34" s="61"/>
      <c r="CG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1"/>
      <c r="CU34" s="62"/>
      <c r="CV34" s="1"/>
    </row>
    <row r="35" ht="16.5" customHeight="1">
      <c r="A35" s="1" t="s">
        <v>113</v>
      </c>
      <c r="B35" s="1">
        <v>27.0</v>
      </c>
      <c r="C35" s="1" t="s">
        <v>175</v>
      </c>
      <c r="D35" s="3" t="s">
        <v>177</v>
      </c>
      <c r="E35" s="56" t="str">
        <f t="shared" ref="E35:H35" si="31">IF(A35&lt;&gt;"", IF(A35=A34, "", A35), "")</f>
        <v/>
      </c>
      <c r="F35" s="68">
        <f t="shared" si="31"/>
        <v>27</v>
      </c>
      <c r="G35" s="58" t="str">
        <f t="shared" si="31"/>
        <v/>
      </c>
      <c r="H35" s="69" t="str">
        <f t="shared" si="31"/>
        <v>受入テスト対応</v>
      </c>
      <c r="I35" s="70" t="s">
        <v>117</v>
      </c>
      <c r="J35" s="71" t="s">
        <v>117</v>
      </c>
      <c r="K35" s="72" t="s">
        <v>98</v>
      </c>
      <c r="L35" s="73">
        <v>46251.0</v>
      </c>
      <c r="M35" s="74">
        <v>46260.0</v>
      </c>
      <c r="N35" s="75" t="s">
        <v>130</v>
      </c>
      <c r="O35" s="70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1"/>
      <c r="AC35" s="77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1"/>
      <c r="AQ35" s="70"/>
      <c r="AR35" s="76"/>
      <c r="AS35" s="76"/>
      <c r="AT35" s="76"/>
      <c r="AU35" s="76"/>
      <c r="AV35" s="76"/>
      <c r="AW35" s="76"/>
      <c r="AX35" s="78"/>
      <c r="AY35" s="79"/>
      <c r="AZ35" s="78"/>
      <c r="BA35" s="78"/>
      <c r="BB35" s="78"/>
      <c r="BC35" s="76"/>
      <c r="BD35" s="71"/>
      <c r="BE35" s="70"/>
      <c r="BF35" s="76"/>
      <c r="BG35" s="76"/>
      <c r="BH35" s="76"/>
      <c r="BI35" s="76"/>
      <c r="BJ35" s="76"/>
      <c r="BK35" s="76"/>
      <c r="BL35" s="76"/>
      <c r="BM35" s="76"/>
      <c r="BN35" s="76"/>
      <c r="BO35" s="76"/>
      <c r="BP35" s="76"/>
      <c r="BQ35" s="76"/>
      <c r="BR35" s="71"/>
      <c r="BS35" s="70"/>
      <c r="BT35" s="76"/>
      <c r="BU35" s="76"/>
      <c r="BV35" s="76"/>
      <c r="BW35" s="76"/>
      <c r="BX35" s="76"/>
      <c r="BY35" s="76"/>
      <c r="BZ35" s="76"/>
      <c r="CA35" s="76"/>
      <c r="CB35" s="76"/>
      <c r="CC35" s="76"/>
      <c r="CD35" s="76"/>
      <c r="CE35" s="76"/>
      <c r="CF35" s="71"/>
      <c r="CG35" s="70"/>
      <c r="CH35" s="76"/>
      <c r="CI35" s="76"/>
      <c r="CJ35" s="76"/>
      <c r="CK35" s="76"/>
      <c r="CL35" s="76"/>
      <c r="CM35" s="76"/>
      <c r="CN35" s="76"/>
      <c r="CO35" s="76"/>
      <c r="CP35" s="76"/>
      <c r="CQ35" s="76"/>
      <c r="CR35" s="76"/>
      <c r="CS35" s="76"/>
      <c r="CT35" s="71"/>
      <c r="CU35" s="72"/>
      <c r="CV35" s="1"/>
    </row>
    <row r="36" ht="16.5" customHeight="1">
      <c r="A36" s="1" t="s">
        <v>113</v>
      </c>
      <c r="B36" s="1">
        <v>28.0</v>
      </c>
      <c r="C36" s="1" t="s">
        <v>178</v>
      </c>
      <c r="D36" s="3" t="s">
        <v>179</v>
      </c>
      <c r="E36" s="56" t="str">
        <f t="shared" ref="E36:H36" si="32">IF(A36&lt;&gt;"", IF(A36=A35, "", A36), "")</f>
        <v/>
      </c>
      <c r="F36" s="126">
        <f t="shared" si="32"/>
        <v>28</v>
      </c>
      <c r="G36" s="82" t="str">
        <f t="shared" si="32"/>
        <v>受入テスト</v>
      </c>
      <c r="H36" s="127" t="str">
        <f t="shared" si="32"/>
        <v>ユーザーアクセス権限の本番データ移行</v>
      </c>
      <c r="I36" s="180" t="s">
        <v>143</v>
      </c>
      <c r="J36" s="181"/>
      <c r="K36" s="182"/>
      <c r="L36" s="183">
        <v>46258.0</v>
      </c>
      <c r="M36" s="184">
        <v>46262.0</v>
      </c>
      <c r="N36" s="185" t="s">
        <v>130</v>
      </c>
      <c r="O36" s="180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1"/>
      <c r="AC36" s="187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6"/>
      <c r="AO36" s="186"/>
      <c r="AP36" s="181"/>
      <c r="AQ36" s="180"/>
      <c r="AR36" s="186"/>
      <c r="AS36" s="186"/>
      <c r="AT36" s="186"/>
      <c r="AU36" s="186"/>
      <c r="AV36" s="186"/>
      <c r="AW36" s="186"/>
      <c r="AX36" s="188"/>
      <c r="AY36" s="189"/>
      <c r="AZ36" s="188"/>
      <c r="BA36" s="188"/>
      <c r="BB36" s="188"/>
      <c r="BC36" s="186"/>
      <c r="BD36" s="181"/>
      <c r="BE36" s="180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1"/>
      <c r="BS36" s="180"/>
      <c r="BT36" s="186"/>
      <c r="BU36" s="186"/>
      <c r="BV36" s="186"/>
      <c r="BW36" s="186"/>
      <c r="BX36" s="186"/>
      <c r="BY36" s="186"/>
      <c r="BZ36" s="186"/>
      <c r="CA36" s="186"/>
      <c r="CB36" s="186"/>
      <c r="CC36" s="186"/>
      <c r="CD36" s="186"/>
      <c r="CE36" s="186"/>
      <c r="CF36" s="181"/>
      <c r="CG36" s="180"/>
      <c r="CH36" s="186"/>
      <c r="CI36" s="186"/>
      <c r="CJ36" s="186"/>
      <c r="CK36" s="186"/>
      <c r="CL36" s="186"/>
      <c r="CM36" s="186"/>
      <c r="CN36" s="186"/>
      <c r="CO36" s="186"/>
      <c r="CP36" s="186"/>
      <c r="CQ36" s="186"/>
      <c r="CR36" s="186"/>
      <c r="CS36" s="186"/>
      <c r="CT36" s="181"/>
      <c r="CU36" s="182"/>
      <c r="CV36" s="1"/>
    </row>
    <row r="37" ht="16.5" customHeight="1">
      <c r="A37" s="1" t="s">
        <v>113</v>
      </c>
      <c r="B37" s="1">
        <v>29.0</v>
      </c>
      <c r="C37" s="1" t="s">
        <v>180</v>
      </c>
      <c r="D37" s="3" t="s">
        <v>181</v>
      </c>
      <c r="E37" s="56" t="str">
        <f t="shared" ref="E37:H37" si="33">IF(A37&lt;&gt;"", IF(A37=A36, "", A37), "")</f>
        <v/>
      </c>
      <c r="F37" s="81">
        <f t="shared" si="33"/>
        <v>29</v>
      </c>
      <c r="G37" s="82" t="str">
        <f t="shared" si="33"/>
        <v>本番リリース</v>
      </c>
      <c r="H37" s="83" t="str">
        <f t="shared" si="33"/>
        <v>本番情報設定（役割グループ、Ranger、Job）ホンバンジョウホウセッテイヤクワリ</v>
      </c>
      <c r="I37" s="60" t="s">
        <v>143</v>
      </c>
      <c r="J37" s="61"/>
      <c r="K37" s="62"/>
      <c r="L37" s="24">
        <v>46258.0</v>
      </c>
      <c r="M37" s="27">
        <v>46262.0</v>
      </c>
      <c r="N37" s="63" t="s">
        <v>130</v>
      </c>
      <c r="O37" s="60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1"/>
      <c r="AC37" s="65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1"/>
      <c r="AQ37" s="60"/>
      <c r="AR37" s="64"/>
      <c r="AS37" s="64"/>
      <c r="AT37" s="64"/>
      <c r="AU37" s="64"/>
      <c r="AV37" s="64"/>
      <c r="AW37" s="64"/>
      <c r="AX37" s="66"/>
      <c r="AY37" s="67"/>
      <c r="AZ37" s="66"/>
      <c r="BA37" s="66"/>
      <c r="BB37" s="66"/>
      <c r="BC37" s="64"/>
      <c r="BD37" s="61"/>
      <c r="BE37" s="60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1"/>
      <c r="BS37" s="60"/>
      <c r="BT37" s="64"/>
      <c r="BU37" s="64"/>
      <c r="BV37" s="64"/>
      <c r="BW37" s="64"/>
      <c r="BX37" s="64"/>
      <c r="BY37" s="64"/>
      <c r="BZ37" s="64"/>
      <c r="CA37" s="64"/>
      <c r="CB37" s="64"/>
      <c r="CC37" s="64"/>
      <c r="CD37" s="64"/>
      <c r="CE37" s="64"/>
      <c r="CF37" s="61"/>
      <c r="CG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1"/>
      <c r="CU37" s="62"/>
      <c r="CV37" s="1"/>
    </row>
    <row r="38" ht="16.5" customHeight="1">
      <c r="A38" s="1" t="s">
        <v>113</v>
      </c>
      <c r="B38" s="1">
        <v>30.0</v>
      </c>
      <c r="C38" s="1" t="s">
        <v>180</v>
      </c>
      <c r="D38" s="3" t="s">
        <v>182</v>
      </c>
      <c r="E38" s="190" t="str">
        <f t="shared" ref="E38:H38" si="34">IF(A38&lt;&gt;"", IF(A38=A37, "", A38), "")</f>
        <v/>
      </c>
      <c r="F38" s="94">
        <f t="shared" si="34"/>
        <v>30</v>
      </c>
      <c r="G38" s="95" t="str">
        <f t="shared" si="34"/>
        <v/>
      </c>
      <c r="H38" s="96" t="str">
        <f t="shared" si="34"/>
        <v>リリース準備と実施</v>
      </c>
      <c r="I38" s="97" t="s">
        <v>117</v>
      </c>
      <c r="J38" s="98" t="s">
        <v>117</v>
      </c>
      <c r="K38" s="99" t="s">
        <v>98</v>
      </c>
      <c r="L38" s="100">
        <v>46258.0</v>
      </c>
      <c r="M38" s="101">
        <v>46262.0</v>
      </c>
      <c r="N38" s="102" t="s">
        <v>130</v>
      </c>
      <c r="O38" s="97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98"/>
      <c r="AC38" s="104"/>
      <c r="AD38" s="103"/>
      <c r="AE38" s="103"/>
      <c r="AF38" s="103"/>
      <c r="AG38" s="103"/>
      <c r="AH38" s="103"/>
      <c r="AI38" s="103"/>
      <c r="AJ38" s="103"/>
      <c r="AK38" s="103"/>
      <c r="AL38" s="103"/>
      <c r="AM38" s="103"/>
      <c r="AN38" s="103"/>
      <c r="AO38" s="103"/>
      <c r="AP38" s="98"/>
      <c r="AQ38" s="97"/>
      <c r="AR38" s="103"/>
      <c r="AS38" s="103"/>
      <c r="AT38" s="103"/>
      <c r="AU38" s="103"/>
      <c r="AV38" s="103"/>
      <c r="AW38" s="103"/>
      <c r="AX38" s="105"/>
      <c r="AY38" s="106"/>
      <c r="AZ38" s="105"/>
      <c r="BA38" s="105"/>
      <c r="BB38" s="105"/>
      <c r="BC38" s="103"/>
      <c r="BD38" s="98"/>
      <c r="BE38" s="97"/>
      <c r="BF38" s="103"/>
      <c r="BG38" s="103"/>
      <c r="BH38" s="103"/>
      <c r="BI38" s="103"/>
      <c r="BJ38" s="103"/>
      <c r="BK38" s="103"/>
      <c r="BL38" s="103"/>
      <c r="BM38" s="103"/>
      <c r="BN38" s="103"/>
      <c r="BO38" s="103"/>
      <c r="BP38" s="103"/>
      <c r="BQ38" s="103"/>
      <c r="BR38" s="98"/>
      <c r="BS38" s="97"/>
      <c r="BT38" s="103"/>
      <c r="BU38" s="103"/>
      <c r="BV38" s="103"/>
      <c r="BW38" s="103"/>
      <c r="BX38" s="103"/>
      <c r="BY38" s="103"/>
      <c r="BZ38" s="103"/>
      <c r="CA38" s="103"/>
      <c r="CB38" s="103"/>
      <c r="CC38" s="103"/>
      <c r="CD38" s="103"/>
      <c r="CE38" s="103"/>
      <c r="CF38" s="98"/>
      <c r="CG38" s="97"/>
      <c r="CH38" s="103"/>
      <c r="CI38" s="103"/>
      <c r="CJ38" s="103"/>
      <c r="CK38" s="103"/>
      <c r="CL38" s="103"/>
      <c r="CM38" s="103"/>
      <c r="CN38" s="103"/>
      <c r="CO38" s="103"/>
      <c r="CP38" s="103"/>
      <c r="CQ38" s="103"/>
      <c r="CR38" s="103"/>
      <c r="CS38" s="103"/>
      <c r="CT38" s="98"/>
      <c r="CU38" s="99"/>
      <c r="CV38" s="1"/>
    </row>
    <row r="39" ht="16.5" customHeight="1">
      <c r="A39" s="1"/>
      <c r="B39" s="1" t="str">
        <f t="shared" ref="B39:B203" si="36">IF(C39&lt;&gt;"", ROW()-4, "")</f>
        <v/>
      </c>
      <c r="C39" s="1"/>
      <c r="D39" s="3"/>
      <c r="E39" s="1" t="str">
        <f t="shared" ref="E39:H39" si="35">IF(A39&lt;&gt;"", IF(A39=A38, "", A39), "")</f>
        <v/>
      </c>
      <c r="F39" s="191" t="str">
        <f t="shared" si="35"/>
        <v/>
      </c>
      <c r="G39" s="1" t="str">
        <f t="shared" si="35"/>
        <v/>
      </c>
      <c r="H39" s="3" t="str">
        <f t="shared" si="35"/>
        <v/>
      </c>
      <c r="I39" s="1"/>
      <c r="J39" s="1"/>
      <c r="K39" s="1"/>
      <c r="L39" s="192"/>
      <c r="M39" s="192"/>
      <c r="N39" s="193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</row>
    <row r="40" ht="16.5" customHeight="1">
      <c r="A40" s="1"/>
      <c r="B40" s="1" t="str">
        <f t="shared" si="36"/>
        <v/>
      </c>
      <c r="C40" s="1"/>
      <c r="D40" s="3"/>
      <c r="E40" s="1" t="str">
        <f t="shared" ref="E40:H40" si="37">IF(A40&lt;&gt;"", IF(A40=A39, "", A40), "")</f>
        <v/>
      </c>
      <c r="F40" s="191" t="str">
        <f t="shared" si="37"/>
        <v/>
      </c>
      <c r="G40" s="1" t="str">
        <f t="shared" si="37"/>
        <v/>
      </c>
      <c r="H40" s="3" t="str">
        <f t="shared" si="37"/>
        <v/>
      </c>
      <c r="I40" s="1"/>
      <c r="J40" s="1"/>
      <c r="K40" s="1"/>
      <c r="L40" s="192"/>
      <c r="M40" s="192"/>
      <c r="N40" s="193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</row>
    <row r="41" ht="16.5" customHeight="1">
      <c r="A41" s="1"/>
      <c r="B41" s="1" t="str">
        <f t="shared" si="36"/>
        <v/>
      </c>
      <c r="C41" s="1"/>
      <c r="D41" s="3"/>
      <c r="E41" s="1" t="str">
        <f t="shared" ref="E41:G41" si="38">IF(A41&lt;&gt;"", IF(A41=A40, "", A41), "")</f>
        <v/>
      </c>
      <c r="F41" s="191" t="str">
        <f t="shared" si="38"/>
        <v/>
      </c>
      <c r="G41" s="1" t="str">
        <f t="shared" si="38"/>
        <v/>
      </c>
      <c r="H41" s="1"/>
      <c r="I41" s="1"/>
      <c r="J41" s="1"/>
      <c r="K41" s="1"/>
      <c r="L41" s="192"/>
      <c r="M41" s="192"/>
      <c r="N41" s="193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</row>
    <row r="42" ht="16.5" customHeight="1">
      <c r="A42" s="1"/>
      <c r="B42" s="1" t="str">
        <f t="shared" si="36"/>
        <v/>
      </c>
      <c r="C42" s="1"/>
      <c r="D42" s="3"/>
      <c r="E42" s="1" t="str">
        <f t="shared" ref="E42:G42" si="39">IF(A42&lt;&gt;"", IF(A42=A41, "", A42), "")</f>
        <v/>
      </c>
      <c r="F42" s="191" t="str">
        <f t="shared" si="39"/>
        <v/>
      </c>
      <c r="G42" s="1" t="str">
        <f t="shared" si="39"/>
        <v/>
      </c>
      <c r="H42" s="3"/>
      <c r="I42" s="1"/>
      <c r="J42" s="1"/>
      <c r="K42" s="1"/>
      <c r="L42" s="192"/>
      <c r="M42" s="192"/>
      <c r="N42" s="193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</row>
    <row r="43" ht="16.5" customHeight="1">
      <c r="A43" s="1"/>
      <c r="B43" s="1" t="str">
        <f t="shared" si="36"/>
        <v/>
      </c>
      <c r="C43" s="1"/>
      <c r="D43" s="3"/>
      <c r="E43" s="1" t="str">
        <f t="shared" ref="E43:G43" si="40">IF(A43&lt;&gt;"", IF(A43=A42, "", A43), "")</f>
        <v/>
      </c>
      <c r="F43" s="191" t="str">
        <f t="shared" si="40"/>
        <v/>
      </c>
      <c r="G43" s="1" t="str">
        <f t="shared" si="40"/>
        <v/>
      </c>
      <c r="H43" s="3"/>
      <c r="I43" s="1"/>
      <c r="J43" s="1"/>
      <c r="K43" s="1"/>
      <c r="L43" s="192"/>
      <c r="M43" s="192"/>
      <c r="N43" s="193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</row>
    <row r="44" ht="16.5" customHeight="1">
      <c r="A44" s="1"/>
      <c r="B44" s="1" t="str">
        <f t="shared" si="36"/>
        <v/>
      </c>
      <c r="C44" s="1"/>
      <c r="D44" s="3"/>
      <c r="E44" s="1" t="str">
        <f t="shared" ref="E44:G44" si="41">IF(A44&lt;&gt;"", IF(A44=A43, "", A44), "")</f>
        <v/>
      </c>
      <c r="F44" s="191" t="str">
        <f t="shared" si="41"/>
        <v/>
      </c>
      <c r="G44" s="1" t="str">
        <f t="shared" si="41"/>
        <v/>
      </c>
      <c r="H44" s="3"/>
      <c r="I44" s="1"/>
      <c r="J44" s="1"/>
      <c r="K44" s="1"/>
      <c r="L44" s="192"/>
      <c r="M44" s="192"/>
      <c r="N44" s="193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</row>
    <row r="45" ht="16.5" customHeight="1">
      <c r="A45" s="1"/>
      <c r="B45" s="1" t="str">
        <f t="shared" si="36"/>
        <v/>
      </c>
      <c r="C45" s="1"/>
      <c r="D45" s="3"/>
      <c r="E45" s="1" t="str">
        <f t="shared" ref="E45:H45" si="42">IF(A45&lt;&gt;"", IF(A45=A44, "", A45), "")</f>
        <v/>
      </c>
      <c r="F45" s="191" t="str">
        <f t="shared" si="42"/>
        <v/>
      </c>
      <c r="G45" s="1" t="str">
        <f t="shared" si="42"/>
        <v/>
      </c>
      <c r="H45" s="3" t="str">
        <f t="shared" si="42"/>
        <v/>
      </c>
      <c r="I45" s="1"/>
      <c r="J45" s="1"/>
      <c r="K45" s="1"/>
      <c r="L45" s="192"/>
      <c r="M45" s="192"/>
      <c r="N45" s="193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</row>
    <row r="46" ht="16.5" customHeight="1">
      <c r="A46" s="1"/>
      <c r="B46" s="1" t="str">
        <f t="shared" si="36"/>
        <v/>
      </c>
      <c r="C46" s="1"/>
      <c r="D46" s="3"/>
      <c r="E46" s="1" t="str">
        <f t="shared" ref="E46:H46" si="43">IF(A46&lt;&gt;"", IF(A46=A45, "", A46), "")</f>
        <v/>
      </c>
      <c r="F46" s="191" t="str">
        <f t="shared" si="43"/>
        <v/>
      </c>
      <c r="G46" s="1" t="str">
        <f t="shared" si="43"/>
        <v/>
      </c>
      <c r="H46" s="3" t="str">
        <f t="shared" si="43"/>
        <v/>
      </c>
      <c r="I46" s="1"/>
      <c r="J46" s="1"/>
      <c r="K46" s="1"/>
      <c r="L46" s="192"/>
      <c r="M46" s="192"/>
      <c r="N46" s="193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</row>
    <row r="47" ht="16.5" customHeight="1">
      <c r="A47" s="1"/>
      <c r="B47" s="1" t="str">
        <f t="shared" si="36"/>
        <v/>
      </c>
      <c r="C47" s="1"/>
      <c r="D47" s="3"/>
      <c r="E47" s="1" t="str">
        <f t="shared" ref="E47:H47" si="44">IF(A47&lt;&gt;"", IF(A47=A46, "", A47), "")</f>
        <v/>
      </c>
      <c r="F47" s="191" t="str">
        <f t="shared" si="44"/>
        <v/>
      </c>
      <c r="G47" s="1" t="str">
        <f t="shared" si="44"/>
        <v/>
      </c>
      <c r="H47" s="3" t="str">
        <f t="shared" si="44"/>
        <v/>
      </c>
      <c r="I47" s="1"/>
      <c r="J47" s="1"/>
      <c r="K47" s="1"/>
      <c r="L47" s="192"/>
      <c r="M47" s="192"/>
      <c r="N47" s="193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</row>
    <row r="48" ht="16.5" customHeight="1">
      <c r="A48" s="1"/>
      <c r="B48" s="1" t="str">
        <f t="shared" si="36"/>
        <v/>
      </c>
      <c r="C48" s="1"/>
      <c r="D48" s="3"/>
      <c r="E48" s="1" t="str">
        <f t="shared" ref="E48:H48" si="45">IF(A48&lt;&gt;"", IF(A48=A47, "", A48), "")</f>
        <v/>
      </c>
      <c r="F48" s="191" t="str">
        <f t="shared" si="45"/>
        <v/>
      </c>
      <c r="G48" s="1" t="str">
        <f t="shared" si="45"/>
        <v/>
      </c>
      <c r="H48" s="3" t="str">
        <f t="shared" si="45"/>
        <v/>
      </c>
      <c r="I48" s="1"/>
      <c r="J48" s="1"/>
      <c r="K48" s="1"/>
      <c r="L48" s="192"/>
      <c r="M48" s="192"/>
      <c r="N48" s="193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</row>
    <row r="49" ht="16.5" customHeight="1">
      <c r="A49" s="1"/>
      <c r="B49" s="1" t="str">
        <f t="shared" si="36"/>
        <v/>
      </c>
      <c r="C49" s="1"/>
      <c r="D49" s="3"/>
      <c r="E49" s="1" t="str">
        <f t="shared" ref="E49:H49" si="46">IF(A49&lt;&gt;"", IF(A49=A48, "", A49), "")</f>
        <v/>
      </c>
      <c r="F49" s="191" t="str">
        <f t="shared" si="46"/>
        <v/>
      </c>
      <c r="G49" s="1" t="str">
        <f t="shared" si="46"/>
        <v/>
      </c>
      <c r="H49" s="3" t="str">
        <f t="shared" si="46"/>
        <v/>
      </c>
      <c r="I49" s="1"/>
      <c r="J49" s="1"/>
      <c r="K49" s="1"/>
      <c r="L49" s="192"/>
      <c r="M49" s="192"/>
      <c r="N49" s="193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</row>
    <row r="50" ht="16.5" customHeight="1">
      <c r="A50" s="1"/>
      <c r="B50" s="1" t="str">
        <f t="shared" si="36"/>
        <v/>
      </c>
      <c r="C50" s="1"/>
      <c r="D50" s="3"/>
      <c r="E50" s="1" t="str">
        <f t="shared" ref="E50:H50" si="47">IF(A50&lt;&gt;"", IF(A50=A49, "", A50), "")</f>
        <v/>
      </c>
      <c r="F50" s="191" t="str">
        <f t="shared" si="47"/>
        <v/>
      </c>
      <c r="G50" s="1" t="str">
        <f t="shared" si="47"/>
        <v/>
      </c>
      <c r="H50" s="3" t="str">
        <f t="shared" si="47"/>
        <v/>
      </c>
      <c r="I50" s="1"/>
      <c r="J50" s="1"/>
      <c r="K50" s="1"/>
      <c r="L50" s="192"/>
      <c r="M50" s="192"/>
      <c r="N50" s="193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</row>
    <row r="51" ht="16.5" customHeight="1">
      <c r="A51" s="1"/>
      <c r="B51" s="1" t="str">
        <f t="shared" si="36"/>
        <v/>
      </c>
      <c r="C51" s="1"/>
      <c r="D51" s="3"/>
      <c r="E51" s="1" t="str">
        <f t="shared" ref="E51:H51" si="48">IF(A51&lt;&gt;"", IF(A51=A50, "", A51), "")</f>
        <v/>
      </c>
      <c r="F51" s="191" t="str">
        <f t="shared" si="48"/>
        <v/>
      </c>
      <c r="G51" s="1" t="str">
        <f t="shared" si="48"/>
        <v/>
      </c>
      <c r="H51" s="3" t="str">
        <f t="shared" si="48"/>
        <v/>
      </c>
      <c r="I51" s="1"/>
      <c r="J51" s="1"/>
      <c r="K51" s="1"/>
      <c r="L51" s="192"/>
      <c r="M51" s="192"/>
      <c r="N51" s="193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</row>
    <row r="52" ht="16.5" customHeight="1">
      <c r="A52" s="1"/>
      <c r="B52" s="1" t="str">
        <f t="shared" si="36"/>
        <v/>
      </c>
      <c r="C52" s="1"/>
      <c r="D52" s="3"/>
      <c r="E52" s="1" t="str">
        <f t="shared" ref="E52:H52" si="49">IF(A52&lt;&gt;"", IF(A52=A51, "", A52), "")</f>
        <v/>
      </c>
      <c r="F52" s="191" t="str">
        <f t="shared" si="49"/>
        <v/>
      </c>
      <c r="G52" s="1" t="str">
        <f t="shared" si="49"/>
        <v/>
      </c>
      <c r="H52" s="3" t="str">
        <f t="shared" si="49"/>
        <v/>
      </c>
      <c r="I52" s="1"/>
      <c r="J52" s="1"/>
      <c r="K52" s="1"/>
      <c r="L52" s="192"/>
      <c r="M52" s="192"/>
      <c r="N52" s="193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</row>
    <row r="53" ht="16.5" customHeight="1">
      <c r="A53" s="1"/>
      <c r="B53" s="1" t="str">
        <f t="shared" si="36"/>
        <v/>
      </c>
      <c r="C53" s="1"/>
      <c r="D53" s="3"/>
      <c r="E53" s="1" t="str">
        <f t="shared" ref="E53:H53" si="50">IF(A53&lt;&gt;"", IF(A53=A52, "", A53), "")</f>
        <v/>
      </c>
      <c r="F53" s="191" t="str">
        <f t="shared" si="50"/>
        <v/>
      </c>
      <c r="G53" s="1" t="str">
        <f t="shared" si="50"/>
        <v/>
      </c>
      <c r="H53" s="3" t="str">
        <f t="shared" si="50"/>
        <v/>
      </c>
      <c r="I53" s="1"/>
      <c r="J53" s="1"/>
      <c r="K53" s="1"/>
      <c r="L53" s="192"/>
      <c r="M53" s="192"/>
      <c r="N53" s="193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</row>
    <row r="54" ht="16.5" customHeight="1">
      <c r="A54" s="1"/>
      <c r="B54" s="1" t="str">
        <f t="shared" si="36"/>
        <v/>
      </c>
      <c r="C54" s="1"/>
      <c r="D54" s="3"/>
      <c r="E54" s="1" t="str">
        <f t="shared" ref="E54:H54" si="51">IF(A54&lt;&gt;"", IF(A54=A53, "", A54), "")</f>
        <v/>
      </c>
      <c r="F54" s="191" t="str">
        <f t="shared" si="51"/>
        <v/>
      </c>
      <c r="G54" s="1" t="str">
        <f t="shared" si="51"/>
        <v/>
      </c>
      <c r="H54" s="3" t="str">
        <f t="shared" si="51"/>
        <v/>
      </c>
      <c r="I54" s="1"/>
      <c r="J54" s="1"/>
      <c r="K54" s="1"/>
      <c r="L54" s="192"/>
      <c r="M54" s="192"/>
      <c r="N54" s="193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</row>
    <row r="55" ht="16.5" customHeight="1">
      <c r="A55" s="1"/>
      <c r="B55" s="1" t="str">
        <f t="shared" si="36"/>
        <v/>
      </c>
      <c r="C55" s="1"/>
      <c r="D55" s="3"/>
      <c r="E55" s="1" t="str">
        <f t="shared" ref="E55:H55" si="52">IF(A55&lt;&gt;"", IF(A55=A54, "", A55), "")</f>
        <v/>
      </c>
      <c r="F55" s="191" t="str">
        <f t="shared" si="52"/>
        <v/>
      </c>
      <c r="G55" s="1" t="str">
        <f t="shared" si="52"/>
        <v/>
      </c>
      <c r="H55" s="3" t="str">
        <f t="shared" si="52"/>
        <v/>
      </c>
      <c r="I55" s="1"/>
      <c r="J55" s="1"/>
      <c r="K55" s="1"/>
      <c r="L55" s="192"/>
      <c r="M55" s="192"/>
      <c r="N55" s="193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</row>
    <row r="56" ht="16.5" customHeight="1">
      <c r="A56" s="1"/>
      <c r="B56" s="1" t="str">
        <f t="shared" si="36"/>
        <v/>
      </c>
      <c r="C56" s="1"/>
      <c r="D56" s="3"/>
      <c r="E56" s="1" t="str">
        <f t="shared" ref="E56:H56" si="53">IF(A56&lt;&gt;"", IF(A56=A55, "", A56), "")</f>
        <v/>
      </c>
      <c r="F56" s="191" t="str">
        <f t="shared" si="53"/>
        <v/>
      </c>
      <c r="G56" s="1" t="str">
        <f t="shared" si="53"/>
        <v/>
      </c>
      <c r="H56" s="3" t="str">
        <f t="shared" si="53"/>
        <v/>
      </c>
      <c r="I56" s="1"/>
      <c r="J56" s="1"/>
      <c r="K56" s="1"/>
      <c r="L56" s="192"/>
      <c r="M56" s="192"/>
      <c r="N56" s="193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</row>
    <row r="57" ht="16.5" customHeight="1">
      <c r="A57" s="1"/>
      <c r="B57" s="1" t="str">
        <f t="shared" si="36"/>
        <v/>
      </c>
      <c r="C57" s="1"/>
      <c r="D57" s="3"/>
      <c r="E57" s="1" t="str">
        <f t="shared" ref="E57:H57" si="54">IF(A57&lt;&gt;"", IF(A57=A56, "", A57), "")</f>
        <v/>
      </c>
      <c r="F57" s="191" t="str">
        <f t="shared" si="54"/>
        <v/>
      </c>
      <c r="G57" s="1" t="str">
        <f t="shared" si="54"/>
        <v/>
      </c>
      <c r="H57" s="3" t="str">
        <f t="shared" si="54"/>
        <v/>
      </c>
      <c r="I57" s="1"/>
      <c r="J57" s="1"/>
      <c r="K57" s="1"/>
      <c r="L57" s="192"/>
      <c r="M57" s="192"/>
      <c r="N57" s="193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</row>
    <row r="58" ht="16.5" customHeight="1">
      <c r="A58" s="1"/>
      <c r="B58" s="1" t="str">
        <f t="shared" si="36"/>
        <v/>
      </c>
      <c r="C58" s="1"/>
      <c r="D58" s="3"/>
      <c r="E58" s="1" t="str">
        <f t="shared" ref="E58:H58" si="55">IF(A58&lt;&gt;"", IF(A58=A57, "", A58), "")</f>
        <v/>
      </c>
      <c r="F58" s="191" t="str">
        <f t="shared" si="55"/>
        <v/>
      </c>
      <c r="G58" s="1" t="str">
        <f t="shared" si="55"/>
        <v/>
      </c>
      <c r="H58" s="3" t="str">
        <f t="shared" si="55"/>
        <v/>
      </c>
      <c r="I58" s="1"/>
      <c r="J58" s="1"/>
      <c r="K58" s="1"/>
      <c r="L58" s="192"/>
      <c r="M58" s="192"/>
      <c r="N58" s="193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</row>
    <row r="59" ht="16.5" customHeight="1">
      <c r="A59" s="1"/>
      <c r="B59" s="1" t="str">
        <f t="shared" si="36"/>
        <v/>
      </c>
      <c r="C59" s="1"/>
      <c r="D59" s="3"/>
      <c r="E59" s="1" t="str">
        <f t="shared" ref="E59:H59" si="56">IF(A59&lt;&gt;"", IF(A59=A58, "", A59), "")</f>
        <v/>
      </c>
      <c r="F59" s="191" t="str">
        <f t="shared" si="56"/>
        <v/>
      </c>
      <c r="G59" s="1" t="str">
        <f t="shared" si="56"/>
        <v/>
      </c>
      <c r="H59" s="3" t="str">
        <f t="shared" si="56"/>
        <v/>
      </c>
      <c r="I59" s="1"/>
      <c r="J59" s="1"/>
      <c r="K59" s="1"/>
      <c r="L59" s="192"/>
      <c r="M59" s="192"/>
      <c r="N59" s="193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</row>
    <row r="60" ht="16.5" customHeight="1">
      <c r="A60" s="1"/>
      <c r="B60" s="1" t="str">
        <f t="shared" si="36"/>
        <v/>
      </c>
      <c r="C60" s="1"/>
      <c r="D60" s="3"/>
      <c r="E60" s="1" t="str">
        <f t="shared" ref="E60:H60" si="57">IF(A60&lt;&gt;"", IF(A60=A59, "", A60), "")</f>
        <v/>
      </c>
      <c r="F60" s="191" t="str">
        <f t="shared" si="57"/>
        <v/>
      </c>
      <c r="G60" s="1" t="str">
        <f t="shared" si="57"/>
        <v/>
      </c>
      <c r="H60" s="3" t="str">
        <f t="shared" si="57"/>
        <v/>
      </c>
      <c r="I60" s="1"/>
      <c r="J60" s="1"/>
      <c r="K60" s="1"/>
      <c r="L60" s="192"/>
      <c r="M60" s="192"/>
      <c r="N60" s="193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</row>
    <row r="61" ht="16.5" customHeight="1">
      <c r="A61" s="1"/>
      <c r="B61" s="1" t="str">
        <f t="shared" si="36"/>
        <v/>
      </c>
      <c r="C61" s="1"/>
      <c r="D61" s="3"/>
      <c r="E61" s="1" t="str">
        <f t="shared" ref="E61:H61" si="58">IF(A61&lt;&gt;"", IF(A61=A60, "", A61), "")</f>
        <v/>
      </c>
      <c r="F61" s="191" t="str">
        <f t="shared" si="58"/>
        <v/>
      </c>
      <c r="G61" s="1" t="str">
        <f t="shared" si="58"/>
        <v/>
      </c>
      <c r="H61" s="3" t="str">
        <f t="shared" si="58"/>
        <v/>
      </c>
      <c r="I61" s="1"/>
      <c r="J61" s="1"/>
      <c r="K61" s="1"/>
      <c r="L61" s="192"/>
      <c r="M61" s="192"/>
      <c r="N61" s="193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</row>
    <row r="62" ht="16.5" customHeight="1">
      <c r="A62" s="1"/>
      <c r="B62" s="1" t="str">
        <f t="shared" si="36"/>
        <v/>
      </c>
      <c r="C62" s="1"/>
      <c r="D62" s="3"/>
      <c r="E62" s="1" t="str">
        <f t="shared" ref="E62:H62" si="59">IF(A62&lt;&gt;"", IF(A62=A61, "", A62), "")</f>
        <v/>
      </c>
      <c r="F62" s="191" t="str">
        <f t="shared" si="59"/>
        <v/>
      </c>
      <c r="G62" s="1" t="str">
        <f t="shared" si="59"/>
        <v/>
      </c>
      <c r="H62" s="3" t="str">
        <f t="shared" si="59"/>
        <v/>
      </c>
      <c r="I62" s="1"/>
      <c r="J62" s="1"/>
      <c r="K62" s="1"/>
      <c r="L62" s="192"/>
      <c r="M62" s="192"/>
      <c r="N62" s="193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</row>
    <row r="63" ht="16.5" customHeight="1">
      <c r="A63" s="1"/>
      <c r="B63" s="1" t="str">
        <f t="shared" si="36"/>
        <v/>
      </c>
      <c r="C63" s="1"/>
      <c r="D63" s="3"/>
      <c r="E63" s="1" t="str">
        <f t="shared" ref="E63:H63" si="60">IF(A63&lt;&gt;"", IF(A63=A62, "", A63), "")</f>
        <v/>
      </c>
      <c r="F63" s="191" t="str">
        <f t="shared" si="60"/>
        <v/>
      </c>
      <c r="G63" s="1" t="str">
        <f t="shared" si="60"/>
        <v/>
      </c>
      <c r="H63" s="3" t="str">
        <f t="shared" si="60"/>
        <v/>
      </c>
      <c r="I63" s="1"/>
      <c r="J63" s="1"/>
      <c r="K63" s="1"/>
      <c r="L63" s="192"/>
      <c r="M63" s="192"/>
      <c r="N63" s="193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</row>
    <row r="64" ht="16.5" customHeight="1">
      <c r="A64" s="1"/>
      <c r="B64" s="1" t="str">
        <f t="shared" si="36"/>
        <v/>
      </c>
      <c r="C64" s="1"/>
      <c r="D64" s="3"/>
      <c r="E64" s="1" t="str">
        <f t="shared" ref="E64:H64" si="61">IF(A64&lt;&gt;"", IF(A64=A63, "", A64), "")</f>
        <v/>
      </c>
      <c r="F64" s="191" t="str">
        <f t="shared" si="61"/>
        <v/>
      </c>
      <c r="G64" s="1" t="str">
        <f t="shared" si="61"/>
        <v/>
      </c>
      <c r="H64" s="3" t="str">
        <f t="shared" si="61"/>
        <v/>
      </c>
      <c r="I64" s="1"/>
      <c r="J64" s="1"/>
      <c r="K64" s="1"/>
      <c r="L64" s="192"/>
      <c r="M64" s="192"/>
      <c r="N64" s="193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</row>
    <row r="65" ht="16.5" customHeight="1">
      <c r="A65" s="1"/>
      <c r="B65" s="1" t="str">
        <f t="shared" si="36"/>
        <v/>
      </c>
      <c r="C65" s="1"/>
      <c r="D65" s="3"/>
      <c r="E65" s="1" t="str">
        <f t="shared" ref="E65:H65" si="62">IF(A65&lt;&gt;"", IF(A65=A64, "", A65), "")</f>
        <v/>
      </c>
      <c r="F65" s="191" t="str">
        <f t="shared" si="62"/>
        <v/>
      </c>
      <c r="G65" s="1" t="str">
        <f t="shared" si="62"/>
        <v/>
      </c>
      <c r="H65" s="3" t="str">
        <f t="shared" si="62"/>
        <v/>
      </c>
      <c r="I65" s="1"/>
      <c r="J65" s="1"/>
      <c r="K65" s="1"/>
      <c r="L65" s="192"/>
      <c r="M65" s="192"/>
      <c r="N65" s="193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</row>
    <row r="66" ht="16.5" customHeight="1">
      <c r="A66" s="1"/>
      <c r="B66" s="1" t="str">
        <f t="shared" si="36"/>
        <v/>
      </c>
      <c r="C66" s="1"/>
      <c r="D66" s="3"/>
      <c r="E66" s="1" t="str">
        <f t="shared" ref="E66:H66" si="63">IF(A66&lt;&gt;"", IF(A66=A65, "", A66), "")</f>
        <v/>
      </c>
      <c r="F66" s="191" t="str">
        <f t="shared" si="63"/>
        <v/>
      </c>
      <c r="G66" s="1" t="str">
        <f t="shared" si="63"/>
        <v/>
      </c>
      <c r="H66" s="3" t="str">
        <f t="shared" si="63"/>
        <v/>
      </c>
      <c r="I66" s="1"/>
      <c r="J66" s="1"/>
      <c r="K66" s="1"/>
      <c r="L66" s="192"/>
      <c r="M66" s="192"/>
      <c r="N66" s="193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</row>
    <row r="67" ht="16.5" customHeight="1">
      <c r="A67" s="1"/>
      <c r="B67" s="1" t="str">
        <f t="shared" si="36"/>
        <v/>
      </c>
      <c r="C67" s="1"/>
      <c r="D67" s="3"/>
      <c r="E67" s="1" t="str">
        <f t="shared" ref="E67:H67" si="64">IF(A67&lt;&gt;"", IF(A67=A66, "", A67), "")</f>
        <v/>
      </c>
      <c r="F67" s="191" t="str">
        <f t="shared" si="64"/>
        <v/>
      </c>
      <c r="G67" s="1" t="str">
        <f t="shared" si="64"/>
        <v/>
      </c>
      <c r="H67" s="3" t="str">
        <f t="shared" si="64"/>
        <v/>
      </c>
      <c r="I67" s="1"/>
      <c r="J67" s="1"/>
      <c r="K67" s="1"/>
      <c r="L67" s="192"/>
      <c r="M67" s="192"/>
      <c r="N67" s="193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</row>
    <row r="68" ht="16.5" customHeight="1">
      <c r="A68" s="1"/>
      <c r="B68" s="1" t="str">
        <f t="shared" si="36"/>
        <v/>
      </c>
      <c r="C68" s="1"/>
      <c r="D68" s="3"/>
      <c r="E68" s="1" t="str">
        <f t="shared" ref="E68:H68" si="65">IF(A68&lt;&gt;"", IF(A68=A67, "", A68), "")</f>
        <v/>
      </c>
      <c r="F68" s="191" t="str">
        <f t="shared" si="65"/>
        <v/>
      </c>
      <c r="G68" s="1" t="str">
        <f t="shared" si="65"/>
        <v/>
      </c>
      <c r="H68" s="3" t="str">
        <f t="shared" si="65"/>
        <v/>
      </c>
      <c r="I68" s="1"/>
      <c r="J68" s="1"/>
      <c r="K68" s="1"/>
      <c r="L68" s="192"/>
      <c r="M68" s="192"/>
      <c r="N68" s="193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</row>
    <row r="69" ht="16.5" customHeight="1">
      <c r="A69" s="1"/>
      <c r="B69" s="1" t="str">
        <f t="shared" si="36"/>
        <v/>
      </c>
      <c r="C69" s="1"/>
      <c r="D69" s="3"/>
      <c r="E69" s="1" t="str">
        <f t="shared" ref="E69:H69" si="66">IF(A69&lt;&gt;"", IF(A69=A68, "", A69), "")</f>
        <v/>
      </c>
      <c r="F69" s="191" t="str">
        <f t="shared" si="66"/>
        <v/>
      </c>
      <c r="G69" s="1" t="str">
        <f t="shared" si="66"/>
        <v/>
      </c>
      <c r="H69" s="3" t="str">
        <f t="shared" si="66"/>
        <v/>
      </c>
      <c r="I69" s="1"/>
      <c r="J69" s="1"/>
      <c r="K69" s="1"/>
      <c r="L69" s="192"/>
      <c r="M69" s="192"/>
      <c r="N69" s="193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</row>
    <row r="70" ht="16.5" customHeight="1">
      <c r="A70" s="1"/>
      <c r="B70" s="1" t="str">
        <f t="shared" si="36"/>
        <v/>
      </c>
      <c r="C70" s="1"/>
      <c r="D70" s="3"/>
      <c r="E70" s="1" t="str">
        <f t="shared" ref="E70:H70" si="67">IF(A70&lt;&gt;"", IF(A70=A69, "", A70), "")</f>
        <v/>
      </c>
      <c r="F70" s="191" t="str">
        <f t="shared" si="67"/>
        <v/>
      </c>
      <c r="G70" s="1" t="str">
        <f t="shared" si="67"/>
        <v/>
      </c>
      <c r="H70" s="3" t="str">
        <f t="shared" si="67"/>
        <v/>
      </c>
      <c r="I70" s="1"/>
      <c r="J70" s="1"/>
      <c r="K70" s="1"/>
      <c r="L70" s="192"/>
      <c r="M70" s="192"/>
      <c r="N70" s="193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</row>
    <row r="71" ht="16.5" customHeight="1">
      <c r="A71" s="1"/>
      <c r="B71" s="1" t="str">
        <f t="shared" si="36"/>
        <v/>
      </c>
      <c r="C71" s="1"/>
      <c r="D71" s="3"/>
      <c r="E71" s="1" t="str">
        <f t="shared" ref="E71:H71" si="68">IF(A71&lt;&gt;"", IF(A71=A70, "", A71), "")</f>
        <v/>
      </c>
      <c r="F71" s="191" t="str">
        <f t="shared" si="68"/>
        <v/>
      </c>
      <c r="G71" s="1" t="str">
        <f t="shared" si="68"/>
        <v/>
      </c>
      <c r="H71" s="3" t="str">
        <f t="shared" si="68"/>
        <v/>
      </c>
      <c r="I71" s="1"/>
      <c r="J71" s="1"/>
      <c r="K71" s="1"/>
      <c r="L71" s="192"/>
      <c r="M71" s="192"/>
      <c r="N71" s="193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</row>
    <row r="72" ht="16.5" customHeight="1">
      <c r="A72" s="1"/>
      <c r="B72" s="1" t="str">
        <f t="shared" si="36"/>
        <v/>
      </c>
      <c r="C72" s="1"/>
      <c r="D72" s="3"/>
      <c r="E72" s="1" t="str">
        <f t="shared" ref="E72:H72" si="69">IF(A72&lt;&gt;"", IF(A72=A71, "", A72), "")</f>
        <v/>
      </c>
      <c r="F72" s="191" t="str">
        <f t="shared" si="69"/>
        <v/>
      </c>
      <c r="G72" s="1" t="str">
        <f t="shared" si="69"/>
        <v/>
      </c>
      <c r="H72" s="3" t="str">
        <f t="shared" si="69"/>
        <v/>
      </c>
      <c r="I72" s="1"/>
      <c r="J72" s="1"/>
      <c r="K72" s="1"/>
      <c r="L72" s="192"/>
      <c r="M72" s="192"/>
      <c r="N72" s="193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</row>
    <row r="73" ht="16.5" customHeight="1">
      <c r="A73" s="1"/>
      <c r="B73" s="1" t="str">
        <f t="shared" si="36"/>
        <v/>
      </c>
      <c r="C73" s="1"/>
      <c r="D73" s="3"/>
      <c r="E73" s="1" t="str">
        <f t="shared" ref="E73:H73" si="70">IF(A73&lt;&gt;"", IF(A73=A72, "", A73), "")</f>
        <v/>
      </c>
      <c r="F73" s="191" t="str">
        <f t="shared" si="70"/>
        <v/>
      </c>
      <c r="G73" s="1" t="str">
        <f t="shared" si="70"/>
        <v/>
      </c>
      <c r="H73" s="3" t="str">
        <f t="shared" si="70"/>
        <v/>
      </c>
      <c r="I73" s="1"/>
      <c r="J73" s="1"/>
      <c r="K73" s="1"/>
      <c r="L73" s="192"/>
      <c r="M73" s="192"/>
      <c r="N73" s="193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</row>
    <row r="74" ht="16.5" customHeight="1">
      <c r="A74" s="1"/>
      <c r="B74" s="1" t="str">
        <f t="shared" si="36"/>
        <v/>
      </c>
      <c r="C74" s="1"/>
      <c r="D74" s="3"/>
      <c r="E74" s="1" t="str">
        <f t="shared" ref="E74:H74" si="71">IF(A74&lt;&gt;"", IF(A74=A73, "", A74), "")</f>
        <v/>
      </c>
      <c r="F74" s="191" t="str">
        <f t="shared" si="71"/>
        <v/>
      </c>
      <c r="G74" s="1" t="str">
        <f t="shared" si="71"/>
        <v/>
      </c>
      <c r="H74" s="3" t="str">
        <f t="shared" si="71"/>
        <v/>
      </c>
      <c r="I74" s="1"/>
      <c r="J74" s="1"/>
      <c r="K74" s="1"/>
      <c r="L74" s="192"/>
      <c r="M74" s="192"/>
      <c r="N74" s="193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</row>
    <row r="75" ht="16.5" customHeight="1">
      <c r="A75" s="1"/>
      <c r="B75" s="1" t="str">
        <f t="shared" si="36"/>
        <v/>
      </c>
      <c r="C75" s="1"/>
      <c r="D75" s="3"/>
      <c r="E75" s="1" t="str">
        <f t="shared" ref="E75:H75" si="72">IF(A75&lt;&gt;"", IF(A75=A74, "", A75), "")</f>
        <v/>
      </c>
      <c r="F75" s="191" t="str">
        <f t="shared" si="72"/>
        <v/>
      </c>
      <c r="G75" s="1" t="str">
        <f t="shared" si="72"/>
        <v/>
      </c>
      <c r="H75" s="3" t="str">
        <f t="shared" si="72"/>
        <v/>
      </c>
      <c r="I75" s="1"/>
      <c r="J75" s="1"/>
      <c r="K75" s="1"/>
      <c r="L75" s="192"/>
      <c r="M75" s="192"/>
      <c r="N75" s="193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</row>
    <row r="76" ht="16.5" customHeight="1">
      <c r="A76" s="1"/>
      <c r="B76" s="1" t="str">
        <f t="shared" si="36"/>
        <v/>
      </c>
      <c r="C76" s="1"/>
      <c r="D76" s="3"/>
      <c r="E76" s="1" t="str">
        <f t="shared" ref="E76:H76" si="73">IF(A76&lt;&gt;"", IF(A76=A75, "", A76), "")</f>
        <v/>
      </c>
      <c r="F76" s="191" t="str">
        <f t="shared" si="73"/>
        <v/>
      </c>
      <c r="G76" s="1" t="str">
        <f t="shared" si="73"/>
        <v/>
      </c>
      <c r="H76" s="3" t="str">
        <f t="shared" si="73"/>
        <v/>
      </c>
      <c r="I76" s="1"/>
      <c r="J76" s="1"/>
      <c r="K76" s="1"/>
      <c r="L76" s="192"/>
      <c r="M76" s="192"/>
      <c r="N76" s="193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</row>
    <row r="77" ht="16.5" customHeight="1">
      <c r="A77" s="1"/>
      <c r="B77" s="1" t="str">
        <f t="shared" si="36"/>
        <v/>
      </c>
      <c r="C77" s="1"/>
      <c r="D77" s="3"/>
      <c r="E77" s="1" t="str">
        <f t="shared" ref="E77:H77" si="74">IF(A77&lt;&gt;"", IF(A77=A76, "", A77), "")</f>
        <v/>
      </c>
      <c r="F77" s="191" t="str">
        <f t="shared" si="74"/>
        <v/>
      </c>
      <c r="G77" s="1" t="str">
        <f t="shared" si="74"/>
        <v/>
      </c>
      <c r="H77" s="3" t="str">
        <f t="shared" si="74"/>
        <v/>
      </c>
      <c r="I77" s="1"/>
      <c r="J77" s="1"/>
      <c r="K77" s="1"/>
      <c r="L77" s="192"/>
      <c r="M77" s="192"/>
      <c r="N77" s="193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</row>
    <row r="78" ht="16.5" customHeight="1">
      <c r="A78" s="1"/>
      <c r="B78" s="1" t="str">
        <f t="shared" si="36"/>
        <v/>
      </c>
      <c r="C78" s="1"/>
      <c r="D78" s="3"/>
      <c r="E78" s="1" t="str">
        <f t="shared" ref="E78:H78" si="75">IF(A78&lt;&gt;"", IF(A78=A77, "", A78), "")</f>
        <v/>
      </c>
      <c r="F78" s="191" t="str">
        <f t="shared" si="75"/>
        <v/>
      </c>
      <c r="G78" s="1" t="str">
        <f t="shared" si="75"/>
        <v/>
      </c>
      <c r="H78" s="3" t="str">
        <f t="shared" si="75"/>
        <v/>
      </c>
      <c r="I78" s="1"/>
      <c r="J78" s="1"/>
      <c r="K78" s="1"/>
      <c r="L78" s="192"/>
      <c r="M78" s="192"/>
      <c r="N78" s="193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</row>
    <row r="79" ht="16.5" customHeight="1">
      <c r="A79" s="1"/>
      <c r="B79" s="1" t="str">
        <f t="shared" si="36"/>
        <v/>
      </c>
      <c r="C79" s="1"/>
      <c r="D79" s="3"/>
      <c r="E79" s="1" t="str">
        <f t="shared" ref="E79:H79" si="76">IF(A79&lt;&gt;"", IF(A79=A78, "", A79), "")</f>
        <v/>
      </c>
      <c r="F79" s="191" t="str">
        <f t="shared" si="76"/>
        <v/>
      </c>
      <c r="G79" s="1" t="str">
        <f t="shared" si="76"/>
        <v/>
      </c>
      <c r="H79" s="3" t="str">
        <f t="shared" si="76"/>
        <v/>
      </c>
      <c r="I79" s="1"/>
      <c r="J79" s="1"/>
      <c r="K79" s="1"/>
      <c r="L79" s="192"/>
      <c r="M79" s="192"/>
      <c r="N79" s="193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</row>
    <row r="80" ht="16.5" customHeight="1">
      <c r="A80" s="1"/>
      <c r="B80" s="1" t="str">
        <f t="shared" si="36"/>
        <v/>
      </c>
      <c r="C80" s="1"/>
      <c r="D80" s="3"/>
      <c r="E80" s="1" t="str">
        <f t="shared" ref="E80:H80" si="77">IF(A80&lt;&gt;"", IF(A80=A79, "", A80), "")</f>
        <v/>
      </c>
      <c r="F80" s="191" t="str">
        <f t="shared" si="77"/>
        <v/>
      </c>
      <c r="G80" s="1" t="str">
        <f t="shared" si="77"/>
        <v/>
      </c>
      <c r="H80" s="3" t="str">
        <f t="shared" si="77"/>
        <v/>
      </c>
      <c r="I80" s="1"/>
      <c r="J80" s="1"/>
      <c r="K80" s="1"/>
      <c r="L80" s="192"/>
      <c r="M80" s="192"/>
      <c r="N80" s="193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</row>
    <row r="81" ht="16.5" customHeight="1">
      <c r="A81" s="1"/>
      <c r="B81" s="1" t="str">
        <f t="shared" si="36"/>
        <v/>
      </c>
      <c r="C81" s="1"/>
      <c r="D81" s="3"/>
      <c r="E81" s="1" t="str">
        <f t="shared" ref="E81:H81" si="78">IF(A81&lt;&gt;"", IF(A81=A80, "", A81), "")</f>
        <v/>
      </c>
      <c r="F81" s="191" t="str">
        <f t="shared" si="78"/>
        <v/>
      </c>
      <c r="G81" s="1" t="str">
        <f t="shared" si="78"/>
        <v/>
      </c>
      <c r="H81" s="3" t="str">
        <f t="shared" si="78"/>
        <v/>
      </c>
      <c r="I81" s="1"/>
      <c r="J81" s="1"/>
      <c r="K81" s="1"/>
      <c r="L81" s="192"/>
      <c r="M81" s="192"/>
      <c r="N81" s="193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</row>
    <row r="82" ht="16.5" customHeight="1">
      <c r="A82" s="1"/>
      <c r="B82" s="1" t="str">
        <f t="shared" si="36"/>
        <v/>
      </c>
      <c r="C82" s="1"/>
      <c r="D82" s="3"/>
      <c r="E82" s="1" t="str">
        <f t="shared" ref="E82:H82" si="79">IF(A82&lt;&gt;"", IF(A82=A81, "", A82), "")</f>
        <v/>
      </c>
      <c r="F82" s="191" t="str">
        <f t="shared" si="79"/>
        <v/>
      </c>
      <c r="G82" s="1" t="str">
        <f t="shared" si="79"/>
        <v/>
      </c>
      <c r="H82" s="3" t="str">
        <f t="shared" si="79"/>
        <v/>
      </c>
      <c r="I82" s="1"/>
      <c r="J82" s="1"/>
      <c r="K82" s="1"/>
      <c r="L82" s="192"/>
      <c r="M82" s="192"/>
      <c r="N82" s="193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</row>
    <row r="83" ht="16.5" customHeight="1">
      <c r="A83" s="1"/>
      <c r="B83" s="1" t="str">
        <f t="shared" si="36"/>
        <v/>
      </c>
      <c r="C83" s="1"/>
      <c r="D83" s="3"/>
      <c r="E83" s="1" t="str">
        <f t="shared" ref="E83:H83" si="80">IF(A83&lt;&gt;"", IF(A83=A82, "", A83), "")</f>
        <v/>
      </c>
      <c r="F83" s="191" t="str">
        <f t="shared" si="80"/>
        <v/>
      </c>
      <c r="G83" s="1" t="str">
        <f t="shared" si="80"/>
        <v/>
      </c>
      <c r="H83" s="3" t="str">
        <f t="shared" si="80"/>
        <v/>
      </c>
      <c r="I83" s="1"/>
      <c r="J83" s="1"/>
      <c r="K83" s="1"/>
      <c r="L83" s="192"/>
      <c r="M83" s="192"/>
      <c r="N83" s="193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</row>
    <row r="84" ht="16.5" customHeight="1">
      <c r="A84" s="1"/>
      <c r="B84" s="1" t="str">
        <f t="shared" si="36"/>
        <v/>
      </c>
      <c r="C84" s="1"/>
      <c r="D84" s="3"/>
      <c r="E84" s="1" t="str">
        <f t="shared" ref="E84:H84" si="81">IF(A84&lt;&gt;"", IF(A84=A83, "", A84), "")</f>
        <v/>
      </c>
      <c r="F84" s="191" t="str">
        <f t="shared" si="81"/>
        <v/>
      </c>
      <c r="G84" s="1" t="str">
        <f t="shared" si="81"/>
        <v/>
      </c>
      <c r="H84" s="3" t="str">
        <f t="shared" si="81"/>
        <v/>
      </c>
      <c r="I84" s="1"/>
      <c r="J84" s="1"/>
      <c r="K84" s="1"/>
      <c r="L84" s="192"/>
      <c r="M84" s="192"/>
      <c r="N84" s="193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</row>
    <row r="85" ht="16.5" customHeight="1">
      <c r="A85" s="1"/>
      <c r="B85" s="1" t="str">
        <f t="shared" si="36"/>
        <v/>
      </c>
      <c r="C85" s="1"/>
      <c r="D85" s="3"/>
      <c r="E85" s="1" t="str">
        <f t="shared" ref="E85:H85" si="82">IF(A85&lt;&gt;"", IF(A85=A84, "", A85), "")</f>
        <v/>
      </c>
      <c r="F85" s="191" t="str">
        <f t="shared" si="82"/>
        <v/>
      </c>
      <c r="G85" s="1" t="str">
        <f t="shared" si="82"/>
        <v/>
      </c>
      <c r="H85" s="3" t="str">
        <f t="shared" si="82"/>
        <v/>
      </c>
      <c r="I85" s="1"/>
      <c r="J85" s="1"/>
      <c r="K85" s="1"/>
      <c r="L85" s="192"/>
      <c r="M85" s="192"/>
      <c r="N85" s="193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</row>
    <row r="86" ht="16.5" customHeight="1">
      <c r="A86" s="1"/>
      <c r="B86" s="1" t="str">
        <f t="shared" si="36"/>
        <v/>
      </c>
      <c r="C86" s="1"/>
      <c r="D86" s="3"/>
      <c r="E86" s="1" t="str">
        <f t="shared" ref="E86:H86" si="83">IF(A86&lt;&gt;"", IF(A86=A85, "", A86), "")</f>
        <v/>
      </c>
      <c r="F86" s="191" t="str">
        <f t="shared" si="83"/>
        <v/>
      </c>
      <c r="G86" s="1" t="str">
        <f t="shared" si="83"/>
        <v/>
      </c>
      <c r="H86" s="3" t="str">
        <f t="shared" si="83"/>
        <v/>
      </c>
      <c r="I86" s="1"/>
      <c r="J86" s="1"/>
      <c r="K86" s="1"/>
      <c r="L86" s="192"/>
      <c r="M86" s="192"/>
      <c r="N86" s="193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</row>
    <row r="87" ht="16.5" customHeight="1">
      <c r="A87" s="1"/>
      <c r="B87" s="1" t="str">
        <f t="shared" si="36"/>
        <v/>
      </c>
      <c r="C87" s="1"/>
      <c r="D87" s="3"/>
      <c r="E87" s="1" t="str">
        <f t="shared" ref="E87:H87" si="84">IF(A87&lt;&gt;"", IF(A87=A86, "", A87), "")</f>
        <v/>
      </c>
      <c r="F87" s="191" t="str">
        <f t="shared" si="84"/>
        <v/>
      </c>
      <c r="G87" s="1" t="str">
        <f t="shared" si="84"/>
        <v/>
      </c>
      <c r="H87" s="3" t="str">
        <f t="shared" si="84"/>
        <v/>
      </c>
      <c r="I87" s="1"/>
      <c r="J87" s="1"/>
      <c r="K87" s="1"/>
      <c r="L87" s="192"/>
      <c r="M87" s="192"/>
      <c r="N87" s="193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</row>
    <row r="88" ht="16.5" customHeight="1">
      <c r="A88" s="1"/>
      <c r="B88" s="1" t="str">
        <f t="shared" si="36"/>
        <v/>
      </c>
      <c r="C88" s="1"/>
      <c r="D88" s="3"/>
      <c r="E88" s="1" t="str">
        <f t="shared" ref="E88:H88" si="85">IF(A88&lt;&gt;"", IF(A88=A87, "", A88), "")</f>
        <v/>
      </c>
      <c r="F88" s="191" t="str">
        <f t="shared" si="85"/>
        <v/>
      </c>
      <c r="G88" s="1" t="str">
        <f t="shared" si="85"/>
        <v/>
      </c>
      <c r="H88" s="3" t="str">
        <f t="shared" si="85"/>
        <v/>
      </c>
      <c r="I88" s="1"/>
      <c r="J88" s="1"/>
      <c r="K88" s="1"/>
      <c r="L88" s="192"/>
      <c r="M88" s="192"/>
      <c r="N88" s="193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</row>
    <row r="89" ht="16.5" customHeight="1">
      <c r="A89" s="1"/>
      <c r="B89" s="1" t="str">
        <f t="shared" si="36"/>
        <v/>
      </c>
      <c r="C89" s="1"/>
      <c r="D89" s="3"/>
      <c r="E89" s="1" t="str">
        <f t="shared" ref="E89:H89" si="86">IF(A89&lt;&gt;"", IF(A89=A88, "", A89), "")</f>
        <v/>
      </c>
      <c r="F89" s="191" t="str">
        <f t="shared" si="86"/>
        <v/>
      </c>
      <c r="G89" s="1" t="str">
        <f t="shared" si="86"/>
        <v/>
      </c>
      <c r="H89" s="3" t="str">
        <f t="shared" si="86"/>
        <v/>
      </c>
      <c r="I89" s="1"/>
      <c r="J89" s="1"/>
      <c r="K89" s="1"/>
      <c r="L89" s="192"/>
      <c r="M89" s="192"/>
      <c r="N89" s="193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</row>
    <row r="90" ht="16.5" customHeight="1">
      <c r="A90" s="1"/>
      <c r="B90" s="1" t="str">
        <f t="shared" si="36"/>
        <v/>
      </c>
      <c r="C90" s="1"/>
      <c r="D90" s="3"/>
      <c r="E90" s="1" t="str">
        <f t="shared" ref="E90:H90" si="87">IF(A90&lt;&gt;"", IF(A90=A89, "", A90), "")</f>
        <v/>
      </c>
      <c r="F90" s="191" t="str">
        <f t="shared" si="87"/>
        <v/>
      </c>
      <c r="G90" s="1" t="str">
        <f t="shared" si="87"/>
        <v/>
      </c>
      <c r="H90" s="3" t="str">
        <f t="shared" si="87"/>
        <v/>
      </c>
      <c r="I90" s="1"/>
      <c r="J90" s="1"/>
      <c r="K90" s="1"/>
      <c r="L90" s="192"/>
      <c r="M90" s="192"/>
      <c r="N90" s="193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</row>
    <row r="91" ht="16.5" customHeight="1">
      <c r="A91" s="1"/>
      <c r="B91" s="1" t="str">
        <f t="shared" si="36"/>
        <v/>
      </c>
      <c r="C91" s="1"/>
      <c r="D91" s="3"/>
      <c r="E91" s="1" t="str">
        <f t="shared" ref="E91:H91" si="88">IF(A91&lt;&gt;"", IF(A91=A90, "", A91), "")</f>
        <v/>
      </c>
      <c r="F91" s="191" t="str">
        <f t="shared" si="88"/>
        <v/>
      </c>
      <c r="G91" s="1" t="str">
        <f t="shared" si="88"/>
        <v/>
      </c>
      <c r="H91" s="3" t="str">
        <f t="shared" si="88"/>
        <v/>
      </c>
      <c r="I91" s="1"/>
      <c r="J91" s="1"/>
      <c r="K91" s="1"/>
      <c r="L91" s="192"/>
      <c r="M91" s="192"/>
      <c r="N91" s="193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</row>
    <row r="92" ht="16.5" customHeight="1">
      <c r="A92" s="1"/>
      <c r="B92" s="1" t="str">
        <f t="shared" si="36"/>
        <v/>
      </c>
      <c r="C92" s="1"/>
      <c r="D92" s="3"/>
      <c r="E92" s="1" t="str">
        <f t="shared" ref="E92:H92" si="89">IF(A92&lt;&gt;"", IF(A92=A91, "", A92), "")</f>
        <v/>
      </c>
      <c r="F92" s="191" t="str">
        <f t="shared" si="89"/>
        <v/>
      </c>
      <c r="G92" s="1" t="str">
        <f t="shared" si="89"/>
        <v/>
      </c>
      <c r="H92" s="3" t="str">
        <f t="shared" si="89"/>
        <v/>
      </c>
      <c r="I92" s="1"/>
      <c r="J92" s="1"/>
      <c r="K92" s="1"/>
      <c r="L92" s="192"/>
      <c r="M92" s="192"/>
      <c r="N92" s="193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</row>
    <row r="93" ht="16.5" customHeight="1">
      <c r="A93" s="1"/>
      <c r="B93" s="1" t="str">
        <f t="shared" si="36"/>
        <v/>
      </c>
      <c r="C93" s="1"/>
      <c r="D93" s="3"/>
      <c r="E93" s="1" t="str">
        <f t="shared" ref="E93:H93" si="90">IF(A93&lt;&gt;"", IF(A93=A92, "", A93), "")</f>
        <v/>
      </c>
      <c r="F93" s="191" t="str">
        <f t="shared" si="90"/>
        <v/>
      </c>
      <c r="G93" s="1" t="str">
        <f t="shared" si="90"/>
        <v/>
      </c>
      <c r="H93" s="3" t="str">
        <f t="shared" si="90"/>
        <v/>
      </c>
      <c r="I93" s="1"/>
      <c r="J93" s="1"/>
      <c r="K93" s="1"/>
      <c r="L93" s="192"/>
      <c r="M93" s="192"/>
      <c r="N93" s="193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</row>
    <row r="94" ht="16.5" customHeight="1">
      <c r="A94" s="1"/>
      <c r="B94" s="1" t="str">
        <f t="shared" si="36"/>
        <v/>
      </c>
      <c r="C94" s="1"/>
      <c r="D94" s="3"/>
      <c r="E94" s="1" t="str">
        <f t="shared" ref="E94:H94" si="91">IF(A94&lt;&gt;"", IF(A94=A93, "", A94), "")</f>
        <v/>
      </c>
      <c r="F94" s="191" t="str">
        <f t="shared" si="91"/>
        <v/>
      </c>
      <c r="G94" s="1" t="str">
        <f t="shared" si="91"/>
        <v/>
      </c>
      <c r="H94" s="3" t="str">
        <f t="shared" si="91"/>
        <v/>
      </c>
      <c r="I94" s="1"/>
      <c r="J94" s="1"/>
      <c r="K94" s="1"/>
      <c r="L94" s="192"/>
      <c r="M94" s="192"/>
      <c r="N94" s="193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</row>
    <row r="95" ht="16.5" customHeight="1">
      <c r="A95" s="1"/>
      <c r="B95" s="1" t="str">
        <f t="shared" si="36"/>
        <v/>
      </c>
      <c r="C95" s="1"/>
      <c r="D95" s="3"/>
      <c r="E95" s="1" t="str">
        <f t="shared" ref="E95:H95" si="92">IF(A95&lt;&gt;"", IF(A95=A94, "", A95), "")</f>
        <v/>
      </c>
      <c r="F95" s="191" t="str">
        <f t="shared" si="92"/>
        <v/>
      </c>
      <c r="G95" s="1" t="str">
        <f t="shared" si="92"/>
        <v/>
      </c>
      <c r="H95" s="3" t="str">
        <f t="shared" si="92"/>
        <v/>
      </c>
      <c r="I95" s="1"/>
      <c r="J95" s="1"/>
      <c r="K95" s="1"/>
      <c r="L95" s="192"/>
      <c r="M95" s="192"/>
      <c r="N95" s="193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</row>
    <row r="96" ht="16.5" customHeight="1">
      <c r="A96" s="1"/>
      <c r="B96" s="1" t="str">
        <f t="shared" si="36"/>
        <v/>
      </c>
      <c r="C96" s="1"/>
      <c r="D96" s="3"/>
      <c r="E96" s="1" t="str">
        <f t="shared" ref="E96:H96" si="93">IF(A96&lt;&gt;"", IF(A96=A95, "", A96), "")</f>
        <v/>
      </c>
      <c r="F96" s="191" t="str">
        <f t="shared" si="93"/>
        <v/>
      </c>
      <c r="G96" s="1" t="str">
        <f t="shared" si="93"/>
        <v/>
      </c>
      <c r="H96" s="3" t="str">
        <f t="shared" si="93"/>
        <v/>
      </c>
      <c r="I96" s="1"/>
      <c r="J96" s="1"/>
      <c r="K96" s="1"/>
      <c r="L96" s="192"/>
      <c r="M96" s="192"/>
      <c r="N96" s="193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</row>
    <row r="97" ht="16.5" customHeight="1">
      <c r="A97" s="1"/>
      <c r="B97" s="1" t="str">
        <f t="shared" si="36"/>
        <v/>
      </c>
      <c r="C97" s="1"/>
      <c r="D97" s="3"/>
      <c r="E97" s="1" t="str">
        <f t="shared" ref="E97:H97" si="94">IF(A97&lt;&gt;"", IF(A97=A96, "", A97), "")</f>
        <v/>
      </c>
      <c r="F97" s="191" t="str">
        <f t="shared" si="94"/>
        <v/>
      </c>
      <c r="G97" s="1" t="str">
        <f t="shared" si="94"/>
        <v/>
      </c>
      <c r="H97" s="3" t="str">
        <f t="shared" si="94"/>
        <v/>
      </c>
      <c r="I97" s="1"/>
      <c r="J97" s="1"/>
      <c r="K97" s="1"/>
      <c r="L97" s="192"/>
      <c r="M97" s="192"/>
      <c r="N97" s="193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</row>
    <row r="98" ht="16.5" customHeight="1">
      <c r="A98" s="1"/>
      <c r="B98" s="1" t="str">
        <f t="shared" si="36"/>
        <v/>
      </c>
      <c r="C98" s="1"/>
      <c r="D98" s="3"/>
      <c r="E98" s="1" t="str">
        <f t="shared" ref="E98:H98" si="95">IF(A98&lt;&gt;"", IF(A98=A97, "", A98), "")</f>
        <v/>
      </c>
      <c r="F98" s="191" t="str">
        <f t="shared" si="95"/>
        <v/>
      </c>
      <c r="G98" s="1" t="str">
        <f t="shared" si="95"/>
        <v/>
      </c>
      <c r="H98" s="3" t="str">
        <f t="shared" si="95"/>
        <v/>
      </c>
      <c r="I98" s="1"/>
      <c r="J98" s="1"/>
      <c r="K98" s="1"/>
      <c r="L98" s="192"/>
      <c r="M98" s="192"/>
      <c r="N98" s="193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</row>
    <row r="99" ht="16.5" customHeight="1">
      <c r="A99" s="1"/>
      <c r="B99" s="1" t="str">
        <f t="shared" si="36"/>
        <v/>
      </c>
      <c r="C99" s="1"/>
      <c r="D99" s="3"/>
      <c r="E99" s="1" t="str">
        <f t="shared" ref="E99:H99" si="96">IF(A99&lt;&gt;"", IF(A99=A98, "", A99), "")</f>
        <v/>
      </c>
      <c r="F99" s="191" t="str">
        <f t="shared" si="96"/>
        <v/>
      </c>
      <c r="G99" s="1" t="str">
        <f t="shared" si="96"/>
        <v/>
      </c>
      <c r="H99" s="3" t="str">
        <f t="shared" si="96"/>
        <v/>
      </c>
      <c r="I99" s="1"/>
      <c r="J99" s="1"/>
      <c r="K99" s="1"/>
      <c r="L99" s="192"/>
      <c r="M99" s="192"/>
      <c r="N99" s="193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</row>
    <row r="100" ht="16.5" customHeight="1">
      <c r="A100" s="1"/>
      <c r="B100" s="1" t="str">
        <f t="shared" si="36"/>
        <v/>
      </c>
      <c r="C100" s="1"/>
      <c r="D100" s="3"/>
      <c r="E100" s="1" t="str">
        <f t="shared" ref="E100:H100" si="97">IF(A100&lt;&gt;"", IF(A100=A99, "", A100), "")</f>
        <v/>
      </c>
      <c r="F100" s="191" t="str">
        <f t="shared" si="97"/>
        <v/>
      </c>
      <c r="G100" s="1" t="str">
        <f t="shared" si="97"/>
        <v/>
      </c>
      <c r="H100" s="3" t="str">
        <f t="shared" si="97"/>
        <v/>
      </c>
      <c r="I100" s="1"/>
      <c r="J100" s="1"/>
      <c r="K100" s="1"/>
      <c r="L100" s="192"/>
      <c r="M100" s="192"/>
      <c r="N100" s="193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</row>
    <row r="101" ht="16.5" customHeight="1">
      <c r="A101" s="1"/>
      <c r="B101" s="1" t="str">
        <f t="shared" si="36"/>
        <v/>
      </c>
      <c r="C101" s="1"/>
      <c r="D101" s="3"/>
      <c r="E101" s="1" t="str">
        <f t="shared" ref="E101:H101" si="98">IF(A101&lt;&gt;"", IF(A101=A100, "", A101), "")</f>
        <v/>
      </c>
      <c r="F101" s="191" t="str">
        <f t="shared" si="98"/>
        <v/>
      </c>
      <c r="G101" s="1" t="str">
        <f t="shared" si="98"/>
        <v/>
      </c>
      <c r="H101" s="3" t="str">
        <f t="shared" si="98"/>
        <v/>
      </c>
      <c r="I101" s="1"/>
      <c r="J101" s="1"/>
      <c r="K101" s="1"/>
      <c r="L101" s="192"/>
      <c r="M101" s="192"/>
      <c r="N101" s="193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</row>
    <row r="102" ht="16.5" customHeight="1">
      <c r="A102" s="1"/>
      <c r="B102" s="1" t="str">
        <f t="shared" si="36"/>
        <v/>
      </c>
      <c r="C102" s="1"/>
      <c r="D102" s="3"/>
      <c r="E102" s="1" t="str">
        <f t="shared" ref="E102:H102" si="99">IF(A102&lt;&gt;"", IF(A102=A101, "", A102), "")</f>
        <v/>
      </c>
      <c r="F102" s="191" t="str">
        <f t="shared" si="99"/>
        <v/>
      </c>
      <c r="G102" s="1" t="str">
        <f t="shared" si="99"/>
        <v/>
      </c>
      <c r="H102" s="3" t="str">
        <f t="shared" si="99"/>
        <v/>
      </c>
      <c r="I102" s="1"/>
      <c r="J102" s="1"/>
      <c r="K102" s="1"/>
      <c r="L102" s="192"/>
      <c r="M102" s="192"/>
      <c r="N102" s="193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</row>
    <row r="103" ht="16.5" customHeight="1">
      <c r="A103" s="1"/>
      <c r="B103" s="1" t="str">
        <f t="shared" si="36"/>
        <v/>
      </c>
      <c r="C103" s="1"/>
      <c r="D103" s="3"/>
      <c r="E103" s="1" t="str">
        <f t="shared" ref="E103:H103" si="100">IF(A103&lt;&gt;"", IF(A103=A102, "", A103), "")</f>
        <v/>
      </c>
      <c r="F103" s="191" t="str">
        <f t="shared" si="100"/>
        <v/>
      </c>
      <c r="G103" s="1" t="str">
        <f t="shared" si="100"/>
        <v/>
      </c>
      <c r="H103" s="3" t="str">
        <f t="shared" si="100"/>
        <v/>
      </c>
      <c r="I103" s="1"/>
      <c r="J103" s="1"/>
      <c r="K103" s="1"/>
      <c r="L103" s="192"/>
      <c r="M103" s="192"/>
      <c r="N103" s="193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</row>
    <row r="104" ht="16.5" customHeight="1">
      <c r="A104" s="1"/>
      <c r="B104" s="1" t="str">
        <f t="shared" si="36"/>
        <v/>
      </c>
      <c r="C104" s="1"/>
      <c r="D104" s="3"/>
      <c r="E104" s="1" t="str">
        <f t="shared" ref="E104:H104" si="101">IF(A104&lt;&gt;"", IF(A104=A103, "", A104), "")</f>
        <v/>
      </c>
      <c r="F104" s="191" t="str">
        <f t="shared" si="101"/>
        <v/>
      </c>
      <c r="G104" s="1" t="str">
        <f t="shared" si="101"/>
        <v/>
      </c>
      <c r="H104" s="3" t="str">
        <f t="shared" si="101"/>
        <v/>
      </c>
      <c r="I104" s="1"/>
      <c r="J104" s="1"/>
      <c r="K104" s="1"/>
      <c r="L104" s="192"/>
      <c r="M104" s="192"/>
      <c r="N104" s="193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</row>
    <row r="105" ht="16.5" customHeight="1">
      <c r="A105" s="1"/>
      <c r="B105" s="1" t="str">
        <f t="shared" si="36"/>
        <v/>
      </c>
      <c r="C105" s="1"/>
      <c r="D105" s="3"/>
      <c r="E105" s="1" t="str">
        <f t="shared" ref="E105:H105" si="102">IF(A105&lt;&gt;"", IF(A105=A104, "", A105), "")</f>
        <v/>
      </c>
      <c r="F105" s="191" t="str">
        <f t="shared" si="102"/>
        <v/>
      </c>
      <c r="G105" s="1" t="str">
        <f t="shared" si="102"/>
        <v/>
      </c>
      <c r="H105" s="3" t="str">
        <f t="shared" si="102"/>
        <v/>
      </c>
      <c r="I105" s="1"/>
      <c r="J105" s="1"/>
      <c r="K105" s="1"/>
      <c r="L105" s="192"/>
      <c r="M105" s="192"/>
      <c r="N105" s="193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</row>
    <row r="106" ht="16.5" customHeight="1">
      <c r="A106" s="1"/>
      <c r="B106" s="1" t="str">
        <f t="shared" si="36"/>
        <v/>
      </c>
      <c r="C106" s="1"/>
      <c r="D106" s="3"/>
      <c r="E106" s="1" t="str">
        <f t="shared" ref="E106:H106" si="103">IF(A106&lt;&gt;"", IF(A106=A105, "", A106), "")</f>
        <v/>
      </c>
      <c r="F106" s="191" t="str">
        <f t="shared" si="103"/>
        <v/>
      </c>
      <c r="G106" s="1" t="str">
        <f t="shared" si="103"/>
        <v/>
      </c>
      <c r="H106" s="3" t="str">
        <f t="shared" si="103"/>
        <v/>
      </c>
      <c r="I106" s="1"/>
      <c r="J106" s="1"/>
      <c r="K106" s="1"/>
      <c r="L106" s="192"/>
      <c r="M106" s="192"/>
      <c r="N106" s="193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</row>
    <row r="107" ht="16.5" customHeight="1">
      <c r="A107" s="1"/>
      <c r="B107" s="1" t="str">
        <f t="shared" si="36"/>
        <v/>
      </c>
      <c r="C107" s="1"/>
      <c r="D107" s="3"/>
      <c r="E107" s="1" t="str">
        <f t="shared" ref="E107:H107" si="104">IF(A107&lt;&gt;"", IF(A107=A106, "", A107), "")</f>
        <v/>
      </c>
      <c r="F107" s="191" t="str">
        <f t="shared" si="104"/>
        <v/>
      </c>
      <c r="G107" s="1" t="str">
        <f t="shared" si="104"/>
        <v/>
      </c>
      <c r="H107" s="3" t="str">
        <f t="shared" si="104"/>
        <v/>
      </c>
      <c r="I107" s="1"/>
      <c r="J107" s="1"/>
      <c r="K107" s="1"/>
      <c r="L107" s="192"/>
      <c r="M107" s="192"/>
      <c r="N107" s="193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</row>
    <row r="108" ht="16.5" customHeight="1">
      <c r="A108" s="1"/>
      <c r="B108" s="1" t="str">
        <f t="shared" si="36"/>
        <v/>
      </c>
      <c r="C108" s="1"/>
      <c r="D108" s="3"/>
      <c r="E108" s="1" t="str">
        <f t="shared" ref="E108:H108" si="105">IF(A108&lt;&gt;"", IF(A108=A107, "", A108), "")</f>
        <v/>
      </c>
      <c r="F108" s="191" t="str">
        <f t="shared" si="105"/>
        <v/>
      </c>
      <c r="G108" s="1" t="str">
        <f t="shared" si="105"/>
        <v/>
      </c>
      <c r="H108" s="3" t="str">
        <f t="shared" si="105"/>
        <v/>
      </c>
      <c r="I108" s="1"/>
      <c r="J108" s="1"/>
      <c r="K108" s="1"/>
      <c r="L108" s="192"/>
      <c r="M108" s="192"/>
      <c r="N108" s="193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</row>
    <row r="109" ht="16.5" customHeight="1">
      <c r="A109" s="1"/>
      <c r="B109" s="1" t="str">
        <f t="shared" si="36"/>
        <v/>
      </c>
      <c r="C109" s="1"/>
      <c r="D109" s="3"/>
      <c r="E109" s="1" t="str">
        <f t="shared" ref="E109:H109" si="106">IF(A109&lt;&gt;"", IF(A109=A108, "", A109), "")</f>
        <v/>
      </c>
      <c r="F109" s="191" t="str">
        <f t="shared" si="106"/>
        <v/>
      </c>
      <c r="G109" s="1" t="str">
        <f t="shared" si="106"/>
        <v/>
      </c>
      <c r="H109" s="3" t="str">
        <f t="shared" si="106"/>
        <v/>
      </c>
      <c r="I109" s="1"/>
      <c r="J109" s="1"/>
      <c r="K109" s="1"/>
      <c r="L109" s="192"/>
      <c r="M109" s="192"/>
      <c r="N109" s="193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</row>
    <row r="110" ht="16.5" customHeight="1">
      <c r="A110" s="1"/>
      <c r="B110" s="1" t="str">
        <f t="shared" si="36"/>
        <v/>
      </c>
      <c r="C110" s="1"/>
      <c r="D110" s="3"/>
      <c r="E110" s="1" t="str">
        <f t="shared" ref="E110:H110" si="107">IF(A110&lt;&gt;"", IF(A110=A109, "", A110), "")</f>
        <v/>
      </c>
      <c r="F110" s="191" t="str">
        <f t="shared" si="107"/>
        <v/>
      </c>
      <c r="G110" s="1" t="str">
        <f t="shared" si="107"/>
        <v/>
      </c>
      <c r="H110" s="3" t="str">
        <f t="shared" si="107"/>
        <v/>
      </c>
      <c r="I110" s="1"/>
      <c r="J110" s="1"/>
      <c r="K110" s="1"/>
      <c r="L110" s="192"/>
      <c r="M110" s="192"/>
      <c r="N110" s="193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</row>
    <row r="111" ht="16.5" customHeight="1">
      <c r="A111" s="1"/>
      <c r="B111" s="1" t="str">
        <f t="shared" si="36"/>
        <v/>
      </c>
      <c r="C111" s="1"/>
      <c r="D111" s="3"/>
      <c r="E111" s="1" t="str">
        <f t="shared" ref="E111:H111" si="108">IF(A111&lt;&gt;"", IF(A111=A110, "", A111), "")</f>
        <v/>
      </c>
      <c r="F111" s="191" t="str">
        <f t="shared" si="108"/>
        <v/>
      </c>
      <c r="G111" s="1" t="str">
        <f t="shared" si="108"/>
        <v/>
      </c>
      <c r="H111" s="3" t="str">
        <f t="shared" si="108"/>
        <v/>
      </c>
      <c r="I111" s="1"/>
      <c r="J111" s="1"/>
      <c r="K111" s="1"/>
      <c r="L111" s="192"/>
      <c r="M111" s="192"/>
      <c r="N111" s="193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</row>
    <row r="112" ht="16.5" customHeight="1">
      <c r="A112" s="1"/>
      <c r="B112" s="1" t="str">
        <f t="shared" si="36"/>
        <v/>
      </c>
      <c r="C112" s="1"/>
      <c r="D112" s="3"/>
      <c r="E112" s="1" t="str">
        <f t="shared" ref="E112:H112" si="109">IF(A112&lt;&gt;"", IF(A112=A111, "", A112), "")</f>
        <v/>
      </c>
      <c r="F112" s="191" t="str">
        <f t="shared" si="109"/>
        <v/>
      </c>
      <c r="G112" s="1" t="str">
        <f t="shared" si="109"/>
        <v/>
      </c>
      <c r="H112" s="3" t="str">
        <f t="shared" si="109"/>
        <v/>
      </c>
      <c r="I112" s="1"/>
      <c r="J112" s="1"/>
      <c r="K112" s="1"/>
      <c r="L112" s="192"/>
      <c r="M112" s="192"/>
      <c r="N112" s="193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</row>
    <row r="113" ht="16.5" customHeight="1">
      <c r="A113" s="1"/>
      <c r="B113" s="1" t="str">
        <f t="shared" si="36"/>
        <v/>
      </c>
      <c r="C113" s="1"/>
      <c r="D113" s="3"/>
      <c r="E113" s="1" t="str">
        <f t="shared" ref="E113:H113" si="110">IF(A113&lt;&gt;"", IF(A113=A112, "", A113), "")</f>
        <v/>
      </c>
      <c r="F113" s="191" t="str">
        <f t="shared" si="110"/>
        <v/>
      </c>
      <c r="G113" s="1" t="str">
        <f t="shared" si="110"/>
        <v/>
      </c>
      <c r="H113" s="3" t="str">
        <f t="shared" si="110"/>
        <v/>
      </c>
      <c r="I113" s="1"/>
      <c r="J113" s="1"/>
      <c r="K113" s="1"/>
      <c r="L113" s="192"/>
      <c r="M113" s="192"/>
      <c r="N113" s="193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</row>
    <row r="114" ht="16.5" customHeight="1">
      <c r="A114" s="1"/>
      <c r="B114" s="1" t="str">
        <f t="shared" si="36"/>
        <v/>
      </c>
      <c r="C114" s="1"/>
      <c r="D114" s="3"/>
      <c r="E114" s="1" t="str">
        <f t="shared" ref="E114:H114" si="111">IF(A114&lt;&gt;"", IF(A114=A113, "", A114), "")</f>
        <v/>
      </c>
      <c r="F114" s="191" t="str">
        <f t="shared" si="111"/>
        <v/>
      </c>
      <c r="G114" s="1" t="str">
        <f t="shared" si="111"/>
        <v/>
      </c>
      <c r="H114" s="3" t="str">
        <f t="shared" si="111"/>
        <v/>
      </c>
      <c r="I114" s="1"/>
      <c r="J114" s="1"/>
      <c r="K114" s="1"/>
      <c r="L114" s="192"/>
      <c r="M114" s="192"/>
      <c r="N114" s="193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</row>
    <row r="115" ht="16.5" customHeight="1">
      <c r="A115" s="1"/>
      <c r="B115" s="1" t="str">
        <f t="shared" si="36"/>
        <v/>
      </c>
      <c r="C115" s="1"/>
      <c r="D115" s="3"/>
      <c r="E115" s="1" t="str">
        <f t="shared" ref="E115:H115" si="112">IF(A115&lt;&gt;"", IF(A115=A114, "", A115), "")</f>
        <v/>
      </c>
      <c r="F115" s="191" t="str">
        <f t="shared" si="112"/>
        <v/>
      </c>
      <c r="G115" s="1" t="str">
        <f t="shared" si="112"/>
        <v/>
      </c>
      <c r="H115" s="3" t="str">
        <f t="shared" si="112"/>
        <v/>
      </c>
      <c r="I115" s="1"/>
      <c r="J115" s="1"/>
      <c r="K115" s="1"/>
      <c r="L115" s="192"/>
      <c r="M115" s="192"/>
      <c r="N115" s="193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</row>
    <row r="116" ht="16.5" customHeight="1">
      <c r="A116" s="1"/>
      <c r="B116" s="1" t="str">
        <f t="shared" si="36"/>
        <v/>
      </c>
      <c r="C116" s="1"/>
      <c r="D116" s="3"/>
      <c r="E116" s="1" t="str">
        <f t="shared" ref="E116:H116" si="113">IF(A116&lt;&gt;"", IF(A116=A115, "", A116), "")</f>
        <v/>
      </c>
      <c r="F116" s="191" t="str">
        <f t="shared" si="113"/>
        <v/>
      </c>
      <c r="G116" s="1" t="str">
        <f t="shared" si="113"/>
        <v/>
      </c>
      <c r="H116" s="3" t="str">
        <f t="shared" si="113"/>
        <v/>
      </c>
      <c r="I116" s="1"/>
      <c r="J116" s="1"/>
      <c r="K116" s="1"/>
      <c r="L116" s="192"/>
      <c r="M116" s="192"/>
      <c r="N116" s="193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</row>
    <row r="117" ht="16.5" customHeight="1">
      <c r="A117" s="1"/>
      <c r="B117" s="1" t="str">
        <f t="shared" si="36"/>
        <v/>
      </c>
      <c r="C117" s="1"/>
      <c r="D117" s="3"/>
      <c r="E117" s="1" t="str">
        <f t="shared" ref="E117:H117" si="114">IF(A117&lt;&gt;"", IF(A117=A116, "", A117), "")</f>
        <v/>
      </c>
      <c r="F117" s="191" t="str">
        <f t="shared" si="114"/>
        <v/>
      </c>
      <c r="G117" s="1" t="str">
        <f t="shared" si="114"/>
        <v/>
      </c>
      <c r="H117" s="3" t="str">
        <f t="shared" si="114"/>
        <v/>
      </c>
      <c r="I117" s="1"/>
      <c r="J117" s="1"/>
      <c r="K117" s="1"/>
      <c r="L117" s="192"/>
      <c r="M117" s="192"/>
      <c r="N117" s="193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</row>
    <row r="118" ht="16.5" customHeight="1">
      <c r="A118" s="1"/>
      <c r="B118" s="1" t="str">
        <f t="shared" si="36"/>
        <v/>
      </c>
      <c r="C118" s="1"/>
      <c r="D118" s="3"/>
      <c r="E118" s="1" t="str">
        <f t="shared" ref="E118:H118" si="115">IF(A118&lt;&gt;"", IF(A118=A117, "", A118), "")</f>
        <v/>
      </c>
      <c r="F118" s="191" t="str">
        <f t="shared" si="115"/>
        <v/>
      </c>
      <c r="G118" s="1" t="str">
        <f t="shared" si="115"/>
        <v/>
      </c>
      <c r="H118" s="3" t="str">
        <f t="shared" si="115"/>
        <v/>
      </c>
      <c r="I118" s="1"/>
      <c r="J118" s="1"/>
      <c r="K118" s="1"/>
      <c r="L118" s="192"/>
      <c r="M118" s="192"/>
      <c r="N118" s="193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</row>
    <row r="119" ht="16.5" customHeight="1">
      <c r="A119" s="1"/>
      <c r="B119" s="1" t="str">
        <f t="shared" si="36"/>
        <v/>
      </c>
      <c r="C119" s="1"/>
      <c r="D119" s="3"/>
      <c r="E119" s="1" t="str">
        <f t="shared" ref="E119:H119" si="116">IF(A119&lt;&gt;"", IF(A119=A118, "", A119), "")</f>
        <v/>
      </c>
      <c r="F119" s="191" t="str">
        <f t="shared" si="116"/>
        <v/>
      </c>
      <c r="G119" s="1" t="str">
        <f t="shared" si="116"/>
        <v/>
      </c>
      <c r="H119" s="3" t="str">
        <f t="shared" si="116"/>
        <v/>
      </c>
      <c r="I119" s="1"/>
      <c r="J119" s="1"/>
      <c r="K119" s="1"/>
      <c r="L119" s="192"/>
      <c r="M119" s="192"/>
      <c r="N119" s="193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</row>
    <row r="120" ht="16.5" customHeight="1">
      <c r="A120" s="1"/>
      <c r="B120" s="1" t="str">
        <f t="shared" si="36"/>
        <v/>
      </c>
      <c r="C120" s="1"/>
      <c r="D120" s="3"/>
      <c r="E120" s="1" t="str">
        <f t="shared" ref="E120:H120" si="117">IF(A120&lt;&gt;"", IF(A120=A119, "", A120), "")</f>
        <v/>
      </c>
      <c r="F120" s="191" t="str">
        <f t="shared" si="117"/>
        <v/>
      </c>
      <c r="G120" s="1" t="str">
        <f t="shared" si="117"/>
        <v/>
      </c>
      <c r="H120" s="3" t="str">
        <f t="shared" si="117"/>
        <v/>
      </c>
      <c r="I120" s="1"/>
      <c r="J120" s="1"/>
      <c r="K120" s="1"/>
      <c r="L120" s="192"/>
      <c r="M120" s="192"/>
      <c r="N120" s="193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</row>
    <row r="121" ht="16.5" customHeight="1">
      <c r="A121" s="1"/>
      <c r="B121" s="1" t="str">
        <f t="shared" si="36"/>
        <v/>
      </c>
      <c r="C121" s="1"/>
      <c r="D121" s="3"/>
      <c r="E121" s="1" t="str">
        <f t="shared" ref="E121:H121" si="118">IF(A121&lt;&gt;"", IF(A121=A120, "", A121), "")</f>
        <v/>
      </c>
      <c r="F121" s="191" t="str">
        <f t="shared" si="118"/>
        <v/>
      </c>
      <c r="G121" s="1" t="str">
        <f t="shared" si="118"/>
        <v/>
      </c>
      <c r="H121" s="3" t="str">
        <f t="shared" si="118"/>
        <v/>
      </c>
      <c r="I121" s="1"/>
      <c r="J121" s="1"/>
      <c r="K121" s="1"/>
      <c r="L121" s="192"/>
      <c r="M121" s="192"/>
      <c r="N121" s="193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</row>
    <row r="122" ht="16.5" customHeight="1">
      <c r="A122" s="1"/>
      <c r="B122" s="1" t="str">
        <f t="shared" si="36"/>
        <v/>
      </c>
      <c r="C122" s="1"/>
      <c r="D122" s="3"/>
      <c r="E122" s="1" t="str">
        <f t="shared" ref="E122:H122" si="119">IF(A122&lt;&gt;"", IF(A122=A121, "", A122), "")</f>
        <v/>
      </c>
      <c r="F122" s="191" t="str">
        <f t="shared" si="119"/>
        <v/>
      </c>
      <c r="G122" s="1" t="str">
        <f t="shared" si="119"/>
        <v/>
      </c>
      <c r="H122" s="3" t="str">
        <f t="shared" si="119"/>
        <v/>
      </c>
      <c r="I122" s="1"/>
      <c r="J122" s="1"/>
      <c r="K122" s="1"/>
      <c r="L122" s="192"/>
      <c r="M122" s="192"/>
      <c r="N122" s="193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</row>
    <row r="123" ht="16.5" customHeight="1">
      <c r="A123" s="1"/>
      <c r="B123" s="1" t="str">
        <f t="shared" si="36"/>
        <v/>
      </c>
      <c r="C123" s="1"/>
      <c r="D123" s="3"/>
      <c r="E123" s="1" t="str">
        <f t="shared" ref="E123:H123" si="120">IF(A123&lt;&gt;"", IF(A123=A122, "", A123), "")</f>
        <v/>
      </c>
      <c r="F123" s="191" t="str">
        <f t="shared" si="120"/>
        <v/>
      </c>
      <c r="G123" s="1" t="str">
        <f t="shared" si="120"/>
        <v/>
      </c>
      <c r="H123" s="3" t="str">
        <f t="shared" si="120"/>
        <v/>
      </c>
      <c r="I123" s="1"/>
      <c r="J123" s="1"/>
      <c r="K123" s="1"/>
      <c r="L123" s="192"/>
      <c r="M123" s="192"/>
      <c r="N123" s="193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</row>
    <row r="124" ht="16.5" customHeight="1">
      <c r="A124" s="1"/>
      <c r="B124" s="1" t="str">
        <f t="shared" si="36"/>
        <v/>
      </c>
      <c r="C124" s="1"/>
      <c r="D124" s="3"/>
      <c r="E124" s="1" t="str">
        <f t="shared" ref="E124:H124" si="121">IF(A124&lt;&gt;"", IF(A124=A123, "", A124), "")</f>
        <v/>
      </c>
      <c r="F124" s="191" t="str">
        <f t="shared" si="121"/>
        <v/>
      </c>
      <c r="G124" s="1" t="str">
        <f t="shared" si="121"/>
        <v/>
      </c>
      <c r="H124" s="3" t="str">
        <f t="shared" si="121"/>
        <v/>
      </c>
      <c r="I124" s="1"/>
      <c r="J124" s="1"/>
      <c r="K124" s="1"/>
      <c r="L124" s="192"/>
      <c r="M124" s="192"/>
      <c r="N124" s="193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</row>
    <row r="125" ht="16.5" customHeight="1">
      <c r="A125" s="1"/>
      <c r="B125" s="1" t="str">
        <f t="shared" si="36"/>
        <v/>
      </c>
      <c r="C125" s="1"/>
      <c r="D125" s="3"/>
      <c r="E125" s="1" t="str">
        <f t="shared" ref="E125:H125" si="122">IF(A125&lt;&gt;"", IF(A125=A124, "", A125), "")</f>
        <v/>
      </c>
      <c r="F125" s="191" t="str">
        <f t="shared" si="122"/>
        <v/>
      </c>
      <c r="G125" s="1" t="str">
        <f t="shared" si="122"/>
        <v/>
      </c>
      <c r="H125" s="3" t="str">
        <f t="shared" si="122"/>
        <v/>
      </c>
      <c r="I125" s="1"/>
      <c r="J125" s="1"/>
      <c r="K125" s="1"/>
      <c r="L125" s="192"/>
      <c r="M125" s="192"/>
      <c r="N125" s="193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</row>
    <row r="126" ht="16.5" customHeight="1">
      <c r="A126" s="1"/>
      <c r="B126" s="1" t="str">
        <f t="shared" si="36"/>
        <v/>
      </c>
      <c r="C126" s="1"/>
      <c r="D126" s="3"/>
      <c r="E126" s="1" t="str">
        <f t="shared" ref="E126:H126" si="123">IF(A126&lt;&gt;"", IF(A126=A125, "", A126), "")</f>
        <v/>
      </c>
      <c r="F126" s="191" t="str">
        <f t="shared" si="123"/>
        <v/>
      </c>
      <c r="G126" s="1" t="str">
        <f t="shared" si="123"/>
        <v/>
      </c>
      <c r="H126" s="3" t="str">
        <f t="shared" si="123"/>
        <v/>
      </c>
      <c r="I126" s="1"/>
      <c r="J126" s="1"/>
      <c r="K126" s="1"/>
      <c r="L126" s="192"/>
      <c r="M126" s="192"/>
      <c r="N126" s="193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</row>
    <row r="127" ht="16.5" customHeight="1">
      <c r="A127" s="1"/>
      <c r="B127" s="1" t="str">
        <f t="shared" si="36"/>
        <v/>
      </c>
      <c r="C127" s="1"/>
      <c r="D127" s="3"/>
      <c r="E127" s="1" t="str">
        <f t="shared" ref="E127:H127" si="124">IF(A127&lt;&gt;"", IF(A127=A126, "", A127), "")</f>
        <v/>
      </c>
      <c r="F127" s="191" t="str">
        <f t="shared" si="124"/>
        <v/>
      </c>
      <c r="G127" s="1" t="str">
        <f t="shared" si="124"/>
        <v/>
      </c>
      <c r="H127" s="3" t="str">
        <f t="shared" si="124"/>
        <v/>
      </c>
      <c r="I127" s="1"/>
      <c r="J127" s="1"/>
      <c r="K127" s="1"/>
      <c r="L127" s="192"/>
      <c r="M127" s="192"/>
      <c r="N127" s="193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</row>
    <row r="128" ht="16.5" customHeight="1">
      <c r="A128" s="1"/>
      <c r="B128" s="1" t="str">
        <f t="shared" si="36"/>
        <v/>
      </c>
      <c r="C128" s="1"/>
      <c r="D128" s="3"/>
      <c r="E128" s="1" t="str">
        <f t="shared" ref="E128:H128" si="125">IF(A128&lt;&gt;"", IF(A128=A127, "", A128), "")</f>
        <v/>
      </c>
      <c r="F128" s="191" t="str">
        <f t="shared" si="125"/>
        <v/>
      </c>
      <c r="G128" s="1" t="str">
        <f t="shared" si="125"/>
        <v/>
      </c>
      <c r="H128" s="3" t="str">
        <f t="shared" si="125"/>
        <v/>
      </c>
      <c r="I128" s="1"/>
      <c r="J128" s="1"/>
      <c r="K128" s="1"/>
      <c r="L128" s="192"/>
      <c r="M128" s="192"/>
      <c r="N128" s="193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</row>
    <row r="129" ht="16.5" customHeight="1">
      <c r="A129" s="1"/>
      <c r="B129" s="1" t="str">
        <f t="shared" si="36"/>
        <v/>
      </c>
      <c r="C129" s="1"/>
      <c r="D129" s="3"/>
      <c r="E129" s="1" t="str">
        <f t="shared" ref="E129:H129" si="126">IF(A129&lt;&gt;"", IF(A129=A128, "", A129), "")</f>
        <v/>
      </c>
      <c r="F129" s="191" t="str">
        <f t="shared" si="126"/>
        <v/>
      </c>
      <c r="G129" s="1" t="str">
        <f t="shared" si="126"/>
        <v/>
      </c>
      <c r="H129" s="3" t="str">
        <f t="shared" si="126"/>
        <v/>
      </c>
      <c r="I129" s="1"/>
      <c r="J129" s="1"/>
      <c r="K129" s="1"/>
      <c r="L129" s="192"/>
      <c r="M129" s="192"/>
      <c r="N129" s="193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</row>
    <row r="130" ht="16.5" customHeight="1">
      <c r="A130" s="1"/>
      <c r="B130" s="1" t="str">
        <f t="shared" si="36"/>
        <v/>
      </c>
      <c r="C130" s="1"/>
      <c r="D130" s="3"/>
      <c r="E130" s="1" t="str">
        <f t="shared" ref="E130:H130" si="127">IF(A130&lt;&gt;"", IF(A130=A129, "", A130), "")</f>
        <v/>
      </c>
      <c r="F130" s="191" t="str">
        <f t="shared" si="127"/>
        <v/>
      </c>
      <c r="G130" s="1" t="str">
        <f t="shared" si="127"/>
        <v/>
      </c>
      <c r="H130" s="3" t="str">
        <f t="shared" si="127"/>
        <v/>
      </c>
      <c r="I130" s="1"/>
      <c r="J130" s="1"/>
      <c r="K130" s="1"/>
      <c r="L130" s="192"/>
      <c r="M130" s="192"/>
      <c r="N130" s="193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</row>
    <row r="131" ht="16.5" customHeight="1">
      <c r="A131" s="1"/>
      <c r="B131" s="1" t="str">
        <f t="shared" si="36"/>
        <v/>
      </c>
      <c r="C131" s="1"/>
      <c r="D131" s="3"/>
      <c r="E131" s="1" t="str">
        <f t="shared" ref="E131:H131" si="128">IF(A131&lt;&gt;"", IF(A131=A130, "", A131), "")</f>
        <v/>
      </c>
      <c r="F131" s="191" t="str">
        <f t="shared" si="128"/>
        <v/>
      </c>
      <c r="G131" s="1" t="str">
        <f t="shared" si="128"/>
        <v/>
      </c>
      <c r="H131" s="3" t="str">
        <f t="shared" si="128"/>
        <v/>
      </c>
      <c r="I131" s="1"/>
      <c r="J131" s="1"/>
      <c r="K131" s="1"/>
      <c r="L131" s="192"/>
      <c r="M131" s="192"/>
      <c r="N131" s="193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</row>
    <row r="132" ht="16.5" customHeight="1">
      <c r="A132" s="1"/>
      <c r="B132" s="1" t="str">
        <f t="shared" si="36"/>
        <v/>
      </c>
      <c r="C132" s="1"/>
      <c r="D132" s="3"/>
      <c r="E132" s="1" t="str">
        <f t="shared" ref="E132:H132" si="129">IF(A132&lt;&gt;"", IF(A132=A131, "", A132), "")</f>
        <v/>
      </c>
      <c r="F132" s="191" t="str">
        <f t="shared" si="129"/>
        <v/>
      </c>
      <c r="G132" s="1" t="str">
        <f t="shared" si="129"/>
        <v/>
      </c>
      <c r="H132" s="3" t="str">
        <f t="shared" si="129"/>
        <v/>
      </c>
      <c r="I132" s="1"/>
      <c r="J132" s="1"/>
      <c r="K132" s="1"/>
      <c r="L132" s="192"/>
      <c r="M132" s="192"/>
      <c r="N132" s="193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</row>
    <row r="133" ht="16.5" customHeight="1">
      <c r="A133" s="1"/>
      <c r="B133" s="1" t="str">
        <f t="shared" si="36"/>
        <v/>
      </c>
      <c r="C133" s="1"/>
      <c r="D133" s="3"/>
      <c r="E133" s="1" t="str">
        <f t="shared" ref="E133:H133" si="130">IF(A133&lt;&gt;"", IF(A133=A132, "", A133), "")</f>
        <v/>
      </c>
      <c r="F133" s="191" t="str">
        <f t="shared" si="130"/>
        <v/>
      </c>
      <c r="G133" s="1" t="str">
        <f t="shared" si="130"/>
        <v/>
      </c>
      <c r="H133" s="3" t="str">
        <f t="shared" si="130"/>
        <v/>
      </c>
      <c r="I133" s="1"/>
      <c r="J133" s="1"/>
      <c r="K133" s="1"/>
      <c r="L133" s="192"/>
      <c r="M133" s="192"/>
      <c r="N133" s="193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</row>
    <row r="134" ht="16.5" customHeight="1">
      <c r="A134" s="1"/>
      <c r="B134" s="1" t="str">
        <f t="shared" si="36"/>
        <v/>
      </c>
      <c r="C134" s="1"/>
      <c r="D134" s="3"/>
      <c r="E134" s="1" t="str">
        <f t="shared" ref="E134:H134" si="131">IF(A134&lt;&gt;"", IF(A134=A133, "", A134), "")</f>
        <v/>
      </c>
      <c r="F134" s="191" t="str">
        <f t="shared" si="131"/>
        <v/>
      </c>
      <c r="G134" s="1" t="str">
        <f t="shared" si="131"/>
        <v/>
      </c>
      <c r="H134" s="3" t="str">
        <f t="shared" si="131"/>
        <v/>
      </c>
      <c r="I134" s="1"/>
      <c r="J134" s="1"/>
      <c r="K134" s="1"/>
      <c r="L134" s="192"/>
      <c r="M134" s="192"/>
      <c r="N134" s="193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</row>
    <row r="135" ht="16.5" customHeight="1">
      <c r="A135" s="1"/>
      <c r="B135" s="1" t="str">
        <f t="shared" si="36"/>
        <v/>
      </c>
      <c r="C135" s="1"/>
      <c r="D135" s="3"/>
      <c r="E135" s="1" t="str">
        <f t="shared" ref="E135:H135" si="132">IF(A135&lt;&gt;"", IF(A135=A134, "", A135), "")</f>
        <v/>
      </c>
      <c r="F135" s="191" t="str">
        <f t="shared" si="132"/>
        <v/>
      </c>
      <c r="G135" s="1" t="str">
        <f t="shared" si="132"/>
        <v/>
      </c>
      <c r="H135" s="3" t="str">
        <f t="shared" si="132"/>
        <v/>
      </c>
      <c r="I135" s="1"/>
      <c r="J135" s="1"/>
      <c r="K135" s="1"/>
      <c r="L135" s="192"/>
      <c r="M135" s="192"/>
      <c r="N135" s="193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</row>
    <row r="136" ht="16.5" customHeight="1">
      <c r="A136" s="1"/>
      <c r="B136" s="1" t="str">
        <f t="shared" si="36"/>
        <v/>
      </c>
      <c r="C136" s="1"/>
      <c r="D136" s="3"/>
      <c r="E136" s="1" t="str">
        <f t="shared" ref="E136:H136" si="133">IF(A136&lt;&gt;"", IF(A136=A135, "", A136), "")</f>
        <v/>
      </c>
      <c r="F136" s="191" t="str">
        <f t="shared" si="133"/>
        <v/>
      </c>
      <c r="G136" s="1" t="str">
        <f t="shared" si="133"/>
        <v/>
      </c>
      <c r="H136" s="3" t="str">
        <f t="shared" si="133"/>
        <v/>
      </c>
      <c r="I136" s="1"/>
      <c r="J136" s="1"/>
      <c r="K136" s="1"/>
      <c r="L136" s="192"/>
      <c r="M136" s="192"/>
      <c r="N136" s="193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</row>
    <row r="137" ht="16.5" customHeight="1">
      <c r="A137" s="1"/>
      <c r="B137" s="1" t="str">
        <f t="shared" si="36"/>
        <v/>
      </c>
      <c r="C137" s="1"/>
      <c r="D137" s="3"/>
      <c r="E137" s="1" t="str">
        <f t="shared" ref="E137:H137" si="134">IF(A137&lt;&gt;"", IF(A137=A136, "", A137), "")</f>
        <v/>
      </c>
      <c r="F137" s="191" t="str">
        <f t="shared" si="134"/>
        <v/>
      </c>
      <c r="G137" s="1" t="str">
        <f t="shared" si="134"/>
        <v/>
      </c>
      <c r="H137" s="3" t="str">
        <f t="shared" si="134"/>
        <v/>
      </c>
      <c r="I137" s="1"/>
      <c r="J137" s="1"/>
      <c r="K137" s="1"/>
      <c r="L137" s="192"/>
      <c r="M137" s="192"/>
      <c r="N137" s="193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</row>
    <row r="138" ht="16.5" customHeight="1">
      <c r="A138" s="1"/>
      <c r="B138" s="1" t="str">
        <f t="shared" si="36"/>
        <v/>
      </c>
      <c r="C138" s="1"/>
      <c r="D138" s="3"/>
      <c r="E138" s="1" t="str">
        <f t="shared" ref="E138:H138" si="135">IF(A138&lt;&gt;"", IF(A138=A137, "", A138), "")</f>
        <v/>
      </c>
      <c r="F138" s="191" t="str">
        <f t="shared" si="135"/>
        <v/>
      </c>
      <c r="G138" s="1" t="str">
        <f t="shared" si="135"/>
        <v/>
      </c>
      <c r="H138" s="3" t="str">
        <f t="shared" si="135"/>
        <v/>
      </c>
      <c r="I138" s="1"/>
      <c r="J138" s="1"/>
      <c r="K138" s="1"/>
      <c r="L138" s="192"/>
      <c r="M138" s="192"/>
      <c r="N138" s="193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</row>
    <row r="139" ht="16.5" customHeight="1">
      <c r="A139" s="1"/>
      <c r="B139" s="1" t="str">
        <f t="shared" si="36"/>
        <v/>
      </c>
      <c r="C139" s="1"/>
      <c r="D139" s="3"/>
      <c r="E139" s="1" t="str">
        <f t="shared" ref="E139:H139" si="136">IF(A139&lt;&gt;"", IF(A139=A138, "", A139), "")</f>
        <v/>
      </c>
      <c r="F139" s="191" t="str">
        <f t="shared" si="136"/>
        <v/>
      </c>
      <c r="G139" s="1" t="str">
        <f t="shared" si="136"/>
        <v/>
      </c>
      <c r="H139" s="3" t="str">
        <f t="shared" si="136"/>
        <v/>
      </c>
      <c r="I139" s="1"/>
      <c r="J139" s="1"/>
      <c r="K139" s="1"/>
      <c r="L139" s="192"/>
      <c r="M139" s="192"/>
      <c r="N139" s="193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</row>
    <row r="140" ht="16.5" customHeight="1">
      <c r="A140" s="1"/>
      <c r="B140" s="1" t="str">
        <f t="shared" si="36"/>
        <v/>
      </c>
      <c r="C140" s="1"/>
      <c r="D140" s="3"/>
      <c r="E140" s="1" t="str">
        <f t="shared" ref="E140:H140" si="137">IF(A140&lt;&gt;"", IF(A140=A139, "", A140), "")</f>
        <v/>
      </c>
      <c r="F140" s="191" t="str">
        <f t="shared" si="137"/>
        <v/>
      </c>
      <c r="G140" s="1" t="str">
        <f t="shared" si="137"/>
        <v/>
      </c>
      <c r="H140" s="3" t="str">
        <f t="shared" si="137"/>
        <v/>
      </c>
      <c r="I140" s="1"/>
      <c r="J140" s="1"/>
      <c r="K140" s="1"/>
      <c r="L140" s="192"/>
      <c r="M140" s="192"/>
      <c r="N140" s="193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</row>
    <row r="141" ht="16.5" customHeight="1">
      <c r="A141" s="1"/>
      <c r="B141" s="1" t="str">
        <f t="shared" si="36"/>
        <v/>
      </c>
      <c r="C141" s="1"/>
      <c r="D141" s="3"/>
      <c r="E141" s="1" t="str">
        <f t="shared" ref="E141:H141" si="138">IF(A141&lt;&gt;"", IF(A141=A140, "", A141), "")</f>
        <v/>
      </c>
      <c r="F141" s="191" t="str">
        <f t="shared" si="138"/>
        <v/>
      </c>
      <c r="G141" s="1" t="str">
        <f t="shared" si="138"/>
        <v/>
      </c>
      <c r="H141" s="3" t="str">
        <f t="shared" si="138"/>
        <v/>
      </c>
      <c r="I141" s="1"/>
      <c r="J141" s="1"/>
      <c r="K141" s="1"/>
      <c r="L141" s="192"/>
      <c r="M141" s="192"/>
      <c r="N141" s="193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</row>
    <row r="142" ht="16.5" customHeight="1">
      <c r="A142" s="1"/>
      <c r="B142" s="1" t="str">
        <f t="shared" si="36"/>
        <v/>
      </c>
      <c r="C142" s="1"/>
      <c r="D142" s="3"/>
      <c r="E142" s="1" t="str">
        <f t="shared" ref="E142:H142" si="139">IF(A142&lt;&gt;"", IF(A142=A141, "", A142), "")</f>
        <v/>
      </c>
      <c r="F142" s="191" t="str">
        <f t="shared" si="139"/>
        <v/>
      </c>
      <c r="G142" s="1" t="str">
        <f t="shared" si="139"/>
        <v/>
      </c>
      <c r="H142" s="3" t="str">
        <f t="shared" si="139"/>
        <v/>
      </c>
      <c r="I142" s="1"/>
      <c r="J142" s="1"/>
      <c r="K142" s="1"/>
      <c r="L142" s="192"/>
      <c r="M142" s="192"/>
      <c r="N142" s="193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</row>
    <row r="143" ht="16.5" customHeight="1">
      <c r="A143" s="1"/>
      <c r="B143" s="1" t="str">
        <f t="shared" si="36"/>
        <v/>
      </c>
      <c r="C143" s="1"/>
      <c r="D143" s="3"/>
      <c r="E143" s="1" t="str">
        <f t="shared" ref="E143:H143" si="140">IF(A143&lt;&gt;"", IF(A143=A142, "", A143), "")</f>
        <v/>
      </c>
      <c r="F143" s="191" t="str">
        <f t="shared" si="140"/>
        <v/>
      </c>
      <c r="G143" s="1" t="str">
        <f t="shared" si="140"/>
        <v/>
      </c>
      <c r="H143" s="3" t="str">
        <f t="shared" si="140"/>
        <v/>
      </c>
      <c r="I143" s="1"/>
      <c r="J143" s="1"/>
      <c r="K143" s="1"/>
      <c r="L143" s="192"/>
      <c r="M143" s="192"/>
      <c r="N143" s="193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</row>
    <row r="144" ht="16.5" customHeight="1">
      <c r="A144" s="1"/>
      <c r="B144" s="1" t="str">
        <f t="shared" si="36"/>
        <v/>
      </c>
      <c r="C144" s="1"/>
      <c r="D144" s="3"/>
      <c r="E144" s="1" t="str">
        <f t="shared" ref="E144:H144" si="141">IF(A144&lt;&gt;"", IF(A144=A143, "", A144), "")</f>
        <v/>
      </c>
      <c r="F144" s="191" t="str">
        <f t="shared" si="141"/>
        <v/>
      </c>
      <c r="G144" s="1" t="str">
        <f t="shared" si="141"/>
        <v/>
      </c>
      <c r="H144" s="3" t="str">
        <f t="shared" si="141"/>
        <v/>
      </c>
      <c r="I144" s="1"/>
      <c r="J144" s="1"/>
      <c r="K144" s="1"/>
      <c r="L144" s="192"/>
      <c r="M144" s="192"/>
      <c r="N144" s="193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</row>
    <row r="145" ht="16.5" customHeight="1">
      <c r="A145" s="1"/>
      <c r="B145" s="1" t="str">
        <f t="shared" si="36"/>
        <v/>
      </c>
      <c r="C145" s="1"/>
      <c r="D145" s="3"/>
      <c r="E145" s="1" t="str">
        <f t="shared" ref="E145:H145" si="142">IF(A145&lt;&gt;"", IF(A145=A144, "", A145), "")</f>
        <v/>
      </c>
      <c r="F145" s="191" t="str">
        <f t="shared" si="142"/>
        <v/>
      </c>
      <c r="G145" s="1" t="str">
        <f t="shared" si="142"/>
        <v/>
      </c>
      <c r="H145" s="3" t="str">
        <f t="shared" si="142"/>
        <v/>
      </c>
      <c r="I145" s="1"/>
      <c r="J145" s="1"/>
      <c r="K145" s="1"/>
      <c r="L145" s="192"/>
      <c r="M145" s="192"/>
      <c r="N145" s="193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</row>
    <row r="146" ht="16.5" customHeight="1">
      <c r="A146" s="1"/>
      <c r="B146" s="1" t="str">
        <f t="shared" si="36"/>
        <v/>
      </c>
      <c r="C146" s="1"/>
      <c r="D146" s="3"/>
      <c r="E146" s="1" t="str">
        <f t="shared" ref="E146:H146" si="143">IF(A146&lt;&gt;"", IF(A146=A145, "", A146), "")</f>
        <v/>
      </c>
      <c r="F146" s="191" t="str">
        <f t="shared" si="143"/>
        <v/>
      </c>
      <c r="G146" s="1" t="str">
        <f t="shared" si="143"/>
        <v/>
      </c>
      <c r="H146" s="3" t="str">
        <f t="shared" si="143"/>
        <v/>
      </c>
      <c r="I146" s="1"/>
      <c r="J146" s="1"/>
      <c r="K146" s="1"/>
      <c r="L146" s="192"/>
      <c r="M146" s="192"/>
      <c r="N146" s="193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</row>
    <row r="147" ht="16.5" customHeight="1">
      <c r="A147" s="1"/>
      <c r="B147" s="1" t="str">
        <f t="shared" si="36"/>
        <v/>
      </c>
      <c r="C147" s="1"/>
      <c r="D147" s="3"/>
      <c r="E147" s="1" t="str">
        <f t="shared" ref="E147:H147" si="144">IF(A147&lt;&gt;"", IF(A147=A146, "", A147), "")</f>
        <v/>
      </c>
      <c r="F147" s="191" t="str">
        <f t="shared" si="144"/>
        <v/>
      </c>
      <c r="G147" s="1" t="str">
        <f t="shared" si="144"/>
        <v/>
      </c>
      <c r="H147" s="3" t="str">
        <f t="shared" si="144"/>
        <v/>
      </c>
      <c r="I147" s="1"/>
      <c r="J147" s="1"/>
      <c r="K147" s="1"/>
      <c r="L147" s="192"/>
      <c r="M147" s="192"/>
      <c r="N147" s="193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</row>
    <row r="148" ht="16.5" customHeight="1">
      <c r="A148" s="1"/>
      <c r="B148" s="1" t="str">
        <f t="shared" si="36"/>
        <v/>
      </c>
      <c r="C148" s="1"/>
      <c r="D148" s="3"/>
      <c r="E148" s="1" t="str">
        <f t="shared" ref="E148:H148" si="145">IF(A148&lt;&gt;"", IF(A148=A147, "", A148), "")</f>
        <v/>
      </c>
      <c r="F148" s="191" t="str">
        <f t="shared" si="145"/>
        <v/>
      </c>
      <c r="G148" s="1" t="str">
        <f t="shared" si="145"/>
        <v/>
      </c>
      <c r="H148" s="3" t="str">
        <f t="shared" si="145"/>
        <v/>
      </c>
      <c r="I148" s="1"/>
      <c r="J148" s="1"/>
      <c r="K148" s="1"/>
      <c r="L148" s="192"/>
      <c r="M148" s="192"/>
      <c r="N148" s="193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</row>
    <row r="149" ht="16.5" customHeight="1">
      <c r="A149" s="1"/>
      <c r="B149" s="1" t="str">
        <f t="shared" si="36"/>
        <v/>
      </c>
      <c r="C149" s="1"/>
      <c r="D149" s="3"/>
      <c r="E149" s="1" t="str">
        <f t="shared" ref="E149:H149" si="146">IF(A149&lt;&gt;"", IF(A149=A148, "", A149), "")</f>
        <v/>
      </c>
      <c r="F149" s="191" t="str">
        <f t="shared" si="146"/>
        <v/>
      </c>
      <c r="G149" s="1" t="str">
        <f t="shared" si="146"/>
        <v/>
      </c>
      <c r="H149" s="3" t="str">
        <f t="shared" si="146"/>
        <v/>
      </c>
      <c r="I149" s="1"/>
      <c r="J149" s="1"/>
      <c r="K149" s="1"/>
      <c r="L149" s="192"/>
      <c r="M149" s="192"/>
      <c r="N149" s="193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</row>
    <row r="150" ht="16.5" customHeight="1">
      <c r="A150" s="1"/>
      <c r="B150" s="1" t="str">
        <f t="shared" si="36"/>
        <v/>
      </c>
      <c r="C150" s="1"/>
      <c r="D150" s="3"/>
      <c r="E150" s="1" t="str">
        <f t="shared" ref="E150:H150" si="147">IF(A150&lt;&gt;"", IF(A150=A149, "", A150), "")</f>
        <v/>
      </c>
      <c r="F150" s="191" t="str">
        <f t="shared" si="147"/>
        <v/>
      </c>
      <c r="G150" s="1" t="str">
        <f t="shared" si="147"/>
        <v/>
      </c>
      <c r="H150" s="3" t="str">
        <f t="shared" si="147"/>
        <v/>
      </c>
      <c r="I150" s="1"/>
      <c r="J150" s="1"/>
      <c r="K150" s="1"/>
      <c r="L150" s="192"/>
      <c r="M150" s="192"/>
      <c r="N150" s="193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</row>
    <row r="151" ht="16.5" customHeight="1">
      <c r="A151" s="1"/>
      <c r="B151" s="1" t="str">
        <f t="shared" si="36"/>
        <v/>
      </c>
      <c r="C151" s="1"/>
      <c r="D151" s="3"/>
      <c r="E151" s="1" t="str">
        <f t="shared" ref="E151:H151" si="148">IF(A151&lt;&gt;"", IF(A151=A150, "", A151), "")</f>
        <v/>
      </c>
      <c r="F151" s="191" t="str">
        <f t="shared" si="148"/>
        <v/>
      </c>
      <c r="G151" s="1" t="str">
        <f t="shared" si="148"/>
        <v/>
      </c>
      <c r="H151" s="3" t="str">
        <f t="shared" si="148"/>
        <v/>
      </c>
      <c r="I151" s="1"/>
      <c r="J151" s="1"/>
      <c r="K151" s="1"/>
      <c r="L151" s="192"/>
      <c r="M151" s="192"/>
      <c r="N151" s="193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</row>
    <row r="152" ht="16.5" customHeight="1">
      <c r="A152" s="1"/>
      <c r="B152" s="1" t="str">
        <f t="shared" si="36"/>
        <v/>
      </c>
      <c r="C152" s="1"/>
      <c r="D152" s="3"/>
      <c r="E152" s="1" t="str">
        <f t="shared" ref="E152:H152" si="149">IF(A152&lt;&gt;"", IF(A152=A151, "", A152), "")</f>
        <v/>
      </c>
      <c r="F152" s="191" t="str">
        <f t="shared" si="149"/>
        <v/>
      </c>
      <c r="G152" s="1" t="str">
        <f t="shared" si="149"/>
        <v/>
      </c>
      <c r="H152" s="3" t="str">
        <f t="shared" si="149"/>
        <v/>
      </c>
      <c r="I152" s="1"/>
      <c r="J152" s="1"/>
      <c r="K152" s="1"/>
      <c r="L152" s="192"/>
      <c r="M152" s="192"/>
      <c r="N152" s="193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</row>
    <row r="153" ht="16.5" customHeight="1">
      <c r="A153" s="1"/>
      <c r="B153" s="1" t="str">
        <f t="shared" si="36"/>
        <v/>
      </c>
      <c r="C153" s="1"/>
      <c r="D153" s="3"/>
      <c r="E153" s="1" t="str">
        <f t="shared" ref="E153:H153" si="150">IF(A153&lt;&gt;"", IF(A153=A152, "", A153), "")</f>
        <v/>
      </c>
      <c r="F153" s="191" t="str">
        <f t="shared" si="150"/>
        <v/>
      </c>
      <c r="G153" s="1" t="str">
        <f t="shared" si="150"/>
        <v/>
      </c>
      <c r="H153" s="3" t="str">
        <f t="shared" si="150"/>
        <v/>
      </c>
      <c r="I153" s="1"/>
      <c r="J153" s="1"/>
      <c r="K153" s="1"/>
      <c r="L153" s="192"/>
      <c r="M153" s="192"/>
      <c r="N153" s="193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</row>
    <row r="154" ht="16.5" customHeight="1">
      <c r="A154" s="1"/>
      <c r="B154" s="1" t="str">
        <f t="shared" si="36"/>
        <v/>
      </c>
      <c r="C154" s="1"/>
      <c r="D154" s="3"/>
      <c r="E154" s="1" t="str">
        <f t="shared" ref="E154:H154" si="151">IF(A154&lt;&gt;"", IF(A154=A153, "", A154), "")</f>
        <v/>
      </c>
      <c r="F154" s="191" t="str">
        <f t="shared" si="151"/>
        <v/>
      </c>
      <c r="G154" s="1" t="str">
        <f t="shared" si="151"/>
        <v/>
      </c>
      <c r="H154" s="3" t="str">
        <f t="shared" si="151"/>
        <v/>
      </c>
      <c r="I154" s="1"/>
      <c r="J154" s="1"/>
      <c r="K154" s="1"/>
      <c r="L154" s="192"/>
      <c r="M154" s="192"/>
      <c r="N154" s="193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</row>
    <row r="155" ht="16.5" customHeight="1">
      <c r="A155" s="1"/>
      <c r="B155" s="1" t="str">
        <f t="shared" si="36"/>
        <v/>
      </c>
      <c r="C155" s="1"/>
      <c r="D155" s="3"/>
      <c r="E155" s="1" t="str">
        <f t="shared" ref="E155:H155" si="152">IF(A155&lt;&gt;"", IF(A155=A154, "", A155), "")</f>
        <v/>
      </c>
      <c r="F155" s="191" t="str">
        <f t="shared" si="152"/>
        <v/>
      </c>
      <c r="G155" s="1" t="str">
        <f t="shared" si="152"/>
        <v/>
      </c>
      <c r="H155" s="3" t="str">
        <f t="shared" si="152"/>
        <v/>
      </c>
      <c r="I155" s="1"/>
      <c r="J155" s="1"/>
      <c r="K155" s="1"/>
      <c r="L155" s="192"/>
      <c r="M155" s="192"/>
      <c r="N155" s="193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</row>
    <row r="156" ht="16.5" customHeight="1">
      <c r="A156" s="1"/>
      <c r="B156" s="1" t="str">
        <f t="shared" si="36"/>
        <v/>
      </c>
      <c r="C156" s="1"/>
      <c r="D156" s="3"/>
      <c r="E156" s="1" t="str">
        <f t="shared" ref="E156:H156" si="153">IF(A156&lt;&gt;"", IF(A156=A155, "", A156), "")</f>
        <v/>
      </c>
      <c r="F156" s="191" t="str">
        <f t="shared" si="153"/>
        <v/>
      </c>
      <c r="G156" s="1" t="str">
        <f t="shared" si="153"/>
        <v/>
      </c>
      <c r="H156" s="3" t="str">
        <f t="shared" si="153"/>
        <v/>
      </c>
      <c r="I156" s="1"/>
      <c r="J156" s="1"/>
      <c r="K156" s="1"/>
      <c r="L156" s="192"/>
      <c r="M156" s="192"/>
      <c r="N156" s="193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</row>
    <row r="157" ht="16.5" customHeight="1">
      <c r="A157" s="1"/>
      <c r="B157" s="1" t="str">
        <f t="shared" si="36"/>
        <v/>
      </c>
      <c r="C157" s="1"/>
      <c r="D157" s="3"/>
      <c r="E157" s="1" t="str">
        <f t="shared" ref="E157:H157" si="154">IF(A157&lt;&gt;"", IF(A157=A156, "", A157), "")</f>
        <v/>
      </c>
      <c r="F157" s="191" t="str">
        <f t="shared" si="154"/>
        <v/>
      </c>
      <c r="G157" s="1" t="str">
        <f t="shared" si="154"/>
        <v/>
      </c>
      <c r="H157" s="3" t="str">
        <f t="shared" si="154"/>
        <v/>
      </c>
      <c r="I157" s="1"/>
      <c r="J157" s="1"/>
      <c r="K157" s="1"/>
      <c r="L157" s="192"/>
      <c r="M157" s="192"/>
      <c r="N157" s="193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</row>
    <row r="158" ht="16.5" customHeight="1">
      <c r="A158" s="1"/>
      <c r="B158" s="1" t="str">
        <f t="shared" si="36"/>
        <v/>
      </c>
      <c r="C158" s="1"/>
      <c r="D158" s="3"/>
      <c r="E158" s="1" t="str">
        <f t="shared" ref="E158:H158" si="155">IF(A158&lt;&gt;"", IF(A158=A157, "", A158), "")</f>
        <v/>
      </c>
      <c r="F158" s="191" t="str">
        <f t="shared" si="155"/>
        <v/>
      </c>
      <c r="G158" s="1" t="str">
        <f t="shared" si="155"/>
        <v/>
      </c>
      <c r="H158" s="3" t="str">
        <f t="shared" si="155"/>
        <v/>
      </c>
      <c r="I158" s="1"/>
      <c r="J158" s="1"/>
      <c r="K158" s="1"/>
      <c r="L158" s="192"/>
      <c r="M158" s="192"/>
      <c r="N158" s="193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</row>
    <row r="159" ht="16.5" customHeight="1">
      <c r="A159" s="1"/>
      <c r="B159" s="1" t="str">
        <f t="shared" si="36"/>
        <v/>
      </c>
      <c r="C159" s="1"/>
      <c r="D159" s="3"/>
      <c r="E159" s="1" t="str">
        <f t="shared" ref="E159:H159" si="156">IF(A159&lt;&gt;"", IF(A159=A158, "", A159), "")</f>
        <v/>
      </c>
      <c r="F159" s="191" t="str">
        <f t="shared" si="156"/>
        <v/>
      </c>
      <c r="G159" s="1" t="str">
        <f t="shared" si="156"/>
        <v/>
      </c>
      <c r="H159" s="3" t="str">
        <f t="shared" si="156"/>
        <v/>
      </c>
      <c r="I159" s="1"/>
      <c r="J159" s="1"/>
      <c r="K159" s="1"/>
      <c r="L159" s="192"/>
      <c r="M159" s="192"/>
      <c r="N159" s="193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</row>
    <row r="160" ht="16.5" customHeight="1">
      <c r="A160" s="1"/>
      <c r="B160" s="1" t="str">
        <f t="shared" si="36"/>
        <v/>
      </c>
      <c r="C160" s="1"/>
      <c r="D160" s="3"/>
      <c r="E160" s="1" t="str">
        <f t="shared" ref="E160:H160" si="157">IF(A160&lt;&gt;"", IF(A160=A159, "", A160), "")</f>
        <v/>
      </c>
      <c r="F160" s="191" t="str">
        <f t="shared" si="157"/>
        <v/>
      </c>
      <c r="G160" s="1" t="str">
        <f t="shared" si="157"/>
        <v/>
      </c>
      <c r="H160" s="3" t="str">
        <f t="shared" si="157"/>
        <v/>
      </c>
      <c r="I160" s="1"/>
      <c r="J160" s="1"/>
      <c r="K160" s="1"/>
      <c r="L160" s="192"/>
      <c r="M160" s="192"/>
      <c r="N160" s="193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</row>
    <row r="161" ht="16.5" customHeight="1">
      <c r="A161" s="1"/>
      <c r="B161" s="1" t="str">
        <f t="shared" si="36"/>
        <v/>
      </c>
      <c r="C161" s="1"/>
      <c r="D161" s="3"/>
      <c r="E161" s="1" t="str">
        <f t="shared" ref="E161:H161" si="158">IF(A161&lt;&gt;"", IF(A161=A160, "", A161), "")</f>
        <v/>
      </c>
      <c r="F161" s="191" t="str">
        <f t="shared" si="158"/>
        <v/>
      </c>
      <c r="G161" s="1" t="str">
        <f t="shared" si="158"/>
        <v/>
      </c>
      <c r="H161" s="3" t="str">
        <f t="shared" si="158"/>
        <v/>
      </c>
      <c r="I161" s="1"/>
      <c r="J161" s="1"/>
      <c r="K161" s="1"/>
      <c r="L161" s="192"/>
      <c r="M161" s="192"/>
      <c r="N161" s="193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</row>
    <row r="162" ht="16.5" customHeight="1">
      <c r="A162" s="1"/>
      <c r="B162" s="1" t="str">
        <f t="shared" si="36"/>
        <v/>
      </c>
      <c r="C162" s="1"/>
      <c r="D162" s="3"/>
      <c r="E162" s="1" t="str">
        <f t="shared" ref="E162:H162" si="159">IF(A162&lt;&gt;"", IF(A162=A161, "", A162), "")</f>
        <v/>
      </c>
      <c r="F162" s="191" t="str">
        <f t="shared" si="159"/>
        <v/>
      </c>
      <c r="G162" s="1" t="str">
        <f t="shared" si="159"/>
        <v/>
      </c>
      <c r="H162" s="3" t="str">
        <f t="shared" si="159"/>
        <v/>
      </c>
      <c r="I162" s="1"/>
      <c r="J162" s="1"/>
      <c r="K162" s="1"/>
      <c r="L162" s="192"/>
      <c r="M162" s="192"/>
      <c r="N162" s="193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</row>
    <row r="163" ht="16.5" customHeight="1">
      <c r="A163" s="1"/>
      <c r="B163" s="1" t="str">
        <f t="shared" si="36"/>
        <v/>
      </c>
      <c r="C163" s="1"/>
      <c r="D163" s="3"/>
      <c r="E163" s="1" t="str">
        <f t="shared" ref="E163:H163" si="160">IF(A163&lt;&gt;"", IF(A163=A162, "", A163), "")</f>
        <v/>
      </c>
      <c r="F163" s="191" t="str">
        <f t="shared" si="160"/>
        <v/>
      </c>
      <c r="G163" s="1" t="str">
        <f t="shared" si="160"/>
        <v/>
      </c>
      <c r="H163" s="3" t="str">
        <f t="shared" si="160"/>
        <v/>
      </c>
      <c r="I163" s="1"/>
      <c r="J163" s="1"/>
      <c r="K163" s="1"/>
      <c r="L163" s="192"/>
      <c r="M163" s="192"/>
      <c r="N163" s="193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</row>
    <row r="164" ht="16.5" customHeight="1">
      <c r="A164" s="1"/>
      <c r="B164" s="1" t="str">
        <f t="shared" si="36"/>
        <v/>
      </c>
      <c r="C164" s="1"/>
      <c r="D164" s="3"/>
      <c r="E164" s="1" t="str">
        <f t="shared" ref="E164:H164" si="161">IF(A164&lt;&gt;"", IF(A164=A163, "", A164), "")</f>
        <v/>
      </c>
      <c r="F164" s="191" t="str">
        <f t="shared" si="161"/>
        <v/>
      </c>
      <c r="G164" s="1" t="str">
        <f t="shared" si="161"/>
        <v/>
      </c>
      <c r="H164" s="3" t="str">
        <f t="shared" si="161"/>
        <v/>
      </c>
      <c r="I164" s="1"/>
      <c r="J164" s="1"/>
      <c r="K164" s="1"/>
      <c r="L164" s="192"/>
      <c r="M164" s="192"/>
      <c r="N164" s="193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</row>
    <row r="165" ht="16.5" customHeight="1">
      <c r="A165" s="1"/>
      <c r="B165" s="1" t="str">
        <f t="shared" si="36"/>
        <v/>
      </c>
      <c r="C165" s="1"/>
      <c r="D165" s="3"/>
      <c r="E165" s="1" t="str">
        <f t="shared" ref="E165:H165" si="162">IF(A165&lt;&gt;"", IF(A165=A164, "", A165), "")</f>
        <v/>
      </c>
      <c r="F165" s="191" t="str">
        <f t="shared" si="162"/>
        <v/>
      </c>
      <c r="G165" s="1" t="str">
        <f t="shared" si="162"/>
        <v/>
      </c>
      <c r="H165" s="3" t="str">
        <f t="shared" si="162"/>
        <v/>
      </c>
      <c r="I165" s="1"/>
      <c r="J165" s="1"/>
      <c r="K165" s="1"/>
      <c r="L165" s="192"/>
      <c r="M165" s="192"/>
      <c r="N165" s="193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</row>
    <row r="166" ht="16.5" customHeight="1">
      <c r="A166" s="1"/>
      <c r="B166" s="1" t="str">
        <f t="shared" si="36"/>
        <v/>
      </c>
      <c r="C166" s="1"/>
      <c r="D166" s="3"/>
      <c r="E166" s="1" t="str">
        <f t="shared" ref="E166:H166" si="163">IF(A166&lt;&gt;"", IF(A166=A165, "", A166), "")</f>
        <v/>
      </c>
      <c r="F166" s="191" t="str">
        <f t="shared" si="163"/>
        <v/>
      </c>
      <c r="G166" s="1" t="str">
        <f t="shared" si="163"/>
        <v/>
      </c>
      <c r="H166" s="3" t="str">
        <f t="shared" si="163"/>
        <v/>
      </c>
      <c r="I166" s="1"/>
      <c r="J166" s="1"/>
      <c r="K166" s="1"/>
      <c r="L166" s="192"/>
      <c r="M166" s="192"/>
      <c r="N166" s="193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</row>
    <row r="167" ht="16.5" customHeight="1">
      <c r="A167" s="1"/>
      <c r="B167" s="1" t="str">
        <f t="shared" si="36"/>
        <v/>
      </c>
      <c r="C167" s="1"/>
      <c r="D167" s="3"/>
      <c r="E167" s="1" t="str">
        <f t="shared" ref="E167:H167" si="164">IF(A167&lt;&gt;"", IF(A167=A166, "", A167), "")</f>
        <v/>
      </c>
      <c r="F167" s="191" t="str">
        <f t="shared" si="164"/>
        <v/>
      </c>
      <c r="G167" s="1" t="str">
        <f t="shared" si="164"/>
        <v/>
      </c>
      <c r="H167" s="3" t="str">
        <f t="shared" si="164"/>
        <v/>
      </c>
      <c r="I167" s="1"/>
      <c r="J167" s="1"/>
      <c r="K167" s="1"/>
      <c r="L167" s="192"/>
      <c r="M167" s="192"/>
      <c r="N167" s="193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</row>
    <row r="168" ht="16.5" customHeight="1">
      <c r="A168" s="1"/>
      <c r="B168" s="1" t="str">
        <f t="shared" si="36"/>
        <v/>
      </c>
      <c r="C168" s="1"/>
      <c r="D168" s="3"/>
      <c r="E168" s="1" t="str">
        <f t="shared" ref="E168:H168" si="165">IF(A168&lt;&gt;"", IF(A168=A167, "", A168), "")</f>
        <v/>
      </c>
      <c r="F168" s="191" t="str">
        <f t="shared" si="165"/>
        <v/>
      </c>
      <c r="G168" s="1" t="str">
        <f t="shared" si="165"/>
        <v/>
      </c>
      <c r="H168" s="3" t="str">
        <f t="shared" si="165"/>
        <v/>
      </c>
      <c r="I168" s="1"/>
      <c r="J168" s="1"/>
      <c r="K168" s="1"/>
      <c r="L168" s="192"/>
      <c r="M168" s="192"/>
      <c r="N168" s="193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</row>
    <row r="169" ht="16.5" customHeight="1">
      <c r="A169" s="1"/>
      <c r="B169" s="1" t="str">
        <f t="shared" si="36"/>
        <v/>
      </c>
      <c r="C169" s="1"/>
      <c r="D169" s="3"/>
      <c r="E169" s="1" t="str">
        <f t="shared" ref="E169:H169" si="166">IF(A169&lt;&gt;"", IF(A169=A168, "", A169), "")</f>
        <v/>
      </c>
      <c r="F169" s="191" t="str">
        <f t="shared" si="166"/>
        <v/>
      </c>
      <c r="G169" s="1" t="str">
        <f t="shared" si="166"/>
        <v/>
      </c>
      <c r="H169" s="3" t="str">
        <f t="shared" si="166"/>
        <v/>
      </c>
      <c r="I169" s="1"/>
      <c r="J169" s="1"/>
      <c r="K169" s="1"/>
      <c r="L169" s="192"/>
      <c r="M169" s="192"/>
      <c r="N169" s="193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</row>
    <row r="170" ht="16.5" customHeight="1">
      <c r="A170" s="1"/>
      <c r="B170" s="1" t="str">
        <f t="shared" si="36"/>
        <v/>
      </c>
      <c r="C170" s="1"/>
      <c r="D170" s="3"/>
      <c r="E170" s="1" t="str">
        <f t="shared" ref="E170:H170" si="167">IF(A170&lt;&gt;"", IF(A170=A169, "", A170), "")</f>
        <v/>
      </c>
      <c r="F170" s="191" t="str">
        <f t="shared" si="167"/>
        <v/>
      </c>
      <c r="G170" s="1" t="str">
        <f t="shared" si="167"/>
        <v/>
      </c>
      <c r="H170" s="3" t="str">
        <f t="shared" si="167"/>
        <v/>
      </c>
      <c r="I170" s="1"/>
      <c r="J170" s="1"/>
      <c r="K170" s="1"/>
      <c r="L170" s="192"/>
      <c r="M170" s="192"/>
      <c r="N170" s="193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</row>
    <row r="171" ht="16.5" customHeight="1">
      <c r="A171" s="1"/>
      <c r="B171" s="1" t="str">
        <f t="shared" si="36"/>
        <v/>
      </c>
      <c r="C171" s="1"/>
      <c r="D171" s="3"/>
      <c r="E171" s="1" t="str">
        <f t="shared" ref="E171:H171" si="168">IF(A171&lt;&gt;"", IF(A171=A170, "", A171), "")</f>
        <v/>
      </c>
      <c r="F171" s="191" t="str">
        <f t="shared" si="168"/>
        <v/>
      </c>
      <c r="G171" s="1" t="str">
        <f t="shared" si="168"/>
        <v/>
      </c>
      <c r="H171" s="3" t="str">
        <f t="shared" si="168"/>
        <v/>
      </c>
      <c r="I171" s="1"/>
      <c r="J171" s="1"/>
      <c r="K171" s="1"/>
      <c r="L171" s="192"/>
      <c r="M171" s="192"/>
      <c r="N171" s="193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</row>
    <row r="172" ht="16.5" customHeight="1">
      <c r="A172" s="1"/>
      <c r="B172" s="1" t="str">
        <f t="shared" si="36"/>
        <v/>
      </c>
      <c r="C172" s="1"/>
      <c r="D172" s="3"/>
      <c r="E172" s="1" t="str">
        <f t="shared" ref="E172:H172" si="169">IF(A172&lt;&gt;"", IF(A172=A171, "", A172), "")</f>
        <v/>
      </c>
      <c r="F172" s="191" t="str">
        <f t="shared" si="169"/>
        <v/>
      </c>
      <c r="G172" s="1" t="str">
        <f t="shared" si="169"/>
        <v/>
      </c>
      <c r="H172" s="3" t="str">
        <f t="shared" si="169"/>
        <v/>
      </c>
      <c r="I172" s="1"/>
      <c r="J172" s="1"/>
      <c r="K172" s="1"/>
      <c r="L172" s="192"/>
      <c r="M172" s="192"/>
      <c r="N172" s="193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</row>
    <row r="173" ht="16.5" customHeight="1">
      <c r="A173" s="1"/>
      <c r="B173" s="1" t="str">
        <f t="shared" si="36"/>
        <v/>
      </c>
      <c r="C173" s="1"/>
      <c r="D173" s="3"/>
      <c r="E173" s="1" t="str">
        <f t="shared" ref="E173:H173" si="170">IF(A173&lt;&gt;"", IF(A173=A172, "", A173), "")</f>
        <v/>
      </c>
      <c r="F173" s="191" t="str">
        <f t="shared" si="170"/>
        <v/>
      </c>
      <c r="G173" s="1" t="str">
        <f t="shared" si="170"/>
        <v/>
      </c>
      <c r="H173" s="3" t="str">
        <f t="shared" si="170"/>
        <v/>
      </c>
      <c r="I173" s="1"/>
      <c r="J173" s="1"/>
      <c r="K173" s="1"/>
      <c r="L173" s="192"/>
      <c r="M173" s="192"/>
      <c r="N173" s="193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</row>
    <row r="174" ht="16.5" customHeight="1">
      <c r="A174" s="1"/>
      <c r="B174" s="1" t="str">
        <f t="shared" si="36"/>
        <v/>
      </c>
      <c r="C174" s="1"/>
      <c r="D174" s="3"/>
      <c r="E174" s="1" t="str">
        <f t="shared" ref="E174:H174" si="171">IF(A174&lt;&gt;"", IF(A174=A173, "", A174), "")</f>
        <v/>
      </c>
      <c r="F174" s="191" t="str">
        <f t="shared" si="171"/>
        <v/>
      </c>
      <c r="G174" s="1" t="str">
        <f t="shared" si="171"/>
        <v/>
      </c>
      <c r="H174" s="3" t="str">
        <f t="shared" si="171"/>
        <v/>
      </c>
      <c r="I174" s="1"/>
      <c r="J174" s="1"/>
      <c r="K174" s="1"/>
      <c r="L174" s="192"/>
      <c r="M174" s="192"/>
      <c r="N174" s="193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</row>
    <row r="175" ht="16.5" customHeight="1">
      <c r="A175" s="1"/>
      <c r="B175" s="1" t="str">
        <f t="shared" si="36"/>
        <v/>
      </c>
      <c r="C175" s="1"/>
      <c r="D175" s="3"/>
      <c r="E175" s="1" t="str">
        <f t="shared" ref="E175:H175" si="172">IF(A175&lt;&gt;"", IF(A175=A174, "", A175), "")</f>
        <v/>
      </c>
      <c r="F175" s="191" t="str">
        <f t="shared" si="172"/>
        <v/>
      </c>
      <c r="G175" s="1" t="str">
        <f t="shared" si="172"/>
        <v/>
      </c>
      <c r="H175" s="3" t="str">
        <f t="shared" si="172"/>
        <v/>
      </c>
      <c r="I175" s="1"/>
      <c r="J175" s="1"/>
      <c r="K175" s="1"/>
      <c r="L175" s="192"/>
      <c r="M175" s="192"/>
      <c r="N175" s="193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</row>
    <row r="176" ht="16.5" customHeight="1">
      <c r="A176" s="1"/>
      <c r="B176" s="1" t="str">
        <f t="shared" si="36"/>
        <v/>
      </c>
      <c r="C176" s="1"/>
      <c r="D176" s="3"/>
      <c r="E176" s="1" t="str">
        <f t="shared" ref="E176:H176" si="173">IF(A176&lt;&gt;"", IF(A176=A175, "", A176), "")</f>
        <v/>
      </c>
      <c r="F176" s="191" t="str">
        <f t="shared" si="173"/>
        <v/>
      </c>
      <c r="G176" s="1" t="str">
        <f t="shared" si="173"/>
        <v/>
      </c>
      <c r="H176" s="3" t="str">
        <f t="shared" si="173"/>
        <v/>
      </c>
      <c r="I176" s="1"/>
      <c r="J176" s="1"/>
      <c r="K176" s="1"/>
      <c r="L176" s="192"/>
      <c r="M176" s="192"/>
      <c r="N176" s="193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</row>
    <row r="177" ht="16.5" customHeight="1">
      <c r="A177" s="1"/>
      <c r="B177" s="1" t="str">
        <f t="shared" si="36"/>
        <v/>
      </c>
      <c r="C177" s="1"/>
      <c r="D177" s="3"/>
      <c r="E177" s="1" t="str">
        <f t="shared" ref="E177:H177" si="174">IF(A177&lt;&gt;"", IF(A177=A176, "", A177), "")</f>
        <v/>
      </c>
      <c r="F177" s="191" t="str">
        <f t="shared" si="174"/>
        <v/>
      </c>
      <c r="G177" s="1" t="str">
        <f t="shared" si="174"/>
        <v/>
      </c>
      <c r="H177" s="3" t="str">
        <f t="shared" si="174"/>
        <v/>
      </c>
      <c r="I177" s="1"/>
      <c r="J177" s="1"/>
      <c r="K177" s="1"/>
      <c r="L177" s="192"/>
      <c r="M177" s="192"/>
      <c r="N177" s="193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</row>
    <row r="178" ht="16.5" customHeight="1">
      <c r="A178" s="1"/>
      <c r="B178" s="1" t="str">
        <f t="shared" si="36"/>
        <v/>
      </c>
      <c r="C178" s="1"/>
      <c r="D178" s="3"/>
      <c r="E178" s="1" t="str">
        <f t="shared" ref="E178:H178" si="175">IF(A178&lt;&gt;"", IF(A178=A177, "", A178), "")</f>
        <v/>
      </c>
      <c r="F178" s="191" t="str">
        <f t="shared" si="175"/>
        <v/>
      </c>
      <c r="G178" s="1" t="str">
        <f t="shared" si="175"/>
        <v/>
      </c>
      <c r="H178" s="3" t="str">
        <f t="shared" si="175"/>
        <v/>
      </c>
      <c r="I178" s="1"/>
      <c r="J178" s="1"/>
      <c r="K178" s="1"/>
      <c r="L178" s="192"/>
      <c r="M178" s="192"/>
      <c r="N178" s="193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</row>
    <row r="179" ht="16.5" customHeight="1">
      <c r="A179" s="1"/>
      <c r="B179" s="1" t="str">
        <f t="shared" si="36"/>
        <v/>
      </c>
      <c r="C179" s="1"/>
      <c r="D179" s="3"/>
      <c r="E179" s="1" t="str">
        <f t="shared" ref="E179:H179" si="176">IF(A179&lt;&gt;"", IF(A179=A178, "", A179), "")</f>
        <v/>
      </c>
      <c r="F179" s="191" t="str">
        <f t="shared" si="176"/>
        <v/>
      </c>
      <c r="G179" s="1" t="str">
        <f t="shared" si="176"/>
        <v/>
      </c>
      <c r="H179" s="3" t="str">
        <f t="shared" si="176"/>
        <v/>
      </c>
      <c r="I179" s="1"/>
      <c r="J179" s="1"/>
      <c r="K179" s="1"/>
      <c r="L179" s="192"/>
      <c r="M179" s="192"/>
      <c r="N179" s="193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</row>
    <row r="180" ht="16.5" customHeight="1">
      <c r="A180" s="1"/>
      <c r="B180" s="1" t="str">
        <f t="shared" si="36"/>
        <v/>
      </c>
      <c r="C180" s="1"/>
      <c r="D180" s="3"/>
      <c r="E180" s="1" t="str">
        <f t="shared" ref="E180:H180" si="177">IF(A180&lt;&gt;"", IF(A180=A179, "", A180), "")</f>
        <v/>
      </c>
      <c r="F180" s="191" t="str">
        <f t="shared" si="177"/>
        <v/>
      </c>
      <c r="G180" s="1" t="str">
        <f t="shared" si="177"/>
        <v/>
      </c>
      <c r="H180" s="3" t="str">
        <f t="shared" si="177"/>
        <v/>
      </c>
      <c r="I180" s="1"/>
      <c r="J180" s="1"/>
      <c r="K180" s="1"/>
      <c r="L180" s="192"/>
      <c r="M180" s="192"/>
      <c r="N180" s="193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</row>
    <row r="181" ht="16.5" customHeight="1">
      <c r="A181" s="1"/>
      <c r="B181" s="1" t="str">
        <f t="shared" si="36"/>
        <v/>
      </c>
      <c r="C181" s="1"/>
      <c r="D181" s="3"/>
      <c r="E181" s="1" t="str">
        <f t="shared" ref="E181:H181" si="178">IF(A181&lt;&gt;"", IF(A181=A180, "", A181), "")</f>
        <v/>
      </c>
      <c r="F181" s="191" t="str">
        <f t="shared" si="178"/>
        <v/>
      </c>
      <c r="G181" s="1" t="str">
        <f t="shared" si="178"/>
        <v/>
      </c>
      <c r="H181" s="3" t="str">
        <f t="shared" si="178"/>
        <v/>
      </c>
      <c r="I181" s="1"/>
      <c r="J181" s="1"/>
      <c r="K181" s="1"/>
      <c r="L181" s="192"/>
      <c r="M181" s="192"/>
      <c r="N181" s="193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</row>
    <row r="182" ht="16.5" customHeight="1">
      <c r="A182" s="1"/>
      <c r="B182" s="1" t="str">
        <f t="shared" si="36"/>
        <v/>
      </c>
      <c r="C182" s="1"/>
      <c r="D182" s="3"/>
      <c r="E182" s="1" t="str">
        <f t="shared" ref="E182:H182" si="179">IF(A182&lt;&gt;"", IF(A182=A181, "", A182), "")</f>
        <v/>
      </c>
      <c r="F182" s="191" t="str">
        <f t="shared" si="179"/>
        <v/>
      </c>
      <c r="G182" s="1" t="str">
        <f t="shared" si="179"/>
        <v/>
      </c>
      <c r="H182" s="3" t="str">
        <f t="shared" si="179"/>
        <v/>
      </c>
      <c r="I182" s="1"/>
      <c r="J182" s="1"/>
      <c r="K182" s="1"/>
      <c r="L182" s="192"/>
      <c r="M182" s="192"/>
      <c r="N182" s="193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</row>
    <row r="183" ht="16.5" customHeight="1">
      <c r="A183" s="1"/>
      <c r="B183" s="1" t="str">
        <f t="shared" si="36"/>
        <v/>
      </c>
      <c r="C183" s="1"/>
      <c r="D183" s="3"/>
      <c r="E183" s="1" t="str">
        <f t="shared" ref="E183:H183" si="180">IF(A183&lt;&gt;"", IF(A183=A182, "", A183), "")</f>
        <v/>
      </c>
      <c r="F183" s="191" t="str">
        <f t="shared" si="180"/>
        <v/>
      </c>
      <c r="G183" s="1" t="str">
        <f t="shared" si="180"/>
        <v/>
      </c>
      <c r="H183" s="3" t="str">
        <f t="shared" si="180"/>
        <v/>
      </c>
      <c r="I183" s="1"/>
      <c r="J183" s="1"/>
      <c r="K183" s="1"/>
      <c r="L183" s="192"/>
      <c r="M183" s="192"/>
      <c r="N183" s="193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</row>
    <row r="184" ht="16.5" customHeight="1">
      <c r="A184" s="1"/>
      <c r="B184" s="1" t="str">
        <f t="shared" si="36"/>
        <v/>
      </c>
      <c r="C184" s="1"/>
      <c r="D184" s="3"/>
      <c r="E184" s="1" t="str">
        <f t="shared" ref="E184:H184" si="181">IF(A184&lt;&gt;"", IF(A184=A183, "", A184), "")</f>
        <v/>
      </c>
      <c r="F184" s="191" t="str">
        <f t="shared" si="181"/>
        <v/>
      </c>
      <c r="G184" s="1" t="str">
        <f t="shared" si="181"/>
        <v/>
      </c>
      <c r="H184" s="3" t="str">
        <f t="shared" si="181"/>
        <v/>
      </c>
      <c r="I184" s="1"/>
      <c r="J184" s="1"/>
      <c r="K184" s="1"/>
      <c r="L184" s="192"/>
      <c r="M184" s="192"/>
      <c r="N184" s="193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</row>
    <row r="185" ht="16.5" customHeight="1">
      <c r="A185" s="1"/>
      <c r="B185" s="1" t="str">
        <f t="shared" si="36"/>
        <v/>
      </c>
      <c r="C185" s="1"/>
      <c r="D185" s="3"/>
      <c r="E185" s="1" t="str">
        <f t="shared" ref="E185:H185" si="182">IF(A185&lt;&gt;"", IF(A185=A184, "", A185), "")</f>
        <v/>
      </c>
      <c r="F185" s="191" t="str">
        <f t="shared" si="182"/>
        <v/>
      </c>
      <c r="G185" s="1" t="str">
        <f t="shared" si="182"/>
        <v/>
      </c>
      <c r="H185" s="3" t="str">
        <f t="shared" si="182"/>
        <v/>
      </c>
      <c r="I185" s="1"/>
      <c r="J185" s="1"/>
      <c r="K185" s="1"/>
      <c r="L185" s="192"/>
      <c r="M185" s="192"/>
      <c r="N185" s="193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</row>
    <row r="186" ht="16.5" customHeight="1">
      <c r="A186" s="1"/>
      <c r="B186" s="1" t="str">
        <f t="shared" si="36"/>
        <v/>
      </c>
      <c r="C186" s="1"/>
      <c r="D186" s="3"/>
      <c r="E186" s="1" t="str">
        <f t="shared" ref="E186:H186" si="183">IF(A186&lt;&gt;"", IF(A186=A185, "", A186), "")</f>
        <v/>
      </c>
      <c r="F186" s="191" t="str">
        <f t="shared" si="183"/>
        <v/>
      </c>
      <c r="G186" s="1" t="str">
        <f t="shared" si="183"/>
        <v/>
      </c>
      <c r="H186" s="3" t="str">
        <f t="shared" si="183"/>
        <v/>
      </c>
      <c r="I186" s="1"/>
      <c r="J186" s="1"/>
      <c r="K186" s="1"/>
      <c r="L186" s="192"/>
      <c r="M186" s="192"/>
      <c r="N186" s="193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</row>
    <row r="187" ht="16.5" customHeight="1">
      <c r="A187" s="1"/>
      <c r="B187" s="1" t="str">
        <f t="shared" si="36"/>
        <v/>
      </c>
      <c r="C187" s="1"/>
      <c r="D187" s="3"/>
      <c r="E187" s="1" t="str">
        <f t="shared" ref="E187:H187" si="184">IF(A187&lt;&gt;"", IF(A187=A186, "", A187), "")</f>
        <v/>
      </c>
      <c r="F187" s="191" t="str">
        <f t="shared" si="184"/>
        <v/>
      </c>
      <c r="G187" s="1" t="str">
        <f t="shared" si="184"/>
        <v/>
      </c>
      <c r="H187" s="3" t="str">
        <f t="shared" si="184"/>
        <v/>
      </c>
      <c r="I187" s="1"/>
      <c r="J187" s="1"/>
      <c r="K187" s="1"/>
      <c r="L187" s="192"/>
      <c r="M187" s="192"/>
      <c r="N187" s="193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</row>
    <row r="188" ht="16.5" customHeight="1">
      <c r="A188" s="1"/>
      <c r="B188" s="1" t="str">
        <f t="shared" si="36"/>
        <v/>
      </c>
      <c r="C188" s="1"/>
      <c r="D188" s="3"/>
      <c r="E188" s="1" t="str">
        <f t="shared" ref="E188:H188" si="185">IF(A188&lt;&gt;"", IF(A188=A187, "", A188), "")</f>
        <v/>
      </c>
      <c r="F188" s="191" t="str">
        <f t="shared" si="185"/>
        <v/>
      </c>
      <c r="G188" s="1" t="str">
        <f t="shared" si="185"/>
        <v/>
      </c>
      <c r="H188" s="3" t="str">
        <f t="shared" si="185"/>
        <v/>
      </c>
      <c r="I188" s="1"/>
      <c r="J188" s="1"/>
      <c r="K188" s="1"/>
      <c r="L188" s="192"/>
      <c r="M188" s="192"/>
      <c r="N188" s="193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</row>
    <row r="189" ht="16.5" customHeight="1">
      <c r="A189" s="1"/>
      <c r="B189" s="1" t="str">
        <f t="shared" si="36"/>
        <v/>
      </c>
      <c r="C189" s="1"/>
      <c r="D189" s="3"/>
      <c r="E189" s="1" t="str">
        <f t="shared" ref="E189:H189" si="186">IF(A189&lt;&gt;"", IF(A189=A188, "", A189), "")</f>
        <v/>
      </c>
      <c r="F189" s="191" t="str">
        <f t="shared" si="186"/>
        <v/>
      </c>
      <c r="G189" s="1" t="str">
        <f t="shared" si="186"/>
        <v/>
      </c>
      <c r="H189" s="3" t="str">
        <f t="shared" si="186"/>
        <v/>
      </c>
      <c r="I189" s="1"/>
      <c r="J189" s="1"/>
      <c r="K189" s="1"/>
      <c r="L189" s="192"/>
      <c r="M189" s="192"/>
      <c r="N189" s="193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</row>
    <row r="190" ht="16.5" customHeight="1">
      <c r="A190" s="1"/>
      <c r="B190" s="1" t="str">
        <f t="shared" si="36"/>
        <v/>
      </c>
      <c r="C190" s="1"/>
      <c r="D190" s="3"/>
      <c r="E190" s="1" t="str">
        <f t="shared" ref="E190:H190" si="187">IF(A190&lt;&gt;"", IF(A190=A189, "", A190), "")</f>
        <v/>
      </c>
      <c r="F190" s="191" t="str">
        <f t="shared" si="187"/>
        <v/>
      </c>
      <c r="G190" s="1" t="str">
        <f t="shared" si="187"/>
        <v/>
      </c>
      <c r="H190" s="3" t="str">
        <f t="shared" si="187"/>
        <v/>
      </c>
      <c r="I190" s="1"/>
      <c r="J190" s="1"/>
      <c r="K190" s="1"/>
      <c r="L190" s="192"/>
      <c r="M190" s="192"/>
      <c r="N190" s="193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</row>
    <row r="191" ht="16.5" customHeight="1">
      <c r="A191" s="1"/>
      <c r="B191" s="1" t="str">
        <f t="shared" si="36"/>
        <v/>
      </c>
      <c r="C191" s="1"/>
      <c r="D191" s="3"/>
      <c r="E191" s="1" t="str">
        <f t="shared" ref="E191:H191" si="188">IF(A191&lt;&gt;"", IF(A191=A190, "", A191), "")</f>
        <v/>
      </c>
      <c r="F191" s="191" t="str">
        <f t="shared" si="188"/>
        <v/>
      </c>
      <c r="G191" s="1" t="str">
        <f t="shared" si="188"/>
        <v/>
      </c>
      <c r="H191" s="3" t="str">
        <f t="shared" si="188"/>
        <v/>
      </c>
      <c r="I191" s="1"/>
      <c r="J191" s="1"/>
      <c r="K191" s="1"/>
      <c r="L191" s="192"/>
      <c r="M191" s="192"/>
      <c r="N191" s="193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</row>
    <row r="192" ht="16.5" customHeight="1">
      <c r="A192" s="1"/>
      <c r="B192" s="1" t="str">
        <f t="shared" si="36"/>
        <v/>
      </c>
      <c r="C192" s="1"/>
      <c r="D192" s="3"/>
      <c r="E192" s="1" t="str">
        <f t="shared" ref="E192:H192" si="189">IF(A192&lt;&gt;"", IF(A192=A191, "", A192), "")</f>
        <v/>
      </c>
      <c r="F192" s="191" t="str">
        <f t="shared" si="189"/>
        <v/>
      </c>
      <c r="G192" s="1" t="str">
        <f t="shared" si="189"/>
        <v/>
      </c>
      <c r="H192" s="3" t="str">
        <f t="shared" si="189"/>
        <v/>
      </c>
      <c r="I192" s="1"/>
      <c r="J192" s="1"/>
      <c r="K192" s="1"/>
      <c r="L192" s="192"/>
      <c r="M192" s="192"/>
      <c r="N192" s="193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</row>
    <row r="193" ht="16.5" customHeight="1">
      <c r="A193" s="1"/>
      <c r="B193" s="1" t="str">
        <f t="shared" si="36"/>
        <v/>
      </c>
      <c r="C193" s="1"/>
      <c r="D193" s="3"/>
      <c r="E193" s="1" t="str">
        <f t="shared" ref="E193:H193" si="190">IF(A193&lt;&gt;"", IF(A193=A192, "", A193), "")</f>
        <v/>
      </c>
      <c r="F193" s="191" t="str">
        <f t="shared" si="190"/>
        <v/>
      </c>
      <c r="G193" s="1" t="str">
        <f t="shared" si="190"/>
        <v/>
      </c>
      <c r="H193" s="3" t="str">
        <f t="shared" si="190"/>
        <v/>
      </c>
      <c r="I193" s="1"/>
      <c r="J193" s="1"/>
      <c r="K193" s="1"/>
      <c r="L193" s="192"/>
      <c r="M193" s="192"/>
      <c r="N193" s="193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</row>
    <row r="194" ht="16.5" customHeight="1">
      <c r="A194" s="1"/>
      <c r="B194" s="1" t="str">
        <f t="shared" si="36"/>
        <v/>
      </c>
      <c r="C194" s="1"/>
      <c r="D194" s="3"/>
      <c r="E194" s="1" t="str">
        <f t="shared" ref="E194:H194" si="191">IF(A194&lt;&gt;"", IF(A194=A193, "", A194), "")</f>
        <v/>
      </c>
      <c r="F194" s="191" t="str">
        <f t="shared" si="191"/>
        <v/>
      </c>
      <c r="G194" s="1" t="str">
        <f t="shared" si="191"/>
        <v/>
      </c>
      <c r="H194" s="3" t="str">
        <f t="shared" si="191"/>
        <v/>
      </c>
      <c r="I194" s="1"/>
      <c r="J194" s="1"/>
      <c r="K194" s="1"/>
      <c r="L194" s="192"/>
      <c r="M194" s="192"/>
      <c r="N194" s="193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</row>
    <row r="195" ht="16.5" customHeight="1">
      <c r="A195" s="1"/>
      <c r="B195" s="1" t="str">
        <f t="shared" si="36"/>
        <v/>
      </c>
      <c r="C195" s="1"/>
      <c r="D195" s="3"/>
      <c r="E195" s="1" t="str">
        <f t="shared" ref="E195:H195" si="192">IF(A195&lt;&gt;"", IF(A195=A194, "", A195), "")</f>
        <v/>
      </c>
      <c r="F195" s="191" t="str">
        <f t="shared" si="192"/>
        <v/>
      </c>
      <c r="G195" s="1" t="str">
        <f t="shared" si="192"/>
        <v/>
      </c>
      <c r="H195" s="3" t="str">
        <f t="shared" si="192"/>
        <v/>
      </c>
      <c r="I195" s="1"/>
      <c r="J195" s="1"/>
      <c r="K195" s="1"/>
      <c r="L195" s="192"/>
      <c r="M195" s="192"/>
      <c r="N195" s="193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</row>
    <row r="196" ht="16.5" customHeight="1">
      <c r="A196" s="1"/>
      <c r="B196" s="1" t="str">
        <f t="shared" si="36"/>
        <v/>
      </c>
      <c r="C196" s="1"/>
      <c r="D196" s="3"/>
      <c r="E196" s="1" t="str">
        <f t="shared" ref="E196:H196" si="193">IF(A196&lt;&gt;"", IF(A196=A195, "", A196), "")</f>
        <v/>
      </c>
      <c r="F196" s="191" t="str">
        <f t="shared" si="193"/>
        <v/>
      </c>
      <c r="G196" s="1" t="str">
        <f t="shared" si="193"/>
        <v/>
      </c>
      <c r="H196" s="3" t="str">
        <f t="shared" si="193"/>
        <v/>
      </c>
      <c r="I196" s="1"/>
      <c r="J196" s="1"/>
      <c r="K196" s="1"/>
      <c r="L196" s="192"/>
      <c r="M196" s="192"/>
      <c r="N196" s="193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</row>
    <row r="197" ht="16.5" customHeight="1">
      <c r="A197" s="1"/>
      <c r="B197" s="1" t="str">
        <f t="shared" si="36"/>
        <v/>
      </c>
      <c r="C197" s="1"/>
      <c r="D197" s="3"/>
      <c r="E197" s="1" t="str">
        <f t="shared" ref="E197:H197" si="194">IF(A197&lt;&gt;"", IF(A197=A196, "", A197), "")</f>
        <v/>
      </c>
      <c r="F197" s="191" t="str">
        <f t="shared" si="194"/>
        <v/>
      </c>
      <c r="G197" s="1" t="str">
        <f t="shared" si="194"/>
        <v/>
      </c>
      <c r="H197" s="3" t="str">
        <f t="shared" si="194"/>
        <v/>
      </c>
      <c r="I197" s="1"/>
      <c r="J197" s="1"/>
      <c r="K197" s="1"/>
      <c r="L197" s="192"/>
      <c r="M197" s="192"/>
      <c r="N197" s="193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</row>
    <row r="198" ht="16.5" customHeight="1">
      <c r="A198" s="1"/>
      <c r="B198" s="1" t="str">
        <f t="shared" si="36"/>
        <v/>
      </c>
      <c r="C198" s="1"/>
      <c r="D198" s="3"/>
      <c r="E198" s="1" t="str">
        <f t="shared" ref="E198:H198" si="195">IF(A198&lt;&gt;"", IF(A198=A197, "", A198), "")</f>
        <v/>
      </c>
      <c r="F198" s="191" t="str">
        <f t="shared" si="195"/>
        <v/>
      </c>
      <c r="G198" s="1" t="str">
        <f t="shared" si="195"/>
        <v/>
      </c>
      <c r="H198" s="3" t="str">
        <f t="shared" si="195"/>
        <v/>
      </c>
      <c r="I198" s="1"/>
      <c r="J198" s="1"/>
      <c r="K198" s="1"/>
      <c r="L198" s="192"/>
      <c r="M198" s="192"/>
      <c r="N198" s="193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</row>
    <row r="199" ht="16.5" customHeight="1">
      <c r="A199" s="1"/>
      <c r="B199" s="1" t="str">
        <f t="shared" si="36"/>
        <v/>
      </c>
      <c r="C199" s="1"/>
      <c r="D199" s="3"/>
      <c r="E199" s="1" t="str">
        <f t="shared" ref="E199:H199" si="196">IF(A199&lt;&gt;"", IF(A199=A198, "", A199), "")</f>
        <v/>
      </c>
      <c r="F199" s="191" t="str">
        <f t="shared" si="196"/>
        <v/>
      </c>
      <c r="G199" s="1" t="str">
        <f t="shared" si="196"/>
        <v/>
      </c>
      <c r="H199" s="3" t="str">
        <f t="shared" si="196"/>
        <v/>
      </c>
      <c r="I199" s="1"/>
      <c r="J199" s="1"/>
      <c r="K199" s="1"/>
      <c r="L199" s="192"/>
      <c r="M199" s="192"/>
      <c r="N199" s="193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</row>
    <row r="200" ht="16.5" customHeight="1">
      <c r="A200" s="1"/>
      <c r="B200" s="1" t="str">
        <f t="shared" si="36"/>
        <v/>
      </c>
      <c r="C200" s="1"/>
      <c r="D200" s="3"/>
      <c r="E200" s="1" t="str">
        <f t="shared" ref="E200:H200" si="197">IF(A200&lt;&gt;"", IF(A200=A199, "", A200), "")</f>
        <v/>
      </c>
      <c r="F200" s="191" t="str">
        <f t="shared" si="197"/>
        <v/>
      </c>
      <c r="G200" s="1" t="str">
        <f t="shared" si="197"/>
        <v/>
      </c>
      <c r="H200" s="3" t="str">
        <f t="shared" si="197"/>
        <v/>
      </c>
      <c r="I200" s="1"/>
      <c r="J200" s="1"/>
      <c r="K200" s="1"/>
      <c r="L200" s="192"/>
      <c r="M200" s="192"/>
      <c r="N200" s="193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</row>
    <row r="201" ht="16.5" customHeight="1">
      <c r="A201" s="1"/>
      <c r="B201" s="1" t="str">
        <f t="shared" si="36"/>
        <v/>
      </c>
      <c r="C201" s="1"/>
      <c r="D201" s="3"/>
      <c r="E201" s="1" t="str">
        <f t="shared" ref="E201:H201" si="198">IF(A201&lt;&gt;"", IF(A201=A200, "", A201), "")</f>
        <v/>
      </c>
      <c r="F201" s="191" t="str">
        <f t="shared" si="198"/>
        <v/>
      </c>
      <c r="G201" s="1" t="str">
        <f t="shared" si="198"/>
        <v/>
      </c>
      <c r="H201" s="3" t="str">
        <f t="shared" si="198"/>
        <v/>
      </c>
      <c r="I201" s="1"/>
      <c r="J201" s="1"/>
      <c r="K201" s="1"/>
      <c r="L201" s="192"/>
      <c r="M201" s="192"/>
      <c r="N201" s="193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</row>
    <row r="202" ht="16.5" customHeight="1">
      <c r="A202" s="1"/>
      <c r="B202" s="1" t="str">
        <f t="shared" si="36"/>
        <v/>
      </c>
      <c r="C202" s="1"/>
      <c r="D202" s="3"/>
      <c r="E202" s="1" t="str">
        <f t="shared" ref="E202:H202" si="199">IF(A202&lt;&gt;"", IF(A202=A201, "", A202), "")</f>
        <v/>
      </c>
      <c r="F202" s="191" t="str">
        <f t="shared" si="199"/>
        <v/>
      </c>
      <c r="G202" s="1" t="str">
        <f t="shared" si="199"/>
        <v/>
      </c>
      <c r="H202" s="3" t="str">
        <f t="shared" si="199"/>
        <v/>
      </c>
      <c r="I202" s="1"/>
      <c r="J202" s="1"/>
      <c r="K202" s="1"/>
      <c r="L202" s="192"/>
      <c r="M202" s="192"/>
      <c r="N202" s="193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</row>
    <row r="203" ht="16.5" customHeight="1">
      <c r="A203" s="1"/>
      <c r="B203" s="1" t="str">
        <f t="shared" si="36"/>
        <v/>
      </c>
      <c r="C203" s="1"/>
      <c r="D203" s="3"/>
      <c r="E203" s="1" t="str">
        <f t="shared" ref="E203:H203" si="200">IF(A203&lt;&gt;"", IF(A203=A202, "", A203), "")</f>
        <v/>
      </c>
      <c r="F203" s="191" t="str">
        <f t="shared" si="200"/>
        <v/>
      </c>
      <c r="G203" s="1" t="str">
        <f t="shared" si="200"/>
        <v/>
      </c>
      <c r="H203" s="3" t="str">
        <f t="shared" si="200"/>
        <v/>
      </c>
      <c r="I203" s="1"/>
      <c r="J203" s="1"/>
      <c r="K203" s="1"/>
      <c r="L203" s="192"/>
      <c r="M203" s="192"/>
      <c r="N203" s="193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</row>
    <row r="204" ht="16.5" customHeight="1">
      <c r="A204" s="1"/>
      <c r="B204" s="1"/>
      <c r="C204" s="1"/>
      <c r="D204" s="3"/>
      <c r="E204" s="1" t="str">
        <f t="shared" ref="E204:H204" si="201">IF(A204&lt;&gt;"", IF(A204=A203, "", A204), "")</f>
        <v/>
      </c>
      <c r="F204" s="191" t="str">
        <f t="shared" si="201"/>
        <v/>
      </c>
      <c r="G204" s="1" t="str">
        <f t="shared" si="201"/>
        <v/>
      </c>
      <c r="H204" s="3" t="str">
        <f t="shared" si="201"/>
        <v/>
      </c>
      <c r="I204" s="1"/>
      <c r="J204" s="1"/>
      <c r="K204" s="1"/>
      <c r="L204" s="192"/>
      <c r="M204" s="192"/>
      <c r="N204" s="193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</row>
    <row r="205" ht="16.5" customHeight="1">
      <c r="A205" s="1"/>
      <c r="B205" s="1"/>
      <c r="C205" s="1"/>
      <c r="D205" s="3"/>
      <c r="E205" s="1" t="str">
        <f t="shared" ref="E205:H205" si="202">IF(A205&lt;&gt;"", IF(A205=A204, "", A205), "")</f>
        <v/>
      </c>
      <c r="F205" s="191" t="str">
        <f t="shared" si="202"/>
        <v/>
      </c>
      <c r="G205" s="1" t="str">
        <f t="shared" si="202"/>
        <v/>
      </c>
      <c r="H205" s="3" t="str">
        <f t="shared" si="202"/>
        <v/>
      </c>
      <c r="I205" s="1"/>
      <c r="J205" s="1"/>
      <c r="K205" s="1"/>
      <c r="L205" s="192"/>
      <c r="M205" s="192"/>
      <c r="N205" s="193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</row>
    <row r="206" ht="16.5" customHeight="1">
      <c r="A206" s="1"/>
      <c r="B206" s="1"/>
      <c r="C206" s="1"/>
      <c r="D206" s="3"/>
      <c r="E206" s="1" t="str">
        <f t="shared" ref="E206:H206" si="203">IF(A206&lt;&gt;"", IF(A206=A205, "", A206), "")</f>
        <v/>
      </c>
      <c r="F206" s="191" t="str">
        <f t="shared" si="203"/>
        <v/>
      </c>
      <c r="G206" s="1" t="str">
        <f t="shared" si="203"/>
        <v/>
      </c>
      <c r="H206" s="3" t="str">
        <f t="shared" si="203"/>
        <v/>
      </c>
      <c r="I206" s="1"/>
      <c r="J206" s="1"/>
      <c r="K206" s="1"/>
      <c r="L206" s="192"/>
      <c r="M206" s="192"/>
      <c r="N206" s="193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</row>
    <row r="207" ht="16.5" customHeight="1">
      <c r="A207" s="1"/>
      <c r="B207" s="1"/>
      <c r="C207" s="1"/>
      <c r="D207" s="3"/>
      <c r="E207" s="1" t="str">
        <f t="shared" ref="E207:H207" si="204">IF(A207&lt;&gt;"", IF(A207=A206, "", A207), "")</f>
        <v/>
      </c>
      <c r="F207" s="191" t="str">
        <f t="shared" si="204"/>
        <v/>
      </c>
      <c r="G207" s="1" t="str">
        <f t="shared" si="204"/>
        <v/>
      </c>
      <c r="H207" s="3" t="str">
        <f t="shared" si="204"/>
        <v/>
      </c>
      <c r="I207" s="1"/>
      <c r="J207" s="1"/>
      <c r="K207" s="1"/>
      <c r="L207" s="192"/>
      <c r="M207" s="192"/>
      <c r="N207" s="193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</row>
    <row r="208" ht="16.5" customHeight="1">
      <c r="A208" s="1"/>
      <c r="B208" s="1"/>
      <c r="C208" s="1"/>
      <c r="D208" s="3"/>
      <c r="E208" s="1" t="str">
        <f t="shared" ref="E208:H208" si="205">IF(A208&lt;&gt;"", IF(A208=A207, "", A208), "")</f>
        <v/>
      </c>
      <c r="F208" s="191" t="str">
        <f t="shared" si="205"/>
        <v/>
      </c>
      <c r="G208" s="1" t="str">
        <f t="shared" si="205"/>
        <v/>
      </c>
      <c r="H208" s="3" t="str">
        <f t="shared" si="205"/>
        <v/>
      </c>
      <c r="I208" s="1"/>
      <c r="J208" s="1"/>
      <c r="K208" s="1"/>
      <c r="L208" s="192"/>
      <c r="M208" s="192"/>
      <c r="N208" s="193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</row>
    <row r="209" ht="16.5" customHeight="1">
      <c r="A209" s="1"/>
      <c r="B209" s="1"/>
      <c r="C209" s="1"/>
      <c r="D209" s="3"/>
      <c r="E209" s="1" t="str">
        <f t="shared" ref="E209:H209" si="206">IF(A209&lt;&gt;"", IF(A209=A208, "", A209), "")</f>
        <v/>
      </c>
      <c r="F209" s="191" t="str">
        <f t="shared" si="206"/>
        <v/>
      </c>
      <c r="G209" s="1" t="str">
        <f t="shared" si="206"/>
        <v/>
      </c>
      <c r="H209" s="3" t="str">
        <f t="shared" si="206"/>
        <v/>
      </c>
      <c r="I209" s="1"/>
      <c r="J209" s="1"/>
      <c r="K209" s="1"/>
      <c r="L209" s="192"/>
      <c r="M209" s="192"/>
      <c r="N209" s="193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</row>
    <row r="210" ht="16.5" customHeight="1">
      <c r="A210" s="1"/>
      <c r="B210" s="1"/>
      <c r="C210" s="1"/>
      <c r="D210" s="3"/>
      <c r="E210" s="1" t="str">
        <f t="shared" ref="E210:H210" si="207">IF(A210&lt;&gt;"", IF(A210=A209, "", A210), "")</f>
        <v/>
      </c>
      <c r="F210" s="191" t="str">
        <f t="shared" si="207"/>
        <v/>
      </c>
      <c r="G210" s="1" t="str">
        <f t="shared" si="207"/>
        <v/>
      </c>
      <c r="H210" s="3" t="str">
        <f t="shared" si="207"/>
        <v/>
      </c>
      <c r="I210" s="1"/>
      <c r="J210" s="1"/>
      <c r="K210" s="1"/>
      <c r="L210" s="192"/>
      <c r="M210" s="192"/>
      <c r="N210" s="193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</row>
    <row r="211" ht="16.5" customHeight="1">
      <c r="A211" s="1"/>
      <c r="B211" s="1"/>
      <c r="C211" s="1"/>
      <c r="D211" s="3"/>
      <c r="E211" s="1" t="str">
        <f t="shared" ref="E211:H211" si="208">IF(A211&lt;&gt;"", IF(A211=A210, "", A211), "")</f>
        <v/>
      </c>
      <c r="F211" s="191" t="str">
        <f t="shared" si="208"/>
        <v/>
      </c>
      <c r="G211" s="1" t="str">
        <f t="shared" si="208"/>
        <v/>
      </c>
      <c r="H211" s="3" t="str">
        <f t="shared" si="208"/>
        <v/>
      </c>
      <c r="I211" s="1"/>
      <c r="J211" s="1"/>
      <c r="K211" s="1"/>
      <c r="L211" s="192"/>
      <c r="M211" s="192"/>
      <c r="N211" s="193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</row>
    <row r="212" ht="16.5" customHeight="1">
      <c r="A212" s="1"/>
      <c r="B212" s="1"/>
      <c r="C212" s="1"/>
      <c r="D212" s="3"/>
      <c r="E212" s="1" t="str">
        <f t="shared" ref="E212:H212" si="209">IF(A212&lt;&gt;"", IF(A212=A211, "", A212), "")</f>
        <v/>
      </c>
      <c r="F212" s="191" t="str">
        <f t="shared" si="209"/>
        <v/>
      </c>
      <c r="G212" s="1" t="str">
        <f t="shared" si="209"/>
        <v/>
      </c>
      <c r="H212" s="3" t="str">
        <f t="shared" si="209"/>
        <v/>
      </c>
      <c r="I212" s="1"/>
      <c r="J212" s="1"/>
      <c r="K212" s="1"/>
      <c r="L212" s="192"/>
      <c r="M212" s="192"/>
      <c r="N212" s="193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</row>
    <row r="213" ht="16.5" customHeight="1">
      <c r="A213" s="1"/>
      <c r="B213" s="1"/>
      <c r="C213" s="1"/>
      <c r="D213" s="3"/>
      <c r="E213" s="1" t="str">
        <f t="shared" ref="E213:H213" si="210">IF(A213&lt;&gt;"", IF(A213=A212, "", A213), "")</f>
        <v/>
      </c>
      <c r="F213" s="191" t="str">
        <f t="shared" si="210"/>
        <v/>
      </c>
      <c r="G213" s="1" t="str">
        <f t="shared" si="210"/>
        <v/>
      </c>
      <c r="H213" s="3" t="str">
        <f t="shared" si="210"/>
        <v/>
      </c>
      <c r="I213" s="1"/>
      <c r="J213" s="1"/>
      <c r="K213" s="1"/>
      <c r="L213" s="192"/>
      <c r="M213" s="192"/>
      <c r="N213" s="193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</row>
    <row r="214" ht="16.5" customHeight="1">
      <c r="A214" s="1"/>
      <c r="B214" s="1"/>
      <c r="C214" s="1"/>
      <c r="D214" s="3"/>
      <c r="E214" s="1" t="str">
        <f t="shared" ref="E214:H214" si="211">IF(A214&lt;&gt;"", IF(A214=A213, "", A214), "")</f>
        <v/>
      </c>
      <c r="F214" s="191" t="str">
        <f t="shared" si="211"/>
        <v/>
      </c>
      <c r="G214" s="1" t="str">
        <f t="shared" si="211"/>
        <v/>
      </c>
      <c r="H214" s="3" t="str">
        <f t="shared" si="211"/>
        <v/>
      </c>
      <c r="I214" s="1"/>
      <c r="J214" s="1"/>
      <c r="K214" s="1"/>
      <c r="L214" s="192"/>
      <c r="M214" s="192"/>
      <c r="N214" s="193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</row>
    <row r="215" ht="16.5" customHeight="1">
      <c r="A215" s="1"/>
      <c r="B215" s="1"/>
      <c r="C215" s="1"/>
      <c r="D215" s="3"/>
      <c r="E215" s="1" t="str">
        <f t="shared" ref="E215:H215" si="212">IF(A215&lt;&gt;"", IF(A215=A214, "", A215), "")</f>
        <v/>
      </c>
      <c r="F215" s="191" t="str">
        <f t="shared" si="212"/>
        <v/>
      </c>
      <c r="G215" s="1" t="str">
        <f t="shared" si="212"/>
        <v/>
      </c>
      <c r="H215" s="3" t="str">
        <f t="shared" si="212"/>
        <v/>
      </c>
      <c r="I215" s="1"/>
      <c r="J215" s="1"/>
      <c r="K215" s="1"/>
      <c r="L215" s="192"/>
      <c r="M215" s="192"/>
      <c r="N215" s="193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</row>
    <row r="216" ht="16.5" customHeight="1">
      <c r="A216" s="1"/>
      <c r="B216" s="1"/>
      <c r="C216" s="1"/>
      <c r="D216" s="3"/>
      <c r="E216" s="1" t="str">
        <f t="shared" ref="E216:H216" si="213">IF(A216&lt;&gt;"", IF(A216=A215, "", A216), "")</f>
        <v/>
      </c>
      <c r="F216" s="191" t="str">
        <f t="shared" si="213"/>
        <v/>
      </c>
      <c r="G216" s="1" t="str">
        <f t="shared" si="213"/>
        <v/>
      </c>
      <c r="H216" s="3" t="str">
        <f t="shared" si="213"/>
        <v/>
      </c>
      <c r="I216" s="1"/>
      <c r="J216" s="1"/>
      <c r="K216" s="1"/>
      <c r="L216" s="192"/>
      <c r="M216" s="192"/>
      <c r="N216" s="193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</row>
    <row r="217" ht="16.5" customHeight="1">
      <c r="A217" s="1"/>
      <c r="B217" s="1"/>
      <c r="C217" s="1"/>
      <c r="D217" s="3"/>
      <c r="E217" s="1" t="str">
        <f t="shared" ref="E217:H217" si="214">IF(A217&lt;&gt;"", IF(A217=A216, "", A217), "")</f>
        <v/>
      </c>
      <c r="F217" s="191" t="str">
        <f t="shared" si="214"/>
        <v/>
      </c>
      <c r="G217" s="1" t="str">
        <f t="shared" si="214"/>
        <v/>
      </c>
      <c r="H217" s="3" t="str">
        <f t="shared" si="214"/>
        <v/>
      </c>
      <c r="I217" s="1"/>
      <c r="J217" s="1"/>
      <c r="K217" s="1"/>
      <c r="L217" s="192"/>
      <c r="M217" s="192"/>
      <c r="N217" s="193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</row>
    <row r="218" ht="16.5" customHeight="1">
      <c r="A218" s="1"/>
      <c r="B218" s="1"/>
      <c r="C218" s="1"/>
      <c r="D218" s="3"/>
      <c r="E218" s="1" t="str">
        <f t="shared" ref="E218:H218" si="215">IF(A218&lt;&gt;"", IF(A218=A217, "", A218), "")</f>
        <v/>
      </c>
      <c r="F218" s="191" t="str">
        <f t="shared" si="215"/>
        <v/>
      </c>
      <c r="G218" s="1" t="str">
        <f t="shared" si="215"/>
        <v/>
      </c>
      <c r="H218" s="3" t="str">
        <f t="shared" si="215"/>
        <v/>
      </c>
      <c r="I218" s="1"/>
      <c r="J218" s="1"/>
      <c r="K218" s="1"/>
      <c r="L218" s="192"/>
      <c r="M218" s="192"/>
      <c r="N218" s="193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</row>
    <row r="219" ht="16.5" customHeight="1">
      <c r="A219" s="1"/>
      <c r="B219" s="1"/>
      <c r="C219" s="1"/>
      <c r="D219" s="3"/>
      <c r="E219" s="1" t="str">
        <f t="shared" ref="E219:H219" si="216">IF(A219&lt;&gt;"", IF(A219=A218, "", A219), "")</f>
        <v/>
      </c>
      <c r="F219" s="191" t="str">
        <f t="shared" si="216"/>
        <v/>
      </c>
      <c r="G219" s="1" t="str">
        <f t="shared" si="216"/>
        <v/>
      </c>
      <c r="H219" s="3" t="str">
        <f t="shared" si="216"/>
        <v/>
      </c>
      <c r="I219" s="1"/>
      <c r="J219" s="1"/>
      <c r="K219" s="1"/>
      <c r="L219" s="192"/>
      <c r="M219" s="192"/>
      <c r="N219" s="193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</row>
    <row r="220" ht="16.5" customHeight="1">
      <c r="A220" s="1"/>
      <c r="B220" s="1"/>
      <c r="C220" s="1"/>
      <c r="D220" s="3"/>
      <c r="E220" s="1" t="str">
        <f t="shared" ref="E220:H220" si="217">IF(A220&lt;&gt;"", IF(A220=A219, "", A220), "")</f>
        <v/>
      </c>
      <c r="F220" s="191" t="str">
        <f t="shared" si="217"/>
        <v/>
      </c>
      <c r="G220" s="1" t="str">
        <f t="shared" si="217"/>
        <v/>
      </c>
      <c r="H220" s="3" t="str">
        <f t="shared" si="217"/>
        <v/>
      </c>
      <c r="I220" s="1"/>
      <c r="J220" s="1"/>
      <c r="K220" s="1"/>
      <c r="L220" s="192"/>
      <c r="M220" s="192"/>
      <c r="N220" s="193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</row>
    <row r="221" ht="16.5" customHeight="1">
      <c r="A221" s="1"/>
      <c r="B221" s="1"/>
      <c r="C221" s="1"/>
      <c r="D221" s="3"/>
      <c r="E221" s="1" t="str">
        <f t="shared" ref="E221:H221" si="218">IF(A221&lt;&gt;"", IF(A221=A220, "", A221), "")</f>
        <v/>
      </c>
      <c r="F221" s="191" t="str">
        <f t="shared" si="218"/>
        <v/>
      </c>
      <c r="G221" s="1" t="str">
        <f t="shared" si="218"/>
        <v/>
      </c>
      <c r="H221" s="3" t="str">
        <f t="shared" si="218"/>
        <v/>
      </c>
      <c r="I221" s="1"/>
      <c r="J221" s="1"/>
      <c r="K221" s="1"/>
      <c r="L221" s="192"/>
      <c r="M221" s="192"/>
      <c r="N221" s="193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</row>
    <row r="222" ht="16.5" customHeight="1">
      <c r="A222" s="1"/>
      <c r="B222" s="1"/>
      <c r="C222" s="1"/>
      <c r="D222" s="3"/>
      <c r="E222" s="1" t="str">
        <f t="shared" ref="E222:H222" si="219">IF(A222&lt;&gt;"", IF(A222=A221, "", A222), "")</f>
        <v/>
      </c>
      <c r="F222" s="191" t="str">
        <f t="shared" si="219"/>
        <v/>
      </c>
      <c r="G222" s="1" t="str">
        <f t="shared" si="219"/>
        <v/>
      </c>
      <c r="H222" s="3" t="str">
        <f t="shared" si="219"/>
        <v/>
      </c>
      <c r="I222" s="1"/>
      <c r="J222" s="1"/>
      <c r="K222" s="1"/>
      <c r="L222" s="192"/>
      <c r="M222" s="192"/>
      <c r="N222" s="193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</row>
    <row r="223" ht="16.5" customHeight="1">
      <c r="A223" s="1"/>
      <c r="B223" s="1"/>
      <c r="C223" s="1"/>
      <c r="D223" s="3"/>
      <c r="E223" s="1" t="str">
        <f t="shared" ref="E223:H223" si="220">IF(A223&lt;&gt;"", IF(A223=A222, "", A223), "")</f>
        <v/>
      </c>
      <c r="F223" s="191" t="str">
        <f t="shared" si="220"/>
        <v/>
      </c>
      <c r="G223" s="1" t="str">
        <f t="shared" si="220"/>
        <v/>
      </c>
      <c r="H223" s="3" t="str">
        <f t="shared" si="220"/>
        <v/>
      </c>
      <c r="I223" s="1"/>
      <c r="J223" s="1"/>
      <c r="K223" s="1"/>
      <c r="L223" s="192"/>
      <c r="M223" s="192"/>
      <c r="N223" s="193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</row>
    <row r="224" ht="16.5" customHeight="1">
      <c r="A224" s="1"/>
      <c r="B224" s="1"/>
      <c r="C224" s="1"/>
      <c r="D224" s="3"/>
      <c r="E224" s="1" t="str">
        <f t="shared" ref="E224:H224" si="221">IF(A224&lt;&gt;"", IF(A224=A223, "", A224), "")</f>
        <v/>
      </c>
      <c r="F224" s="191" t="str">
        <f t="shared" si="221"/>
        <v/>
      </c>
      <c r="G224" s="1" t="str">
        <f t="shared" si="221"/>
        <v/>
      </c>
      <c r="H224" s="3" t="str">
        <f t="shared" si="221"/>
        <v/>
      </c>
      <c r="I224" s="1"/>
      <c r="J224" s="1"/>
      <c r="K224" s="1"/>
      <c r="L224" s="192"/>
      <c r="M224" s="192"/>
      <c r="N224" s="193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</row>
    <row r="225" ht="16.5" customHeight="1">
      <c r="A225" s="1"/>
      <c r="B225" s="1"/>
      <c r="C225" s="1"/>
      <c r="D225" s="3"/>
      <c r="E225" s="1" t="str">
        <f t="shared" ref="E225:H225" si="222">IF(A225&lt;&gt;"", IF(A225=A224, "", A225), "")</f>
        <v/>
      </c>
      <c r="F225" s="191" t="str">
        <f t="shared" si="222"/>
        <v/>
      </c>
      <c r="G225" s="1" t="str">
        <f t="shared" si="222"/>
        <v/>
      </c>
      <c r="H225" s="3" t="str">
        <f t="shared" si="222"/>
        <v/>
      </c>
      <c r="I225" s="1"/>
      <c r="J225" s="1"/>
      <c r="K225" s="1"/>
      <c r="L225" s="192"/>
      <c r="M225" s="192"/>
      <c r="N225" s="193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</row>
    <row r="226" ht="16.5" customHeight="1">
      <c r="A226" s="1"/>
      <c r="B226" s="1"/>
      <c r="C226" s="1"/>
      <c r="D226" s="3"/>
      <c r="E226" s="1" t="str">
        <f t="shared" ref="E226:H226" si="223">IF(A226&lt;&gt;"", IF(A226=A225, "", A226), "")</f>
        <v/>
      </c>
      <c r="F226" s="191" t="str">
        <f t="shared" si="223"/>
        <v/>
      </c>
      <c r="G226" s="1" t="str">
        <f t="shared" si="223"/>
        <v/>
      </c>
      <c r="H226" s="3" t="str">
        <f t="shared" si="223"/>
        <v/>
      </c>
      <c r="I226" s="1"/>
      <c r="J226" s="1"/>
      <c r="K226" s="1"/>
      <c r="L226" s="192"/>
      <c r="M226" s="192"/>
      <c r="N226" s="193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</row>
    <row r="227" ht="16.5" customHeight="1">
      <c r="A227" s="1"/>
      <c r="B227" s="1"/>
      <c r="C227" s="1"/>
      <c r="D227" s="3"/>
      <c r="E227" s="1" t="str">
        <f t="shared" ref="E227:H227" si="224">IF(A227&lt;&gt;"", IF(A227=A226, "", A227), "")</f>
        <v/>
      </c>
      <c r="F227" s="191" t="str">
        <f t="shared" si="224"/>
        <v/>
      </c>
      <c r="G227" s="1" t="str">
        <f t="shared" si="224"/>
        <v/>
      </c>
      <c r="H227" s="3" t="str">
        <f t="shared" si="224"/>
        <v/>
      </c>
      <c r="I227" s="1"/>
      <c r="J227" s="1"/>
      <c r="K227" s="1"/>
      <c r="L227" s="192"/>
      <c r="M227" s="192"/>
      <c r="N227" s="193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</row>
    <row r="228" ht="16.5" customHeight="1">
      <c r="A228" s="1"/>
      <c r="B228" s="1"/>
      <c r="C228" s="1"/>
      <c r="D228" s="3"/>
      <c r="E228" s="1" t="str">
        <f t="shared" ref="E228:H228" si="225">IF(A228&lt;&gt;"", IF(A228=A227, "", A228), "")</f>
        <v/>
      </c>
      <c r="F228" s="191" t="str">
        <f t="shared" si="225"/>
        <v/>
      </c>
      <c r="G228" s="1" t="str">
        <f t="shared" si="225"/>
        <v/>
      </c>
      <c r="H228" s="3" t="str">
        <f t="shared" si="225"/>
        <v/>
      </c>
      <c r="I228" s="1"/>
      <c r="J228" s="1"/>
      <c r="K228" s="1"/>
      <c r="L228" s="192"/>
      <c r="M228" s="192"/>
      <c r="N228" s="193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</row>
    <row r="229" ht="16.5" customHeight="1">
      <c r="A229" s="1"/>
      <c r="B229" s="1"/>
      <c r="C229" s="1"/>
      <c r="D229" s="3"/>
      <c r="E229" s="1" t="str">
        <f t="shared" ref="E229:H229" si="226">IF(A229&lt;&gt;"", IF(A229=A228, "", A229), "")</f>
        <v/>
      </c>
      <c r="F229" s="191" t="str">
        <f t="shared" si="226"/>
        <v/>
      </c>
      <c r="G229" s="1" t="str">
        <f t="shared" si="226"/>
        <v/>
      </c>
      <c r="H229" s="3" t="str">
        <f t="shared" si="226"/>
        <v/>
      </c>
      <c r="I229" s="1"/>
      <c r="J229" s="1"/>
      <c r="K229" s="1"/>
      <c r="L229" s="192"/>
      <c r="M229" s="192"/>
      <c r="N229" s="193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</row>
    <row r="230" ht="16.5" customHeight="1">
      <c r="A230" s="1"/>
      <c r="B230" s="1"/>
      <c r="C230" s="1"/>
      <c r="D230" s="3"/>
      <c r="E230" s="1" t="str">
        <f t="shared" ref="E230:H230" si="227">IF(A230&lt;&gt;"", IF(A230=A229, "", A230), "")</f>
        <v/>
      </c>
      <c r="F230" s="191" t="str">
        <f t="shared" si="227"/>
        <v/>
      </c>
      <c r="G230" s="1" t="str">
        <f t="shared" si="227"/>
        <v/>
      </c>
      <c r="H230" s="3" t="str">
        <f t="shared" si="227"/>
        <v/>
      </c>
      <c r="I230" s="1"/>
      <c r="J230" s="1"/>
      <c r="K230" s="1"/>
      <c r="L230" s="192"/>
      <c r="M230" s="192"/>
      <c r="N230" s="193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</row>
    <row r="231" ht="16.5" customHeight="1">
      <c r="A231" s="1"/>
      <c r="B231" s="1"/>
      <c r="C231" s="1"/>
      <c r="D231" s="3"/>
      <c r="E231" s="1" t="str">
        <f t="shared" ref="E231:H231" si="228">IF(A231&lt;&gt;"", IF(A231=A230, "", A231), "")</f>
        <v/>
      </c>
      <c r="F231" s="191" t="str">
        <f t="shared" si="228"/>
        <v/>
      </c>
      <c r="G231" s="1" t="str">
        <f t="shared" si="228"/>
        <v/>
      </c>
      <c r="H231" s="3" t="str">
        <f t="shared" si="228"/>
        <v/>
      </c>
      <c r="I231" s="1"/>
      <c r="J231" s="1"/>
      <c r="K231" s="1"/>
      <c r="L231" s="192"/>
      <c r="M231" s="192"/>
      <c r="N231" s="193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</row>
    <row r="232" ht="16.5" customHeight="1">
      <c r="A232" s="1"/>
      <c r="B232" s="1"/>
      <c r="C232" s="1"/>
      <c r="D232" s="3"/>
      <c r="E232" s="1" t="str">
        <f t="shared" ref="E232:H232" si="229">IF(A232&lt;&gt;"", IF(A232=A231, "", A232), "")</f>
        <v/>
      </c>
      <c r="F232" s="191" t="str">
        <f t="shared" si="229"/>
        <v/>
      </c>
      <c r="G232" s="1" t="str">
        <f t="shared" si="229"/>
        <v/>
      </c>
      <c r="H232" s="3" t="str">
        <f t="shared" si="229"/>
        <v/>
      </c>
      <c r="I232" s="1"/>
      <c r="J232" s="1"/>
      <c r="K232" s="1"/>
      <c r="L232" s="192"/>
      <c r="M232" s="192"/>
      <c r="N232" s="193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</row>
    <row r="233" ht="16.5" customHeight="1">
      <c r="A233" s="1"/>
      <c r="B233" s="1"/>
      <c r="C233" s="1"/>
      <c r="D233" s="3"/>
      <c r="E233" s="1" t="str">
        <f t="shared" ref="E233:H233" si="230">IF(A233&lt;&gt;"", IF(A233=A232, "", A233), "")</f>
        <v/>
      </c>
      <c r="F233" s="191" t="str">
        <f t="shared" si="230"/>
        <v/>
      </c>
      <c r="G233" s="1" t="str">
        <f t="shared" si="230"/>
        <v/>
      </c>
      <c r="H233" s="3" t="str">
        <f t="shared" si="230"/>
        <v/>
      </c>
      <c r="I233" s="1"/>
      <c r="J233" s="1"/>
      <c r="K233" s="1"/>
      <c r="L233" s="192"/>
      <c r="M233" s="192"/>
      <c r="N233" s="193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</row>
    <row r="234" ht="16.5" customHeight="1">
      <c r="A234" s="1"/>
      <c r="B234" s="1"/>
      <c r="C234" s="1"/>
      <c r="D234" s="3"/>
      <c r="E234" s="1" t="str">
        <f t="shared" ref="E234:H234" si="231">IF(A234&lt;&gt;"", IF(A234=A233, "", A234), "")</f>
        <v/>
      </c>
      <c r="F234" s="191" t="str">
        <f t="shared" si="231"/>
        <v/>
      </c>
      <c r="G234" s="1" t="str">
        <f t="shared" si="231"/>
        <v/>
      </c>
      <c r="H234" s="3" t="str">
        <f t="shared" si="231"/>
        <v/>
      </c>
      <c r="I234" s="1"/>
      <c r="J234" s="1"/>
      <c r="K234" s="1"/>
      <c r="L234" s="192"/>
      <c r="M234" s="192"/>
      <c r="N234" s="193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</row>
    <row r="235" ht="16.5" customHeight="1">
      <c r="A235" s="1"/>
      <c r="B235" s="1"/>
      <c r="C235" s="1"/>
      <c r="D235" s="3"/>
      <c r="E235" s="1" t="str">
        <f t="shared" ref="E235:H235" si="232">IF(A235&lt;&gt;"", IF(A235=A234, "", A235), "")</f>
        <v/>
      </c>
      <c r="F235" s="191" t="str">
        <f t="shared" si="232"/>
        <v/>
      </c>
      <c r="G235" s="1" t="str">
        <f t="shared" si="232"/>
        <v/>
      </c>
      <c r="H235" s="3" t="str">
        <f t="shared" si="232"/>
        <v/>
      </c>
      <c r="I235" s="1"/>
      <c r="J235" s="1"/>
      <c r="K235" s="1"/>
      <c r="L235" s="192"/>
      <c r="M235" s="192"/>
      <c r="N235" s="193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</row>
    <row r="236" ht="16.5" customHeight="1">
      <c r="A236" s="1"/>
      <c r="B236" s="1"/>
      <c r="C236" s="1"/>
      <c r="D236" s="3"/>
      <c r="E236" s="1" t="str">
        <f t="shared" ref="E236:H236" si="233">IF(A236&lt;&gt;"", IF(A236=A235, "", A236), "")</f>
        <v/>
      </c>
      <c r="F236" s="191" t="str">
        <f t="shared" si="233"/>
        <v/>
      </c>
      <c r="G236" s="1" t="str">
        <f t="shared" si="233"/>
        <v/>
      </c>
      <c r="H236" s="3" t="str">
        <f t="shared" si="233"/>
        <v/>
      </c>
      <c r="I236" s="1"/>
      <c r="J236" s="1"/>
      <c r="K236" s="1"/>
      <c r="L236" s="192"/>
      <c r="M236" s="192"/>
      <c r="N236" s="193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</row>
    <row r="237" ht="16.5" customHeight="1">
      <c r="A237" s="1"/>
      <c r="B237" s="1"/>
      <c r="C237" s="1"/>
      <c r="D237" s="3"/>
      <c r="E237" s="1" t="str">
        <f t="shared" ref="E237:H237" si="234">IF(A237&lt;&gt;"", IF(A237=A236, "", A237), "")</f>
        <v/>
      </c>
      <c r="F237" s="191" t="str">
        <f t="shared" si="234"/>
        <v/>
      </c>
      <c r="G237" s="1" t="str">
        <f t="shared" si="234"/>
        <v/>
      </c>
      <c r="H237" s="3" t="str">
        <f t="shared" si="234"/>
        <v/>
      </c>
      <c r="I237" s="1"/>
      <c r="J237" s="1"/>
      <c r="K237" s="1"/>
      <c r="L237" s="192"/>
      <c r="M237" s="192"/>
      <c r="N237" s="193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</row>
    <row r="238" ht="16.5" customHeight="1">
      <c r="A238" s="1"/>
      <c r="B238" s="1"/>
      <c r="C238" s="1"/>
      <c r="D238" s="3"/>
      <c r="E238" s="1" t="str">
        <f t="shared" ref="E238:H238" si="235">IF(A238&lt;&gt;"", IF(A238=A237, "", A238), "")</f>
        <v/>
      </c>
      <c r="F238" s="191" t="str">
        <f t="shared" si="235"/>
        <v/>
      </c>
      <c r="G238" s="1" t="str">
        <f t="shared" si="235"/>
        <v/>
      </c>
      <c r="H238" s="3" t="str">
        <f t="shared" si="235"/>
        <v/>
      </c>
      <c r="I238" s="1"/>
      <c r="J238" s="1"/>
      <c r="K238" s="1"/>
      <c r="L238" s="192"/>
      <c r="M238" s="192"/>
      <c r="N238" s="193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</row>
    <row r="239" ht="16.5" customHeight="1">
      <c r="A239" s="1"/>
      <c r="B239" s="1"/>
      <c r="C239" s="1"/>
      <c r="D239" s="3"/>
      <c r="E239" s="1" t="str">
        <f t="shared" ref="E239:H239" si="236">IF(A239&lt;&gt;"", IF(A239=A238, "", A239), "")</f>
        <v/>
      </c>
      <c r="F239" s="191" t="str">
        <f t="shared" si="236"/>
        <v/>
      </c>
      <c r="G239" s="1" t="str">
        <f t="shared" si="236"/>
        <v/>
      </c>
      <c r="H239" s="3" t="str">
        <f t="shared" si="236"/>
        <v/>
      </c>
      <c r="I239" s="1"/>
      <c r="J239" s="1"/>
      <c r="K239" s="1"/>
      <c r="L239" s="192"/>
      <c r="M239" s="192"/>
      <c r="N239" s="193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</row>
    <row r="240" ht="16.5" customHeight="1">
      <c r="A240" s="1"/>
      <c r="B240" s="1"/>
      <c r="C240" s="1"/>
      <c r="D240" s="3"/>
      <c r="E240" s="1" t="str">
        <f t="shared" ref="E240:H240" si="237">IF(A240&lt;&gt;"", IF(A240=A239, "", A240), "")</f>
        <v/>
      </c>
      <c r="F240" s="191" t="str">
        <f t="shared" si="237"/>
        <v/>
      </c>
      <c r="G240" s="1" t="str">
        <f t="shared" si="237"/>
        <v/>
      </c>
      <c r="H240" s="3" t="str">
        <f t="shared" si="237"/>
        <v/>
      </c>
      <c r="I240" s="1"/>
      <c r="J240" s="1"/>
      <c r="K240" s="1"/>
      <c r="L240" s="192"/>
      <c r="M240" s="192"/>
      <c r="N240" s="193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</row>
    <row r="241" ht="16.5" customHeight="1">
      <c r="A241" s="1"/>
      <c r="B241" s="1"/>
      <c r="C241" s="1"/>
      <c r="D241" s="3"/>
      <c r="E241" s="1" t="str">
        <f t="shared" ref="E241:H241" si="238">IF(A241&lt;&gt;"", IF(A241=A240, "", A241), "")</f>
        <v/>
      </c>
      <c r="F241" s="191" t="str">
        <f t="shared" si="238"/>
        <v/>
      </c>
      <c r="G241" s="1" t="str">
        <f t="shared" si="238"/>
        <v/>
      </c>
      <c r="H241" s="3" t="str">
        <f t="shared" si="238"/>
        <v/>
      </c>
      <c r="I241" s="1"/>
      <c r="J241" s="1"/>
      <c r="K241" s="1"/>
      <c r="L241" s="192"/>
      <c r="M241" s="192"/>
      <c r="N241" s="193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</row>
    <row r="242" ht="16.5" customHeight="1">
      <c r="A242" s="1"/>
      <c r="B242" s="1"/>
      <c r="C242" s="1"/>
      <c r="D242" s="3"/>
      <c r="E242" s="1" t="str">
        <f t="shared" ref="E242:H242" si="239">IF(A242&lt;&gt;"", IF(A242=A241, "", A242), "")</f>
        <v/>
      </c>
      <c r="F242" s="191" t="str">
        <f t="shared" si="239"/>
        <v/>
      </c>
      <c r="G242" s="1" t="str">
        <f t="shared" si="239"/>
        <v/>
      </c>
      <c r="H242" s="3" t="str">
        <f t="shared" si="239"/>
        <v/>
      </c>
      <c r="I242" s="1"/>
      <c r="J242" s="1"/>
      <c r="K242" s="1"/>
      <c r="L242" s="192"/>
      <c r="M242" s="192"/>
      <c r="N242" s="193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</row>
    <row r="243" ht="16.5" customHeight="1">
      <c r="A243" s="1"/>
      <c r="B243" s="1"/>
      <c r="C243" s="1"/>
      <c r="D243" s="3"/>
      <c r="E243" s="1" t="str">
        <f t="shared" ref="E243:H243" si="240">IF(A243&lt;&gt;"", IF(A243=A242, "", A243), "")</f>
        <v/>
      </c>
      <c r="F243" s="191" t="str">
        <f t="shared" si="240"/>
        <v/>
      </c>
      <c r="G243" s="1" t="str">
        <f t="shared" si="240"/>
        <v/>
      </c>
      <c r="H243" s="3" t="str">
        <f t="shared" si="240"/>
        <v/>
      </c>
      <c r="I243" s="1"/>
      <c r="J243" s="1"/>
      <c r="K243" s="1"/>
      <c r="L243" s="192"/>
      <c r="M243" s="192"/>
      <c r="N243" s="193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</row>
    <row r="244" ht="16.5" customHeight="1">
      <c r="A244" s="1"/>
      <c r="B244" s="1"/>
      <c r="C244" s="1"/>
      <c r="D244" s="3"/>
      <c r="E244" s="1" t="str">
        <f t="shared" ref="E244:H244" si="241">IF(A244&lt;&gt;"", IF(A244=A243, "", A244), "")</f>
        <v/>
      </c>
      <c r="F244" s="191" t="str">
        <f t="shared" si="241"/>
        <v/>
      </c>
      <c r="G244" s="1" t="str">
        <f t="shared" si="241"/>
        <v/>
      </c>
      <c r="H244" s="3" t="str">
        <f t="shared" si="241"/>
        <v/>
      </c>
      <c r="I244" s="1"/>
      <c r="J244" s="1"/>
      <c r="K244" s="1"/>
      <c r="L244" s="192"/>
      <c r="M244" s="192"/>
      <c r="N244" s="193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</row>
    <row r="245" ht="16.5" customHeight="1">
      <c r="A245" s="1"/>
      <c r="B245" s="1"/>
      <c r="C245" s="1"/>
      <c r="D245" s="3"/>
      <c r="E245" s="1" t="str">
        <f t="shared" ref="E245:H245" si="242">IF(A245&lt;&gt;"", IF(A245=A244, "", A245), "")</f>
        <v/>
      </c>
      <c r="F245" s="191" t="str">
        <f t="shared" si="242"/>
        <v/>
      </c>
      <c r="G245" s="1" t="str">
        <f t="shared" si="242"/>
        <v/>
      </c>
      <c r="H245" s="3" t="str">
        <f t="shared" si="242"/>
        <v/>
      </c>
      <c r="I245" s="1"/>
      <c r="J245" s="1"/>
      <c r="K245" s="1"/>
      <c r="L245" s="192"/>
      <c r="M245" s="192"/>
      <c r="N245" s="193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</row>
    <row r="246" ht="16.5" customHeight="1">
      <c r="A246" s="1"/>
      <c r="B246" s="1"/>
      <c r="C246" s="1"/>
      <c r="D246" s="3"/>
      <c r="E246" s="1" t="str">
        <f t="shared" ref="E246:H246" si="243">IF(A246&lt;&gt;"", IF(A246=A245, "", A246), "")</f>
        <v/>
      </c>
      <c r="F246" s="191" t="str">
        <f t="shared" si="243"/>
        <v/>
      </c>
      <c r="G246" s="1" t="str">
        <f t="shared" si="243"/>
        <v/>
      </c>
      <c r="H246" s="3" t="str">
        <f t="shared" si="243"/>
        <v/>
      </c>
      <c r="I246" s="1"/>
      <c r="J246" s="1"/>
      <c r="K246" s="1"/>
      <c r="L246" s="192"/>
      <c r="M246" s="192"/>
      <c r="N246" s="193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</row>
    <row r="247" ht="16.5" customHeight="1">
      <c r="A247" s="1"/>
      <c r="B247" s="1"/>
      <c r="C247" s="1"/>
      <c r="D247" s="3"/>
      <c r="E247" s="1" t="str">
        <f t="shared" ref="E247:H247" si="244">IF(A247&lt;&gt;"", IF(A247=A246, "", A247), "")</f>
        <v/>
      </c>
      <c r="F247" s="191" t="str">
        <f t="shared" si="244"/>
        <v/>
      </c>
      <c r="G247" s="1" t="str">
        <f t="shared" si="244"/>
        <v/>
      </c>
      <c r="H247" s="3" t="str">
        <f t="shared" si="244"/>
        <v/>
      </c>
      <c r="I247" s="1"/>
      <c r="J247" s="1"/>
      <c r="K247" s="1"/>
      <c r="L247" s="192"/>
      <c r="M247" s="192"/>
      <c r="N247" s="193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</row>
    <row r="248" ht="16.5" customHeight="1">
      <c r="A248" s="1"/>
      <c r="B248" s="1"/>
      <c r="C248" s="1"/>
      <c r="D248" s="3"/>
      <c r="E248" s="1" t="str">
        <f t="shared" ref="E248:H248" si="245">IF(A248&lt;&gt;"", IF(A248=A247, "", A248), "")</f>
        <v/>
      </c>
      <c r="F248" s="191" t="str">
        <f t="shared" si="245"/>
        <v/>
      </c>
      <c r="G248" s="1" t="str">
        <f t="shared" si="245"/>
        <v/>
      </c>
      <c r="H248" s="3" t="str">
        <f t="shared" si="245"/>
        <v/>
      </c>
      <c r="I248" s="1"/>
      <c r="J248" s="1"/>
      <c r="K248" s="1"/>
      <c r="L248" s="192"/>
      <c r="M248" s="192"/>
      <c r="N248" s="193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</row>
    <row r="249" ht="16.5" customHeight="1">
      <c r="A249" s="1"/>
      <c r="B249" s="1"/>
      <c r="C249" s="1"/>
      <c r="D249" s="3"/>
      <c r="E249" s="1" t="str">
        <f t="shared" ref="E249:H249" si="246">IF(A249&lt;&gt;"", IF(A249=A248, "", A249), "")</f>
        <v/>
      </c>
      <c r="F249" s="191" t="str">
        <f t="shared" si="246"/>
        <v/>
      </c>
      <c r="G249" s="1" t="str">
        <f t="shared" si="246"/>
        <v/>
      </c>
      <c r="H249" s="3" t="str">
        <f t="shared" si="246"/>
        <v/>
      </c>
      <c r="I249" s="1"/>
      <c r="J249" s="1"/>
      <c r="K249" s="1"/>
      <c r="L249" s="192"/>
      <c r="M249" s="192"/>
      <c r="N249" s="193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</row>
    <row r="250" ht="16.5" customHeight="1">
      <c r="A250" s="1"/>
      <c r="B250" s="1"/>
      <c r="C250" s="1"/>
      <c r="D250" s="3"/>
      <c r="E250" s="1" t="str">
        <f t="shared" ref="E250:H250" si="247">IF(A250&lt;&gt;"", IF(A250=A249, "", A250), "")</f>
        <v/>
      </c>
      <c r="F250" s="191" t="str">
        <f t="shared" si="247"/>
        <v/>
      </c>
      <c r="G250" s="1" t="str">
        <f t="shared" si="247"/>
        <v/>
      </c>
      <c r="H250" s="3" t="str">
        <f t="shared" si="247"/>
        <v/>
      </c>
      <c r="I250" s="1"/>
      <c r="J250" s="1"/>
      <c r="K250" s="1"/>
      <c r="L250" s="192"/>
      <c r="M250" s="192"/>
      <c r="N250" s="193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</row>
    <row r="251" ht="16.5" customHeight="1">
      <c r="A251" s="1"/>
      <c r="B251" s="1"/>
      <c r="C251" s="1"/>
      <c r="D251" s="3"/>
      <c r="E251" s="1" t="str">
        <f t="shared" ref="E251:H251" si="248">IF(A251&lt;&gt;"", IF(A251=A250, "", A251), "")</f>
        <v/>
      </c>
      <c r="F251" s="191" t="str">
        <f t="shared" si="248"/>
        <v/>
      </c>
      <c r="G251" s="1" t="str">
        <f t="shared" si="248"/>
        <v/>
      </c>
      <c r="H251" s="3" t="str">
        <f t="shared" si="248"/>
        <v/>
      </c>
      <c r="I251" s="1"/>
      <c r="J251" s="1"/>
      <c r="K251" s="1"/>
      <c r="L251" s="192"/>
      <c r="M251" s="192"/>
      <c r="N251" s="193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</row>
    <row r="252" ht="16.5" customHeight="1">
      <c r="A252" s="1"/>
      <c r="B252" s="1"/>
      <c r="C252" s="1"/>
      <c r="D252" s="3"/>
      <c r="E252" s="1" t="str">
        <f t="shared" ref="E252:H252" si="249">IF(A252&lt;&gt;"", IF(A252=A251, "", A252), "")</f>
        <v/>
      </c>
      <c r="F252" s="191" t="str">
        <f t="shared" si="249"/>
        <v/>
      </c>
      <c r="G252" s="1" t="str">
        <f t="shared" si="249"/>
        <v/>
      </c>
      <c r="H252" s="3" t="str">
        <f t="shared" si="249"/>
        <v/>
      </c>
      <c r="I252" s="1"/>
      <c r="J252" s="1"/>
      <c r="K252" s="1"/>
      <c r="L252" s="192"/>
      <c r="M252" s="192"/>
      <c r="N252" s="193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</row>
    <row r="253" ht="16.5" customHeight="1">
      <c r="A253" s="1"/>
      <c r="B253" s="1"/>
      <c r="C253" s="1"/>
      <c r="D253" s="3"/>
      <c r="E253" s="1" t="str">
        <f t="shared" ref="E253:H253" si="250">IF(A253&lt;&gt;"", IF(A253=A252, "", A253), "")</f>
        <v/>
      </c>
      <c r="F253" s="191" t="str">
        <f t="shared" si="250"/>
        <v/>
      </c>
      <c r="G253" s="1" t="str">
        <f t="shared" si="250"/>
        <v/>
      </c>
      <c r="H253" s="3" t="str">
        <f t="shared" si="250"/>
        <v/>
      </c>
      <c r="I253" s="1"/>
      <c r="J253" s="1"/>
      <c r="K253" s="1"/>
      <c r="L253" s="192"/>
      <c r="M253" s="192"/>
      <c r="N253" s="193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</row>
    <row r="254" ht="16.5" customHeight="1">
      <c r="A254" s="1"/>
      <c r="B254" s="1"/>
      <c r="C254" s="1"/>
      <c r="D254" s="3"/>
      <c r="E254" s="1" t="str">
        <f t="shared" ref="E254:H254" si="251">IF(A254&lt;&gt;"", IF(A254=A253, "", A254), "")</f>
        <v/>
      </c>
      <c r="F254" s="191" t="str">
        <f t="shared" si="251"/>
        <v/>
      </c>
      <c r="G254" s="1" t="str">
        <f t="shared" si="251"/>
        <v/>
      </c>
      <c r="H254" s="3" t="str">
        <f t="shared" si="251"/>
        <v/>
      </c>
      <c r="I254" s="1"/>
      <c r="J254" s="1"/>
      <c r="K254" s="1"/>
      <c r="L254" s="192"/>
      <c r="M254" s="192"/>
      <c r="N254" s="193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</row>
    <row r="255" ht="16.5" customHeight="1">
      <c r="A255" s="1"/>
      <c r="B255" s="1"/>
      <c r="C255" s="1"/>
      <c r="D255" s="3"/>
      <c r="E255" s="1" t="str">
        <f t="shared" ref="E255:H255" si="252">IF(A255&lt;&gt;"", IF(A255=A254, "", A255), "")</f>
        <v/>
      </c>
      <c r="F255" s="191" t="str">
        <f t="shared" si="252"/>
        <v/>
      </c>
      <c r="G255" s="1" t="str">
        <f t="shared" si="252"/>
        <v/>
      </c>
      <c r="H255" s="3" t="str">
        <f t="shared" si="252"/>
        <v/>
      </c>
      <c r="I255" s="1"/>
      <c r="J255" s="1"/>
      <c r="K255" s="1"/>
      <c r="L255" s="192"/>
      <c r="M255" s="192"/>
      <c r="N255" s="193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</row>
    <row r="256" ht="16.5" customHeight="1">
      <c r="A256" s="1"/>
      <c r="B256" s="1"/>
      <c r="C256" s="1"/>
      <c r="D256" s="3"/>
      <c r="E256" s="1" t="str">
        <f t="shared" ref="E256:H256" si="253">IF(A256&lt;&gt;"", IF(A256=A255, "", A256), "")</f>
        <v/>
      </c>
      <c r="F256" s="191" t="str">
        <f t="shared" si="253"/>
        <v/>
      </c>
      <c r="G256" s="1" t="str">
        <f t="shared" si="253"/>
        <v/>
      </c>
      <c r="H256" s="3" t="str">
        <f t="shared" si="253"/>
        <v/>
      </c>
      <c r="I256" s="1"/>
      <c r="J256" s="1"/>
      <c r="K256" s="1"/>
      <c r="L256" s="192"/>
      <c r="M256" s="192"/>
      <c r="N256" s="193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</row>
    <row r="257" ht="16.5" customHeight="1">
      <c r="A257" s="1"/>
      <c r="B257" s="1"/>
      <c r="C257" s="1"/>
      <c r="D257" s="3"/>
      <c r="E257" s="1" t="str">
        <f t="shared" ref="E257:H257" si="254">IF(A257&lt;&gt;"", IF(A257=A256, "", A257), "")</f>
        <v/>
      </c>
      <c r="F257" s="191" t="str">
        <f t="shared" si="254"/>
        <v/>
      </c>
      <c r="G257" s="1" t="str">
        <f t="shared" si="254"/>
        <v/>
      </c>
      <c r="H257" s="3" t="str">
        <f t="shared" si="254"/>
        <v/>
      </c>
      <c r="I257" s="1"/>
      <c r="J257" s="1"/>
      <c r="K257" s="1"/>
      <c r="L257" s="192"/>
      <c r="M257" s="192"/>
      <c r="N257" s="193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</row>
    <row r="258" ht="16.5" customHeight="1">
      <c r="A258" s="1"/>
      <c r="B258" s="1"/>
      <c r="C258" s="1"/>
      <c r="D258" s="3"/>
      <c r="E258" s="1" t="str">
        <f t="shared" ref="E258:H258" si="255">IF(A258&lt;&gt;"", IF(A258=A257, "", A258), "")</f>
        <v/>
      </c>
      <c r="F258" s="191" t="str">
        <f t="shared" si="255"/>
        <v/>
      </c>
      <c r="G258" s="1" t="str">
        <f t="shared" si="255"/>
        <v/>
      </c>
      <c r="H258" s="3" t="str">
        <f t="shared" si="255"/>
        <v/>
      </c>
      <c r="I258" s="1"/>
      <c r="J258" s="1"/>
      <c r="K258" s="1"/>
      <c r="L258" s="192"/>
      <c r="M258" s="192"/>
      <c r="N258" s="193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</row>
    <row r="259" ht="16.5" customHeight="1">
      <c r="A259" s="1"/>
      <c r="B259" s="1"/>
      <c r="C259" s="1"/>
      <c r="D259" s="3"/>
      <c r="E259" s="1" t="str">
        <f t="shared" ref="E259:H259" si="256">IF(A259&lt;&gt;"", IF(A259=A258, "", A259), "")</f>
        <v/>
      </c>
      <c r="F259" s="191" t="str">
        <f t="shared" si="256"/>
        <v/>
      </c>
      <c r="G259" s="1" t="str">
        <f t="shared" si="256"/>
        <v/>
      </c>
      <c r="H259" s="3" t="str">
        <f t="shared" si="256"/>
        <v/>
      </c>
      <c r="I259" s="1"/>
      <c r="J259" s="1"/>
      <c r="K259" s="1"/>
      <c r="L259" s="192"/>
      <c r="M259" s="192"/>
      <c r="N259" s="193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</row>
    <row r="260" ht="16.5" customHeight="1">
      <c r="A260" s="1"/>
      <c r="B260" s="1"/>
      <c r="C260" s="1"/>
      <c r="D260" s="3"/>
      <c r="E260" s="1" t="str">
        <f t="shared" ref="E260:H260" si="257">IF(A260&lt;&gt;"", IF(A260=A259, "", A260), "")</f>
        <v/>
      </c>
      <c r="F260" s="191" t="str">
        <f t="shared" si="257"/>
        <v/>
      </c>
      <c r="G260" s="1" t="str">
        <f t="shared" si="257"/>
        <v/>
      </c>
      <c r="H260" s="3" t="str">
        <f t="shared" si="257"/>
        <v/>
      </c>
      <c r="I260" s="1"/>
      <c r="J260" s="1"/>
      <c r="K260" s="1"/>
      <c r="L260" s="192"/>
      <c r="M260" s="192"/>
      <c r="N260" s="193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</row>
    <row r="261" ht="16.5" customHeight="1">
      <c r="A261" s="1"/>
      <c r="B261" s="1"/>
      <c r="C261" s="1"/>
      <c r="D261" s="3"/>
      <c r="E261" s="1" t="str">
        <f t="shared" ref="E261:H261" si="258">IF(A261&lt;&gt;"", IF(A261=A260, "", A261), "")</f>
        <v/>
      </c>
      <c r="F261" s="191" t="str">
        <f t="shared" si="258"/>
        <v/>
      </c>
      <c r="G261" s="1" t="str">
        <f t="shared" si="258"/>
        <v/>
      </c>
      <c r="H261" s="3" t="str">
        <f t="shared" si="258"/>
        <v/>
      </c>
      <c r="I261" s="1"/>
      <c r="J261" s="1"/>
      <c r="K261" s="1"/>
      <c r="L261" s="192"/>
      <c r="M261" s="192"/>
      <c r="N261" s="193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</row>
    <row r="262" ht="16.5" customHeight="1">
      <c r="A262" s="1"/>
      <c r="B262" s="1"/>
      <c r="C262" s="1"/>
      <c r="D262" s="3"/>
      <c r="E262" s="1" t="str">
        <f t="shared" ref="E262:H262" si="259">IF(A262&lt;&gt;"", IF(A262=A261, "", A262), "")</f>
        <v/>
      </c>
      <c r="F262" s="191" t="str">
        <f t="shared" si="259"/>
        <v/>
      </c>
      <c r="G262" s="1" t="str">
        <f t="shared" si="259"/>
        <v/>
      </c>
      <c r="H262" s="3" t="str">
        <f t="shared" si="259"/>
        <v/>
      </c>
      <c r="I262" s="1"/>
      <c r="J262" s="1"/>
      <c r="K262" s="1"/>
      <c r="L262" s="192"/>
      <c r="M262" s="192"/>
      <c r="N262" s="193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</row>
    <row r="263" ht="16.5" customHeight="1">
      <c r="A263" s="1"/>
      <c r="B263" s="1"/>
      <c r="C263" s="1"/>
      <c r="D263" s="3"/>
      <c r="E263" s="1" t="str">
        <f t="shared" ref="E263:H263" si="260">IF(A263&lt;&gt;"", IF(A263=A262, "", A263), "")</f>
        <v/>
      </c>
      <c r="F263" s="191" t="str">
        <f t="shared" si="260"/>
        <v/>
      </c>
      <c r="G263" s="1" t="str">
        <f t="shared" si="260"/>
        <v/>
      </c>
      <c r="H263" s="3" t="str">
        <f t="shared" si="260"/>
        <v/>
      </c>
      <c r="I263" s="1"/>
      <c r="J263" s="1"/>
      <c r="K263" s="1"/>
      <c r="L263" s="192"/>
      <c r="M263" s="192"/>
      <c r="N263" s="193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</row>
    <row r="264" ht="16.5" customHeight="1">
      <c r="A264" s="1"/>
      <c r="B264" s="1"/>
      <c r="C264" s="1"/>
      <c r="D264" s="3"/>
      <c r="E264" s="1" t="str">
        <f t="shared" ref="E264:H264" si="261">IF(A264&lt;&gt;"", IF(A264=A263, "", A264), "")</f>
        <v/>
      </c>
      <c r="F264" s="191" t="str">
        <f t="shared" si="261"/>
        <v/>
      </c>
      <c r="G264" s="1" t="str">
        <f t="shared" si="261"/>
        <v/>
      </c>
      <c r="H264" s="3" t="str">
        <f t="shared" si="261"/>
        <v/>
      </c>
      <c r="I264" s="1"/>
      <c r="J264" s="1"/>
      <c r="K264" s="1"/>
      <c r="L264" s="192"/>
      <c r="M264" s="192"/>
      <c r="N264" s="193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</row>
    <row r="265" ht="16.5" customHeight="1">
      <c r="A265" s="1"/>
      <c r="B265" s="1"/>
      <c r="C265" s="1"/>
      <c r="D265" s="3"/>
      <c r="E265" s="1" t="str">
        <f t="shared" ref="E265:H265" si="262">IF(A265&lt;&gt;"", IF(A265=A264, "", A265), "")</f>
        <v/>
      </c>
      <c r="F265" s="191" t="str">
        <f t="shared" si="262"/>
        <v/>
      </c>
      <c r="G265" s="1" t="str">
        <f t="shared" si="262"/>
        <v/>
      </c>
      <c r="H265" s="3" t="str">
        <f t="shared" si="262"/>
        <v/>
      </c>
      <c r="I265" s="1"/>
      <c r="J265" s="1"/>
      <c r="K265" s="1"/>
      <c r="L265" s="192"/>
      <c r="M265" s="192"/>
      <c r="N265" s="193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</row>
    <row r="266" ht="16.5" customHeight="1">
      <c r="A266" s="1"/>
      <c r="B266" s="1"/>
      <c r="C266" s="1"/>
      <c r="D266" s="3"/>
      <c r="E266" s="1" t="str">
        <f t="shared" ref="E266:H266" si="263">IF(A266&lt;&gt;"", IF(A266=A265, "", A266), "")</f>
        <v/>
      </c>
      <c r="F266" s="191" t="str">
        <f t="shared" si="263"/>
        <v/>
      </c>
      <c r="G266" s="1" t="str">
        <f t="shared" si="263"/>
        <v/>
      </c>
      <c r="H266" s="3" t="str">
        <f t="shared" si="263"/>
        <v/>
      </c>
      <c r="I266" s="1"/>
      <c r="J266" s="1"/>
      <c r="K266" s="1"/>
      <c r="L266" s="192"/>
      <c r="M266" s="192"/>
      <c r="N266" s="193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</row>
    <row r="267" ht="16.5" customHeight="1">
      <c r="A267" s="1"/>
      <c r="B267" s="1"/>
      <c r="C267" s="1"/>
      <c r="D267" s="3"/>
      <c r="E267" s="1" t="str">
        <f t="shared" ref="E267:H267" si="264">IF(A267&lt;&gt;"", IF(A267=A266, "", A267), "")</f>
        <v/>
      </c>
      <c r="F267" s="191" t="str">
        <f t="shared" si="264"/>
        <v/>
      </c>
      <c r="G267" s="1" t="str">
        <f t="shared" si="264"/>
        <v/>
      </c>
      <c r="H267" s="3" t="str">
        <f t="shared" si="264"/>
        <v/>
      </c>
      <c r="I267" s="1"/>
      <c r="J267" s="1"/>
      <c r="K267" s="1"/>
      <c r="L267" s="192"/>
      <c r="M267" s="192"/>
      <c r="N267" s="193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</row>
    <row r="268" ht="16.5" customHeight="1">
      <c r="A268" s="1"/>
      <c r="B268" s="1"/>
      <c r="C268" s="1"/>
      <c r="D268" s="3"/>
      <c r="E268" s="1" t="str">
        <f t="shared" ref="E268:H268" si="265">IF(A268&lt;&gt;"", IF(A268=A267, "", A268), "")</f>
        <v/>
      </c>
      <c r="F268" s="191" t="str">
        <f t="shared" si="265"/>
        <v/>
      </c>
      <c r="G268" s="1" t="str">
        <f t="shared" si="265"/>
        <v/>
      </c>
      <c r="H268" s="3" t="str">
        <f t="shared" si="265"/>
        <v/>
      </c>
      <c r="I268" s="1"/>
      <c r="J268" s="1"/>
      <c r="K268" s="1"/>
      <c r="L268" s="192"/>
      <c r="M268" s="192"/>
      <c r="N268" s="193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</row>
    <row r="269" ht="16.5" customHeight="1">
      <c r="A269" s="1"/>
      <c r="B269" s="1"/>
      <c r="C269" s="1"/>
      <c r="D269" s="3"/>
      <c r="E269" s="1" t="str">
        <f t="shared" ref="E269:H269" si="266">IF(A269&lt;&gt;"", IF(A269=A268, "", A269), "")</f>
        <v/>
      </c>
      <c r="F269" s="191" t="str">
        <f t="shared" si="266"/>
        <v/>
      </c>
      <c r="G269" s="1" t="str">
        <f t="shared" si="266"/>
        <v/>
      </c>
      <c r="H269" s="3" t="str">
        <f t="shared" si="266"/>
        <v/>
      </c>
      <c r="I269" s="1"/>
      <c r="J269" s="1"/>
      <c r="K269" s="1"/>
      <c r="L269" s="192"/>
      <c r="M269" s="192"/>
      <c r="N269" s="193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</row>
    <row r="270" ht="16.5" customHeight="1">
      <c r="A270" s="1"/>
      <c r="B270" s="1"/>
      <c r="C270" s="1"/>
      <c r="D270" s="3"/>
      <c r="E270" s="1" t="str">
        <f t="shared" ref="E270:H270" si="267">IF(A270&lt;&gt;"", IF(A270=A269, "", A270), "")</f>
        <v/>
      </c>
      <c r="F270" s="191" t="str">
        <f t="shared" si="267"/>
        <v/>
      </c>
      <c r="G270" s="1" t="str">
        <f t="shared" si="267"/>
        <v/>
      </c>
      <c r="H270" s="3" t="str">
        <f t="shared" si="267"/>
        <v/>
      </c>
      <c r="I270" s="1"/>
      <c r="J270" s="1"/>
      <c r="K270" s="1"/>
      <c r="L270" s="192"/>
      <c r="M270" s="192"/>
      <c r="N270" s="193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</row>
    <row r="271" ht="16.5" customHeight="1">
      <c r="A271" s="1"/>
      <c r="B271" s="1"/>
      <c r="C271" s="1"/>
      <c r="D271" s="3"/>
      <c r="E271" s="1" t="str">
        <f t="shared" ref="E271:H271" si="268">IF(A271&lt;&gt;"", IF(A271=A270, "", A271), "")</f>
        <v/>
      </c>
      <c r="F271" s="191" t="str">
        <f t="shared" si="268"/>
        <v/>
      </c>
      <c r="G271" s="1" t="str">
        <f t="shared" si="268"/>
        <v/>
      </c>
      <c r="H271" s="3" t="str">
        <f t="shared" si="268"/>
        <v/>
      </c>
      <c r="I271" s="1"/>
      <c r="J271" s="1"/>
      <c r="K271" s="1"/>
      <c r="L271" s="192"/>
      <c r="M271" s="192"/>
      <c r="N271" s="193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</row>
    <row r="272" ht="16.5" customHeight="1">
      <c r="A272" s="1"/>
      <c r="B272" s="1"/>
      <c r="C272" s="1"/>
      <c r="D272" s="3"/>
      <c r="E272" s="1" t="str">
        <f t="shared" ref="E272:H272" si="269">IF(A272&lt;&gt;"", IF(A272=A271, "", A272), "")</f>
        <v/>
      </c>
      <c r="F272" s="191" t="str">
        <f t="shared" si="269"/>
        <v/>
      </c>
      <c r="G272" s="1" t="str">
        <f t="shared" si="269"/>
        <v/>
      </c>
      <c r="H272" s="3" t="str">
        <f t="shared" si="269"/>
        <v/>
      </c>
      <c r="I272" s="1"/>
      <c r="J272" s="1"/>
      <c r="K272" s="1"/>
      <c r="L272" s="192"/>
      <c r="M272" s="192"/>
      <c r="N272" s="193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</row>
    <row r="273" ht="16.5" customHeight="1">
      <c r="A273" s="1"/>
      <c r="B273" s="1"/>
      <c r="C273" s="1"/>
      <c r="D273" s="3"/>
      <c r="E273" s="1" t="str">
        <f t="shared" ref="E273:H273" si="270">IF(A273&lt;&gt;"", IF(A273=A272, "", A273), "")</f>
        <v/>
      </c>
      <c r="F273" s="191" t="str">
        <f t="shared" si="270"/>
        <v/>
      </c>
      <c r="G273" s="1" t="str">
        <f t="shared" si="270"/>
        <v/>
      </c>
      <c r="H273" s="3" t="str">
        <f t="shared" si="270"/>
        <v/>
      </c>
      <c r="I273" s="1"/>
      <c r="J273" s="1"/>
      <c r="K273" s="1"/>
      <c r="L273" s="192"/>
      <c r="M273" s="192"/>
      <c r="N273" s="193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</row>
    <row r="274" ht="16.5" customHeight="1">
      <c r="A274" s="1"/>
      <c r="B274" s="1"/>
      <c r="C274" s="1"/>
      <c r="D274" s="3"/>
      <c r="E274" s="1" t="str">
        <f t="shared" ref="E274:H274" si="271">IF(A274&lt;&gt;"", IF(A274=A273, "", A274), "")</f>
        <v/>
      </c>
      <c r="F274" s="191" t="str">
        <f t="shared" si="271"/>
        <v/>
      </c>
      <c r="G274" s="1" t="str">
        <f t="shared" si="271"/>
        <v/>
      </c>
      <c r="H274" s="3" t="str">
        <f t="shared" si="271"/>
        <v/>
      </c>
      <c r="I274" s="1"/>
      <c r="J274" s="1"/>
      <c r="K274" s="1"/>
      <c r="L274" s="192"/>
      <c r="M274" s="192"/>
      <c r="N274" s="193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</row>
    <row r="275" ht="16.5" customHeight="1">
      <c r="A275" s="1"/>
      <c r="B275" s="1"/>
      <c r="C275" s="1"/>
      <c r="D275" s="3"/>
      <c r="E275" s="1" t="str">
        <f t="shared" ref="E275:H275" si="272">IF(A275&lt;&gt;"", IF(A275=A274, "", A275), "")</f>
        <v/>
      </c>
      <c r="F275" s="191" t="str">
        <f t="shared" si="272"/>
        <v/>
      </c>
      <c r="G275" s="1" t="str">
        <f t="shared" si="272"/>
        <v/>
      </c>
      <c r="H275" s="3" t="str">
        <f t="shared" si="272"/>
        <v/>
      </c>
      <c r="I275" s="1"/>
      <c r="J275" s="1"/>
      <c r="K275" s="1"/>
      <c r="L275" s="192"/>
      <c r="M275" s="192"/>
      <c r="N275" s="193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</row>
    <row r="276" ht="16.5" customHeight="1">
      <c r="A276" s="1"/>
      <c r="B276" s="1"/>
      <c r="C276" s="1"/>
      <c r="D276" s="3"/>
      <c r="E276" s="1" t="str">
        <f t="shared" ref="E276:H276" si="273">IF(A276&lt;&gt;"", IF(A276=A275, "", A276), "")</f>
        <v/>
      </c>
      <c r="F276" s="191" t="str">
        <f t="shared" si="273"/>
        <v/>
      </c>
      <c r="G276" s="1" t="str">
        <f t="shared" si="273"/>
        <v/>
      </c>
      <c r="H276" s="3" t="str">
        <f t="shared" si="273"/>
        <v/>
      </c>
      <c r="I276" s="1"/>
      <c r="J276" s="1"/>
      <c r="K276" s="1"/>
      <c r="L276" s="192"/>
      <c r="M276" s="192"/>
      <c r="N276" s="193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</row>
    <row r="277" ht="16.5" customHeight="1">
      <c r="A277" s="1"/>
      <c r="B277" s="1"/>
      <c r="C277" s="1"/>
      <c r="D277" s="3"/>
      <c r="E277" s="1" t="str">
        <f t="shared" ref="E277:H277" si="274">IF(A277&lt;&gt;"", IF(A277=A276, "", A277), "")</f>
        <v/>
      </c>
      <c r="F277" s="191" t="str">
        <f t="shared" si="274"/>
        <v/>
      </c>
      <c r="G277" s="1" t="str">
        <f t="shared" si="274"/>
        <v/>
      </c>
      <c r="H277" s="3" t="str">
        <f t="shared" si="274"/>
        <v/>
      </c>
      <c r="I277" s="1"/>
      <c r="J277" s="1"/>
      <c r="K277" s="1"/>
      <c r="L277" s="192"/>
      <c r="M277" s="192"/>
      <c r="N277" s="193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</row>
    <row r="278" ht="16.5" customHeight="1">
      <c r="A278" s="1"/>
      <c r="B278" s="1"/>
      <c r="C278" s="1"/>
      <c r="D278" s="3"/>
      <c r="E278" s="1" t="str">
        <f t="shared" ref="E278:H278" si="275">IF(A278&lt;&gt;"", IF(A278=A277, "", A278), "")</f>
        <v/>
      </c>
      <c r="F278" s="191" t="str">
        <f t="shared" si="275"/>
        <v/>
      </c>
      <c r="G278" s="1" t="str">
        <f t="shared" si="275"/>
        <v/>
      </c>
      <c r="H278" s="3" t="str">
        <f t="shared" si="275"/>
        <v/>
      </c>
      <c r="I278" s="1"/>
      <c r="J278" s="1"/>
      <c r="K278" s="1"/>
      <c r="L278" s="192"/>
      <c r="M278" s="192"/>
      <c r="N278" s="193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</row>
    <row r="279" ht="16.5" customHeight="1">
      <c r="A279" s="1"/>
      <c r="B279" s="1"/>
      <c r="C279" s="1"/>
      <c r="D279" s="3"/>
      <c r="E279" s="1" t="str">
        <f t="shared" ref="E279:H279" si="276">IF(A279&lt;&gt;"", IF(A279=A278, "", A279), "")</f>
        <v/>
      </c>
      <c r="F279" s="191" t="str">
        <f t="shared" si="276"/>
        <v/>
      </c>
      <c r="G279" s="1" t="str">
        <f t="shared" si="276"/>
        <v/>
      </c>
      <c r="H279" s="3" t="str">
        <f t="shared" si="276"/>
        <v/>
      </c>
      <c r="I279" s="1"/>
      <c r="J279" s="1"/>
      <c r="K279" s="1"/>
      <c r="L279" s="192"/>
      <c r="M279" s="192"/>
      <c r="N279" s="193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</row>
    <row r="280" ht="16.5" customHeight="1">
      <c r="A280" s="1"/>
      <c r="B280" s="1"/>
      <c r="C280" s="1"/>
      <c r="D280" s="3"/>
      <c r="E280" s="1" t="str">
        <f t="shared" ref="E280:H280" si="277">IF(A280&lt;&gt;"", IF(A280=A279, "", A280), "")</f>
        <v/>
      </c>
      <c r="F280" s="191" t="str">
        <f t="shared" si="277"/>
        <v/>
      </c>
      <c r="G280" s="1" t="str">
        <f t="shared" si="277"/>
        <v/>
      </c>
      <c r="H280" s="3" t="str">
        <f t="shared" si="277"/>
        <v/>
      </c>
      <c r="I280" s="1"/>
      <c r="J280" s="1"/>
      <c r="K280" s="1"/>
      <c r="L280" s="192"/>
      <c r="M280" s="192"/>
      <c r="N280" s="193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</row>
    <row r="281" ht="16.5" customHeight="1">
      <c r="A281" s="1"/>
      <c r="B281" s="1"/>
      <c r="C281" s="1"/>
      <c r="D281" s="3"/>
      <c r="E281" s="1" t="str">
        <f t="shared" ref="E281:H281" si="278">IF(A281&lt;&gt;"", IF(A281=A280, "", A281), "")</f>
        <v/>
      </c>
      <c r="F281" s="191" t="str">
        <f t="shared" si="278"/>
        <v/>
      </c>
      <c r="G281" s="1" t="str">
        <f t="shared" si="278"/>
        <v/>
      </c>
      <c r="H281" s="3" t="str">
        <f t="shared" si="278"/>
        <v/>
      </c>
      <c r="I281" s="1"/>
      <c r="J281" s="1"/>
      <c r="K281" s="1"/>
      <c r="L281" s="192"/>
      <c r="M281" s="192"/>
      <c r="N281" s="193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</row>
    <row r="282" ht="16.5" customHeight="1">
      <c r="A282" s="1"/>
      <c r="B282" s="1"/>
      <c r="C282" s="1"/>
      <c r="D282" s="3"/>
      <c r="E282" s="1" t="str">
        <f t="shared" ref="E282:H282" si="279">IF(A282&lt;&gt;"", IF(A282=A281, "", A282), "")</f>
        <v/>
      </c>
      <c r="F282" s="191" t="str">
        <f t="shared" si="279"/>
        <v/>
      </c>
      <c r="G282" s="1" t="str">
        <f t="shared" si="279"/>
        <v/>
      </c>
      <c r="H282" s="3" t="str">
        <f t="shared" si="279"/>
        <v/>
      </c>
      <c r="I282" s="1"/>
      <c r="J282" s="1"/>
      <c r="K282" s="1"/>
      <c r="L282" s="192"/>
      <c r="M282" s="192"/>
      <c r="N282" s="193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</row>
    <row r="283" ht="16.5" customHeight="1">
      <c r="A283" s="1"/>
      <c r="B283" s="1"/>
      <c r="C283" s="1"/>
      <c r="D283" s="3"/>
      <c r="E283" s="1" t="str">
        <f t="shared" ref="E283:H283" si="280">IF(A283&lt;&gt;"", IF(A283=A282, "", A283), "")</f>
        <v/>
      </c>
      <c r="F283" s="191" t="str">
        <f t="shared" si="280"/>
        <v/>
      </c>
      <c r="G283" s="1" t="str">
        <f t="shared" si="280"/>
        <v/>
      </c>
      <c r="H283" s="3" t="str">
        <f t="shared" si="280"/>
        <v/>
      </c>
      <c r="I283" s="1"/>
      <c r="J283" s="1"/>
      <c r="K283" s="1"/>
      <c r="L283" s="192"/>
      <c r="M283" s="192"/>
      <c r="N283" s="193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</row>
    <row r="284" ht="16.5" customHeight="1">
      <c r="A284" s="1"/>
      <c r="B284" s="1"/>
      <c r="C284" s="1"/>
      <c r="D284" s="3"/>
      <c r="E284" s="1" t="str">
        <f t="shared" ref="E284:H284" si="281">IF(A284&lt;&gt;"", IF(A284=A283, "", A284), "")</f>
        <v/>
      </c>
      <c r="F284" s="191" t="str">
        <f t="shared" si="281"/>
        <v/>
      </c>
      <c r="G284" s="1" t="str">
        <f t="shared" si="281"/>
        <v/>
      </c>
      <c r="H284" s="3" t="str">
        <f t="shared" si="281"/>
        <v/>
      </c>
      <c r="I284" s="1"/>
      <c r="J284" s="1"/>
      <c r="K284" s="1"/>
      <c r="L284" s="192"/>
      <c r="M284" s="192"/>
      <c r="N284" s="193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</row>
    <row r="285" ht="16.5" customHeight="1">
      <c r="A285" s="1"/>
      <c r="B285" s="1"/>
      <c r="C285" s="1"/>
      <c r="D285" s="3"/>
      <c r="E285" s="1" t="str">
        <f t="shared" ref="E285:H285" si="282">IF(A285&lt;&gt;"", IF(A285=A284, "", A285), "")</f>
        <v/>
      </c>
      <c r="F285" s="191" t="str">
        <f t="shared" si="282"/>
        <v/>
      </c>
      <c r="G285" s="1" t="str">
        <f t="shared" si="282"/>
        <v/>
      </c>
      <c r="H285" s="3" t="str">
        <f t="shared" si="282"/>
        <v/>
      </c>
      <c r="I285" s="1"/>
      <c r="J285" s="1"/>
      <c r="K285" s="1"/>
      <c r="L285" s="192"/>
      <c r="M285" s="192"/>
      <c r="N285" s="193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</row>
    <row r="286" ht="16.5" customHeight="1">
      <c r="A286" s="1"/>
      <c r="B286" s="1"/>
      <c r="C286" s="1"/>
      <c r="D286" s="3"/>
      <c r="E286" s="1" t="str">
        <f t="shared" ref="E286:H286" si="283">IF(A286&lt;&gt;"", IF(A286=A285, "", A286), "")</f>
        <v/>
      </c>
      <c r="F286" s="191" t="str">
        <f t="shared" si="283"/>
        <v/>
      </c>
      <c r="G286" s="1" t="str">
        <f t="shared" si="283"/>
        <v/>
      </c>
      <c r="H286" s="3" t="str">
        <f t="shared" si="283"/>
        <v/>
      </c>
      <c r="I286" s="1"/>
      <c r="J286" s="1"/>
      <c r="K286" s="1"/>
      <c r="L286" s="192"/>
      <c r="M286" s="192"/>
      <c r="N286" s="193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</row>
    <row r="287" ht="16.5" customHeight="1">
      <c r="A287" s="1"/>
      <c r="B287" s="1"/>
      <c r="C287" s="1"/>
      <c r="D287" s="3"/>
      <c r="E287" s="1" t="str">
        <f t="shared" ref="E287:H287" si="284">IF(A287&lt;&gt;"", IF(A287=A286, "", A287), "")</f>
        <v/>
      </c>
      <c r="F287" s="191" t="str">
        <f t="shared" si="284"/>
        <v/>
      </c>
      <c r="G287" s="1" t="str">
        <f t="shared" si="284"/>
        <v/>
      </c>
      <c r="H287" s="3" t="str">
        <f t="shared" si="284"/>
        <v/>
      </c>
      <c r="I287" s="1"/>
      <c r="J287" s="1"/>
      <c r="K287" s="1"/>
      <c r="L287" s="192"/>
      <c r="M287" s="192"/>
      <c r="N287" s="193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</row>
    <row r="288" ht="16.5" customHeight="1">
      <c r="A288" s="1"/>
      <c r="B288" s="1"/>
      <c r="C288" s="1"/>
      <c r="D288" s="3"/>
      <c r="E288" s="1" t="str">
        <f t="shared" ref="E288:H288" si="285">IF(A288&lt;&gt;"", IF(A288=A287, "", A288), "")</f>
        <v/>
      </c>
      <c r="F288" s="191" t="str">
        <f t="shared" si="285"/>
        <v/>
      </c>
      <c r="G288" s="1" t="str">
        <f t="shared" si="285"/>
        <v/>
      </c>
      <c r="H288" s="3" t="str">
        <f t="shared" si="285"/>
        <v/>
      </c>
      <c r="I288" s="1"/>
      <c r="J288" s="1"/>
      <c r="K288" s="1"/>
      <c r="L288" s="192"/>
      <c r="M288" s="192"/>
      <c r="N288" s="193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</row>
    <row r="289" ht="16.5" customHeight="1">
      <c r="A289" s="1"/>
      <c r="B289" s="1"/>
      <c r="C289" s="1"/>
      <c r="D289" s="3"/>
      <c r="E289" s="1" t="str">
        <f t="shared" ref="E289:H289" si="286">IF(A289&lt;&gt;"", IF(A289=A288, "", A289), "")</f>
        <v/>
      </c>
      <c r="F289" s="191" t="str">
        <f t="shared" si="286"/>
        <v/>
      </c>
      <c r="G289" s="1" t="str">
        <f t="shared" si="286"/>
        <v/>
      </c>
      <c r="H289" s="3" t="str">
        <f t="shared" si="286"/>
        <v/>
      </c>
      <c r="I289" s="1"/>
      <c r="J289" s="1"/>
      <c r="K289" s="1"/>
      <c r="L289" s="192"/>
      <c r="M289" s="192"/>
      <c r="N289" s="193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</row>
    <row r="290" ht="16.5" customHeight="1">
      <c r="A290" s="1"/>
      <c r="B290" s="1"/>
      <c r="C290" s="1"/>
      <c r="D290" s="3"/>
      <c r="E290" s="1" t="str">
        <f t="shared" ref="E290:H290" si="287">IF(A290&lt;&gt;"", IF(A290=A289, "", A290), "")</f>
        <v/>
      </c>
      <c r="F290" s="191" t="str">
        <f t="shared" si="287"/>
        <v/>
      </c>
      <c r="G290" s="1" t="str">
        <f t="shared" si="287"/>
        <v/>
      </c>
      <c r="H290" s="3" t="str">
        <f t="shared" si="287"/>
        <v/>
      </c>
      <c r="I290" s="1"/>
      <c r="J290" s="1"/>
      <c r="K290" s="1"/>
      <c r="L290" s="192"/>
      <c r="M290" s="192"/>
      <c r="N290" s="193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</row>
    <row r="291" ht="16.5" customHeight="1">
      <c r="A291" s="1"/>
      <c r="B291" s="1"/>
      <c r="C291" s="1"/>
      <c r="D291" s="3"/>
      <c r="E291" s="1" t="str">
        <f t="shared" ref="E291:H291" si="288">IF(A291&lt;&gt;"", IF(A291=A290, "", A291), "")</f>
        <v/>
      </c>
      <c r="F291" s="191" t="str">
        <f t="shared" si="288"/>
        <v/>
      </c>
      <c r="G291" s="1" t="str">
        <f t="shared" si="288"/>
        <v/>
      </c>
      <c r="H291" s="3" t="str">
        <f t="shared" si="288"/>
        <v/>
      </c>
      <c r="I291" s="1"/>
      <c r="J291" s="1"/>
      <c r="K291" s="1"/>
      <c r="L291" s="192"/>
      <c r="M291" s="192"/>
      <c r="N291" s="193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</row>
    <row r="292" ht="16.5" customHeight="1">
      <c r="A292" s="1"/>
      <c r="B292" s="1"/>
      <c r="C292" s="1"/>
      <c r="D292" s="3"/>
      <c r="E292" s="1" t="str">
        <f t="shared" ref="E292:H292" si="289">IF(A292&lt;&gt;"", IF(A292=A291, "", A292), "")</f>
        <v/>
      </c>
      <c r="F292" s="191" t="str">
        <f t="shared" si="289"/>
        <v/>
      </c>
      <c r="G292" s="1" t="str">
        <f t="shared" si="289"/>
        <v/>
      </c>
      <c r="H292" s="3" t="str">
        <f t="shared" si="289"/>
        <v/>
      </c>
      <c r="I292" s="1"/>
      <c r="J292" s="1"/>
      <c r="K292" s="1"/>
      <c r="L292" s="192"/>
      <c r="M292" s="192"/>
      <c r="N292" s="193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</row>
    <row r="293" ht="16.5" customHeight="1">
      <c r="A293" s="1"/>
      <c r="B293" s="1"/>
      <c r="C293" s="1"/>
      <c r="D293" s="3"/>
      <c r="E293" s="1" t="str">
        <f t="shared" ref="E293:H293" si="290">IF(A293&lt;&gt;"", IF(A293=A292, "", A293), "")</f>
        <v/>
      </c>
      <c r="F293" s="191" t="str">
        <f t="shared" si="290"/>
        <v/>
      </c>
      <c r="G293" s="1" t="str">
        <f t="shared" si="290"/>
        <v/>
      </c>
      <c r="H293" s="3" t="str">
        <f t="shared" si="290"/>
        <v/>
      </c>
      <c r="I293" s="1"/>
      <c r="J293" s="1"/>
      <c r="K293" s="1"/>
      <c r="L293" s="192"/>
      <c r="M293" s="192"/>
      <c r="N293" s="193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</row>
    <row r="294" ht="16.5" customHeight="1">
      <c r="A294" s="1"/>
      <c r="B294" s="1"/>
      <c r="C294" s="1"/>
      <c r="D294" s="3"/>
      <c r="E294" s="1" t="str">
        <f t="shared" ref="E294:H294" si="291">IF(A294&lt;&gt;"", IF(A294=A293, "", A294), "")</f>
        <v/>
      </c>
      <c r="F294" s="191" t="str">
        <f t="shared" si="291"/>
        <v/>
      </c>
      <c r="G294" s="1" t="str">
        <f t="shared" si="291"/>
        <v/>
      </c>
      <c r="H294" s="3" t="str">
        <f t="shared" si="291"/>
        <v/>
      </c>
      <c r="I294" s="1"/>
      <c r="J294" s="1"/>
      <c r="K294" s="1"/>
      <c r="L294" s="192"/>
      <c r="M294" s="192"/>
      <c r="N294" s="193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</row>
    <row r="295" ht="16.5" customHeight="1">
      <c r="A295" s="1"/>
      <c r="B295" s="1"/>
      <c r="C295" s="1"/>
      <c r="D295" s="3"/>
      <c r="E295" s="1" t="str">
        <f t="shared" ref="E295:H295" si="292">IF(A295&lt;&gt;"", IF(A295=A294, "", A295), "")</f>
        <v/>
      </c>
      <c r="F295" s="191" t="str">
        <f t="shared" si="292"/>
        <v/>
      </c>
      <c r="G295" s="1" t="str">
        <f t="shared" si="292"/>
        <v/>
      </c>
      <c r="H295" s="3" t="str">
        <f t="shared" si="292"/>
        <v/>
      </c>
      <c r="I295" s="1"/>
      <c r="J295" s="1"/>
      <c r="K295" s="1"/>
      <c r="L295" s="192"/>
      <c r="M295" s="192"/>
      <c r="N295" s="193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</row>
    <row r="296" ht="16.5" customHeight="1">
      <c r="A296" s="1"/>
      <c r="B296" s="1"/>
      <c r="C296" s="1"/>
      <c r="D296" s="3"/>
      <c r="E296" s="1" t="str">
        <f t="shared" ref="E296:H296" si="293">IF(A296&lt;&gt;"", IF(A296=A295, "", A296), "")</f>
        <v/>
      </c>
      <c r="F296" s="191" t="str">
        <f t="shared" si="293"/>
        <v/>
      </c>
      <c r="G296" s="1" t="str">
        <f t="shared" si="293"/>
        <v/>
      </c>
      <c r="H296" s="3" t="str">
        <f t="shared" si="293"/>
        <v/>
      </c>
      <c r="I296" s="1"/>
      <c r="J296" s="1"/>
      <c r="K296" s="1"/>
      <c r="L296" s="192"/>
      <c r="M296" s="192"/>
      <c r="N296" s="193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</row>
    <row r="297" ht="16.5" customHeight="1">
      <c r="A297" s="1"/>
      <c r="B297" s="1"/>
      <c r="C297" s="1"/>
      <c r="D297" s="3"/>
      <c r="E297" s="1" t="str">
        <f t="shared" ref="E297:H297" si="294">IF(A297&lt;&gt;"", IF(A297=A296, "", A297), "")</f>
        <v/>
      </c>
      <c r="F297" s="191" t="str">
        <f t="shared" si="294"/>
        <v/>
      </c>
      <c r="G297" s="1" t="str">
        <f t="shared" si="294"/>
        <v/>
      </c>
      <c r="H297" s="3" t="str">
        <f t="shared" si="294"/>
        <v/>
      </c>
      <c r="I297" s="1"/>
      <c r="J297" s="1"/>
      <c r="K297" s="1"/>
      <c r="L297" s="192"/>
      <c r="M297" s="192"/>
      <c r="N297" s="193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</row>
  </sheetData>
  <conditionalFormatting sqref="H5:M38">
    <cfRule type="expression" dxfId="18" priority="1">
      <formula>$I5="DX道場"</formula>
    </cfRule>
  </conditionalFormatting>
  <conditionalFormatting sqref="N5:N297">
    <cfRule type="containsText" dxfId="19" priority="2" operator="containsText" text="準備中">
      <formula>NOT(ISERROR(SEARCH(("準備中"),(N5))))</formula>
    </cfRule>
  </conditionalFormatting>
  <conditionalFormatting sqref="O3:CU38">
    <cfRule type="expression" dxfId="20" priority="3">
      <formula>AND(OR(O$4="土",O$4="日"))</formula>
    </cfRule>
  </conditionalFormatting>
  <conditionalFormatting sqref="O5:CU38">
    <cfRule type="expression" dxfId="21" priority="4">
      <formula>AND($I5="DX道場",O$3&gt;=$L5,O$3&lt;=$M5)</formula>
    </cfRule>
  </conditionalFormatting>
  <conditionalFormatting sqref="O5:CU38">
    <cfRule type="expression" dxfId="22" priority="5">
      <formula>AND($I5="インフラ",O$3&gt;=$L5,O$3&lt;=$M5)</formula>
    </cfRule>
  </conditionalFormatting>
  <conditionalFormatting sqref="F5:J38">
    <cfRule type="expression" dxfId="23" priority="6">
      <formula>NOT(ISNUMBER($F5))</formula>
    </cfRule>
  </conditionalFormatting>
  <conditionalFormatting sqref="J5:J38">
    <cfRule type="expression" dxfId="24" priority="7">
      <formula>AND($H5&lt;&gt;"",$J5="")</formula>
    </cfRule>
  </conditionalFormatting>
  <conditionalFormatting sqref="N5:N297">
    <cfRule type="containsText" dxfId="25" priority="8" operator="containsText" text="完了">
      <formula>NOT(ISERROR(SEARCH(("完了"),(N5))))</formula>
    </cfRule>
  </conditionalFormatting>
  <conditionalFormatting sqref="N5:N297">
    <cfRule type="containsText" dxfId="26" priority="9" operator="containsText" text="進行中">
      <formula>NOT(ISERROR(SEARCH(("進行中"),(N5))))</formula>
    </cfRule>
  </conditionalFormatting>
  <conditionalFormatting sqref="M10">
    <cfRule type="containsText" dxfId="25" priority="10" operator="containsText" text="完了">
      <formula>NOT(ISERROR(SEARCH(("完了"),(M10))))</formula>
    </cfRule>
  </conditionalFormatting>
  <conditionalFormatting sqref="M10">
    <cfRule type="containsText" dxfId="26" priority="11" operator="containsText" text="進行中">
      <formula>NOT(ISERROR(SEARCH(("進行中"),(M10))))</formula>
    </cfRule>
  </conditionalFormatting>
  <dataValidations>
    <dataValidation type="list" allowBlank="1" showErrorMessage="1" sqref="N5:N297">
      <formula1>"準備中,進行中,完了"</formula1>
    </dataValidation>
    <dataValidation type="list" allowBlank="1" showErrorMessage="1" sqref="I5:I297">
      <formula1>"データ基盤,インフラ,DX道場"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43"/>
    <col customWidth="1" min="2" max="2" width="9.43"/>
    <col customWidth="1" min="3" max="6" width="9.0"/>
    <col customWidth="1" min="7" max="26" width="8.71"/>
  </cols>
  <sheetData>
    <row r="1" ht="16.5" customHeight="1">
      <c r="A1" s="4" t="s">
        <v>0</v>
      </c>
      <c r="B1" s="4" t="s">
        <v>6</v>
      </c>
      <c r="C1" s="4" t="s">
        <v>7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6.5" customHeight="1">
      <c r="A2" s="4" t="s">
        <v>10</v>
      </c>
      <c r="B2" s="9">
        <v>46023.0</v>
      </c>
      <c r="C2" s="4" t="s">
        <v>13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6.5" customHeight="1">
      <c r="A3" s="4" t="s">
        <v>16</v>
      </c>
      <c r="B3" s="9">
        <v>46034.0</v>
      </c>
      <c r="C3" s="4" t="s">
        <v>17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6.5" customHeight="1">
      <c r="A4" s="4" t="s">
        <v>22</v>
      </c>
      <c r="B4" s="9">
        <v>46064.0</v>
      </c>
      <c r="C4" s="4" t="s">
        <v>23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6.5" customHeight="1">
      <c r="A5" s="4" t="s">
        <v>26</v>
      </c>
      <c r="B5" s="9">
        <v>46076.0</v>
      </c>
      <c r="C5" s="4" t="s">
        <v>17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6.5" customHeight="1">
      <c r="A6" s="4" t="s">
        <v>31</v>
      </c>
      <c r="B6" s="9">
        <v>46101.0</v>
      </c>
      <c r="C6" s="4" t="s">
        <v>32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6.5" customHeight="1">
      <c r="A7" s="4" t="s">
        <v>38</v>
      </c>
      <c r="B7" s="9">
        <v>46141.0</v>
      </c>
      <c r="C7" s="4" t="s">
        <v>23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6.5" customHeight="1">
      <c r="A8" s="4" t="s">
        <v>43</v>
      </c>
      <c r="B8" s="9">
        <v>46145.0</v>
      </c>
      <c r="C8" s="4" t="s">
        <v>46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6.5" customHeight="1">
      <c r="A9" s="4" t="s">
        <v>50</v>
      </c>
      <c r="B9" s="9">
        <v>46146.0</v>
      </c>
      <c r="C9" s="4" t="s">
        <v>17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6.5" customHeight="1">
      <c r="A10" s="4" t="s">
        <v>61</v>
      </c>
      <c r="B10" s="9">
        <v>46147.0</v>
      </c>
      <c r="C10" s="4" t="s">
        <v>64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6.5" customHeight="1">
      <c r="A11" s="4" t="s">
        <v>68</v>
      </c>
      <c r="B11" s="9">
        <v>46148.0</v>
      </c>
      <c r="C11" s="4" t="s">
        <v>23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6.5" customHeight="1">
      <c r="A12" s="4" t="s">
        <v>71</v>
      </c>
      <c r="B12" s="9">
        <v>46223.0</v>
      </c>
      <c r="C12" s="4" t="s">
        <v>17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6.5" customHeight="1">
      <c r="A13" s="4" t="s">
        <v>73</v>
      </c>
      <c r="B13" s="9">
        <v>46245.0</v>
      </c>
      <c r="C13" s="4" t="s">
        <v>64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6.5" customHeight="1">
      <c r="A14" s="4" t="s">
        <v>75</v>
      </c>
      <c r="B14" s="9">
        <v>46286.0</v>
      </c>
      <c r="C14" s="4" t="s">
        <v>17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6.5" customHeight="1">
      <c r="A15" s="4" t="s">
        <v>78</v>
      </c>
      <c r="B15" s="9">
        <v>46287.0</v>
      </c>
      <c r="C15" s="4" t="s">
        <v>64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6.5" customHeight="1">
      <c r="A16" s="4" t="s">
        <v>81</v>
      </c>
      <c r="B16" s="9">
        <v>46288.0</v>
      </c>
      <c r="C16" s="4" t="s">
        <v>23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6.5" customHeight="1">
      <c r="A17" s="4" t="s">
        <v>84</v>
      </c>
      <c r="B17" s="9">
        <v>46307.0</v>
      </c>
      <c r="C17" s="4" t="s">
        <v>17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6.5" customHeight="1">
      <c r="A18" s="4" t="s">
        <v>86</v>
      </c>
      <c r="B18" s="9">
        <v>46329.0</v>
      </c>
      <c r="C18" s="4" t="s">
        <v>64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6.5" customHeight="1">
      <c r="A19" s="1" t="s">
        <v>88</v>
      </c>
      <c r="B19" s="33">
        <v>46349.0</v>
      </c>
      <c r="C19" s="1" t="s">
        <v>17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6.5" customHeight="1">
      <c r="A20" s="1" t="s">
        <v>91</v>
      </c>
      <c r="B20" s="33">
        <v>46244.0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6.5" customHeight="1">
      <c r="A21" s="1" t="s">
        <v>91</v>
      </c>
      <c r="B21" s="33">
        <v>46246.0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6.5" customHeight="1">
      <c r="A22" s="1" t="s">
        <v>91</v>
      </c>
      <c r="B22" s="33">
        <v>46247.0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6.5" customHeight="1">
      <c r="A23" s="1" t="s">
        <v>91</v>
      </c>
      <c r="B23" s="33">
        <v>46248.0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6.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6.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6.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6.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6.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6.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6.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6.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6.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6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6.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6.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6.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6.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6.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6.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6.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6.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6.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6.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6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6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6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6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6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6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6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6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6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6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6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6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6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6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6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6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6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6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6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6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6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6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6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6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6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6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6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6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6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6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6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6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6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6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6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6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6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6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6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6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6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6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6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6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6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6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6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6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1.0"/>
    <col customWidth="1" min="2" max="3" width="24.0"/>
    <col customWidth="1" min="4" max="4" width="38.0"/>
    <col customWidth="1" min="5" max="5" width="15.0"/>
    <col customWidth="1" min="6" max="7" width="44.0"/>
    <col customWidth="1" min="8" max="9" width="15.0"/>
    <col customWidth="1" min="10" max="10" width="19.0"/>
    <col customWidth="1" min="11" max="12" width="13.0"/>
    <col customWidth="1" min="13" max="13" width="16.0"/>
    <col customWidth="1" min="14" max="14" width="32.0"/>
    <col customWidth="1" min="15" max="15" width="9.0"/>
    <col customWidth="1" min="16" max="26" width="8.71"/>
  </cols>
  <sheetData>
    <row r="1" ht="30.0" customHeight="1">
      <c r="A1" s="203" t="s">
        <v>196</v>
      </c>
    </row>
    <row r="2" ht="45.75" customHeight="1">
      <c r="A2" s="204" t="s">
        <v>197</v>
      </c>
    </row>
    <row r="3" ht="24.0" customHeight="1">
      <c r="A3" s="205" t="s">
        <v>198</v>
      </c>
      <c r="C3" s="206" t="s">
        <v>199</v>
      </c>
      <c r="E3" s="207" t="s">
        <v>200</v>
      </c>
      <c r="G3" s="208" t="s">
        <v>201</v>
      </c>
      <c r="I3" s="208" t="s">
        <v>202</v>
      </c>
      <c r="K3" s="209" t="s">
        <v>203</v>
      </c>
    </row>
    <row r="4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ht="27.75" customHeight="1">
      <c r="A5" s="210" t="s">
        <v>204</v>
      </c>
      <c r="B5" s="210" t="s">
        <v>52</v>
      </c>
      <c r="C5" s="210" t="s">
        <v>54</v>
      </c>
      <c r="D5" s="210" t="s">
        <v>55</v>
      </c>
      <c r="E5" s="210" t="s">
        <v>205</v>
      </c>
      <c r="F5" s="210" t="s">
        <v>206</v>
      </c>
      <c r="G5" s="210" t="s">
        <v>207</v>
      </c>
      <c r="H5" s="210" t="s">
        <v>95</v>
      </c>
      <c r="I5" s="210" t="s">
        <v>96</v>
      </c>
      <c r="J5" s="210" t="s">
        <v>208</v>
      </c>
      <c r="K5" s="210" t="s">
        <v>100</v>
      </c>
      <c r="L5" s="210" t="s">
        <v>101</v>
      </c>
      <c r="M5" s="210" t="s">
        <v>209</v>
      </c>
      <c r="N5" s="210" t="s">
        <v>210</v>
      </c>
      <c r="O5" s="210" t="s">
        <v>211</v>
      </c>
    </row>
    <row r="6" ht="42.0" customHeight="1">
      <c r="A6" s="211" t="s">
        <v>212</v>
      </c>
      <c r="B6" s="212" t="s">
        <v>157</v>
      </c>
      <c r="C6" s="212" t="s">
        <v>158</v>
      </c>
      <c r="D6" s="212" t="s">
        <v>159</v>
      </c>
      <c r="E6" s="211" t="s">
        <v>198</v>
      </c>
      <c r="F6" s="213" t="s">
        <v>213</v>
      </c>
      <c r="G6" s="213" t="s">
        <v>214</v>
      </c>
      <c r="H6" s="211"/>
      <c r="I6" s="211"/>
      <c r="J6" s="211" t="s">
        <v>215</v>
      </c>
      <c r="K6" s="214">
        <v>46237.0</v>
      </c>
      <c r="L6" s="214">
        <v>46248.0</v>
      </c>
      <c r="M6" s="212" t="s">
        <v>216</v>
      </c>
      <c r="N6" s="212" t="s">
        <v>217</v>
      </c>
      <c r="O6" s="211">
        <v>5.0</v>
      </c>
    </row>
    <row r="7" ht="42.0" customHeight="1">
      <c r="A7" s="211" t="s">
        <v>218</v>
      </c>
      <c r="B7" s="212" t="s">
        <v>157</v>
      </c>
      <c r="C7" s="212" t="s">
        <v>158</v>
      </c>
      <c r="D7" s="212" t="s">
        <v>167</v>
      </c>
      <c r="E7" s="211" t="s">
        <v>198</v>
      </c>
      <c r="F7" s="213" t="s">
        <v>219</v>
      </c>
      <c r="G7" s="213" t="s">
        <v>220</v>
      </c>
      <c r="H7" s="211"/>
      <c r="I7" s="211"/>
      <c r="J7" s="211" t="s">
        <v>215</v>
      </c>
      <c r="K7" s="214">
        <v>46237.0</v>
      </c>
      <c r="L7" s="214">
        <v>46246.0</v>
      </c>
      <c r="M7" s="212" t="s">
        <v>216</v>
      </c>
      <c r="N7" s="212" t="s">
        <v>221</v>
      </c>
      <c r="O7" s="211">
        <v>6.0</v>
      </c>
    </row>
    <row r="8" ht="42.0" customHeight="1">
      <c r="A8" s="211" t="s">
        <v>222</v>
      </c>
      <c r="B8" s="212" t="s">
        <v>157</v>
      </c>
      <c r="C8" s="212" t="s">
        <v>158</v>
      </c>
      <c r="D8" s="212" t="s">
        <v>174</v>
      </c>
      <c r="E8" s="211" t="s">
        <v>198</v>
      </c>
      <c r="F8" s="213" t="s">
        <v>223</v>
      </c>
      <c r="G8" s="213" t="s">
        <v>224</v>
      </c>
      <c r="H8" s="211"/>
      <c r="I8" s="211"/>
      <c r="J8" s="211" t="s">
        <v>215</v>
      </c>
      <c r="K8" s="214">
        <v>46237.0</v>
      </c>
      <c r="L8" s="214">
        <v>46248.0</v>
      </c>
      <c r="M8" s="212" t="s">
        <v>225</v>
      </c>
      <c r="N8" s="212" t="s">
        <v>226</v>
      </c>
      <c r="O8" s="211">
        <v>7.0</v>
      </c>
    </row>
    <row r="9" ht="42.0" customHeight="1">
      <c r="A9" s="211" t="s">
        <v>228</v>
      </c>
      <c r="B9" s="212" t="s">
        <v>157</v>
      </c>
      <c r="C9" s="212" t="s">
        <v>158</v>
      </c>
      <c r="D9" s="212" t="s">
        <v>183</v>
      </c>
      <c r="E9" s="211" t="s">
        <v>198</v>
      </c>
      <c r="F9" s="213" t="s">
        <v>229</v>
      </c>
      <c r="G9" s="213" t="s">
        <v>230</v>
      </c>
      <c r="H9" s="211"/>
      <c r="I9" s="211"/>
      <c r="J9" s="211" t="s">
        <v>231</v>
      </c>
      <c r="K9" s="214">
        <v>46237.0</v>
      </c>
      <c r="L9" s="214">
        <v>46241.0</v>
      </c>
      <c r="M9" s="212" t="s">
        <v>225</v>
      </c>
      <c r="N9" s="212" t="s">
        <v>232</v>
      </c>
      <c r="O9" s="211">
        <v>8.0</v>
      </c>
    </row>
    <row r="10" ht="42.0" customHeight="1">
      <c r="A10" s="211" t="s">
        <v>233</v>
      </c>
      <c r="B10" s="212" t="s">
        <v>157</v>
      </c>
      <c r="C10" s="212" t="s">
        <v>158</v>
      </c>
      <c r="D10" s="212" t="s">
        <v>184</v>
      </c>
      <c r="E10" s="211" t="s">
        <v>198</v>
      </c>
      <c r="F10" s="213" t="s">
        <v>234</v>
      </c>
      <c r="G10" s="213" t="s">
        <v>235</v>
      </c>
      <c r="H10" s="211"/>
      <c r="I10" s="211"/>
      <c r="J10" s="211" t="s">
        <v>236</v>
      </c>
      <c r="K10" s="214">
        <v>46237.0</v>
      </c>
      <c r="L10" s="214">
        <v>46246.0</v>
      </c>
      <c r="M10" s="212" t="s">
        <v>237</v>
      </c>
      <c r="N10" s="212" t="s">
        <v>238</v>
      </c>
      <c r="O10" s="211">
        <v>9.0</v>
      </c>
    </row>
    <row r="11" ht="42.0" customHeight="1">
      <c r="A11" s="211" t="s">
        <v>239</v>
      </c>
      <c r="B11" s="212" t="s">
        <v>157</v>
      </c>
      <c r="C11" s="212" t="s">
        <v>158</v>
      </c>
      <c r="D11" s="212" t="s">
        <v>185</v>
      </c>
      <c r="E11" s="211" t="s">
        <v>202</v>
      </c>
      <c r="F11" s="213" t="s">
        <v>240</v>
      </c>
      <c r="G11" s="213" t="s">
        <v>241</v>
      </c>
      <c r="H11" s="211"/>
      <c r="I11" s="211"/>
      <c r="J11" s="211" t="s">
        <v>242</v>
      </c>
      <c r="K11" s="214">
        <v>46248.0</v>
      </c>
      <c r="L11" s="214">
        <v>46248.0</v>
      </c>
      <c r="M11" s="212" t="s">
        <v>225</v>
      </c>
      <c r="N11" s="212" t="s">
        <v>243</v>
      </c>
      <c r="O11" s="211">
        <v>10.0</v>
      </c>
    </row>
    <row r="12" ht="42.0" customHeight="1">
      <c r="A12" s="211" t="s">
        <v>244</v>
      </c>
      <c r="B12" s="212" t="s">
        <v>157</v>
      </c>
      <c r="C12" s="212" t="s">
        <v>114</v>
      </c>
      <c r="D12" s="212" t="s">
        <v>186</v>
      </c>
      <c r="E12" s="211" t="s">
        <v>245</v>
      </c>
      <c r="F12" s="213" t="s">
        <v>246</v>
      </c>
      <c r="G12" s="213" t="s">
        <v>247</v>
      </c>
      <c r="H12" s="211"/>
      <c r="I12" s="211"/>
      <c r="J12" s="211" t="s">
        <v>242</v>
      </c>
      <c r="K12" s="214">
        <v>46237.0</v>
      </c>
      <c r="L12" s="214">
        <v>46283.0</v>
      </c>
      <c r="M12" s="212" t="s">
        <v>225</v>
      </c>
      <c r="N12" s="212" t="s">
        <v>248</v>
      </c>
      <c r="O12" s="211">
        <v>11.0</v>
      </c>
    </row>
    <row r="13" ht="42.0" customHeight="1">
      <c r="A13" s="211" t="s">
        <v>249</v>
      </c>
      <c r="B13" s="212" t="s">
        <v>157</v>
      </c>
      <c r="C13" s="212" t="s">
        <v>114</v>
      </c>
      <c r="D13" s="212" t="s">
        <v>187</v>
      </c>
      <c r="E13" s="211" t="s">
        <v>245</v>
      </c>
      <c r="F13" s="213" t="s">
        <v>250</v>
      </c>
      <c r="G13" s="213" t="s">
        <v>251</v>
      </c>
      <c r="H13" s="211"/>
      <c r="I13" s="211"/>
      <c r="J13" s="211" t="s">
        <v>242</v>
      </c>
      <c r="K13" s="214">
        <v>46237.0</v>
      </c>
      <c r="L13" s="214">
        <v>46283.0</v>
      </c>
      <c r="M13" s="212" t="s">
        <v>225</v>
      </c>
      <c r="N13" s="212" t="s">
        <v>248</v>
      </c>
      <c r="O13" s="211">
        <v>12.0</v>
      </c>
    </row>
    <row r="14" ht="42.0" customHeight="1">
      <c r="A14" s="211" t="s">
        <v>252</v>
      </c>
      <c r="B14" s="212" t="s">
        <v>157</v>
      </c>
      <c r="C14" s="212" t="s">
        <v>114</v>
      </c>
      <c r="D14" s="212" t="s">
        <v>188</v>
      </c>
      <c r="E14" s="211" t="s">
        <v>245</v>
      </c>
      <c r="F14" s="213" t="s">
        <v>253</v>
      </c>
      <c r="G14" s="213" t="s">
        <v>254</v>
      </c>
      <c r="H14" s="211"/>
      <c r="I14" s="211"/>
      <c r="J14" s="211" t="s">
        <v>242</v>
      </c>
      <c r="K14" s="214">
        <v>46237.0</v>
      </c>
      <c r="L14" s="214">
        <v>46283.0</v>
      </c>
      <c r="M14" s="212" t="s">
        <v>216</v>
      </c>
      <c r="N14" s="212" t="s">
        <v>255</v>
      </c>
      <c r="O14" s="211">
        <v>13.0</v>
      </c>
    </row>
    <row r="15" ht="42.0" customHeight="1">
      <c r="A15" s="211" t="s">
        <v>256</v>
      </c>
      <c r="B15" s="212" t="s">
        <v>157</v>
      </c>
      <c r="C15" s="212" t="s">
        <v>114</v>
      </c>
      <c r="D15" s="212" t="s">
        <v>189</v>
      </c>
      <c r="E15" s="211" t="s">
        <v>245</v>
      </c>
      <c r="F15" s="213" t="s">
        <v>257</v>
      </c>
      <c r="G15" s="213" t="s">
        <v>258</v>
      </c>
      <c r="H15" s="211"/>
      <c r="I15" s="211"/>
      <c r="J15" s="211" t="s">
        <v>242</v>
      </c>
      <c r="K15" s="214">
        <v>46244.0</v>
      </c>
      <c r="L15" s="214">
        <v>46281.0</v>
      </c>
      <c r="M15" s="212" t="s">
        <v>225</v>
      </c>
      <c r="N15" s="212" t="s">
        <v>248</v>
      </c>
      <c r="O15" s="211">
        <v>14.0</v>
      </c>
    </row>
    <row r="16" ht="42.0" customHeight="1">
      <c r="A16" s="211" t="s">
        <v>259</v>
      </c>
      <c r="B16" s="212" t="s">
        <v>157</v>
      </c>
      <c r="C16" s="212" t="s">
        <v>114</v>
      </c>
      <c r="D16" s="212" t="s">
        <v>190</v>
      </c>
      <c r="E16" s="211" t="s">
        <v>245</v>
      </c>
      <c r="F16" s="213" t="s">
        <v>260</v>
      </c>
      <c r="G16" s="213" t="s">
        <v>261</v>
      </c>
      <c r="H16" s="211"/>
      <c r="I16" s="211"/>
      <c r="J16" s="211" t="s">
        <v>242</v>
      </c>
      <c r="K16" s="214">
        <v>46265.0</v>
      </c>
      <c r="L16" s="214">
        <v>46283.0</v>
      </c>
      <c r="M16" s="212" t="s">
        <v>225</v>
      </c>
      <c r="N16" s="212" t="s">
        <v>262</v>
      </c>
      <c r="O16" s="211">
        <v>15.0</v>
      </c>
    </row>
    <row r="17" ht="42.0" customHeight="1">
      <c r="A17" s="211" t="s">
        <v>263</v>
      </c>
      <c r="B17" s="212" t="s">
        <v>157</v>
      </c>
      <c r="C17" s="212" t="s">
        <v>114</v>
      </c>
      <c r="D17" s="212" t="s">
        <v>191</v>
      </c>
      <c r="E17" s="211" t="s">
        <v>245</v>
      </c>
      <c r="F17" s="213" t="s">
        <v>264</v>
      </c>
      <c r="G17" s="213" t="s">
        <v>265</v>
      </c>
      <c r="H17" s="211"/>
      <c r="I17" s="211"/>
      <c r="J17" s="211" t="s">
        <v>242</v>
      </c>
      <c r="K17" s="214">
        <v>46237.0</v>
      </c>
      <c r="L17" s="214">
        <v>46283.0</v>
      </c>
      <c r="M17" s="212" t="s">
        <v>266</v>
      </c>
      <c r="N17" s="212" t="s">
        <v>248</v>
      </c>
      <c r="O17" s="211">
        <v>16.0</v>
      </c>
    </row>
    <row r="18" ht="42.0" customHeight="1">
      <c r="A18" s="211" t="s">
        <v>267</v>
      </c>
      <c r="B18" s="212" t="s">
        <v>157</v>
      </c>
      <c r="C18" s="212" t="s">
        <v>192</v>
      </c>
      <c r="D18" s="212" t="s">
        <v>193</v>
      </c>
      <c r="E18" s="211" t="s">
        <v>245</v>
      </c>
      <c r="F18" s="213" t="s">
        <v>268</v>
      </c>
      <c r="G18" s="213" t="s">
        <v>269</v>
      </c>
      <c r="H18" s="211"/>
      <c r="I18" s="211"/>
      <c r="J18" s="211" t="s">
        <v>231</v>
      </c>
      <c r="K18" s="214">
        <v>46237.0</v>
      </c>
      <c r="L18" s="214">
        <v>46246.0</v>
      </c>
      <c r="M18" s="212" t="s">
        <v>270</v>
      </c>
      <c r="N18" s="212"/>
      <c r="O18" s="211">
        <v>17.0</v>
      </c>
    </row>
    <row r="19" ht="42.0" customHeight="1">
      <c r="A19" s="211" t="s">
        <v>272</v>
      </c>
      <c r="B19" s="212" t="s">
        <v>157</v>
      </c>
      <c r="C19" s="212" t="s">
        <v>192</v>
      </c>
      <c r="D19" s="212" t="s">
        <v>194</v>
      </c>
      <c r="E19" s="211" t="s">
        <v>245</v>
      </c>
      <c r="F19" s="213" t="s">
        <v>274</v>
      </c>
      <c r="G19" s="213" t="s">
        <v>275</v>
      </c>
      <c r="H19" s="211"/>
      <c r="I19" s="211"/>
      <c r="J19" s="211" t="s">
        <v>231</v>
      </c>
      <c r="K19" s="214">
        <v>46237.0</v>
      </c>
      <c r="L19" s="214">
        <v>46246.0</v>
      </c>
      <c r="M19" s="212" t="s">
        <v>266</v>
      </c>
      <c r="N19" s="212"/>
      <c r="O19" s="211">
        <v>18.0</v>
      </c>
    </row>
    <row r="20" ht="42.0" customHeight="1">
      <c r="A20" s="211" t="s">
        <v>280</v>
      </c>
      <c r="B20" s="212" t="s">
        <v>157</v>
      </c>
      <c r="C20" s="212" t="s">
        <v>192</v>
      </c>
      <c r="D20" s="212" t="s">
        <v>195</v>
      </c>
      <c r="E20" s="211" t="s">
        <v>245</v>
      </c>
      <c r="F20" s="213" t="s">
        <v>283</v>
      </c>
      <c r="G20" s="213" t="s">
        <v>284</v>
      </c>
      <c r="H20" s="211"/>
      <c r="I20" s="211"/>
      <c r="J20" s="211" t="s">
        <v>231</v>
      </c>
      <c r="K20" s="214">
        <v>46237.0</v>
      </c>
      <c r="L20" s="214">
        <v>46246.0</v>
      </c>
      <c r="M20" s="212" t="s">
        <v>266</v>
      </c>
      <c r="N20" s="212"/>
      <c r="O20" s="211">
        <v>19.0</v>
      </c>
    </row>
    <row r="21" ht="42.0" customHeight="1">
      <c r="A21" s="211" t="s">
        <v>286</v>
      </c>
      <c r="B21" s="212" t="s">
        <v>157</v>
      </c>
      <c r="C21" s="212" t="s">
        <v>192</v>
      </c>
      <c r="D21" s="212" t="s">
        <v>227</v>
      </c>
      <c r="E21" s="211" t="s">
        <v>245</v>
      </c>
      <c r="F21" s="213" t="s">
        <v>288</v>
      </c>
      <c r="G21" s="213" t="s">
        <v>289</v>
      </c>
      <c r="H21" s="211"/>
      <c r="I21" s="211"/>
      <c r="J21" s="211" t="s">
        <v>231</v>
      </c>
      <c r="K21" s="214">
        <v>46237.0</v>
      </c>
      <c r="L21" s="214">
        <v>46246.0</v>
      </c>
      <c r="M21" s="212" t="s">
        <v>237</v>
      </c>
      <c r="N21" s="212"/>
      <c r="O21" s="211">
        <v>20.0</v>
      </c>
    </row>
    <row r="22" ht="42.0" customHeight="1">
      <c r="A22" s="211" t="s">
        <v>294</v>
      </c>
      <c r="B22" s="212" t="s">
        <v>157</v>
      </c>
      <c r="C22" s="212" t="s">
        <v>192</v>
      </c>
      <c r="D22" s="212" t="s">
        <v>295</v>
      </c>
      <c r="E22" s="211" t="s">
        <v>245</v>
      </c>
      <c r="F22" s="213" t="s">
        <v>296</v>
      </c>
      <c r="G22" s="213" t="s">
        <v>297</v>
      </c>
      <c r="H22" s="211"/>
      <c r="I22" s="211"/>
      <c r="J22" s="211" t="s">
        <v>231</v>
      </c>
      <c r="K22" s="214">
        <v>46244.0</v>
      </c>
      <c r="L22" s="214">
        <v>46248.0</v>
      </c>
      <c r="M22" s="212" t="s">
        <v>216</v>
      </c>
      <c r="N22" s="212" t="s">
        <v>299</v>
      </c>
      <c r="O22" s="211">
        <v>21.0</v>
      </c>
    </row>
    <row r="23" ht="42.0" customHeight="1">
      <c r="A23" s="211" t="s">
        <v>301</v>
      </c>
      <c r="B23" s="212" t="s">
        <v>157</v>
      </c>
      <c r="C23" s="212" t="s">
        <v>303</v>
      </c>
      <c r="D23" s="212" t="s">
        <v>305</v>
      </c>
      <c r="E23" s="211" t="s">
        <v>245</v>
      </c>
      <c r="F23" s="213" t="s">
        <v>307</v>
      </c>
      <c r="G23" s="213" t="s">
        <v>308</v>
      </c>
      <c r="H23" s="211"/>
      <c r="I23" s="211"/>
      <c r="J23" s="211" t="s">
        <v>231</v>
      </c>
      <c r="K23" s="214">
        <v>46237.0</v>
      </c>
      <c r="L23" s="214">
        <v>46246.0</v>
      </c>
      <c r="M23" s="212" t="s">
        <v>225</v>
      </c>
      <c r="N23" s="212" t="s">
        <v>311</v>
      </c>
      <c r="O23" s="211">
        <v>22.0</v>
      </c>
    </row>
    <row r="24" ht="42.0" customHeight="1">
      <c r="A24" s="211" t="s">
        <v>314</v>
      </c>
      <c r="B24" s="212" t="s">
        <v>157</v>
      </c>
      <c r="C24" s="212" t="s">
        <v>303</v>
      </c>
      <c r="D24" s="212" t="s">
        <v>317</v>
      </c>
      <c r="E24" s="211" t="s">
        <v>245</v>
      </c>
      <c r="F24" s="213" t="s">
        <v>318</v>
      </c>
      <c r="G24" s="213" t="s">
        <v>320</v>
      </c>
      <c r="H24" s="211"/>
      <c r="I24" s="211"/>
      <c r="J24" s="211" t="s">
        <v>231</v>
      </c>
      <c r="K24" s="214">
        <v>46237.0</v>
      </c>
      <c r="L24" s="214">
        <v>46246.0</v>
      </c>
      <c r="M24" s="212" t="s">
        <v>266</v>
      </c>
      <c r="N24" s="212"/>
      <c r="O24" s="211">
        <v>23.0</v>
      </c>
    </row>
    <row r="25" ht="42.0" customHeight="1">
      <c r="A25" s="211" t="s">
        <v>325</v>
      </c>
      <c r="B25" s="212" t="s">
        <v>157</v>
      </c>
      <c r="C25" s="212" t="s">
        <v>303</v>
      </c>
      <c r="D25" s="212" t="s">
        <v>327</v>
      </c>
      <c r="E25" s="211" t="s">
        <v>245</v>
      </c>
      <c r="F25" s="213" t="s">
        <v>331</v>
      </c>
      <c r="G25" s="213" t="s">
        <v>333</v>
      </c>
      <c r="H25" s="211"/>
      <c r="I25" s="211"/>
      <c r="J25" s="211" t="s">
        <v>231</v>
      </c>
      <c r="K25" s="214">
        <v>46237.0</v>
      </c>
      <c r="L25" s="214">
        <v>46246.0</v>
      </c>
      <c r="M25" s="212" t="s">
        <v>266</v>
      </c>
      <c r="N25" s="212" t="s">
        <v>340</v>
      </c>
      <c r="O25" s="211">
        <v>24.0</v>
      </c>
    </row>
    <row r="26" ht="42.0" customHeight="1">
      <c r="A26" s="211" t="s">
        <v>342</v>
      </c>
      <c r="B26" s="212" t="s">
        <v>157</v>
      </c>
      <c r="C26" s="212" t="s">
        <v>303</v>
      </c>
      <c r="D26" s="212" t="s">
        <v>344</v>
      </c>
      <c r="E26" s="211" t="s">
        <v>245</v>
      </c>
      <c r="F26" s="213" t="s">
        <v>348</v>
      </c>
      <c r="G26" s="213" t="s">
        <v>352</v>
      </c>
      <c r="H26" s="211"/>
      <c r="I26" s="211"/>
      <c r="J26" s="211" t="s">
        <v>231</v>
      </c>
      <c r="K26" s="214">
        <v>46237.0</v>
      </c>
      <c r="L26" s="214">
        <v>46246.0</v>
      </c>
      <c r="M26" s="212" t="s">
        <v>266</v>
      </c>
      <c r="N26" s="212" t="s">
        <v>356</v>
      </c>
      <c r="O26" s="211">
        <v>25.0</v>
      </c>
    </row>
    <row r="27" ht="42.0" customHeight="1">
      <c r="A27" s="211" t="s">
        <v>357</v>
      </c>
      <c r="B27" s="212" t="s">
        <v>157</v>
      </c>
      <c r="C27" s="212" t="s">
        <v>303</v>
      </c>
      <c r="D27" s="212" t="s">
        <v>358</v>
      </c>
      <c r="E27" s="211" t="s">
        <v>245</v>
      </c>
      <c r="F27" s="213" t="s">
        <v>359</v>
      </c>
      <c r="G27" s="213" t="s">
        <v>360</v>
      </c>
      <c r="H27" s="211"/>
      <c r="I27" s="211"/>
      <c r="J27" s="211" t="s">
        <v>231</v>
      </c>
      <c r="K27" s="214">
        <v>46237.0</v>
      </c>
      <c r="L27" s="214">
        <v>46246.0</v>
      </c>
      <c r="M27" s="212" t="s">
        <v>266</v>
      </c>
      <c r="N27" s="212" t="s">
        <v>361</v>
      </c>
      <c r="O27" s="211">
        <v>26.0</v>
      </c>
    </row>
    <row r="28" ht="42.0" customHeight="1">
      <c r="A28" s="211" t="s">
        <v>362</v>
      </c>
      <c r="B28" s="212" t="s">
        <v>157</v>
      </c>
      <c r="C28" s="212" t="s">
        <v>303</v>
      </c>
      <c r="D28" s="212" t="s">
        <v>363</v>
      </c>
      <c r="E28" s="211" t="s">
        <v>245</v>
      </c>
      <c r="F28" s="213" t="s">
        <v>364</v>
      </c>
      <c r="G28" s="213" t="s">
        <v>365</v>
      </c>
      <c r="H28" s="211"/>
      <c r="I28" s="211"/>
      <c r="J28" s="211" t="s">
        <v>231</v>
      </c>
      <c r="K28" s="214">
        <v>46244.0</v>
      </c>
      <c r="L28" s="214">
        <v>46248.0</v>
      </c>
      <c r="M28" s="212" t="s">
        <v>225</v>
      </c>
      <c r="N28" s="212"/>
      <c r="O28" s="211">
        <v>27.0</v>
      </c>
    </row>
    <row r="29" ht="42.0" customHeight="1">
      <c r="A29" s="211" t="s">
        <v>366</v>
      </c>
      <c r="B29" s="212" t="s">
        <v>157</v>
      </c>
      <c r="C29" s="212" t="s">
        <v>367</v>
      </c>
      <c r="D29" s="212" t="s">
        <v>368</v>
      </c>
      <c r="E29" s="211" t="s">
        <v>245</v>
      </c>
      <c r="F29" s="213" t="s">
        <v>369</v>
      </c>
      <c r="G29" s="213" t="s">
        <v>370</v>
      </c>
      <c r="H29" s="211"/>
      <c r="I29" s="211"/>
      <c r="J29" s="211" t="s">
        <v>371</v>
      </c>
      <c r="K29" s="214">
        <v>46244.0</v>
      </c>
      <c r="L29" s="214">
        <v>46253.0</v>
      </c>
      <c r="M29" s="212" t="s">
        <v>225</v>
      </c>
      <c r="N29" s="212" t="s">
        <v>372</v>
      </c>
      <c r="O29" s="211">
        <v>28.0</v>
      </c>
    </row>
    <row r="30" ht="42.0" customHeight="1">
      <c r="A30" s="211" t="s">
        <v>373</v>
      </c>
      <c r="B30" s="212" t="s">
        <v>157</v>
      </c>
      <c r="C30" s="212" t="s">
        <v>367</v>
      </c>
      <c r="D30" s="212" t="s">
        <v>374</v>
      </c>
      <c r="E30" s="211" t="s">
        <v>245</v>
      </c>
      <c r="F30" s="213" t="s">
        <v>375</v>
      </c>
      <c r="G30" s="213" t="s">
        <v>376</v>
      </c>
      <c r="H30" s="211"/>
      <c r="I30" s="211"/>
      <c r="J30" s="211" t="s">
        <v>371</v>
      </c>
      <c r="K30" s="214">
        <v>46244.0</v>
      </c>
      <c r="L30" s="214">
        <v>46253.0</v>
      </c>
      <c r="M30" s="212" t="s">
        <v>216</v>
      </c>
      <c r="N30" s="212"/>
      <c r="O30" s="211">
        <v>29.0</v>
      </c>
    </row>
    <row r="31" ht="42.0" customHeight="1">
      <c r="A31" s="211" t="s">
        <v>377</v>
      </c>
      <c r="B31" s="212" t="s">
        <v>157</v>
      </c>
      <c r="C31" s="212" t="s">
        <v>367</v>
      </c>
      <c r="D31" s="212" t="s">
        <v>378</v>
      </c>
      <c r="E31" s="211" t="s">
        <v>245</v>
      </c>
      <c r="F31" s="213" t="s">
        <v>379</v>
      </c>
      <c r="G31" s="213" t="s">
        <v>380</v>
      </c>
      <c r="H31" s="211"/>
      <c r="I31" s="211"/>
      <c r="J31" s="211" t="s">
        <v>371</v>
      </c>
      <c r="K31" s="214">
        <v>46244.0</v>
      </c>
      <c r="L31" s="214">
        <v>46253.0</v>
      </c>
      <c r="M31" s="212" t="s">
        <v>266</v>
      </c>
      <c r="N31" s="212" t="s">
        <v>381</v>
      </c>
      <c r="O31" s="211">
        <v>30.0</v>
      </c>
    </row>
    <row r="32" ht="42.0" customHeight="1">
      <c r="A32" s="211" t="s">
        <v>382</v>
      </c>
      <c r="B32" s="212" t="s">
        <v>157</v>
      </c>
      <c r="C32" s="212" t="s">
        <v>367</v>
      </c>
      <c r="D32" s="212" t="s">
        <v>383</v>
      </c>
      <c r="E32" s="211" t="s">
        <v>245</v>
      </c>
      <c r="F32" s="213" t="s">
        <v>384</v>
      </c>
      <c r="G32" s="213" t="s">
        <v>385</v>
      </c>
      <c r="H32" s="211"/>
      <c r="I32" s="211"/>
      <c r="J32" s="211" t="s">
        <v>371</v>
      </c>
      <c r="K32" s="214">
        <v>46244.0</v>
      </c>
      <c r="L32" s="214">
        <v>46253.0</v>
      </c>
      <c r="M32" s="212" t="s">
        <v>266</v>
      </c>
      <c r="N32" s="212"/>
      <c r="O32" s="211">
        <v>31.0</v>
      </c>
    </row>
    <row r="33" ht="42.0" customHeight="1">
      <c r="A33" s="211" t="s">
        <v>386</v>
      </c>
      <c r="B33" s="212" t="s">
        <v>157</v>
      </c>
      <c r="C33" s="212" t="s">
        <v>367</v>
      </c>
      <c r="D33" s="212" t="s">
        <v>387</v>
      </c>
      <c r="E33" s="211" t="s">
        <v>245</v>
      </c>
      <c r="F33" s="213" t="s">
        <v>388</v>
      </c>
      <c r="G33" s="213" t="s">
        <v>389</v>
      </c>
      <c r="H33" s="211"/>
      <c r="I33" s="211"/>
      <c r="J33" s="211" t="s">
        <v>371</v>
      </c>
      <c r="K33" s="214">
        <v>46244.0</v>
      </c>
      <c r="L33" s="214">
        <v>46253.0</v>
      </c>
      <c r="M33" s="212" t="s">
        <v>225</v>
      </c>
      <c r="N33" s="212"/>
      <c r="O33" s="211">
        <v>32.0</v>
      </c>
    </row>
    <row r="34" ht="42.0" customHeight="1">
      <c r="A34" s="211" t="s">
        <v>390</v>
      </c>
      <c r="B34" s="212" t="s">
        <v>157</v>
      </c>
      <c r="C34" s="212" t="s">
        <v>367</v>
      </c>
      <c r="D34" s="212" t="s">
        <v>391</v>
      </c>
      <c r="E34" s="211" t="s">
        <v>245</v>
      </c>
      <c r="F34" s="213" t="s">
        <v>392</v>
      </c>
      <c r="G34" s="213" t="s">
        <v>393</v>
      </c>
      <c r="H34" s="211"/>
      <c r="I34" s="211"/>
      <c r="J34" s="211" t="s">
        <v>371</v>
      </c>
      <c r="K34" s="214">
        <v>46251.0</v>
      </c>
      <c r="L34" s="214">
        <v>46255.0</v>
      </c>
      <c r="M34" s="212" t="s">
        <v>266</v>
      </c>
      <c r="N34" s="212"/>
      <c r="O34" s="211">
        <v>33.0</v>
      </c>
    </row>
    <row r="35" ht="42.0" customHeight="1">
      <c r="A35" s="211" t="s">
        <v>394</v>
      </c>
      <c r="B35" s="212" t="s">
        <v>157</v>
      </c>
      <c r="C35" s="212" t="s">
        <v>367</v>
      </c>
      <c r="D35" s="212" t="s">
        <v>395</v>
      </c>
      <c r="E35" s="211" t="s">
        <v>245</v>
      </c>
      <c r="F35" s="213" t="s">
        <v>396</v>
      </c>
      <c r="G35" s="213" t="s">
        <v>397</v>
      </c>
      <c r="H35" s="211"/>
      <c r="I35" s="211"/>
      <c r="J35" s="211" t="s">
        <v>371</v>
      </c>
      <c r="K35" s="214">
        <v>46251.0</v>
      </c>
      <c r="L35" s="214">
        <v>46255.0</v>
      </c>
      <c r="M35" s="212" t="s">
        <v>266</v>
      </c>
      <c r="N35" s="212"/>
      <c r="O35" s="211">
        <v>34.0</v>
      </c>
    </row>
    <row r="36" ht="42.0" customHeight="1">
      <c r="A36" s="211" t="s">
        <v>398</v>
      </c>
      <c r="B36" s="212" t="s">
        <v>157</v>
      </c>
      <c r="C36" s="212" t="s">
        <v>399</v>
      </c>
      <c r="D36" s="212" t="s">
        <v>400</v>
      </c>
      <c r="E36" s="211" t="s">
        <v>245</v>
      </c>
      <c r="F36" s="213" t="s">
        <v>402</v>
      </c>
      <c r="G36" s="213" t="s">
        <v>404</v>
      </c>
      <c r="H36" s="211"/>
      <c r="I36" s="211"/>
      <c r="J36" s="211" t="s">
        <v>406</v>
      </c>
      <c r="K36" s="214">
        <v>46244.0</v>
      </c>
      <c r="L36" s="214">
        <v>46253.0</v>
      </c>
      <c r="M36" s="212" t="s">
        <v>225</v>
      </c>
      <c r="N36" s="212"/>
      <c r="O36" s="211">
        <v>35.0</v>
      </c>
    </row>
    <row r="37" ht="42.0" customHeight="1">
      <c r="A37" s="211" t="s">
        <v>412</v>
      </c>
      <c r="B37" s="212" t="s">
        <v>157</v>
      </c>
      <c r="C37" s="212" t="s">
        <v>399</v>
      </c>
      <c r="D37" s="212" t="s">
        <v>413</v>
      </c>
      <c r="E37" s="211" t="s">
        <v>245</v>
      </c>
      <c r="F37" s="213" t="s">
        <v>415</v>
      </c>
      <c r="G37" s="213" t="s">
        <v>417</v>
      </c>
      <c r="H37" s="211"/>
      <c r="I37" s="211"/>
      <c r="J37" s="211" t="s">
        <v>406</v>
      </c>
      <c r="K37" s="214">
        <v>46244.0</v>
      </c>
      <c r="L37" s="214">
        <v>46253.0</v>
      </c>
      <c r="M37" s="212" t="s">
        <v>225</v>
      </c>
      <c r="N37" s="212" t="s">
        <v>419</v>
      </c>
      <c r="O37" s="211">
        <v>36.0</v>
      </c>
    </row>
    <row r="38" ht="42.0" customHeight="1">
      <c r="A38" s="211" t="s">
        <v>420</v>
      </c>
      <c r="B38" s="212" t="s">
        <v>157</v>
      </c>
      <c r="C38" s="212" t="s">
        <v>399</v>
      </c>
      <c r="D38" s="212" t="s">
        <v>421</v>
      </c>
      <c r="E38" s="211" t="s">
        <v>245</v>
      </c>
      <c r="F38" s="213" t="s">
        <v>422</v>
      </c>
      <c r="G38" s="213" t="s">
        <v>423</v>
      </c>
      <c r="H38" s="211"/>
      <c r="I38" s="211"/>
      <c r="J38" s="211" t="s">
        <v>406</v>
      </c>
      <c r="K38" s="214">
        <v>46244.0</v>
      </c>
      <c r="L38" s="214">
        <v>46253.0</v>
      </c>
      <c r="M38" s="212" t="s">
        <v>266</v>
      </c>
      <c r="N38" s="212" t="s">
        <v>424</v>
      </c>
      <c r="O38" s="211">
        <v>37.0</v>
      </c>
    </row>
    <row r="39" ht="42.0" customHeight="1">
      <c r="A39" s="211" t="s">
        <v>425</v>
      </c>
      <c r="B39" s="212" t="s">
        <v>157</v>
      </c>
      <c r="C39" s="212" t="s">
        <v>399</v>
      </c>
      <c r="D39" s="212" t="s">
        <v>426</v>
      </c>
      <c r="E39" s="211" t="s">
        <v>245</v>
      </c>
      <c r="F39" s="213" t="s">
        <v>427</v>
      </c>
      <c r="G39" s="213" t="s">
        <v>428</v>
      </c>
      <c r="H39" s="211"/>
      <c r="I39" s="211"/>
      <c r="J39" s="211" t="s">
        <v>406</v>
      </c>
      <c r="K39" s="214">
        <v>46244.0</v>
      </c>
      <c r="L39" s="214">
        <v>46253.0</v>
      </c>
      <c r="M39" s="212" t="s">
        <v>225</v>
      </c>
      <c r="N39" s="212"/>
      <c r="O39" s="211">
        <v>38.0</v>
      </c>
    </row>
    <row r="40" ht="42.0" customHeight="1">
      <c r="A40" s="211" t="s">
        <v>429</v>
      </c>
      <c r="B40" s="212" t="s">
        <v>157</v>
      </c>
      <c r="C40" s="212" t="s">
        <v>399</v>
      </c>
      <c r="D40" s="212" t="s">
        <v>430</v>
      </c>
      <c r="E40" s="211" t="s">
        <v>245</v>
      </c>
      <c r="F40" s="213" t="s">
        <v>431</v>
      </c>
      <c r="G40" s="213" t="s">
        <v>432</v>
      </c>
      <c r="H40" s="211"/>
      <c r="I40" s="211"/>
      <c r="J40" s="211" t="s">
        <v>406</v>
      </c>
      <c r="K40" s="214">
        <v>46251.0</v>
      </c>
      <c r="L40" s="214">
        <v>46255.0</v>
      </c>
      <c r="M40" s="212" t="s">
        <v>266</v>
      </c>
      <c r="N40" s="212"/>
      <c r="O40" s="211">
        <v>39.0</v>
      </c>
    </row>
    <row r="41" ht="42.0" customHeight="1">
      <c r="A41" s="211" t="s">
        <v>433</v>
      </c>
      <c r="B41" s="212" t="s">
        <v>157</v>
      </c>
      <c r="C41" s="212" t="s">
        <v>399</v>
      </c>
      <c r="D41" s="212" t="s">
        <v>434</v>
      </c>
      <c r="E41" s="211" t="s">
        <v>245</v>
      </c>
      <c r="F41" s="213" t="s">
        <v>435</v>
      </c>
      <c r="G41" s="213" t="s">
        <v>436</v>
      </c>
      <c r="H41" s="211"/>
      <c r="I41" s="211"/>
      <c r="J41" s="211" t="s">
        <v>406</v>
      </c>
      <c r="K41" s="214">
        <v>46251.0</v>
      </c>
      <c r="L41" s="214">
        <v>46255.0</v>
      </c>
      <c r="M41" s="212" t="s">
        <v>216</v>
      </c>
      <c r="N41" s="212"/>
      <c r="O41" s="211">
        <v>40.0</v>
      </c>
    </row>
    <row r="42" ht="42.0" customHeight="1">
      <c r="A42" s="211" t="s">
        <v>437</v>
      </c>
      <c r="B42" s="212" t="s">
        <v>157</v>
      </c>
      <c r="C42" s="212" t="s">
        <v>438</v>
      </c>
      <c r="D42" s="212" t="s">
        <v>439</v>
      </c>
      <c r="E42" s="211" t="s">
        <v>245</v>
      </c>
      <c r="F42" s="213" t="s">
        <v>440</v>
      </c>
      <c r="G42" s="213" t="s">
        <v>441</v>
      </c>
      <c r="H42" s="211" t="s">
        <v>143</v>
      </c>
      <c r="I42" s="211"/>
      <c r="J42" s="211" t="s">
        <v>406</v>
      </c>
      <c r="K42" s="214">
        <v>46244.0</v>
      </c>
      <c r="L42" s="214">
        <v>46248.0</v>
      </c>
      <c r="M42" s="212" t="s">
        <v>225</v>
      </c>
      <c r="N42" s="212"/>
      <c r="O42" s="211">
        <v>41.0</v>
      </c>
    </row>
    <row r="43" ht="42.0" customHeight="1">
      <c r="A43" s="211" t="s">
        <v>442</v>
      </c>
      <c r="B43" s="212" t="s">
        <v>157</v>
      </c>
      <c r="C43" s="212" t="s">
        <v>438</v>
      </c>
      <c r="D43" s="212" t="s">
        <v>443</v>
      </c>
      <c r="E43" s="211" t="s">
        <v>245</v>
      </c>
      <c r="F43" s="213" t="s">
        <v>444</v>
      </c>
      <c r="G43" s="213" t="s">
        <v>445</v>
      </c>
      <c r="H43" s="211" t="s">
        <v>143</v>
      </c>
      <c r="I43" s="211"/>
      <c r="J43" s="211" t="s">
        <v>406</v>
      </c>
      <c r="K43" s="214">
        <v>46244.0</v>
      </c>
      <c r="L43" s="214">
        <v>46248.0</v>
      </c>
      <c r="M43" s="212" t="s">
        <v>266</v>
      </c>
      <c r="N43" s="212"/>
      <c r="O43" s="211">
        <v>42.0</v>
      </c>
    </row>
    <row r="44" ht="42.0" customHeight="1">
      <c r="A44" s="211" t="s">
        <v>446</v>
      </c>
      <c r="B44" s="212" t="s">
        <v>157</v>
      </c>
      <c r="C44" s="212" t="s">
        <v>438</v>
      </c>
      <c r="D44" s="212" t="s">
        <v>447</v>
      </c>
      <c r="E44" s="211" t="s">
        <v>245</v>
      </c>
      <c r="F44" s="213" t="s">
        <v>448</v>
      </c>
      <c r="G44" s="213" t="s">
        <v>449</v>
      </c>
      <c r="H44" s="211" t="s">
        <v>143</v>
      </c>
      <c r="I44" s="211"/>
      <c r="J44" s="211" t="s">
        <v>406</v>
      </c>
      <c r="K44" s="214">
        <v>46244.0</v>
      </c>
      <c r="L44" s="214">
        <v>46248.0</v>
      </c>
      <c r="M44" s="212" t="s">
        <v>225</v>
      </c>
      <c r="N44" s="212"/>
      <c r="O44" s="211">
        <v>43.0</v>
      </c>
    </row>
    <row r="45" ht="42.0" customHeight="1">
      <c r="A45" s="211" t="s">
        <v>450</v>
      </c>
      <c r="B45" s="212" t="s">
        <v>157</v>
      </c>
      <c r="C45" s="212" t="s">
        <v>438</v>
      </c>
      <c r="D45" s="212" t="s">
        <v>451</v>
      </c>
      <c r="E45" s="211" t="s">
        <v>245</v>
      </c>
      <c r="F45" s="213" t="s">
        <v>452</v>
      </c>
      <c r="G45" s="213" t="s">
        <v>453</v>
      </c>
      <c r="H45" s="211" t="s">
        <v>143</v>
      </c>
      <c r="I45" s="211"/>
      <c r="J45" s="211" t="s">
        <v>406</v>
      </c>
      <c r="K45" s="214">
        <v>46251.0</v>
      </c>
      <c r="L45" s="214">
        <v>46255.0</v>
      </c>
      <c r="M45" s="212" t="s">
        <v>225</v>
      </c>
      <c r="N45" s="212" t="s">
        <v>454</v>
      </c>
      <c r="O45" s="211">
        <v>44.0</v>
      </c>
    </row>
    <row r="46" ht="42.0" customHeight="1">
      <c r="A46" s="211" t="s">
        <v>455</v>
      </c>
      <c r="B46" s="212" t="s">
        <v>157</v>
      </c>
      <c r="C46" s="212" t="s">
        <v>438</v>
      </c>
      <c r="D46" s="212" t="s">
        <v>456</v>
      </c>
      <c r="E46" s="211" t="s">
        <v>245</v>
      </c>
      <c r="F46" s="213" t="s">
        <v>457</v>
      </c>
      <c r="G46" s="213" t="s">
        <v>458</v>
      </c>
      <c r="H46" s="211" t="s">
        <v>143</v>
      </c>
      <c r="I46" s="211"/>
      <c r="J46" s="211" t="s">
        <v>406</v>
      </c>
      <c r="K46" s="214">
        <v>46251.0</v>
      </c>
      <c r="L46" s="214">
        <v>46255.0</v>
      </c>
      <c r="M46" s="212" t="s">
        <v>266</v>
      </c>
      <c r="N46" s="212"/>
      <c r="O46" s="211">
        <v>45.0</v>
      </c>
    </row>
    <row r="47" ht="42.0" customHeight="1">
      <c r="A47" s="211" t="s">
        <v>459</v>
      </c>
      <c r="B47" s="212" t="s">
        <v>157</v>
      </c>
      <c r="C47" s="212" t="s">
        <v>438</v>
      </c>
      <c r="D47" s="212" t="s">
        <v>460</v>
      </c>
      <c r="E47" s="211" t="s">
        <v>245</v>
      </c>
      <c r="F47" s="213" t="s">
        <v>461</v>
      </c>
      <c r="G47" s="213" t="s">
        <v>462</v>
      </c>
      <c r="H47" s="211" t="s">
        <v>143</v>
      </c>
      <c r="I47" s="211"/>
      <c r="J47" s="211" t="s">
        <v>406</v>
      </c>
      <c r="K47" s="214">
        <v>46251.0</v>
      </c>
      <c r="L47" s="214">
        <v>46255.0</v>
      </c>
      <c r="M47" s="212" t="s">
        <v>266</v>
      </c>
      <c r="N47" s="212"/>
      <c r="O47" s="211">
        <v>46.0</v>
      </c>
    </row>
    <row r="48" ht="42.0" customHeight="1">
      <c r="A48" s="211" t="s">
        <v>463</v>
      </c>
      <c r="B48" s="212" t="s">
        <v>157</v>
      </c>
      <c r="C48" s="212" t="s">
        <v>438</v>
      </c>
      <c r="D48" s="212" t="s">
        <v>464</v>
      </c>
      <c r="E48" s="211" t="s">
        <v>245</v>
      </c>
      <c r="F48" s="213" t="s">
        <v>465</v>
      </c>
      <c r="G48" s="213" t="s">
        <v>436</v>
      </c>
      <c r="H48" s="211" t="s">
        <v>143</v>
      </c>
      <c r="I48" s="211"/>
      <c r="J48" s="211" t="s">
        <v>406</v>
      </c>
      <c r="K48" s="214">
        <v>46251.0</v>
      </c>
      <c r="L48" s="214">
        <v>46255.0</v>
      </c>
      <c r="M48" s="212" t="s">
        <v>216</v>
      </c>
      <c r="N48" s="212"/>
      <c r="O48" s="211">
        <v>47.0</v>
      </c>
    </row>
    <row r="49" ht="42.0" customHeight="1">
      <c r="A49" s="211" t="s">
        <v>466</v>
      </c>
      <c r="B49" s="212" t="s">
        <v>157</v>
      </c>
      <c r="C49" s="212" t="s">
        <v>467</v>
      </c>
      <c r="D49" s="212" t="s">
        <v>468</v>
      </c>
      <c r="E49" s="211" t="s">
        <v>245</v>
      </c>
      <c r="F49" s="213" t="s">
        <v>469</v>
      </c>
      <c r="G49" s="213" t="s">
        <v>470</v>
      </c>
      <c r="H49" s="211"/>
      <c r="I49" s="211"/>
      <c r="J49" s="211" t="s">
        <v>471</v>
      </c>
      <c r="K49" s="214">
        <v>46251.0</v>
      </c>
      <c r="L49" s="214">
        <v>46260.0</v>
      </c>
      <c r="M49" s="212" t="s">
        <v>225</v>
      </c>
      <c r="N49" s="212"/>
      <c r="O49" s="211">
        <v>48.0</v>
      </c>
    </row>
    <row r="50" ht="42.0" customHeight="1">
      <c r="A50" s="211" t="s">
        <v>472</v>
      </c>
      <c r="B50" s="212" t="s">
        <v>157</v>
      </c>
      <c r="C50" s="212" t="s">
        <v>467</v>
      </c>
      <c r="D50" s="212" t="s">
        <v>473</v>
      </c>
      <c r="E50" s="211" t="s">
        <v>245</v>
      </c>
      <c r="F50" s="213" t="s">
        <v>474</v>
      </c>
      <c r="G50" s="213" t="s">
        <v>475</v>
      </c>
      <c r="H50" s="211"/>
      <c r="I50" s="211"/>
      <c r="J50" s="211" t="s">
        <v>471</v>
      </c>
      <c r="K50" s="214">
        <v>46251.0</v>
      </c>
      <c r="L50" s="214">
        <v>46260.0</v>
      </c>
      <c r="M50" s="212" t="s">
        <v>225</v>
      </c>
      <c r="N50" s="212"/>
      <c r="O50" s="211">
        <v>49.0</v>
      </c>
    </row>
    <row r="51" ht="42.0" customHeight="1">
      <c r="A51" s="211" t="s">
        <v>476</v>
      </c>
      <c r="B51" s="212" t="s">
        <v>157</v>
      </c>
      <c r="C51" s="212" t="s">
        <v>467</v>
      </c>
      <c r="D51" s="212" t="s">
        <v>477</v>
      </c>
      <c r="E51" s="211" t="s">
        <v>245</v>
      </c>
      <c r="F51" s="213" t="s">
        <v>478</v>
      </c>
      <c r="G51" s="213" t="s">
        <v>479</v>
      </c>
      <c r="H51" s="211"/>
      <c r="I51" s="211"/>
      <c r="J51" s="211" t="s">
        <v>471</v>
      </c>
      <c r="K51" s="214">
        <v>46251.0</v>
      </c>
      <c r="L51" s="214">
        <v>46260.0</v>
      </c>
      <c r="M51" s="212" t="s">
        <v>266</v>
      </c>
      <c r="N51" s="212"/>
      <c r="O51" s="211">
        <v>50.0</v>
      </c>
    </row>
    <row r="52" ht="42.0" customHeight="1">
      <c r="A52" s="211" t="s">
        <v>480</v>
      </c>
      <c r="B52" s="212" t="s">
        <v>157</v>
      </c>
      <c r="C52" s="212" t="s">
        <v>467</v>
      </c>
      <c r="D52" s="212" t="s">
        <v>481</v>
      </c>
      <c r="E52" s="211" t="s">
        <v>245</v>
      </c>
      <c r="F52" s="213" t="s">
        <v>482</v>
      </c>
      <c r="G52" s="213" t="s">
        <v>483</v>
      </c>
      <c r="H52" s="211"/>
      <c r="I52" s="211"/>
      <c r="J52" s="211" t="s">
        <v>484</v>
      </c>
      <c r="K52" s="214">
        <v>46251.0</v>
      </c>
      <c r="L52" s="214">
        <v>46260.0</v>
      </c>
      <c r="M52" s="212" t="s">
        <v>216</v>
      </c>
      <c r="N52" s="212"/>
      <c r="O52" s="211">
        <v>51.0</v>
      </c>
    </row>
    <row r="53" ht="42.0" customHeight="1">
      <c r="A53" s="211" t="s">
        <v>485</v>
      </c>
      <c r="B53" s="212" t="s">
        <v>157</v>
      </c>
      <c r="C53" s="212" t="s">
        <v>467</v>
      </c>
      <c r="D53" s="212" t="s">
        <v>486</v>
      </c>
      <c r="E53" s="211" t="s">
        <v>245</v>
      </c>
      <c r="F53" s="213" t="s">
        <v>487</v>
      </c>
      <c r="G53" s="213" t="s">
        <v>488</v>
      </c>
      <c r="H53" s="211"/>
      <c r="I53" s="211"/>
      <c r="J53" s="211" t="s">
        <v>484</v>
      </c>
      <c r="K53" s="214">
        <v>46251.0</v>
      </c>
      <c r="L53" s="214">
        <v>46260.0</v>
      </c>
      <c r="M53" s="212" t="s">
        <v>216</v>
      </c>
      <c r="N53" s="212"/>
      <c r="O53" s="211">
        <v>52.0</v>
      </c>
    </row>
    <row r="54" ht="42.0" customHeight="1">
      <c r="A54" s="211" t="s">
        <v>489</v>
      </c>
      <c r="B54" s="212" t="s">
        <v>157</v>
      </c>
      <c r="C54" s="212" t="s">
        <v>467</v>
      </c>
      <c r="D54" s="212" t="s">
        <v>490</v>
      </c>
      <c r="E54" s="211" t="s">
        <v>245</v>
      </c>
      <c r="F54" s="213" t="s">
        <v>491</v>
      </c>
      <c r="G54" s="213" t="s">
        <v>436</v>
      </c>
      <c r="H54" s="211"/>
      <c r="I54" s="211"/>
      <c r="J54" s="211" t="s">
        <v>371</v>
      </c>
      <c r="K54" s="214">
        <v>46258.0</v>
      </c>
      <c r="L54" s="214">
        <v>46262.0</v>
      </c>
      <c r="M54" s="212" t="s">
        <v>216</v>
      </c>
      <c r="N54" s="212"/>
      <c r="O54" s="211">
        <v>53.0</v>
      </c>
    </row>
    <row r="55" ht="42.0" customHeight="1">
      <c r="A55" s="211" t="s">
        <v>492</v>
      </c>
      <c r="B55" s="212" t="s">
        <v>157</v>
      </c>
      <c r="C55" s="212" t="s">
        <v>467</v>
      </c>
      <c r="D55" s="212" t="s">
        <v>493</v>
      </c>
      <c r="E55" s="211" t="s">
        <v>245</v>
      </c>
      <c r="F55" s="213" t="s">
        <v>494</v>
      </c>
      <c r="G55" s="213" t="s">
        <v>436</v>
      </c>
      <c r="H55" s="211"/>
      <c r="I55" s="211"/>
      <c r="J55" s="211" t="s">
        <v>471</v>
      </c>
      <c r="K55" s="214">
        <v>46258.0</v>
      </c>
      <c r="L55" s="214">
        <v>46262.0</v>
      </c>
      <c r="M55" s="212" t="s">
        <v>216</v>
      </c>
      <c r="N55" s="212"/>
      <c r="O55" s="211">
        <v>54.0</v>
      </c>
    </row>
    <row r="56" ht="42.0" customHeight="1">
      <c r="A56" s="211" t="s">
        <v>495</v>
      </c>
      <c r="B56" s="212" t="s">
        <v>157</v>
      </c>
      <c r="C56" s="212" t="s">
        <v>496</v>
      </c>
      <c r="D56" s="212" t="s">
        <v>497</v>
      </c>
      <c r="E56" s="211" t="s">
        <v>245</v>
      </c>
      <c r="F56" s="213" t="s">
        <v>498</v>
      </c>
      <c r="G56" s="213" t="s">
        <v>499</v>
      </c>
      <c r="H56" s="211"/>
      <c r="I56" s="211"/>
      <c r="J56" s="211" t="s">
        <v>484</v>
      </c>
      <c r="K56" s="214">
        <v>46251.0</v>
      </c>
      <c r="L56" s="214">
        <v>46262.0</v>
      </c>
      <c r="M56" s="212" t="s">
        <v>216</v>
      </c>
      <c r="N56" s="212" t="s">
        <v>419</v>
      </c>
      <c r="O56" s="211">
        <v>55.0</v>
      </c>
    </row>
    <row r="57" ht="42.0" customHeight="1">
      <c r="A57" s="211" t="s">
        <v>500</v>
      </c>
      <c r="B57" s="212" t="s">
        <v>157</v>
      </c>
      <c r="C57" s="212" t="s">
        <v>496</v>
      </c>
      <c r="D57" s="212" t="s">
        <v>501</v>
      </c>
      <c r="E57" s="211" t="s">
        <v>245</v>
      </c>
      <c r="F57" s="213" t="s">
        <v>502</v>
      </c>
      <c r="G57" s="213" t="s">
        <v>503</v>
      </c>
      <c r="H57" s="211"/>
      <c r="I57" s="211"/>
      <c r="J57" s="211" t="s">
        <v>484</v>
      </c>
      <c r="K57" s="214">
        <v>46251.0</v>
      </c>
      <c r="L57" s="214">
        <v>46262.0</v>
      </c>
      <c r="M57" s="212" t="s">
        <v>266</v>
      </c>
      <c r="N57" s="212" t="s">
        <v>504</v>
      </c>
      <c r="O57" s="211">
        <v>56.0</v>
      </c>
    </row>
    <row r="58" ht="42.0" customHeight="1">
      <c r="A58" s="211" t="s">
        <v>505</v>
      </c>
      <c r="B58" s="212" t="s">
        <v>157</v>
      </c>
      <c r="C58" s="212" t="s">
        <v>496</v>
      </c>
      <c r="D58" s="212" t="s">
        <v>506</v>
      </c>
      <c r="E58" s="211" t="s">
        <v>245</v>
      </c>
      <c r="F58" s="213" t="s">
        <v>507</v>
      </c>
      <c r="G58" s="213" t="s">
        <v>508</v>
      </c>
      <c r="H58" s="211"/>
      <c r="I58" s="211"/>
      <c r="J58" s="211" t="s">
        <v>484</v>
      </c>
      <c r="K58" s="214">
        <v>46251.0</v>
      </c>
      <c r="L58" s="214">
        <v>46262.0</v>
      </c>
      <c r="M58" s="212" t="s">
        <v>216</v>
      </c>
      <c r="N58" s="212"/>
      <c r="O58" s="211">
        <v>57.0</v>
      </c>
    </row>
    <row r="59" ht="42.0" customHeight="1">
      <c r="A59" s="211" t="s">
        <v>509</v>
      </c>
      <c r="B59" s="212" t="s">
        <v>157</v>
      </c>
      <c r="C59" s="212" t="s">
        <v>510</v>
      </c>
      <c r="D59" s="212" t="s">
        <v>511</v>
      </c>
      <c r="E59" s="211" t="s">
        <v>245</v>
      </c>
      <c r="F59" s="213" t="s">
        <v>512</v>
      </c>
      <c r="G59" s="213" t="s">
        <v>513</v>
      </c>
      <c r="H59" s="211"/>
      <c r="I59" s="211"/>
      <c r="J59" s="211" t="s">
        <v>406</v>
      </c>
      <c r="K59" s="214">
        <v>46251.0</v>
      </c>
      <c r="L59" s="214">
        <v>46255.0</v>
      </c>
      <c r="M59" s="212" t="s">
        <v>225</v>
      </c>
      <c r="N59" s="212" t="s">
        <v>514</v>
      </c>
      <c r="O59" s="211">
        <v>58.0</v>
      </c>
    </row>
    <row r="60" ht="42.0" customHeight="1">
      <c r="A60" s="211" t="s">
        <v>515</v>
      </c>
      <c r="B60" s="212" t="s">
        <v>157</v>
      </c>
      <c r="C60" s="212" t="s">
        <v>510</v>
      </c>
      <c r="D60" s="212" t="s">
        <v>516</v>
      </c>
      <c r="E60" s="211" t="s">
        <v>245</v>
      </c>
      <c r="F60" s="213" t="s">
        <v>517</v>
      </c>
      <c r="G60" s="213" t="s">
        <v>518</v>
      </c>
      <c r="H60" s="211"/>
      <c r="I60" s="211"/>
      <c r="J60" s="211" t="s">
        <v>484</v>
      </c>
      <c r="K60" s="214">
        <v>46251.0</v>
      </c>
      <c r="L60" s="214">
        <v>46255.0</v>
      </c>
      <c r="M60" s="212" t="s">
        <v>216</v>
      </c>
      <c r="N60" s="212" t="s">
        <v>519</v>
      </c>
      <c r="O60" s="211">
        <v>59.0</v>
      </c>
    </row>
    <row r="61" ht="42.0" customHeight="1">
      <c r="A61" s="211" t="s">
        <v>520</v>
      </c>
      <c r="B61" s="212" t="s">
        <v>157</v>
      </c>
      <c r="C61" s="212" t="s">
        <v>510</v>
      </c>
      <c r="D61" s="212" t="s">
        <v>521</v>
      </c>
      <c r="E61" s="211" t="s">
        <v>245</v>
      </c>
      <c r="F61" s="213" t="s">
        <v>522</v>
      </c>
      <c r="G61" s="213" t="s">
        <v>523</v>
      </c>
      <c r="H61" s="211"/>
      <c r="I61" s="211"/>
      <c r="J61" s="211" t="s">
        <v>484</v>
      </c>
      <c r="K61" s="214">
        <v>46251.0</v>
      </c>
      <c r="L61" s="214">
        <v>46255.0</v>
      </c>
      <c r="M61" s="212" t="s">
        <v>225</v>
      </c>
      <c r="N61" s="212"/>
      <c r="O61" s="211">
        <v>60.0</v>
      </c>
    </row>
    <row r="62" ht="42.0" customHeight="1">
      <c r="A62" s="211" t="s">
        <v>524</v>
      </c>
      <c r="B62" s="212" t="s">
        <v>157</v>
      </c>
      <c r="C62" s="212" t="s">
        <v>510</v>
      </c>
      <c r="D62" s="212" t="s">
        <v>525</v>
      </c>
      <c r="E62" s="211" t="s">
        <v>245</v>
      </c>
      <c r="F62" s="213" t="s">
        <v>526</v>
      </c>
      <c r="G62" s="213" t="s">
        <v>527</v>
      </c>
      <c r="H62" s="211"/>
      <c r="I62" s="211"/>
      <c r="J62" s="211" t="s">
        <v>484</v>
      </c>
      <c r="K62" s="214">
        <v>46251.0</v>
      </c>
      <c r="L62" s="214">
        <v>46255.0</v>
      </c>
      <c r="M62" s="212" t="s">
        <v>266</v>
      </c>
      <c r="N62" s="212" t="s">
        <v>528</v>
      </c>
      <c r="O62" s="211">
        <v>61.0</v>
      </c>
    </row>
    <row r="63" ht="42.0" customHeight="1">
      <c r="A63" s="211" t="s">
        <v>529</v>
      </c>
      <c r="B63" s="212" t="s">
        <v>157</v>
      </c>
      <c r="C63" s="212" t="s">
        <v>530</v>
      </c>
      <c r="D63" s="212" t="s">
        <v>531</v>
      </c>
      <c r="E63" s="211" t="s">
        <v>245</v>
      </c>
      <c r="F63" s="213" t="s">
        <v>532</v>
      </c>
      <c r="G63" s="213" t="s">
        <v>533</v>
      </c>
      <c r="H63" s="211"/>
      <c r="I63" s="211"/>
      <c r="J63" s="211" t="s">
        <v>484</v>
      </c>
      <c r="K63" s="214">
        <v>46258.0</v>
      </c>
      <c r="L63" s="214">
        <v>46267.0</v>
      </c>
      <c r="M63" s="212" t="s">
        <v>216</v>
      </c>
      <c r="N63" s="212"/>
      <c r="O63" s="211">
        <v>62.0</v>
      </c>
    </row>
    <row r="64" ht="42.0" customHeight="1">
      <c r="A64" s="211" t="s">
        <v>534</v>
      </c>
      <c r="B64" s="212" t="s">
        <v>157</v>
      </c>
      <c r="C64" s="212" t="s">
        <v>530</v>
      </c>
      <c r="D64" s="212" t="s">
        <v>535</v>
      </c>
      <c r="E64" s="211" t="s">
        <v>245</v>
      </c>
      <c r="F64" s="213" t="s">
        <v>536</v>
      </c>
      <c r="G64" s="213" t="s">
        <v>537</v>
      </c>
      <c r="H64" s="211"/>
      <c r="I64" s="211"/>
      <c r="J64" s="211" t="s">
        <v>484</v>
      </c>
      <c r="K64" s="214">
        <v>46258.0</v>
      </c>
      <c r="L64" s="214">
        <v>46267.0</v>
      </c>
      <c r="M64" s="212" t="s">
        <v>216</v>
      </c>
      <c r="N64" s="212" t="s">
        <v>419</v>
      </c>
      <c r="O64" s="211">
        <v>63.0</v>
      </c>
    </row>
    <row r="65" ht="42.0" customHeight="1">
      <c r="A65" s="211" t="s">
        <v>538</v>
      </c>
      <c r="B65" s="212" t="s">
        <v>157</v>
      </c>
      <c r="C65" s="212" t="s">
        <v>530</v>
      </c>
      <c r="D65" s="212" t="s">
        <v>539</v>
      </c>
      <c r="E65" s="211" t="s">
        <v>245</v>
      </c>
      <c r="F65" s="213" t="s">
        <v>540</v>
      </c>
      <c r="G65" s="213" t="s">
        <v>541</v>
      </c>
      <c r="H65" s="211"/>
      <c r="I65" s="211"/>
      <c r="J65" s="211" t="s">
        <v>484</v>
      </c>
      <c r="K65" s="214">
        <v>46258.0</v>
      </c>
      <c r="L65" s="214">
        <v>46267.0</v>
      </c>
      <c r="M65" s="212" t="s">
        <v>266</v>
      </c>
      <c r="N65" s="212"/>
      <c r="O65" s="211">
        <v>64.0</v>
      </c>
    </row>
    <row r="66" ht="42.0" customHeight="1">
      <c r="A66" s="211" t="s">
        <v>542</v>
      </c>
      <c r="B66" s="212" t="s">
        <v>157</v>
      </c>
      <c r="C66" s="212" t="s">
        <v>530</v>
      </c>
      <c r="D66" s="212" t="s">
        <v>543</v>
      </c>
      <c r="E66" s="211" t="s">
        <v>245</v>
      </c>
      <c r="F66" s="213" t="s">
        <v>544</v>
      </c>
      <c r="G66" s="213" t="s">
        <v>545</v>
      </c>
      <c r="H66" s="211"/>
      <c r="I66" s="211"/>
      <c r="J66" s="211" t="s">
        <v>484</v>
      </c>
      <c r="K66" s="214">
        <v>46258.0</v>
      </c>
      <c r="L66" s="214">
        <v>46267.0</v>
      </c>
      <c r="M66" s="212" t="s">
        <v>266</v>
      </c>
      <c r="N66" s="212"/>
      <c r="O66" s="211">
        <v>65.0</v>
      </c>
    </row>
    <row r="67" ht="42.0" customHeight="1">
      <c r="A67" s="211" t="s">
        <v>546</v>
      </c>
      <c r="B67" s="212" t="s">
        <v>157</v>
      </c>
      <c r="C67" s="212" t="s">
        <v>530</v>
      </c>
      <c r="D67" s="212" t="s">
        <v>547</v>
      </c>
      <c r="E67" s="211" t="s">
        <v>245</v>
      </c>
      <c r="F67" s="213" t="s">
        <v>548</v>
      </c>
      <c r="G67" s="213" t="s">
        <v>549</v>
      </c>
      <c r="H67" s="211"/>
      <c r="I67" s="211"/>
      <c r="J67" s="211" t="s">
        <v>484</v>
      </c>
      <c r="K67" s="214">
        <v>46258.0</v>
      </c>
      <c r="L67" s="214">
        <v>46267.0</v>
      </c>
      <c r="M67" s="212" t="s">
        <v>225</v>
      </c>
      <c r="N67" s="212"/>
      <c r="O67" s="211">
        <v>66.0</v>
      </c>
    </row>
    <row r="68" ht="42.0" customHeight="1">
      <c r="A68" s="211" t="s">
        <v>550</v>
      </c>
      <c r="B68" s="212" t="s">
        <v>157</v>
      </c>
      <c r="C68" s="212" t="s">
        <v>530</v>
      </c>
      <c r="D68" s="212" t="s">
        <v>551</v>
      </c>
      <c r="E68" s="211" t="s">
        <v>245</v>
      </c>
      <c r="F68" s="213" t="s">
        <v>552</v>
      </c>
      <c r="G68" s="213" t="s">
        <v>553</v>
      </c>
      <c r="H68" s="211"/>
      <c r="I68" s="211"/>
      <c r="J68" s="211" t="s">
        <v>484</v>
      </c>
      <c r="K68" s="214">
        <v>46265.0</v>
      </c>
      <c r="L68" s="214">
        <v>46269.0</v>
      </c>
      <c r="M68" s="212" t="s">
        <v>266</v>
      </c>
      <c r="N68" s="212" t="s">
        <v>554</v>
      </c>
      <c r="O68" s="211">
        <v>67.0</v>
      </c>
    </row>
    <row r="69" ht="42.0" customHeight="1">
      <c r="A69" s="211" t="s">
        <v>555</v>
      </c>
      <c r="B69" s="212" t="s">
        <v>157</v>
      </c>
      <c r="C69" s="212" t="s">
        <v>530</v>
      </c>
      <c r="D69" s="212" t="s">
        <v>556</v>
      </c>
      <c r="E69" s="211" t="s">
        <v>245</v>
      </c>
      <c r="F69" s="213" t="s">
        <v>557</v>
      </c>
      <c r="G69" s="213" t="s">
        <v>558</v>
      </c>
      <c r="H69" s="211"/>
      <c r="I69" s="211"/>
      <c r="J69" s="211" t="s">
        <v>484</v>
      </c>
      <c r="K69" s="214">
        <v>46265.0</v>
      </c>
      <c r="L69" s="214">
        <v>46269.0</v>
      </c>
      <c r="M69" s="212" t="s">
        <v>559</v>
      </c>
      <c r="N69" s="212" t="s">
        <v>560</v>
      </c>
      <c r="O69" s="211">
        <v>68.0</v>
      </c>
    </row>
    <row r="70" ht="42.0" customHeight="1">
      <c r="A70" s="211" t="s">
        <v>561</v>
      </c>
      <c r="B70" s="212" t="s">
        <v>157</v>
      </c>
      <c r="C70" s="212" t="s">
        <v>530</v>
      </c>
      <c r="D70" s="212" t="s">
        <v>562</v>
      </c>
      <c r="E70" s="211" t="s">
        <v>199</v>
      </c>
      <c r="F70" s="213" t="s">
        <v>563</v>
      </c>
      <c r="G70" s="213" t="s">
        <v>564</v>
      </c>
      <c r="H70" s="211"/>
      <c r="I70" s="211"/>
      <c r="J70" s="211" t="s">
        <v>565</v>
      </c>
      <c r="K70" s="214"/>
      <c r="L70" s="214"/>
      <c r="M70" s="212" t="s">
        <v>566</v>
      </c>
      <c r="N70" s="212" t="s">
        <v>567</v>
      </c>
      <c r="O70" s="211">
        <v>69.0</v>
      </c>
    </row>
    <row r="71" ht="42.0" customHeight="1">
      <c r="A71" s="211" t="s">
        <v>568</v>
      </c>
      <c r="B71" s="212" t="s">
        <v>157</v>
      </c>
      <c r="C71" s="212" t="s">
        <v>569</v>
      </c>
      <c r="D71" s="212" t="s">
        <v>570</v>
      </c>
      <c r="E71" s="211" t="s">
        <v>245</v>
      </c>
      <c r="F71" s="213" t="s">
        <v>571</v>
      </c>
      <c r="G71" s="213" t="s">
        <v>572</v>
      </c>
      <c r="H71" s="211"/>
      <c r="I71" s="211"/>
      <c r="J71" s="211" t="s">
        <v>484</v>
      </c>
      <c r="K71" s="214">
        <v>46265.0</v>
      </c>
      <c r="L71" s="214">
        <v>46267.0</v>
      </c>
      <c r="M71" s="212" t="s">
        <v>216</v>
      </c>
      <c r="N71" s="212"/>
      <c r="O71" s="211">
        <v>70.0</v>
      </c>
    </row>
    <row r="72" ht="42.0" customHeight="1">
      <c r="A72" s="211" t="s">
        <v>573</v>
      </c>
      <c r="B72" s="212" t="s">
        <v>157</v>
      </c>
      <c r="C72" s="212" t="s">
        <v>569</v>
      </c>
      <c r="D72" s="212" t="s">
        <v>574</v>
      </c>
      <c r="E72" s="211" t="s">
        <v>245</v>
      </c>
      <c r="F72" s="213" t="s">
        <v>575</v>
      </c>
      <c r="G72" s="213" t="s">
        <v>576</v>
      </c>
      <c r="H72" s="211"/>
      <c r="I72" s="211"/>
      <c r="J72" s="211" t="s">
        <v>577</v>
      </c>
      <c r="K72" s="214">
        <v>46268.0</v>
      </c>
      <c r="L72" s="214">
        <v>46275.0</v>
      </c>
      <c r="M72" s="212" t="s">
        <v>225</v>
      </c>
      <c r="N72" s="212" t="s">
        <v>578</v>
      </c>
      <c r="O72" s="211">
        <v>71.0</v>
      </c>
    </row>
    <row r="73" ht="42.0" customHeight="1">
      <c r="A73" s="211" t="s">
        <v>579</v>
      </c>
      <c r="B73" s="212" t="s">
        <v>157</v>
      </c>
      <c r="C73" s="212" t="s">
        <v>569</v>
      </c>
      <c r="D73" s="212" t="s">
        <v>580</v>
      </c>
      <c r="E73" s="211" t="s">
        <v>245</v>
      </c>
      <c r="F73" s="213" t="s">
        <v>581</v>
      </c>
      <c r="G73" s="213" t="s">
        <v>582</v>
      </c>
      <c r="H73" s="211"/>
      <c r="I73" s="211"/>
      <c r="J73" s="211" t="s">
        <v>577</v>
      </c>
      <c r="K73" s="214">
        <v>46268.0</v>
      </c>
      <c r="L73" s="214">
        <v>46275.0</v>
      </c>
      <c r="M73" s="212" t="s">
        <v>225</v>
      </c>
      <c r="N73" s="212" t="s">
        <v>578</v>
      </c>
      <c r="O73" s="211">
        <v>72.0</v>
      </c>
    </row>
    <row r="74" ht="42.0" customHeight="1">
      <c r="A74" s="211" t="s">
        <v>583</v>
      </c>
      <c r="B74" s="212" t="s">
        <v>157</v>
      </c>
      <c r="C74" s="212" t="s">
        <v>569</v>
      </c>
      <c r="D74" s="212" t="s">
        <v>584</v>
      </c>
      <c r="E74" s="211" t="s">
        <v>245</v>
      </c>
      <c r="F74" s="213" t="s">
        <v>585</v>
      </c>
      <c r="G74" s="213" t="s">
        <v>586</v>
      </c>
      <c r="H74" s="211"/>
      <c r="I74" s="211"/>
      <c r="J74" s="211" t="s">
        <v>577</v>
      </c>
      <c r="K74" s="214">
        <v>46268.0</v>
      </c>
      <c r="L74" s="214">
        <v>46275.0</v>
      </c>
      <c r="M74" s="212" t="s">
        <v>225</v>
      </c>
      <c r="N74" s="212" t="s">
        <v>587</v>
      </c>
      <c r="O74" s="211">
        <v>73.0</v>
      </c>
    </row>
    <row r="75" ht="42.0" customHeight="1">
      <c r="A75" s="211" t="s">
        <v>588</v>
      </c>
      <c r="B75" s="212" t="s">
        <v>157</v>
      </c>
      <c r="C75" s="212" t="s">
        <v>569</v>
      </c>
      <c r="D75" s="212" t="s">
        <v>589</v>
      </c>
      <c r="E75" s="211" t="s">
        <v>245</v>
      </c>
      <c r="F75" s="213" t="s">
        <v>590</v>
      </c>
      <c r="G75" s="213" t="s">
        <v>591</v>
      </c>
      <c r="H75" s="211"/>
      <c r="I75" s="211"/>
      <c r="J75" s="211" t="s">
        <v>577</v>
      </c>
      <c r="K75" s="214">
        <v>46268.0</v>
      </c>
      <c r="L75" s="214">
        <v>46275.0</v>
      </c>
      <c r="M75" s="212" t="s">
        <v>225</v>
      </c>
      <c r="N75" s="212" t="s">
        <v>578</v>
      </c>
      <c r="O75" s="211">
        <v>74.0</v>
      </c>
    </row>
    <row r="76" ht="42.0" customHeight="1">
      <c r="A76" s="211" t="s">
        <v>592</v>
      </c>
      <c r="B76" s="212" t="s">
        <v>157</v>
      </c>
      <c r="C76" s="212" t="s">
        <v>569</v>
      </c>
      <c r="D76" s="212" t="s">
        <v>593</v>
      </c>
      <c r="E76" s="211" t="s">
        <v>245</v>
      </c>
      <c r="F76" s="213" t="s">
        <v>594</v>
      </c>
      <c r="G76" s="213" t="s">
        <v>595</v>
      </c>
      <c r="H76" s="211"/>
      <c r="I76" s="211"/>
      <c r="J76" s="211" t="s">
        <v>577</v>
      </c>
      <c r="K76" s="214">
        <v>46275.0</v>
      </c>
      <c r="L76" s="214">
        <v>46276.0</v>
      </c>
      <c r="M76" s="212" t="s">
        <v>216</v>
      </c>
      <c r="N76" s="212" t="s">
        <v>596</v>
      </c>
      <c r="O76" s="211">
        <v>75.0</v>
      </c>
    </row>
    <row r="77" ht="42.0" customHeight="1">
      <c r="A77" s="211" t="s">
        <v>597</v>
      </c>
      <c r="B77" s="212" t="s">
        <v>157</v>
      </c>
      <c r="C77" s="212" t="s">
        <v>334</v>
      </c>
      <c r="D77" s="212" t="s">
        <v>598</v>
      </c>
      <c r="E77" s="211" t="s">
        <v>245</v>
      </c>
      <c r="F77" s="213" t="s">
        <v>599</v>
      </c>
      <c r="G77" s="213" t="s">
        <v>600</v>
      </c>
      <c r="H77" s="211"/>
      <c r="I77" s="211"/>
      <c r="J77" s="211" t="s">
        <v>601</v>
      </c>
      <c r="K77" s="214">
        <v>46272.0</v>
      </c>
      <c r="L77" s="214">
        <v>46273.0</v>
      </c>
      <c r="M77" s="212" t="s">
        <v>559</v>
      </c>
      <c r="N77" s="212"/>
      <c r="O77" s="211">
        <v>76.0</v>
      </c>
    </row>
    <row r="78" ht="42.0" customHeight="1">
      <c r="A78" s="211" t="s">
        <v>602</v>
      </c>
      <c r="B78" s="212" t="s">
        <v>157</v>
      </c>
      <c r="C78" s="212" t="s">
        <v>334</v>
      </c>
      <c r="D78" s="212" t="s">
        <v>603</v>
      </c>
      <c r="E78" s="211" t="s">
        <v>245</v>
      </c>
      <c r="F78" s="213" t="s">
        <v>604</v>
      </c>
      <c r="G78" s="213" t="s">
        <v>605</v>
      </c>
      <c r="H78" s="211"/>
      <c r="I78" s="211"/>
      <c r="J78" s="211" t="s">
        <v>601</v>
      </c>
      <c r="K78" s="214">
        <v>46274.0</v>
      </c>
      <c r="L78" s="214">
        <v>46280.0</v>
      </c>
      <c r="M78" s="212" t="s">
        <v>225</v>
      </c>
      <c r="N78" s="212" t="s">
        <v>578</v>
      </c>
      <c r="O78" s="211">
        <v>77.0</v>
      </c>
    </row>
    <row r="79" ht="42.0" customHeight="1">
      <c r="A79" s="211" t="s">
        <v>606</v>
      </c>
      <c r="B79" s="212" t="s">
        <v>157</v>
      </c>
      <c r="C79" s="212" t="s">
        <v>334</v>
      </c>
      <c r="D79" s="212" t="s">
        <v>607</v>
      </c>
      <c r="E79" s="211" t="s">
        <v>245</v>
      </c>
      <c r="F79" s="213" t="s">
        <v>608</v>
      </c>
      <c r="G79" s="213" t="s">
        <v>609</v>
      </c>
      <c r="H79" s="211"/>
      <c r="I79" s="211"/>
      <c r="J79" s="211" t="s">
        <v>601</v>
      </c>
      <c r="K79" s="214">
        <v>46274.0</v>
      </c>
      <c r="L79" s="214">
        <v>46280.0</v>
      </c>
      <c r="M79" s="212" t="s">
        <v>266</v>
      </c>
      <c r="N79" s="212"/>
      <c r="O79" s="211">
        <v>78.0</v>
      </c>
    </row>
    <row r="80" ht="42.0" customHeight="1">
      <c r="A80" s="211" t="s">
        <v>610</v>
      </c>
      <c r="B80" s="212" t="s">
        <v>157</v>
      </c>
      <c r="C80" s="212" t="s">
        <v>334</v>
      </c>
      <c r="D80" s="212" t="s">
        <v>611</v>
      </c>
      <c r="E80" s="211" t="s">
        <v>245</v>
      </c>
      <c r="F80" s="213" t="s">
        <v>612</v>
      </c>
      <c r="G80" s="213" t="s">
        <v>613</v>
      </c>
      <c r="H80" s="211"/>
      <c r="I80" s="211"/>
      <c r="J80" s="211" t="s">
        <v>601</v>
      </c>
      <c r="K80" s="214">
        <v>46274.0</v>
      </c>
      <c r="L80" s="214">
        <v>46280.0</v>
      </c>
      <c r="M80" s="212" t="s">
        <v>225</v>
      </c>
      <c r="N80" s="212"/>
      <c r="O80" s="211">
        <v>79.0</v>
      </c>
    </row>
    <row r="81" ht="42.0" customHeight="1">
      <c r="A81" s="211" t="s">
        <v>614</v>
      </c>
      <c r="B81" s="212" t="s">
        <v>157</v>
      </c>
      <c r="C81" s="212" t="s">
        <v>334</v>
      </c>
      <c r="D81" s="212" t="s">
        <v>615</v>
      </c>
      <c r="E81" s="211" t="s">
        <v>245</v>
      </c>
      <c r="F81" s="213" t="s">
        <v>616</v>
      </c>
      <c r="G81" s="213" t="s">
        <v>617</v>
      </c>
      <c r="H81" s="211"/>
      <c r="I81" s="211"/>
      <c r="J81" s="211" t="s">
        <v>601</v>
      </c>
      <c r="K81" s="214">
        <v>46274.0</v>
      </c>
      <c r="L81" s="214">
        <v>46280.0</v>
      </c>
      <c r="M81" s="212" t="s">
        <v>266</v>
      </c>
      <c r="N81" s="212"/>
      <c r="O81" s="211">
        <v>80.0</v>
      </c>
    </row>
    <row r="82" ht="42.0" customHeight="1">
      <c r="A82" s="211" t="s">
        <v>618</v>
      </c>
      <c r="B82" s="212" t="s">
        <v>157</v>
      </c>
      <c r="C82" s="212" t="s">
        <v>334</v>
      </c>
      <c r="D82" s="212" t="s">
        <v>619</v>
      </c>
      <c r="E82" s="211" t="s">
        <v>245</v>
      </c>
      <c r="F82" s="213" t="s">
        <v>620</v>
      </c>
      <c r="G82" s="213" t="s">
        <v>621</v>
      </c>
      <c r="H82" s="211"/>
      <c r="I82" s="211"/>
      <c r="J82" s="211" t="s">
        <v>601</v>
      </c>
      <c r="K82" s="214">
        <v>46280.0</v>
      </c>
      <c r="L82" s="214">
        <v>46281.0</v>
      </c>
      <c r="M82" s="212" t="s">
        <v>216</v>
      </c>
      <c r="N82" s="212" t="s">
        <v>622</v>
      </c>
      <c r="O82" s="211">
        <v>81.0</v>
      </c>
    </row>
    <row r="83" ht="42.0" customHeight="1">
      <c r="A83" s="211" t="s">
        <v>623</v>
      </c>
      <c r="B83" s="212" t="s">
        <v>157</v>
      </c>
      <c r="C83" s="212" t="s">
        <v>624</v>
      </c>
      <c r="D83" s="212" t="s">
        <v>625</v>
      </c>
      <c r="E83" s="211" t="s">
        <v>245</v>
      </c>
      <c r="F83" s="213" t="s">
        <v>626</v>
      </c>
      <c r="G83" s="213" t="s">
        <v>627</v>
      </c>
      <c r="H83" s="211"/>
      <c r="I83" s="211"/>
      <c r="J83" s="211" t="s">
        <v>628</v>
      </c>
      <c r="K83" s="214">
        <v>46265.0</v>
      </c>
      <c r="L83" s="214">
        <v>46275.0</v>
      </c>
      <c r="M83" s="212" t="s">
        <v>225</v>
      </c>
      <c r="N83" s="212"/>
      <c r="O83" s="211">
        <v>82.0</v>
      </c>
    </row>
    <row r="84" ht="42.0" customHeight="1">
      <c r="A84" s="211" t="s">
        <v>629</v>
      </c>
      <c r="B84" s="212" t="s">
        <v>157</v>
      </c>
      <c r="C84" s="212" t="s">
        <v>624</v>
      </c>
      <c r="D84" s="212" t="s">
        <v>630</v>
      </c>
      <c r="E84" s="211" t="s">
        <v>245</v>
      </c>
      <c r="F84" s="213" t="s">
        <v>631</v>
      </c>
      <c r="G84" s="213" t="s">
        <v>632</v>
      </c>
      <c r="H84" s="211"/>
      <c r="I84" s="211"/>
      <c r="J84" s="211" t="s">
        <v>628</v>
      </c>
      <c r="K84" s="214">
        <v>46265.0</v>
      </c>
      <c r="L84" s="214">
        <v>46275.0</v>
      </c>
      <c r="M84" s="212" t="s">
        <v>225</v>
      </c>
      <c r="N84" s="212"/>
      <c r="O84" s="211">
        <v>83.0</v>
      </c>
    </row>
    <row r="85" ht="42.0" customHeight="1">
      <c r="A85" s="211" t="s">
        <v>633</v>
      </c>
      <c r="B85" s="212" t="s">
        <v>157</v>
      </c>
      <c r="C85" s="212" t="s">
        <v>624</v>
      </c>
      <c r="D85" s="212" t="s">
        <v>634</v>
      </c>
      <c r="E85" s="211" t="s">
        <v>245</v>
      </c>
      <c r="F85" s="213" t="s">
        <v>635</v>
      </c>
      <c r="G85" s="213" t="s">
        <v>636</v>
      </c>
      <c r="H85" s="211"/>
      <c r="I85" s="211"/>
      <c r="J85" s="211" t="s">
        <v>628</v>
      </c>
      <c r="K85" s="214">
        <v>46265.0</v>
      </c>
      <c r="L85" s="214">
        <v>46275.0</v>
      </c>
      <c r="M85" s="212" t="s">
        <v>266</v>
      </c>
      <c r="N85" s="212"/>
      <c r="O85" s="211">
        <v>84.0</v>
      </c>
    </row>
    <row r="86" ht="42.0" customHeight="1">
      <c r="A86" s="211" t="s">
        <v>637</v>
      </c>
      <c r="B86" s="212" t="s">
        <v>157</v>
      </c>
      <c r="C86" s="212" t="s">
        <v>624</v>
      </c>
      <c r="D86" s="212" t="s">
        <v>638</v>
      </c>
      <c r="E86" s="211" t="s">
        <v>245</v>
      </c>
      <c r="F86" s="213" t="s">
        <v>639</v>
      </c>
      <c r="G86" s="213" t="s">
        <v>640</v>
      </c>
      <c r="H86" s="211" t="s">
        <v>143</v>
      </c>
      <c r="I86" s="211"/>
      <c r="J86" s="211" t="s">
        <v>628</v>
      </c>
      <c r="K86" s="214">
        <v>46265.0</v>
      </c>
      <c r="L86" s="214">
        <v>46275.0</v>
      </c>
      <c r="M86" s="212" t="s">
        <v>225</v>
      </c>
      <c r="N86" s="212"/>
      <c r="O86" s="211">
        <v>85.0</v>
      </c>
    </row>
    <row r="87" ht="42.0" customHeight="1">
      <c r="A87" s="211" t="s">
        <v>641</v>
      </c>
      <c r="B87" s="212" t="s">
        <v>157</v>
      </c>
      <c r="C87" s="212" t="s">
        <v>624</v>
      </c>
      <c r="D87" s="212" t="s">
        <v>642</v>
      </c>
      <c r="E87" s="211" t="s">
        <v>245</v>
      </c>
      <c r="F87" s="213" t="s">
        <v>643</v>
      </c>
      <c r="G87" s="213" t="s">
        <v>644</v>
      </c>
      <c r="H87" s="211" t="s">
        <v>143</v>
      </c>
      <c r="I87" s="211"/>
      <c r="J87" s="211" t="s">
        <v>628</v>
      </c>
      <c r="K87" s="214">
        <v>46265.0</v>
      </c>
      <c r="L87" s="214">
        <v>46275.0</v>
      </c>
      <c r="M87" s="212" t="s">
        <v>266</v>
      </c>
      <c r="N87" s="212"/>
      <c r="O87" s="211">
        <v>86.0</v>
      </c>
    </row>
    <row r="88" ht="42.0" customHeight="1">
      <c r="A88" s="211" t="s">
        <v>645</v>
      </c>
      <c r="B88" s="212" t="s">
        <v>157</v>
      </c>
      <c r="C88" s="212" t="s">
        <v>624</v>
      </c>
      <c r="D88" s="212" t="s">
        <v>646</v>
      </c>
      <c r="E88" s="211" t="s">
        <v>245</v>
      </c>
      <c r="F88" s="213" t="s">
        <v>647</v>
      </c>
      <c r="G88" s="213" t="s">
        <v>648</v>
      </c>
      <c r="H88" s="211" t="s">
        <v>143</v>
      </c>
      <c r="I88" s="211"/>
      <c r="J88" s="211" t="s">
        <v>628</v>
      </c>
      <c r="K88" s="214">
        <v>46275.0</v>
      </c>
      <c r="L88" s="214">
        <v>46276.0</v>
      </c>
      <c r="M88" s="212" t="s">
        <v>225</v>
      </c>
      <c r="N88" s="212"/>
      <c r="O88" s="211">
        <v>87.0</v>
      </c>
    </row>
    <row r="89" ht="42.0" customHeight="1">
      <c r="A89" s="211" t="s">
        <v>649</v>
      </c>
      <c r="B89" s="212" t="s">
        <v>157</v>
      </c>
      <c r="C89" s="212" t="s">
        <v>650</v>
      </c>
      <c r="D89" s="212" t="s">
        <v>651</v>
      </c>
      <c r="E89" s="211" t="s">
        <v>245</v>
      </c>
      <c r="F89" s="213" t="s">
        <v>652</v>
      </c>
      <c r="G89" s="213" t="s">
        <v>653</v>
      </c>
      <c r="H89" s="211"/>
      <c r="I89" s="211"/>
      <c r="J89" s="211" t="s">
        <v>654</v>
      </c>
      <c r="K89" s="214">
        <v>46272.0</v>
      </c>
      <c r="L89" s="214">
        <v>46280.0</v>
      </c>
      <c r="M89" s="212" t="s">
        <v>266</v>
      </c>
      <c r="N89" s="212" t="s">
        <v>655</v>
      </c>
      <c r="O89" s="211">
        <v>88.0</v>
      </c>
    </row>
    <row r="90" ht="42.0" customHeight="1">
      <c r="A90" s="211" t="s">
        <v>656</v>
      </c>
      <c r="B90" s="212" t="s">
        <v>157</v>
      </c>
      <c r="C90" s="212" t="s">
        <v>650</v>
      </c>
      <c r="D90" s="212" t="s">
        <v>657</v>
      </c>
      <c r="E90" s="211" t="s">
        <v>245</v>
      </c>
      <c r="F90" s="213" t="s">
        <v>658</v>
      </c>
      <c r="G90" s="213" t="s">
        <v>659</v>
      </c>
      <c r="H90" s="211"/>
      <c r="I90" s="211"/>
      <c r="J90" s="211" t="s">
        <v>654</v>
      </c>
      <c r="K90" s="214">
        <v>46272.0</v>
      </c>
      <c r="L90" s="214">
        <v>46280.0</v>
      </c>
      <c r="M90" s="212" t="s">
        <v>266</v>
      </c>
      <c r="N90" s="212"/>
      <c r="O90" s="211">
        <v>89.0</v>
      </c>
    </row>
    <row r="91" ht="42.0" customHeight="1">
      <c r="A91" s="211" t="s">
        <v>660</v>
      </c>
      <c r="B91" s="212" t="s">
        <v>157</v>
      </c>
      <c r="C91" s="212" t="s">
        <v>650</v>
      </c>
      <c r="D91" s="212" t="s">
        <v>661</v>
      </c>
      <c r="E91" s="211" t="s">
        <v>245</v>
      </c>
      <c r="F91" s="213" t="s">
        <v>662</v>
      </c>
      <c r="G91" s="213" t="s">
        <v>663</v>
      </c>
      <c r="H91" s="211"/>
      <c r="I91" s="211"/>
      <c r="J91" s="211" t="s">
        <v>654</v>
      </c>
      <c r="K91" s="214">
        <v>46272.0</v>
      </c>
      <c r="L91" s="214">
        <v>46280.0</v>
      </c>
      <c r="M91" s="212" t="s">
        <v>225</v>
      </c>
      <c r="N91" s="212"/>
      <c r="O91" s="211">
        <v>90.0</v>
      </c>
    </row>
    <row r="92" ht="42.0" customHeight="1">
      <c r="A92" s="211" t="s">
        <v>664</v>
      </c>
      <c r="B92" s="212" t="s">
        <v>157</v>
      </c>
      <c r="C92" s="212" t="s">
        <v>650</v>
      </c>
      <c r="D92" s="212" t="s">
        <v>665</v>
      </c>
      <c r="E92" s="211" t="s">
        <v>245</v>
      </c>
      <c r="F92" s="213" t="s">
        <v>666</v>
      </c>
      <c r="G92" s="213" t="s">
        <v>667</v>
      </c>
      <c r="H92" s="211"/>
      <c r="I92" s="211"/>
      <c r="J92" s="211" t="s">
        <v>654</v>
      </c>
      <c r="K92" s="214">
        <v>46272.0</v>
      </c>
      <c r="L92" s="214">
        <v>46280.0</v>
      </c>
      <c r="M92" s="212" t="s">
        <v>266</v>
      </c>
      <c r="N92" s="212"/>
      <c r="O92" s="211">
        <v>91.0</v>
      </c>
    </row>
    <row r="93" ht="42.0" customHeight="1">
      <c r="A93" s="211" t="s">
        <v>668</v>
      </c>
      <c r="B93" s="212" t="s">
        <v>157</v>
      </c>
      <c r="C93" s="212" t="s">
        <v>650</v>
      </c>
      <c r="D93" s="212" t="s">
        <v>669</v>
      </c>
      <c r="E93" s="211" t="s">
        <v>245</v>
      </c>
      <c r="F93" s="213" t="s">
        <v>670</v>
      </c>
      <c r="G93" s="213" t="s">
        <v>671</v>
      </c>
      <c r="H93" s="211"/>
      <c r="I93" s="211"/>
      <c r="J93" s="211" t="s">
        <v>654</v>
      </c>
      <c r="K93" s="214">
        <v>46272.0</v>
      </c>
      <c r="L93" s="214">
        <v>46280.0</v>
      </c>
      <c r="M93" s="212" t="s">
        <v>266</v>
      </c>
      <c r="N93" s="212"/>
      <c r="O93" s="211">
        <v>92.0</v>
      </c>
    </row>
    <row r="94" ht="42.0" customHeight="1">
      <c r="A94" s="211" t="s">
        <v>672</v>
      </c>
      <c r="B94" s="212" t="s">
        <v>157</v>
      </c>
      <c r="C94" s="212" t="s">
        <v>650</v>
      </c>
      <c r="D94" s="212" t="s">
        <v>673</v>
      </c>
      <c r="E94" s="211" t="s">
        <v>245</v>
      </c>
      <c r="F94" s="213" t="s">
        <v>674</v>
      </c>
      <c r="G94" s="213" t="s">
        <v>675</v>
      </c>
      <c r="H94" s="211"/>
      <c r="I94" s="211"/>
      <c r="J94" s="211" t="s">
        <v>654</v>
      </c>
      <c r="K94" s="214">
        <v>46280.0</v>
      </c>
      <c r="L94" s="214">
        <v>46281.0</v>
      </c>
      <c r="M94" s="212" t="s">
        <v>266</v>
      </c>
      <c r="N94" s="212" t="s">
        <v>676</v>
      </c>
      <c r="O94" s="211">
        <v>93.0</v>
      </c>
    </row>
    <row r="95" ht="42.0" customHeight="1">
      <c r="A95" s="211" t="s">
        <v>677</v>
      </c>
      <c r="B95" s="212" t="s">
        <v>157</v>
      </c>
      <c r="C95" s="212" t="s">
        <v>678</v>
      </c>
      <c r="D95" s="212" t="s">
        <v>679</v>
      </c>
      <c r="E95" s="211" t="s">
        <v>199</v>
      </c>
      <c r="F95" s="213" t="s">
        <v>680</v>
      </c>
      <c r="G95" s="213" t="s">
        <v>681</v>
      </c>
      <c r="H95" s="211"/>
      <c r="I95" s="211"/>
      <c r="J95" s="211" t="s">
        <v>682</v>
      </c>
      <c r="K95" s="214"/>
      <c r="L95" s="214"/>
      <c r="M95" s="212" t="s">
        <v>566</v>
      </c>
      <c r="N95" s="212" t="s">
        <v>683</v>
      </c>
      <c r="O95" s="211">
        <v>94.0</v>
      </c>
    </row>
    <row r="96" ht="42.0" customHeight="1">
      <c r="A96" s="211" t="s">
        <v>684</v>
      </c>
      <c r="B96" s="212" t="s">
        <v>157</v>
      </c>
      <c r="C96" s="212" t="s">
        <v>678</v>
      </c>
      <c r="D96" s="212" t="s">
        <v>685</v>
      </c>
      <c r="E96" s="211" t="s">
        <v>199</v>
      </c>
      <c r="F96" s="213" t="s">
        <v>686</v>
      </c>
      <c r="G96" s="213" t="s">
        <v>687</v>
      </c>
      <c r="H96" s="211"/>
      <c r="I96" s="211"/>
      <c r="J96" s="211" t="s">
        <v>682</v>
      </c>
      <c r="K96" s="214"/>
      <c r="L96" s="214"/>
      <c r="M96" s="212" t="s">
        <v>566</v>
      </c>
      <c r="N96" s="212" t="s">
        <v>683</v>
      </c>
      <c r="O96" s="211">
        <v>95.0</v>
      </c>
    </row>
    <row r="97" ht="42.0" customHeight="1">
      <c r="A97" s="211" t="s">
        <v>688</v>
      </c>
      <c r="B97" s="212" t="s">
        <v>157</v>
      </c>
      <c r="C97" s="212" t="s">
        <v>678</v>
      </c>
      <c r="D97" s="212" t="s">
        <v>689</v>
      </c>
      <c r="E97" s="211" t="s">
        <v>199</v>
      </c>
      <c r="F97" s="213" t="s">
        <v>690</v>
      </c>
      <c r="G97" s="213" t="s">
        <v>691</v>
      </c>
      <c r="H97" s="211"/>
      <c r="I97" s="211"/>
      <c r="J97" s="211" t="s">
        <v>682</v>
      </c>
      <c r="K97" s="214"/>
      <c r="L97" s="214"/>
      <c r="M97" s="212" t="s">
        <v>566</v>
      </c>
      <c r="N97" s="212" t="s">
        <v>683</v>
      </c>
      <c r="O97" s="211">
        <v>96.0</v>
      </c>
    </row>
    <row r="98" ht="42.0" customHeight="1">
      <c r="A98" s="211" t="s">
        <v>692</v>
      </c>
      <c r="B98" s="212" t="s">
        <v>157</v>
      </c>
      <c r="C98" s="212" t="s">
        <v>678</v>
      </c>
      <c r="D98" s="212" t="s">
        <v>693</v>
      </c>
      <c r="E98" s="211" t="s">
        <v>199</v>
      </c>
      <c r="F98" s="213" t="s">
        <v>694</v>
      </c>
      <c r="G98" s="213" t="s">
        <v>695</v>
      </c>
      <c r="H98" s="211"/>
      <c r="I98" s="211"/>
      <c r="J98" s="211" t="s">
        <v>682</v>
      </c>
      <c r="K98" s="214"/>
      <c r="L98" s="214"/>
      <c r="M98" s="212" t="s">
        <v>566</v>
      </c>
      <c r="N98" s="212" t="s">
        <v>683</v>
      </c>
      <c r="O98" s="211">
        <v>97.0</v>
      </c>
    </row>
    <row r="99" ht="42.0" customHeight="1">
      <c r="A99" s="211" t="s">
        <v>696</v>
      </c>
      <c r="B99" s="212" t="s">
        <v>157</v>
      </c>
      <c r="C99" s="212" t="s">
        <v>678</v>
      </c>
      <c r="D99" s="212" t="s">
        <v>697</v>
      </c>
      <c r="E99" s="211" t="s">
        <v>199</v>
      </c>
      <c r="F99" s="213" t="s">
        <v>698</v>
      </c>
      <c r="G99" s="213" t="s">
        <v>699</v>
      </c>
      <c r="H99" s="211"/>
      <c r="I99" s="211"/>
      <c r="J99" s="211" t="s">
        <v>682</v>
      </c>
      <c r="K99" s="214"/>
      <c r="L99" s="214"/>
      <c r="M99" s="212" t="s">
        <v>566</v>
      </c>
      <c r="N99" s="212" t="s">
        <v>683</v>
      </c>
      <c r="O99" s="211">
        <v>98.0</v>
      </c>
    </row>
    <row r="100" ht="42.0" customHeight="1">
      <c r="A100" s="211" t="s">
        <v>700</v>
      </c>
      <c r="B100" s="212" t="s">
        <v>157</v>
      </c>
      <c r="C100" s="212" t="s">
        <v>678</v>
      </c>
      <c r="D100" s="212" t="s">
        <v>701</v>
      </c>
      <c r="E100" s="211" t="s">
        <v>199</v>
      </c>
      <c r="F100" s="213" t="s">
        <v>702</v>
      </c>
      <c r="G100" s="213" t="s">
        <v>703</v>
      </c>
      <c r="H100" s="211"/>
      <c r="I100" s="211"/>
      <c r="J100" s="211" t="s">
        <v>682</v>
      </c>
      <c r="K100" s="214"/>
      <c r="L100" s="214"/>
      <c r="M100" s="212" t="s">
        <v>566</v>
      </c>
      <c r="N100" s="212" t="s">
        <v>683</v>
      </c>
      <c r="O100" s="211">
        <v>99.0</v>
      </c>
    </row>
    <row r="101" ht="42.0" customHeight="1">
      <c r="A101" s="211" t="s">
        <v>704</v>
      </c>
      <c r="B101" s="212" t="s">
        <v>157</v>
      </c>
      <c r="C101" s="212" t="s">
        <v>678</v>
      </c>
      <c r="D101" s="212" t="s">
        <v>705</v>
      </c>
      <c r="E101" s="211" t="s">
        <v>199</v>
      </c>
      <c r="F101" s="213" t="s">
        <v>706</v>
      </c>
      <c r="G101" s="213" t="s">
        <v>707</v>
      </c>
      <c r="H101" s="211"/>
      <c r="I101" s="211"/>
      <c r="J101" s="211" t="s">
        <v>682</v>
      </c>
      <c r="K101" s="214"/>
      <c r="L101" s="214"/>
      <c r="M101" s="212" t="s">
        <v>566</v>
      </c>
      <c r="N101" s="212" t="s">
        <v>683</v>
      </c>
      <c r="O101" s="211">
        <v>100.0</v>
      </c>
    </row>
    <row r="102" ht="42.0" customHeight="1">
      <c r="A102" s="211" t="s">
        <v>708</v>
      </c>
      <c r="B102" s="212" t="s">
        <v>157</v>
      </c>
      <c r="C102" s="212" t="s">
        <v>678</v>
      </c>
      <c r="D102" s="212" t="s">
        <v>709</v>
      </c>
      <c r="E102" s="211" t="s">
        <v>199</v>
      </c>
      <c r="F102" s="213" t="s">
        <v>710</v>
      </c>
      <c r="G102" s="213" t="s">
        <v>711</v>
      </c>
      <c r="H102" s="211"/>
      <c r="I102" s="211"/>
      <c r="J102" s="211" t="s">
        <v>682</v>
      </c>
      <c r="K102" s="214"/>
      <c r="L102" s="214"/>
      <c r="M102" s="212" t="s">
        <v>566</v>
      </c>
      <c r="N102" s="212" t="s">
        <v>683</v>
      </c>
      <c r="O102" s="211">
        <v>101.0</v>
      </c>
    </row>
    <row r="103" ht="42.0" customHeight="1">
      <c r="A103" s="211" t="s">
        <v>712</v>
      </c>
      <c r="B103" s="212" t="s">
        <v>157</v>
      </c>
      <c r="C103" s="212" t="s">
        <v>713</v>
      </c>
      <c r="D103" s="212" t="s">
        <v>714</v>
      </c>
      <c r="E103" s="211" t="s">
        <v>202</v>
      </c>
      <c r="F103" s="213" t="s">
        <v>715</v>
      </c>
      <c r="G103" s="213" t="s">
        <v>716</v>
      </c>
      <c r="H103" s="211"/>
      <c r="I103" s="211"/>
      <c r="J103" s="211" t="s">
        <v>242</v>
      </c>
      <c r="K103" s="214">
        <v>46283.0</v>
      </c>
      <c r="L103" s="214">
        <v>46283.0</v>
      </c>
      <c r="M103" s="212" t="s">
        <v>237</v>
      </c>
      <c r="N103" s="212" t="s">
        <v>717</v>
      </c>
      <c r="O103" s="211">
        <v>102.0</v>
      </c>
    </row>
    <row r="104" ht="42.0" customHeight="1">
      <c r="A104" s="211" t="s">
        <v>718</v>
      </c>
      <c r="B104" s="212" t="s">
        <v>157</v>
      </c>
      <c r="C104" s="212" t="s">
        <v>350</v>
      </c>
      <c r="D104" s="212" t="s">
        <v>719</v>
      </c>
      <c r="E104" s="211" t="s">
        <v>199</v>
      </c>
      <c r="F104" s="213" t="s">
        <v>720</v>
      </c>
      <c r="G104" s="213" t="s">
        <v>721</v>
      </c>
      <c r="H104" s="211"/>
      <c r="I104" s="211"/>
      <c r="J104" s="211" t="s">
        <v>722</v>
      </c>
      <c r="K104" s="214"/>
      <c r="L104" s="214"/>
      <c r="M104" s="212" t="s">
        <v>266</v>
      </c>
      <c r="N104" s="212" t="s">
        <v>723</v>
      </c>
      <c r="O104" s="211">
        <v>103.0</v>
      </c>
    </row>
    <row r="105" ht="42.0" customHeight="1">
      <c r="A105" s="211" t="s">
        <v>724</v>
      </c>
      <c r="B105" s="212" t="s">
        <v>157</v>
      </c>
      <c r="C105" s="212" t="s">
        <v>350</v>
      </c>
      <c r="D105" s="212" t="s">
        <v>725</v>
      </c>
      <c r="E105" s="211" t="s">
        <v>199</v>
      </c>
      <c r="F105" s="213" t="s">
        <v>726</v>
      </c>
      <c r="G105" s="213" t="s">
        <v>727</v>
      </c>
      <c r="H105" s="211"/>
      <c r="I105" s="211"/>
      <c r="J105" s="211" t="s">
        <v>722</v>
      </c>
      <c r="K105" s="214"/>
      <c r="L105" s="214"/>
      <c r="M105" s="212" t="s">
        <v>266</v>
      </c>
      <c r="N105" s="212" t="s">
        <v>723</v>
      </c>
      <c r="O105" s="211">
        <v>104.0</v>
      </c>
    </row>
    <row r="106" ht="42.0" customHeight="1">
      <c r="A106" s="211" t="s">
        <v>728</v>
      </c>
      <c r="B106" s="212" t="s">
        <v>157</v>
      </c>
      <c r="C106" s="212" t="s">
        <v>350</v>
      </c>
      <c r="D106" s="212" t="s">
        <v>729</v>
      </c>
      <c r="E106" s="211" t="s">
        <v>199</v>
      </c>
      <c r="F106" s="213" t="s">
        <v>730</v>
      </c>
      <c r="G106" s="213" t="s">
        <v>731</v>
      </c>
      <c r="H106" s="211"/>
      <c r="I106" s="211"/>
      <c r="J106" s="211" t="s">
        <v>722</v>
      </c>
      <c r="K106" s="214"/>
      <c r="L106" s="214"/>
      <c r="M106" s="212" t="s">
        <v>266</v>
      </c>
      <c r="N106" s="212" t="s">
        <v>732</v>
      </c>
      <c r="O106" s="211">
        <v>105.0</v>
      </c>
    </row>
    <row r="107" ht="42.0" customHeight="1">
      <c r="A107" s="211" t="s">
        <v>733</v>
      </c>
      <c r="B107" s="212" t="s">
        <v>157</v>
      </c>
      <c r="C107" s="212" t="s">
        <v>350</v>
      </c>
      <c r="D107" s="212" t="s">
        <v>734</v>
      </c>
      <c r="E107" s="211" t="s">
        <v>199</v>
      </c>
      <c r="F107" s="213" t="s">
        <v>735</v>
      </c>
      <c r="G107" s="213" t="s">
        <v>736</v>
      </c>
      <c r="H107" s="211"/>
      <c r="I107" s="211"/>
      <c r="J107" s="211" t="s">
        <v>722</v>
      </c>
      <c r="K107" s="214"/>
      <c r="L107" s="214"/>
      <c r="M107" s="212" t="s">
        <v>266</v>
      </c>
      <c r="N107" s="212" t="s">
        <v>723</v>
      </c>
      <c r="O107" s="211">
        <v>106.0</v>
      </c>
    </row>
    <row r="108" ht="42.0" customHeight="1">
      <c r="A108" s="211" t="s">
        <v>737</v>
      </c>
      <c r="B108" s="212" t="s">
        <v>157</v>
      </c>
      <c r="C108" s="212" t="s">
        <v>350</v>
      </c>
      <c r="D108" s="212" t="s">
        <v>738</v>
      </c>
      <c r="E108" s="211" t="s">
        <v>199</v>
      </c>
      <c r="F108" s="213" t="s">
        <v>739</v>
      </c>
      <c r="G108" s="213" t="s">
        <v>740</v>
      </c>
      <c r="H108" s="211"/>
      <c r="I108" s="211"/>
      <c r="J108" s="211" t="s">
        <v>722</v>
      </c>
      <c r="K108" s="214"/>
      <c r="L108" s="214"/>
      <c r="M108" s="212" t="s">
        <v>266</v>
      </c>
      <c r="N108" s="212" t="s">
        <v>741</v>
      </c>
      <c r="O108" s="211">
        <v>107.0</v>
      </c>
    </row>
    <row r="109" ht="42.0" customHeight="1">
      <c r="A109" s="211" t="s">
        <v>742</v>
      </c>
      <c r="B109" s="212" t="s">
        <v>157</v>
      </c>
      <c r="C109" s="212" t="s">
        <v>350</v>
      </c>
      <c r="D109" s="212" t="s">
        <v>743</v>
      </c>
      <c r="E109" s="211" t="s">
        <v>199</v>
      </c>
      <c r="F109" s="213" t="s">
        <v>744</v>
      </c>
      <c r="G109" s="213" t="s">
        <v>745</v>
      </c>
      <c r="H109" s="211"/>
      <c r="I109" s="211"/>
      <c r="J109" s="211" t="s">
        <v>722</v>
      </c>
      <c r="K109" s="214"/>
      <c r="L109" s="214"/>
      <c r="M109" s="212" t="s">
        <v>266</v>
      </c>
      <c r="N109" s="212" t="s">
        <v>723</v>
      </c>
      <c r="O109" s="211">
        <v>108.0</v>
      </c>
    </row>
    <row r="110" ht="42.0" customHeight="1">
      <c r="A110" s="211" t="s">
        <v>746</v>
      </c>
      <c r="B110" s="212" t="s">
        <v>157</v>
      </c>
      <c r="C110" s="212" t="s">
        <v>350</v>
      </c>
      <c r="D110" s="212" t="s">
        <v>747</v>
      </c>
      <c r="E110" s="211" t="s">
        <v>199</v>
      </c>
      <c r="F110" s="213" t="s">
        <v>748</v>
      </c>
      <c r="G110" s="213" t="s">
        <v>749</v>
      </c>
      <c r="H110" s="211"/>
      <c r="I110" s="211"/>
      <c r="J110" s="211" t="s">
        <v>722</v>
      </c>
      <c r="K110" s="214"/>
      <c r="L110" s="214"/>
      <c r="M110" s="212" t="s">
        <v>266</v>
      </c>
      <c r="N110" s="212" t="s">
        <v>750</v>
      </c>
      <c r="O110" s="211">
        <v>109.0</v>
      </c>
    </row>
    <row r="111" ht="42.0" customHeight="1">
      <c r="A111" s="211" t="s">
        <v>751</v>
      </c>
      <c r="B111" s="212" t="s">
        <v>157</v>
      </c>
      <c r="C111" s="212" t="s">
        <v>350</v>
      </c>
      <c r="D111" s="212" t="s">
        <v>752</v>
      </c>
      <c r="E111" s="211" t="s">
        <v>199</v>
      </c>
      <c r="F111" s="213" t="s">
        <v>753</v>
      </c>
      <c r="G111" s="213" t="s">
        <v>754</v>
      </c>
      <c r="H111" s="211"/>
      <c r="I111" s="211"/>
      <c r="J111" s="211" t="s">
        <v>722</v>
      </c>
      <c r="K111" s="214"/>
      <c r="L111" s="214"/>
      <c r="M111" s="212" t="s">
        <v>266</v>
      </c>
      <c r="N111" s="212" t="s">
        <v>750</v>
      </c>
      <c r="O111" s="211">
        <v>110.0</v>
      </c>
    </row>
    <row r="112" ht="42.0" customHeight="1">
      <c r="A112" s="211" t="s">
        <v>755</v>
      </c>
      <c r="B112" s="212" t="s">
        <v>157</v>
      </c>
      <c r="C112" s="212" t="s">
        <v>350</v>
      </c>
      <c r="D112" s="212" t="s">
        <v>756</v>
      </c>
      <c r="E112" s="211" t="s">
        <v>199</v>
      </c>
      <c r="F112" s="213" t="s">
        <v>757</v>
      </c>
      <c r="G112" s="213" t="s">
        <v>758</v>
      </c>
      <c r="H112" s="211"/>
      <c r="I112" s="211"/>
      <c r="J112" s="211" t="s">
        <v>722</v>
      </c>
      <c r="K112" s="214"/>
      <c r="L112" s="214"/>
      <c r="M112" s="212" t="s">
        <v>266</v>
      </c>
      <c r="N112" s="212" t="s">
        <v>750</v>
      </c>
      <c r="O112" s="211">
        <v>111.0</v>
      </c>
    </row>
    <row r="113" ht="42.0" customHeight="1">
      <c r="A113" s="211" t="s">
        <v>759</v>
      </c>
      <c r="B113" s="212" t="s">
        <v>157</v>
      </c>
      <c r="C113" s="212" t="s">
        <v>350</v>
      </c>
      <c r="D113" s="212" t="s">
        <v>760</v>
      </c>
      <c r="E113" s="211" t="s">
        <v>199</v>
      </c>
      <c r="F113" s="213" t="s">
        <v>761</v>
      </c>
      <c r="G113" s="213" t="s">
        <v>762</v>
      </c>
      <c r="H113" s="211"/>
      <c r="I113" s="211"/>
      <c r="J113" s="211" t="s">
        <v>722</v>
      </c>
      <c r="K113" s="214"/>
      <c r="L113" s="214"/>
      <c r="M113" s="212" t="s">
        <v>266</v>
      </c>
      <c r="N113" s="212" t="s">
        <v>763</v>
      </c>
      <c r="O113" s="211">
        <v>112.0</v>
      </c>
    </row>
    <row r="114" ht="42.0" customHeight="1">
      <c r="A114" s="211" t="s">
        <v>764</v>
      </c>
      <c r="B114" s="212" t="s">
        <v>157</v>
      </c>
      <c r="C114" s="212" t="s">
        <v>350</v>
      </c>
      <c r="D114" s="212" t="s">
        <v>765</v>
      </c>
      <c r="E114" s="211" t="s">
        <v>199</v>
      </c>
      <c r="F114" s="213" t="s">
        <v>766</v>
      </c>
      <c r="G114" s="213" t="s">
        <v>767</v>
      </c>
      <c r="H114" s="211"/>
      <c r="I114" s="211"/>
      <c r="J114" s="211" t="s">
        <v>722</v>
      </c>
      <c r="K114" s="214"/>
      <c r="L114" s="214"/>
      <c r="M114" s="212" t="s">
        <v>225</v>
      </c>
      <c r="N114" s="212" t="s">
        <v>768</v>
      </c>
      <c r="O114" s="211">
        <v>113.0</v>
      </c>
    </row>
    <row r="115" ht="42.0" customHeight="1">
      <c r="A115" s="211" t="s">
        <v>769</v>
      </c>
      <c r="B115" s="212" t="s">
        <v>157</v>
      </c>
      <c r="C115" s="212" t="s">
        <v>770</v>
      </c>
      <c r="D115" s="212" t="s">
        <v>771</v>
      </c>
      <c r="E115" s="211" t="s">
        <v>200</v>
      </c>
      <c r="F115" s="213" t="s">
        <v>772</v>
      </c>
      <c r="G115" s="213" t="s">
        <v>773</v>
      </c>
      <c r="H115" s="211"/>
      <c r="I115" s="211"/>
      <c r="J115" s="211" t="s">
        <v>774</v>
      </c>
      <c r="K115" s="214"/>
      <c r="L115" s="214"/>
      <c r="M115" s="212" t="s">
        <v>266</v>
      </c>
      <c r="N115" s="212" t="s">
        <v>775</v>
      </c>
      <c r="O115" s="211">
        <v>114.0</v>
      </c>
    </row>
    <row r="116" ht="42.0" customHeight="1">
      <c r="A116" s="211" t="s">
        <v>776</v>
      </c>
      <c r="B116" s="212" t="s">
        <v>157</v>
      </c>
      <c r="C116" s="212" t="s">
        <v>770</v>
      </c>
      <c r="D116" s="212" t="s">
        <v>777</v>
      </c>
      <c r="E116" s="211" t="s">
        <v>200</v>
      </c>
      <c r="F116" s="213" t="s">
        <v>778</v>
      </c>
      <c r="G116" s="213" t="s">
        <v>773</v>
      </c>
      <c r="H116" s="211"/>
      <c r="I116" s="211"/>
      <c r="J116" s="211" t="s">
        <v>774</v>
      </c>
      <c r="K116" s="214"/>
      <c r="L116" s="214"/>
      <c r="M116" s="212" t="s">
        <v>266</v>
      </c>
      <c r="N116" s="212" t="s">
        <v>775</v>
      </c>
      <c r="O116" s="211">
        <v>115.0</v>
      </c>
    </row>
    <row r="117" ht="42.0" customHeight="1">
      <c r="A117" s="211" t="s">
        <v>779</v>
      </c>
      <c r="B117" s="212" t="s">
        <v>157</v>
      </c>
      <c r="C117" s="212" t="s">
        <v>770</v>
      </c>
      <c r="D117" s="212" t="s">
        <v>780</v>
      </c>
      <c r="E117" s="211" t="s">
        <v>200</v>
      </c>
      <c r="F117" s="213" t="s">
        <v>781</v>
      </c>
      <c r="G117" s="213" t="s">
        <v>773</v>
      </c>
      <c r="H117" s="211"/>
      <c r="I117" s="211"/>
      <c r="J117" s="211" t="s">
        <v>774</v>
      </c>
      <c r="K117" s="214"/>
      <c r="L117" s="214"/>
      <c r="M117" s="212" t="s">
        <v>266</v>
      </c>
      <c r="N117" s="212" t="s">
        <v>775</v>
      </c>
      <c r="O117" s="211">
        <v>116.0</v>
      </c>
    </row>
    <row r="118" ht="42.0" customHeight="1">
      <c r="A118" s="211" t="s">
        <v>782</v>
      </c>
      <c r="B118" s="212" t="s">
        <v>157</v>
      </c>
      <c r="C118" s="212" t="s">
        <v>770</v>
      </c>
      <c r="D118" s="212" t="s">
        <v>783</v>
      </c>
      <c r="E118" s="211" t="s">
        <v>200</v>
      </c>
      <c r="F118" s="213" t="s">
        <v>784</v>
      </c>
      <c r="G118" s="213" t="s">
        <v>773</v>
      </c>
      <c r="H118" s="211"/>
      <c r="I118" s="211"/>
      <c r="J118" s="211" t="s">
        <v>774</v>
      </c>
      <c r="K118" s="214"/>
      <c r="L118" s="214"/>
      <c r="M118" s="212" t="s">
        <v>266</v>
      </c>
      <c r="N118" s="212" t="s">
        <v>775</v>
      </c>
      <c r="O118" s="211">
        <v>117.0</v>
      </c>
    </row>
    <row r="119" ht="42.0" customHeight="1">
      <c r="A119" s="211" t="s">
        <v>785</v>
      </c>
      <c r="B119" s="212" t="s">
        <v>157</v>
      </c>
      <c r="C119" s="212" t="s">
        <v>786</v>
      </c>
      <c r="D119" s="212" t="s">
        <v>787</v>
      </c>
      <c r="E119" s="211" t="s">
        <v>200</v>
      </c>
      <c r="F119" s="213" t="s">
        <v>788</v>
      </c>
      <c r="G119" s="213" t="s">
        <v>773</v>
      </c>
      <c r="H119" s="211"/>
      <c r="I119" s="211"/>
      <c r="J119" s="211" t="s">
        <v>789</v>
      </c>
      <c r="K119" s="214"/>
      <c r="L119" s="214"/>
      <c r="M119" s="212" t="s">
        <v>266</v>
      </c>
      <c r="N119" s="212" t="s">
        <v>790</v>
      </c>
      <c r="O119" s="211">
        <v>118.0</v>
      </c>
    </row>
    <row r="120" ht="42.0" customHeight="1">
      <c r="A120" s="211" t="s">
        <v>791</v>
      </c>
      <c r="B120" s="212" t="s">
        <v>157</v>
      </c>
      <c r="C120" s="212" t="s">
        <v>786</v>
      </c>
      <c r="D120" s="212" t="s">
        <v>792</v>
      </c>
      <c r="E120" s="211" t="s">
        <v>200</v>
      </c>
      <c r="F120" s="213" t="s">
        <v>793</v>
      </c>
      <c r="G120" s="213" t="s">
        <v>773</v>
      </c>
      <c r="H120" s="211"/>
      <c r="I120" s="211"/>
      <c r="J120" s="211" t="s">
        <v>789</v>
      </c>
      <c r="K120" s="214"/>
      <c r="L120" s="214"/>
      <c r="M120" s="212" t="s">
        <v>266</v>
      </c>
      <c r="N120" s="212" t="s">
        <v>790</v>
      </c>
      <c r="O120" s="211">
        <v>119.0</v>
      </c>
    </row>
    <row r="121" ht="42.0" customHeight="1">
      <c r="A121" s="211" t="s">
        <v>794</v>
      </c>
      <c r="B121" s="212" t="s">
        <v>157</v>
      </c>
      <c r="C121" s="212" t="s">
        <v>786</v>
      </c>
      <c r="D121" s="212" t="s">
        <v>795</v>
      </c>
      <c r="E121" s="211" t="s">
        <v>200</v>
      </c>
      <c r="F121" s="213" t="s">
        <v>796</v>
      </c>
      <c r="G121" s="213" t="s">
        <v>773</v>
      </c>
      <c r="H121" s="211"/>
      <c r="I121" s="211"/>
      <c r="J121" s="211" t="s">
        <v>789</v>
      </c>
      <c r="K121" s="214"/>
      <c r="L121" s="214"/>
      <c r="M121" s="212" t="s">
        <v>266</v>
      </c>
      <c r="N121" s="212" t="s">
        <v>790</v>
      </c>
      <c r="O121" s="211">
        <v>120.0</v>
      </c>
    </row>
    <row r="122" ht="42.0" customHeight="1">
      <c r="A122" s="211" t="s">
        <v>797</v>
      </c>
      <c r="B122" s="212" t="s">
        <v>157</v>
      </c>
      <c r="C122" s="212" t="s">
        <v>786</v>
      </c>
      <c r="D122" s="212" t="s">
        <v>798</v>
      </c>
      <c r="E122" s="211" t="s">
        <v>200</v>
      </c>
      <c r="F122" s="213" t="s">
        <v>799</v>
      </c>
      <c r="G122" s="213" t="s">
        <v>773</v>
      </c>
      <c r="H122" s="211"/>
      <c r="I122" s="211"/>
      <c r="J122" s="211" t="s">
        <v>789</v>
      </c>
      <c r="K122" s="214"/>
      <c r="L122" s="214"/>
      <c r="M122" s="212" t="s">
        <v>266</v>
      </c>
      <c r="N122" s="212" t="s">
        <v>790</v>
      </c>
      <c r="O122" s="211">
        <v>121.0</v>
      </c>
    </row>
    <row r="123" ht="42.0" customHeight="1">
      <c r="A123" s="211" t="s">
        <v>800</v>
      </c>
      <c r="B123" s="212" t="s">
        <v>157</v>
      </c>
      <c r="C123" s="212" t="s">
        <v>201</v>
      </c>
      <c r="D123" s="212" t="s">
        <v>801</v>
      </c>
      <c r="E123" s="211" t="s">
        <v>201</v>
      </c>
      <c r="F123" s="213" t="s">
        <v>802</v>
      </c>
      <c r="G123" s="213" t="s">
        <v>803</v>
      </c>
      <c r="H123" s="211"/>
      <c r="I123" s="211"/>
      <c r="J123" s="211" t="s">
        <v>201</v>
      </c>
      <c r="K123" s="214"/>
      <c r="L123" s="214"/>
      <c r="M123" s="212" t="s">
        <v>266</v>
      </c>
      <c r="N123" s="212" t="s">
        <v>804</v>
      </c>
      <c r="O123" s="211">
        <v>122.0</v>
      </c>
    </row>
    <row r="124" ht="42.0" customHeight="1">
      <c r="A124" s="211" t="s">
        <v>805</v>
      </c>
      <c r="B124" s="212" t="s">
        <v>157</v>
      </c>
      <c r="C124" s="212" t="s">
        <v>201</v>
      </c>
      <c r="D124" s="212" t="s">
        <v>806</v>
      </c>
      <c r="E124" s="211" t="s">
        <v>201</v>
      </c>
      <c r="F124" s="213" t="s">
        <v>807</v>
      </c>
      <c r="G124" s="213" t="s">
        <v>803</v>
      </c>
      <c r="H124" s="211"/>
      <c r="I124" s="211"/>
      <c r="J124" s="211" t="s">
        <v>201</v>
      </c>
      <c r="K124" s="214"/>
      <c r="L124" s="214"/>
      <c r="M124" s="212" t="s">
        <v>266</v>
      </c>
      <c r="N124" s="212" t="s">
        <v>804</v>
      </c>
      <c r="O124" s="211">
        <v>123.0</v>
      </c>
    </row>
    <row r="125" ht="42.0" customHeight="1">
      <c r="A125" s="211" t="s">
        <v>808</v>
      </c>
      <c r="B125" s="212" t="s">
        <v>157</v>
      </c>
      <c r="C125" s="212" t="s">
        <v>201</v>
      </c>
      <c r="D125" s="212" t="s">
        <v>809</v>
      </c>
      <c r="E125" s="211" t="s">
        <v>201</v>
      </c>
      <c r="F125" s="213" t="s">
        <v>810</v>
      </c>
      <c r="G125" s="213" t="s">
        <v>811</v>
      </c>
      <c r="H125" s="211"/>
      <c r="I125" s="211"/>
      <c r="J125" s="211" t="s">
        <v>201</v>
      </c>
      <c r="K125" s="214"/>
      <c r="L125" s="214"/>
      <c r="M125" s="212" t="s">
        <v>270</v>
      </c>
      <c r="N125" s="212" t="s">
        <v>812</v>
      </c>
      <c r="O125" s="211">
        <v>124.0</v>
      </c>
    </row>
    <row r="126" ht="42.0" customHeight="1">
      <c r="A126" s="211" t="s">
        <v>813</v>
      </c>
      <c r="B126" s="212" t="s">
        <v>157</v>
      </c>
      <c r="C126" s="212" t="s">
        <v>201</v>
      </c>
      <c r="D126" s="212" t="s">
        <v>814</v>
      </c>
      <c r="E126" s="211" t="s">
        <v>201</v>
      </c>
      <c r="F126" s="213" t="s">
        <v>815</v>
      </c>
      <c r="G126" s="213" t="s">
        <v>816</v>
      </c>
      <c r="H126" s="211"/>
      <c r="I126" s="211"/>
      <c r="J126" s="211" t="s">
        <v>201</v>
      </c>
      <c r="K126" s="214">
        <v>46283.0</v>
      </c>
      <c r="L126" s="214">
        <v>46283.0</v>
      </c>
      <c r="M126" s="212" t="s">
        <v>270</v>
      </c>
      <c r="N126" s="212" t="s">
        <v>817</v>
      </c>
      <c r="O126" s="211">
        <v>125.0</v>
      </c>
    </row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8">
    <mergeCell ref="A1:O1"/>
    <mergeCell ref="A2:O2"/>
    <mergeCell ref="A3:B3"/>
    <mergeCell ref="C3:D3"/>
    <mergeCell ref="E3:F3"/>
    <mergeCell ref="G3:H3"/>
    <mergeCell ref="I3:J3"/>
    <mergeCell ref="K3:O3"/>
  </mergeCells>
  <conditionalFormatting sqref="A6:O126">
    <cfRule type="expression" dxfId="8" priority="1">
      <formula>$E6="外部依存"</formula>
    </cfRule>
  </conditionalFormatting>
  <conditionalFormatting sqref="A6:O126">
    <cfRule type="expression" dxfId="9" priority="2">
      <formula>$E6="条件付き"</formula>
    </cfRule>
  </conditionalFormatting>
  <conditionalFormatting sqref="A6:O126">
    <cfRule type="expression" dxfId="10" priority="3">
      <formula>$E6="対象範囲確認"</formula>
    </cfRule>
  </conditionalFormatting>
  <conditionalFormatting sqref="A6:O126">
    <cfRule type="expression" dxfId="11" priority="4">
      <formula>$E6="将来対応"</formula>
    </cfRule>
  </conditionalFormatting>
  <conditionalFormatting sqref="A6:O126">
    <cfRule type="expression" dxfId="11" priority="5">
      <formula>$E6="マイルストーン"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5.0"/>
    <col customWidth="1" min="2" max="4" width="14.0"/>
    <col customWidth="1" min="5" max="5" width="40.0"/>
    <col customWidth="1" min="6" max="6" width="20.0"/>
    <col customWidth="1" min="7" max="7" width="38.0"/>
    <col customWidth="1" min="8" max="8" width="26.0"/>
    <col customWidth="1" min="9" max="26" width="8.71"/>
  </cols>
  <sheetData>
    <row r="1" ht="33.75" customHeight="1">
      <c r="A1" s="215" t="s">
        <v>271</v>
      </c>
    </row>
    <row r="2" ht="42.0" customHeight="1">
      <c r="A2" s="216" t="s">
        <v>273</v>
      </c>
    </row>
    <row r="3" ht="30.0" customHeight="1">
      <c r="A3" s="217"/>
      <c r="C3" s="218"/>
      <c r="E3" s="219"/>
      <c r="G3" s="220"/>
    </row>
    <row r="4" ht="27.75" customHeight="1">
      <c r="A4" s="221" t="s">
        <v>276</v>
      </c>
      <c r="B4" s="221" t="s">
        <v>277</v>
      </c>
      <c r="C4" s="222" t="s">
        <v>278</v>
      </c>
      <c r="D4" s="222" t="s">
        <v>279</v>
      </c>
      <c r="E4" s="223" t="s">
        <v>109</v>
      </c>
      <c r="F4" s="223" t="s">
        <v>281</v>
      </c>
      <c r="G4" s="224" t="s">
        <v>282</v>
      </c>
      <c r="H4" s="224" t="s">
        <v>285</v>
      </c>
    </row>
    <row r="5" ht="27.75" customHeight="1">
      <c r="A5" s="225">
        <v>57.5</v>
      </c>
      <c r="B5" s="225"/>
      <c r="C5" s="226">
        <v>53.5</v>
      </c>
      <c r="D5" s="227"/>
      <c r="E5" s="228">
        <v>4.0</v>
      </c>
      <c r="F5" s="229"/>
      <c r="G5" s="230" t="s">
        <v>287</v>
      </c>
      <c r="H5" s="231"/>
    </row>
    <row r="6" ht="33.75" customHeight="1">
      <c r="A6" s="225" t="s">
        <v>290</v>
      </c>
      <c r="B6" s="225"/>
      <c r="C6" s="226" t="s">
        <v>291</v>
      </c>
      <c r="D6" s="227"/>
      <c r="E6" s="228" t="s">
        <v>292</v>
      </c>
      <c r="F6" s="229"/>
      <c r="G6" s="230" t="s">
        <v>293</v>
      </c>
      <c r="H6" s="231"/>
    </row>
    <row r="7" ht="33.75" customHeight="1">
      <c r="A7" s="212"/>
      <c r="B7" s="212"/>
      <c r="C7" s="232"/>
      <c r="D7" s="212"/>
      <c r="E7" s="211"/>
      <c r="F7" s="233"/>
      <c r="G7" s="233"/>
      <c r="H7" s="212"/>
    </row>
    <row r="8" ht="33.75" customHeight="1">
      <c r="A8" s="234" t="s">
        <v>298</v>
      </c>
      <c r="B8" s="234" t="s">
        <v>300</v>
      </c>
      <c r="C8" s="235" t="s">
        <v>278</v>
      </c>
      <c r="D8" s="234" t="s">
        <v>199</v>
      </c>
      <c r="E8" s="234" t="s">
        <v>302</v>
      </c>
      <c r="F8" s="235" t="s">
        <v>304</v>
      </c>
      <c r="G8" s="235" t="s">
        <v>306</v>
      </c>
      <c r="H8" s="234" t="s">
        <v>309</v>
      </c>
    </row>
    <row r="9" ht="37.5" customHeight="1">
      <c r="A9" s="236" t="s">
        <v>192</v>
      </c>
      <c r="B9" s="237">
        <v>10.0</v>
      </c>
      <c r="C9" s="238">
        <v>10.0</v>
      </c>
      <c r="D9" s="237">
        <v>0.0</v>
      </c>
      <c r="E9" s="239" t="s">
        <v>310</v>
      </c>
      <c r="F9" s="240" t="s">
        <v>312</v>
      </c>
      <c r="G9" s="240" t="s">
        <v>313</v>
      </c>
      <c r="H9" s="236" t="s">
        <v>315</v>
      </c>
    </row>
    <row r="10" ht="37.5" customHeight="1">
      <c r="A10" s="236" t="s">
        <v>316</v>
      </c>
      <c r="B10" s="237">
        <v>7.0</v>
      </c>
      <c r="C10" s="238">
        <v>7.0</v>
      </c>
      <c r="D10" s="237">
        <v>0.0</v>
      </c>
      <c r="E10" s="239" t="s">
        <v>319</v>
      </c>
      <c r="F10" s="240" t="s">
        <v>312</v>
      </c>
      <c r="G10" s="240" t="s">
        <v>321</v>
      </c>
      <c r="H10" s="236" t="s">
        <v>322</v>
      </c>
    </row>
    <row r="11" ht="37.5" customHeight="1">
      <c r="A11" s="236" t="s">
        <v>323</v>
      </c>
      <c r="B11" s="237">
        <v>9.5</v>
      </c>
      <c r="C11" s="238">
        <v>9.5</v>
      </c>
      <c r="D11" s="237">
        <v>0.0</v>
      </c>
      <c r="E11" s="239" t="s">
        <v>324</v>
      </c>
      <c r="F11" s="240" t="s">
        <v>312</v>
      </c>
      <c r="G11" s="240" t="s">
        <v>326</v>
      </c>
      <c r="H11" s="236" t="s">
        <v>315</v>
      </c>
    </row>
    <row r="12" ht="37.5" customHeight="1">
      <c r="A12" s="241" t="s">
        <v>328</v>
      </c>
      <c r="C12" s="242">
        <v>13.0</v>
      </c>
      <c r="D12" s="243">
        <v>0.0</v>
      </c>
      <c r="E12" s="244" t="s">
        <v>329</v>
      </c>
      <c r="F12" s="245" t="s">
        <v>312</v>
      </c>
      <c r="G12" s="245" t="s">
        <v>330</v>
      </c>
      <c r="H12" s="241" t="s">
        <v>315</v>
      </c>
    </row>
    <row r="13" ht="37.5" customHeight="1">
      <c r="A13" s="246" t="s">
        <v>332</v>
      </c>
      <c r="B13" s="247">
        <v>4.0</v>
      </c>
      <c r="C13" s="247">
        <v>4.0</v>
      </c>
      <c r="D13" s="247">
        <v>0.0</v>
      </c>
      <c r="E13" s="246" t="s">
        <v>334</v>
      </c>
      <c r="F13" s="246" t="s">
        <v>312</v>
      </c>
      <c r="G13" s="246" t="s">
        <v>335</v>
      </c>
      <c r="H13" s="246" t="s">
        <v>315</v>
      </c>
    </row>
    <row r="14" ht="37.5" customHeight="1">
      <c r="A14" s="248" t="s">
        <v>336</v>
      </c>
    </row>
    <row r="15" ht="37.5" customHeight="1">
      <c r="A15" s="249" t="s">
        <v>114</v>
      </c>
      <c r="B15" s="250">
        <v>10.0</v>
      </c>
      <c r="C15" s="247">
        <v>10.0</v>
      </c>
      <c r="D15" s="247">
        <v>0.0</v>
      </c>
      <c r="E15" s="246" t="s">
        <v>337</v>
      </c>
      <c r="F15" s="246" t="s">
        <v>312</v>
      </c>
      <c r="G15" s="246" t="s">
        <v>338</v>
      </c>
      <c r="H15" s="246" t="s">
        <v>315</v>
      </c>
    </row>
    <row r="16" ht="37.5" customHeight="1">
      <c r="A16" s="251" t="s">
        <v>339</v>
      </c>
      <c r="B16" s="247">
        <v>57.5</v>
      </c>
      <c r="C16" s="247">
        <v>53.5</v>
      </c>
      <c r="D16" s="247">
        <v>4.0</v>
      </c>
      <c r="E16" s="246"/>
      <c r="F16" s="246"/>
      <c r="G16" s="246"/>
      <c r="H16" s="246"/>
    </row>
    <row r="17" ht="33.75" customHeight="1">
      <c r="A17" s="30"/>
      <c r="B17" s="30"/>
    </row>
    <row r="18" ht="33.75" customHeight="1">
      <c r="A18" s="252" t="s">
        <v>341</v>
      </c>
      <c r="B18" s="252" t="s">
        <v>343</v>
      </c>
      <c r="C18" s="253"/>
      <c r="D18" s="253"/>
      <c r="E18" s="253"/>
      <c r="F18" s="253"/>
      <c r="G18" s="253"/>
      <c r="H18" s="253"/>
    </row>
    <row r="19" ht="42.0" customHeight="1">
      <c r="A19" s="254" t="s">
        <v>345</v>
      </c>
      <c r="B19" s="30" t="s">
        <v>346</v>
      </c>
    </row>
    <row r="20" ht="42.0" customHeight="1">
      <c r="A20" s="254" t="s">
        <v>347</v>
      </c>
      <c r="B20" s="30" t="s">
        <v>349</v>
      </c>
    </row>
    <row r="21" ht="42.0" customHeight="1">
      <c r="A21" s="254" t="s">
        <v>350</v>
      </c>
      <c r="B21" s="30" t="s">
        <v>351</v>
      </c>
    </row>
    <row r="22" ht="42.0" customHeight="1">
      <c r="A22" s="254" t="s">
        <v>198</v>
      </c>
      <c r="B22" s="30" t="s">
        <v>353</v>
      </c>
    </row>
    <row r="23" ht="42.0" customHeight="1">
      <c r="A23" s="254" t="s">
        <v>354</v>
      </c>
      <c r="B23" s="30" t="s">
        <v>355</v>
      </c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A14:H14"/>
    <mergeCell ref="B19:H19"/>
    <mergeCell ref="B20:H20"/>
    <mergeCell ref="B21:H21"/>
    <mergeCell ref="B22:H22"/>
    <mergeCell ref="B23:H23"/>
    <mergeCell ref="A1:H1"/>
    <mergeCell ref="A2:H2"/>
    <mergeCell ref="A3:B3"/>
    <mergeCell ref="C3:D3"/>
    <mergeCell ref="E3:F3"/>
    <mergeCell ref="G3:H3"/>
    <mergeCell ref="A12:B12"/>
  </mergeCells>
  <conditionalFormatting sqref="E5:E11">
    <cfRule type="expression" dxfId="5" priority="1">
      <formula>E5="未配賦"</formula>
    </cfRule>
  </conditionalFormatting>
  <conditionalFormatting sqref="E5:E11">
    <cfRule type="expression" dxfId="6" priority="2">
      <formula>E5="仮配賦"</formula>
    </cfRule>
  </conditionalFormatting>
  <conditionalFormatting sqref="E5:E11">
    <cfRule type="expression" dxfId="7" priority="3">
      <formula>E5="配賦確定"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3.43"/>
    <col customWidth="1" min="2" max="2" width="11.0"/>
    <col customWidth="1" min="3" max="3" width="26.0"/>
    <col customWidth="1" min="4" max="4" width="42.0"/>
    <col customWidth="1" min="5" max="5" width="15.0"/>
    <col customWidth="1" min="6" max="7" width="14.0"/>
    <col customWidth="1" min="8" max="9" width="12.0"/>
    <col customWidth="1" min="10" max="10" width="11.0"/>
    <col customWidth="1" min="11" max="11" width="30.0"/>
    <col customWidth="1" min="12" max="22" width="9.0"/>
    <col customWidth="1" min="23" max="26" width="8.71"/>
  </cols>
  <sheetData>
    <row r="1" ht="33.75" customHeight="1">
      <c r="A1" s="215" t="s">
        <v>401</v>
      </c>
    </row>
    <row r="2" ht="42.0" customHeight="1">
      <c r="A2" s="255" t="s">
        <v>403</v>
      </c>
    </row>
    <row r="3" ht="64.5" customHeight="1">
      <c r="A3" s="256" t="s">
        <v>405</v>
      </c>
      <c r="D3" s="257" t="s">
        <v>407</v>
      </c>
      <c r="G3" s="258" t="s">
        <v>408</v>
      </c>
      <c r="J3" s="259" t="s">
        <v>409</v>
      </c>
      <c r="M3" s="260" t="s">
        <v>410</v>
      </c>
      <c r="P3" s="257" t="s">
        <v>411</v>
      </c>
      <c r="S3" s="261" t="str">
        <f>"ステータス：準備中 "&amp;COUNTIF(J7:J127,"準備中")&amp;"件"</f>
        <v>ステータス：準備中 121件</v>
      </c>
    </row>
    <row r="4" ht="55.5" customHeight="1"/>
    <row r="5" ht="24.0" customHeight="1">
      <c r="A5" s="262" t="s">
        <v>414</v>
      </c>
      <c r="L5" s="263" t="s">
        <v>416</v>
      </c>
    </row>
    <row r="6" ht="30.0" customHeight="1">
      <c r="A6" s="264" t="s">
        <v>418</v>
      </c>
      <c r="B6" s="264" t="s">
        <v>204</v>
      </c>
      <c r="C6" s="264" t="s">
        <v>54</v>
      </c>
      <c r="D6" s="264" t="s">
        <v>55</v>
      </c>
      <c r="E6" s="264" t="s">
        <v>205</v>
      </c>
      <c r="F6" s="264" t="s">
        <v>95</v>
      </c>
      <c r="G6" s="264" t="s">
        <v>96</v>
      </c>
      <c r="H6" s="264" t="s">
        <v>100</v>
      </c>
      <c r="I6" s="264" t="s">
        <v>101</v>
      </c>
      <c r="J6" s="264" t="s">
        <v>67</v>
      </c>
      <c r="K6" s="264" t="s">
        <v>210</v>
      </c>
      <c r="L6" s="265">
        <v>46237.0</v>
      </c>
      <c r="M6" s="265">
        <v>46244.0</v>
      </c>
      <c r="N6" s="265">
        <v>46251.0</v>
      </c>
      <c r="O6" s="265">
        <v>46258.0</v>
      </c>
      <c r="P6" s="265">
        <v>46265.0</v>
      </c>
      <c r="Q6" s="265">
        <v>46272.0</v>
      </c>
      <c r="R6" s="265">
        <v>46279.0</v>
      </c>
      <c r="S6" s="265">
        <v>46286.0</v>
      </c>
      <c r="T6" s="265">
        <v>46293.0</v>
      </c>
      <c r="U6" s="265">
        <v>46300.0</v>
      </c>
      <c r="V6" s="265">
        <v>46307.0</v>
      </c>
    </row>
    <row r="7" ht="30.0" customHeight="1">
      <c r="A7" s="239">
        <v>1.0</v>
      </c>
      <c r="B7" s="239" t="s">
        <v>212</v>
      </c>
      <c r="C7" s="236" t="s">
        <v>158</v>
      </c>
      <c r="D7" s="236" t="s">
        <v>159</v>
      </c>
      <c r="E7" s="239" t="s">
        <v>198</v>
      </c>
      <c r="F7" s="239"/>
      <c r="G7" s="239"/>
      <c r="H7" s="266">
        <v>46237.0</v>
      </c>
      <c r="I7" s="266">
        <v>46248.0</v>
      </c>
      <c r="J7" s="239" t="s">
        <v>130</v>
      </c>
      <c r="K7" s="236" t="s">
        <v>217</v>
      </c>
      <c r="L7" s="267">
        <f t="shared" ref="L7:V7" si="1">IF(AND(L$6&lt;=$I7,L$6+6&gt;=$H7,$H7&lt;&gt;"",$I7&lt;&gt;""),1,"")</f>
        <v>1</v>
      </c>
      <c r="M7" s="267">
        <f t="shared" si="1"/>
        <v>1</v>
      </c>
      <c r="N7" s="267" t="str">
        <f t="shared" si="1"/>
        <v/>
      </c>
      <c r="O7" s="267" t="str">
        <f t="shared" si="1"/>
        <v/>
      </c>
      <c r="P7" s="267" t="str">
        <f t="shared" si="1"/>
        <v/>
      </c>
      <c r="Q7" s="267" t="str">
        <f t="shared" si="1"/>
        <v/>
      </c>
      <c r="R7" s="267" t="str">
        <f t="shared" si="1"/>
        <v/>
      </c>
      <c r="S7" s="267" t="str">
        <f t="shared" si="1"/>
        <v/>
      </c>
      <c r="T7" s="267" t="str">
        <f t="shared" si="1"/>
        <v/>
      </c>
      <c r="U7" s="267" t="str">
        <f t="shared" si="1"/>
        <v/>
      </c>
      <c r="V7" s="267" t="str">
        <f t="shared" si="1"/>
        <v/>
      </c>
    </row>
    <row r="8" ht="30.0" customHeight="1">
      <c r="A8" s="239">
        <v>2.0</v>
      </c>
      <c r="B8" s="239" t="s">
        <v>218</v>
      </c>
      <c r="C8" s="236" t="s">
        <v>158</v>
      </c>
      <c r="D8" s="236" t="s">
        <v>167</v>
      </c>
      <c r="E8" s="239" t="s">
        <v>198</v>
      </c>
      <c r="F8" s="239"/>
      <c r="G8" s="239"/>
      <c r="H8" s="266">
        <v>46237.0</v>
      </c>
      <c r="I8" s="266">
        <v>46246.0</v>
      </c>
      <c r="J8" s="239" t="s">
        <v>130</v>
      </c>
      <c r="K8" s="236" t="s">
        <v>221</v>
      </c>
      <c r="L8" s="267">
        <f t="shared" ref="L8:V8" si="2">IF(AND(L$6&lt;=$I8,L$6+6&gt;=$H8,$H8&lt;&gt;"",$I8&lt;&gt;""),1,"")</f>
        <v>1</v>
      </c>
      <c r="M8" s="267">
        <f t="shared" si="2"/>
        <v>1</v>
      </c>
      <c r="N8" s="267" t="str">
        <f t="shared" si="2"/>
        <v/>
      </c>
      <c r="O8" s="267" t="str">
        <f t="shared" si="2"/>
        <v/>
      </c>
      <c r="P8" s="267" t="str">
        <f t="shared" si="2"/>
        <v/>
      </c>
      <c r="Q8" s="267" t="str">
        <f t="shared" si="2"/>
        <v/>
      </c>
      <c r="R8" s="267" t="str">
        <f t="shared" si="2"/>
        <v/>
      </c>
      <c r="S8" s="267" t="str">
        <f t="shared" si="2"/>
        <v/>
      </c>
      <c r="T8" s="267" t="str">
        <f t="shared" si="2"/>
        <v/>
      </c>
      <c r="U8" s="267" t="str">
        <f t="shared" si="2"/>
        <v/>
      </c>
      <c r="V8" s="267" t="str">
        <f t="shared" si="2"/>
        <v/>
      </c>
    </row>
    <row r="9" ht="30.0" customHeight="1">
      <c r="A9" s="239">
        <v>3.0</v>
      </c>
      <c r="B9" s="239" t="s">
        <v>222</v>
      </c>
      <c r="C9" s="236" t="s">
        <v>158</v>
      </c>
      <c r="D9" s="236" t="s">
        <v>174</v>
      </c>
      <c r="E9" s="239" t="s">
        <v>198</v>
      </c>
      <c r="F9" s="239"/>
      <c r="G9" s="239"/>
      <c r="H9" s="266">
        <v>46237.0</v>
      </c>
      <c r="I9" s="266">
        <v>46248.0</v>
      </c>
      <c r="J9" s="239" t="s">
        <v>130</v>
      </c>
      <c r="K9" s="236" t="s">
        <v>226</v>
      </c>
      <c r="L9" s="267">
        <f t="shared" ref="L9:V9" si="3">IF(AND(L$6&lt;=$I9,L$6+6&gt;=$H9,$H9&lt;&gt;"",$I9&lt;&gt;""),1,"")</f>
        <v>1</v>
      </c>
      <c r="M9" s="267">
        <f t="shared" si="3"/>
        <v>1</v>
      </c>
      <c r="N9" s="267" t="str">
        <f t="shared" si="3"/>
        <v/>
      </c>
      <c r="O9" s="267" t="str">
        <f t="shared" si="3"/>
        <v/>
      </c>
      <c r="P9" s="267" t="str">
        <f t="shared" si="3"/>
        <v/>
      </c>
      <c r="Q9" s="267" t="str">
        <f t="shared" si="3"/>
        <v/>
      </c>
      <c r="R9" s="267" t="str">
        <f t="shared" si="3"/>
        <v/>
      </c>
      <c r="S9" s="267" t="str">
        <f t="shared" si="3"/>
        <v/>
      </c>
      <c r="T9" s="267" t="str">
        <f t="shared" si="3"/>
        <v/>
      </c>
      <c r="U9" s="267" t="str">
        <f t="shared" si="3"/>
        <v/>
      </c>
      <c r="V9" s="267" t="str">
        <f t="shared" si="3"/>
        <v/>
      </c>
    </row>
    <row r="10" ht="30.0" customHeight="1">
      <c r="A10" s="239">
        <v>4.0</v>
      </c>
      <c r="B10" s="239" t="s">
        <v>228</v>
      </c>
      <c r="C10" s="236" t="s">
        <v>158</v>
      </c>
      <c r="D10" s="236" t="s">
        <v>183</v>
      </c>
      <c r="E10" s="239" t="s">
        <v>198</v>
      </c>
      <c r="F10" s="239"/>
      <c r="G10" s="239"/>
      <c r="H10" s="266">
        <v>46237.0</v>
      </c>
      <c r="I10" s="266">
        <v>46241.0</v>
      </c>
      <c r="J10" s="239" t="s">
        <v>130</v>
      </c>
      <c r="K10" s="236" t="s">
        <v>232</v>
      </c>
      <c r="L10" s="267">
        <f t="shared" ref="L10:V10" si="4">IF(AND(L$6&lt;=$I10,L$6+6&gt;=$H10,$H10&lt;&gt;"",$I10&lt;&gt;""),1,"")</f>
        <v>1</v>
      </c>
      <c r="M10" s="267" t="str">
        <f t="shared" si="4"/>
        <v/>
      </c>
      <c r="N10" s="267" t="str">
        <f t="shared" si="4"/>
        <v/>
      </c>
      <c r="O10" s="267" t="str">
        <f t="shared" si="4"/>
        <v/>
      </c>
      <c r="P10" s="267" t="str">
        <f t="shared" si="4"/>
        <v/>
      </c>
      <c r="Q10" s="267" t="str">
        <f t="shared" si="4"/>
        <v/>
      </c>
      <c r="R10" s="267" t="str">
        <f t="shared" si="4"/>
        <v/>
      </c>
      <c r="S10" s="267" t="str">
        <f t="shared" si="4"/>
        <v/>
      </c>
      <c r="T10" s="267" t="str">
        <f t="shared" si="4"/>
        <v/>
      </c>
      <c r="U10" s="267" t="str">
        <f t="shared" si="4"/>
        <v/>
      </c>
      <c r="V10" s="267" t="str">
        <f t="shared" si="4"/>
        <v/>
      </c>
    </row>
    <row r="11" ht="30.0" customHeight="1">
      <c r="A11" s="239">
        <v>5.0</v>
      </c>
      <c r="B11" s="239" t="s">
        <v>233</v>
      </c>
      <c r="C11" s="236" t="s">
        <v>158</v>
      </c>
      <c r="D11" s="236" t="s">
        <v>184</v>
      </c>
      <c r="E11" s="239" t="s">
        <v>198</v>
      </c>
      <c r="F11" s="239"/>
      <c r="G11" s="239"/>
      <c r="H11" s="266">
        <v>46237.0</v>
      </c>
      <c r="I11" s="266">
        <v>46246.0</v>
      </c>
      <c r="J11" s="239" t="s">
        <v>130</v>
      </c>
      <c r="K11" s="236" t="s">
        <v>238</v>
      </c>
      <c r="L11" s="267">
        <f t="shared" ref="L11:V11" si="5">IF(AND(L$6&lt;=$I11,L$6+6&gt;=$H11,$H11&lt;&gt;"",$I11&lt;&gt;""),1,"")</f>
        <v>1</v>
      </c>
      <c r="M11" s="267">
        <f t="shared" si="5"/>
        <v>1</v>
      </c>
      <c r="N11" s="267" t="str">
        <f t="shared" si="5"/>
        <v/>
      </c>
      <c r="O11" s="267" t="str">
        <f t="shared" si="5"/>
        <v/>
      </c>
      <c r="P11" s="267" t="str">
        <f t="shared" si="5"/>
        <v/>
      </c>
      <c r="Q11" s="267" t="str">
        <f t="shared" si="5"/>
        <v/>
      </c>
      <c r="R11" s="267" t="str">
        <f t="shared" si="5"/>
        <v/>
      </c>
      <c r="S11" s="267" t="str">
        <f t="shared" si="5"/>
        <v/>
      </c>
      <c r="T11" s="267" t="str">
        <f t="shared" si="5"/>
        <v/>
      </c>
      <c r="U11" s="267" t="str">
        <f t="shared" si="5"/>
        <v/>
      </c>
      <c r="V11" s="267" t="str">
        <f t="shared" si="5"/>
        <v/>
      </c>
    </row>
    <row r="12" ht="30.0" customHeight="1">
      <c r="A12" s="239">
        <v>6.0</v>
      </c>
      <c r="B12" s="239" t="s">
        <v>239</v>
      </c>
      <c r="C12" s="236" t="s">
        <v>158</v>
      </c>
      <c r="D12" s="236" t="s">
        <v>185</v>
      </c>
      <c r="E12" s="239" t="s">
        <v>202</v>
      </c>
      <c r="F12" s="239"/>
      <c r="G12" s="239"/>
      <c r="H12" s="266">
        <v>46248.0</v>
      </c>
      <c r="I12" s="266">
        <v>46248.0</v>
      </c>
      <c r="J12" s="239" t="s">
        <v>130</v>
      </c>
      <c r="K12" s="236" t="s">
        <v>243</v>
      </c>
      <c r="L12" s="267" t="str">
        <f t="shared" ref="L12:V12" si="6">IF(AND(L$6&lt;=$I12,L$6+6&gt;=$H12,$H12&lt;&gt;"",$I12&lt;&gt;""),1,"")</f>
        <v/>
      </c>
      <c r="M12" s="267">
        <f t="shared" si="6"/>
        <v>1</v>
      </c>
      <c r="N12" s="267" t="str">
        <f t="shared" si="6"/>
        <v/>
      </c>
      <c r="O12" s="267" t="str">
        <f t="shared" si="6"/>
        <v/>
      </c>
      <c r="P12" s="267" t="str">
        <f t="shared" si="6"/>
        <v/>
      </c>
      <c r="Q12" s="267" t="str">
        <f t="shared" si="6"/>
        <v/>
      </c>
      <c r="R12" s="267" t="str">
        <f t="shared" si="6"/>
        <v/>
      </c>
      <c r="S12" s="267" t="str">
        <f t="shared" si="6"/>
        <v/>
      </c>
      <c r="T12" s="267" t="str">
        <f t="shared" si="6"/>
        <v/>
      </c>
      <c r="U12" s="267" t="str">
        <f t="shared" si="6"/>
        <v/>
      </c>
      <c r="V12" s="267" t="str">
        <f t="shared" si="6"/>
        <v/>
      </c>
    </row>
    <row r="13" ht="30.0" customHeight="1">
      <c r="A13" s="239">
        <v>7.0</v>
      </c>
      <c r="B13" s="239" t="s">
        <v>244</v>
      </c>
      <c r="C13" s="236" t="s">
        <v>114</v>
      </c>
      <c r="D13" s="236" t="s">
        <v>186</v>
      </c>
      <c r="E13" s="239" t="s">
        <v>245</v>
      </c>
      <c r="F13" s="239"/>
      <c r="G13" s="239"/>
      <c r="H13" s="266">
        <v>46237.0</v>
      </c>
      <c r="I13" s="266">
        <v>46283.0</v>
      </c>
      <c r="J13" s="239" t="s">
        <v>130</v>
      </c>
      <c r="K13" s="236" t="s">
        <v>248</v>
      </c>
      <c r="L13" s="267">
        <f t="shared" ref="L13:V13" si="7">IF(AND(L$6&lt;=$I13,L$6+6&gt;=$H13,$H13&lt;&gt;"",$I13&lt;&gt;""),1,"")</f>
        <v>1</v>
      </c>
      <c r="M13" s="267">
        <f t="shared" si="7"/>
        <v>1</v>
      </c>
      <c r="N13" s="267">
        <f t="shared" si="7"/>
        <v>1</v>
      </c>
      <c r="O13" s="267">
        <f t="shared" si="7"/>
        <v>1</v>
      </c>
      <c r="P13" s="267">
        <f t="shared" si="7"/>
        <v>1</v>
      </c>
      <c r="Q13" s="267">
        <f t="shared" si="7"/>
        <v>1</v>
      </c>
      <c r="R13" s="267">
        <f t="shared" si="7"/>
        <v>1</v>
      </c>
      <c r="S13" s="267" t="str">
        <f t="shared" si="7"/>
        <v/>
      </c>
      <c r="T13" s="267" t="str">
        <f t="shared" si="7"/>
        <v/>
      </c>
      <c r="U13" s="267" t="str">
        <f t="shared" si="7"/>
        <v/>
      </c>
      <c r="V13" s="267" t="str">
        <f t="shared" si="7"/>
        <v/>
      </c>
    </row>
    <row r="14" ht="30.0" customHeight="1">
      <c r="A14" s="239">
        <v>8.0</v>
      </c>
      <c r="B14" s="239" t="s">
        <v>249</v>
      </c>
      <c r="C14" s="236" t="s">
        <v>114</v>
      </c>
      <c r="D14" s="236" t="s">
        <v>187</v>
      </c>
      <c r="E14" s="239" t="s">
        <v>245</v>
      </c>
      <c r="F14" s="239"/>
      <c r="G14" s="239"/>
      <c r="H14" s="266">
        <v>46237.0</v>
      </c>
      <c r="I14" s="266">
        <v>46283.0</v>
      </c>
      <c r="J14" s="239" t="s">
        <v>130</v>
      </c>
      <c r="K14" s="236" t="s">
        <v>248</v>
      </c>
      <c r="L14" s="267">
        <f t="shared" ref="L14:V14" si="8">IF(AND(L$6&lt;=$I14,L$6+6&gt;=$H14,$H14&lt;&gt;"",$I14&lt;&gt;""),1,"")</f>
        <v>1</v>
      </c>
      <c r="M14" s="267">
        <f t="shared" si="8"/>
        <v>1</v>
      </c>
      <c r="N14" s="267">
        <f t="shared" si="8"/>
        <v>1</v>
      </c>
      <c r="O14" s="267">
        <f t="shared" si="8"/>
        <v>1</v>
      </c>
      <c r="P14" s="267">
        <f t="shared" si="8"/>
        <v>1</v>
      </c>
      <c r="Q14" s="267">
        <f t="shared" si="8"/>
        <v>1</v>
      </c>
      <c r="R14" s="267">
        <f t="shared" si="8"/>
        <v>1</v>
      </c>
      <c r="S14" s="267" t="str">
        <f t="shared" si="8"/>
        <v/>
      </c>
      <c r="T14" s="267" t="str">
        <f t="shared" si="8"/>
        <v/>
      </c>
      <c r="U14" s="267" t="str">
        <f t="shared" si="8"/>
        <v/>
      </c>
      <c r="V14" s="267" t="str">
        <f t="shared" si="8"/>
        <v/>
      </c>
    </row>
    <row r="15" ht="30.0" customHeight="1">
      <c r="A15" s="239">
        <v>9.0</v>
      </c>
      <c r="B15" s="239" t="s">
        <v>252</v>
      </c>
      <c r="C15" s="236" t="s">
        <v>114</v>
      </c>
      <c r="D15" s="236" t="s">
        <v>188</v>
      </c>
      <c r="E15" s="239" t="s">
        <v>245</v>
      </c>
      <c r="F15" s="239"/>
      <c r="G15" s="239"/>
      <c r="H15" s="266">
        <v>46237.0</v>
      </c>
      <c r="I15" s="266">
        <v>46283.0</v>
      </c>
      <c r="J15" s="239" t="s">
        <v>130</v>
      </c>
      <c r="K15" s="236" t="s">
        <v>255</v>
      </c>
      <c r="L15" s="267">
        <f t="shared" ref="L15:V15" si="9">IF(AND(L$6&lt;=$I15,L$6+6&gt;=$H15,$H15&lt;&gt;"",$I15&lt;&gt;""),1,"")</f>
        <v>1</v>
      </c>
      <c r="M15" s="267">
        <f t="shared" si="9"/>
        <v>1</v>
      </c>
      <c r="N15" s="267">
        <f t="shared" si="9"/>
        <v>1</v>
      </c>
      <c r="O15" s="267">
        <f t="shared" si="9"/>
        <v>1</v>
      </c>
      <c r="P15" s="267">
        <f t="shared" si="9"/>
        <v>1</v>
      </c>
      <c r="Q15" s="267">
        <f t="shared" si="9"/>
        <v>1</v>
      </c>
      <c r="R15" s="267">
        <f t="shared" si="9"/>
        <v>1</v>
      </c>
      <c r="S15" s="267" t="str">
        <f t="shared" si="9"/>
        <v/>
      </c>
      <c r="T15" s="267" t="str">
        <f t="shared" si="9"/>
        <v/>
      </c>
      <c r="U15" s="267" t="str">
        <f t="shared" si="9"/>
        <v/>
      </c>
      <c r="V15" s="267" t="str">
        <f t="shared" si="9"/>
        <v/>
      </c>
    </row>
    <row r="16" ht="30.0" customHeight="1">
      <c r="A16" s="239">
        <v>10.0</v>
      </c>
      <c r="B16" s="239" t="s">
        <v>256</v>
      </c>
      <c r="C16" s="236" t="s">
        <v>114</v>
      </c>
      <c r="D16" s="236" t="s">
        <v>189</v>
      </c>
      <c r="E16" s="239" t="s">
        <v>245</v>
      </c>
      <c r="F16" s="239"/>
      <c r="G16" s="239"/>
      <c r="H16" s="266">
        <v>46244.0</v>
      </c>
      <c r="I16" s="266">
        <v>46281.0</v>
      </c>
      <c r="J16" s="239" t="s">
        <v>130</v>
      </c>
      <c r="K16" s="236" t="s">
        <v>248</v>
      </c>
      <c r="L16" s="267" t="str">
        <f t="shared" ref="L16:V16" si="10">IF(AND(L$6&lt;=$I16,L$6+6&gt;=$H16,$H16&lt;&gt;"",$I16&lt;&gt;""),1,"")</f>
        <v/>
      </c>
      <c r="M16" s="267">
        <f t="shared" si="10"/>
        <v>1</v>
      </c>
      <c r="N16" s="267">
        <f t="shared" si="10"/>
        <v>1</v>
      </c>
      <c r="O16" s="267">
        <f t="shared" si="10"/>
        <v>1</v>
      </c>
      <c r="P16" s="267">
        <f t="shared" si="10"/>
        <v>1</v>
      </c>
      <c r="Q16" s="267">
        <f t="shared" si="10"/>
        <v>1</v>
      </c>
      <c r="R16" s="267">
        <f t="shared" si="10"/>
        <v>1</v>
      </c>
      <c r="S16" s="267" t="str">
        <f t="shared" si="10"/>
        <v/>
      </c>
      <c r="T16" s="267" t="str">
        <f t="shared" si="10"/>
        <v/>
      </c>
      <c r="U16" s="267" t="str">
        <f t="shared" si="10"/>
        <v/>
      </c>
      <c r="V16" s="267" t="str">
        <f t="shared" si="10"/>
        <v/>
      </c>
    </row>
    <row r="17" ht="30.0" customHeight="1">
      <c r="A17" s="239">
        <v>11.0</v>
      </c>
      <c r="B17" s="239" t="s">
        <v>259</v>
      </c>
      <c r="C17" s="236" t="s">
        <v>114</v>
      </c>
      <c r="D17" s="236" t="s">
        <v>190</v>
      </c>
      <c r="E17" s="239" t="s">
        <v>245</v>
      </c>
      <c r="F17" s="239"/>
      <c r="G17" s="239"/>
      <c r="H17" s="266">
        <v>46265.0</v>
      </c>
      <c r="I17" s="266">
        <v>46283.0</v>
      </c>
      <c r="J17" s="239" t="s">
        <v>130</v>
      </c>
      <c r="K17" s="236" t="s">
        <v>262</v>
      </c>
      <c r="L17" s="267" t="str">
        <f t="shared" ref="L17:V17" si="11">IF(AND(L$6&lt;=$I17,L$6+6&gt;=$H17,$H17&lt;&gt;"",$I17&lt;&gt;""),1,"")</f>
        <v/>
      </c>
      <c r="M17" s="267" t="str">
        <f t="shared" si="11"/>
        <v/>
      </c>
      <c r="N17" s="267" t="str">
        <f t="shared" si="11"/>
        <v/>
      </c>
      <c r="O17" s="267" t="str">
        <f t="shared" si="11"/>
        <v/>
      </c>
      <c r="P17" s="267">
        <f t="shared" si="11"/>
        <v>1</v>
      </c>
      <c r="Q17" s="267">
        <f t="shared" si="11"/>
        <v>1</v>
      </c>
      <c r="R17" s="267">
        <f t="shared" si="11"/>
        <v>1</v>
      </c>
      <c r="S17" s="267" t="str">
        <f t="shared" si="11"/>
        <v/>
      </c>
      <c r="T17" s="267" t="str">
        <f t="shared" si="11"/>
        <v/>
      </c>
      <c r="U17" s="267" t="str">
        <f t="shared" si="11"/>
        <v/>
      </c>
      <c r="V17" s="267" t="str">
        <f t="shared" si="11"/>
        <v/>
      </c>
    </row>
    <row r="18" ht="30.0" customHeight="1">
      <c r="A18" s="239">
        <v>12.0</v>
      </c>
      <c r="B18" s="239" t="s">
        <v>263</v>
      </c>
      <c r="C18" s="236" t="s">
        <v>114</v>
      </c>
      <c r="D18" s="236" t="s">
        <v>191</v>
      </c>
      <c r="E18" s="239" t="s">
        <v>245</v>
      </c>
      <c r="F18" s="239"/>
      <c r="G18" s="239"/>
      <c r="H18" s="266">
        <v>46237.0</v>
      </c>
      <c r="I18" s="266">
        <v>46283.0</v>
      </c>
      <c r="J18" s="239" t="s">
        <v>130</v>
      </c>
      <c r="K18" s="236" t="s">
        <v>248</v>
      </c>
      <c r="L18" s="267">
        <f t="shared" ref="L18:V18" si="12">IF(AND(L$6&lt;=$I18,L$6+6&gt;=$H18,$H18&lt;&gt;"",$I18&lt;&gt;""),1,"")</f>
        <v>1</v>
      </c>
      <c r="M18" s="267">
        <f t="shared" si="12"/>
        <v>1</v>
      </c>
      <c r="N18" s="267">
        <f t="shared" si="12"/>
        <v>1</v>
      </c>
      <c r="O18" s="267">
        <f t="shared" si="12"/>
        <v>1</v>
      </c>
      <c r="P18" s="267">
        <f t="shared" si="12"/>
        <v>1</v>
      </c>
      <c r="Q18" s="267">
        <f t="shared" si="12"/>
        <v>1</v>
      </c>
      <c r="R18" s="267">
        <f t="shared" si="12"/>
        <v>1</v>
      </c>
      <c r="S18" s="267" t="str">
        <f t="shared" si="12"/>
        <v/>
      </c>
      <c r="T18" s="267" t="str">
        <f t="shared" si="12"/>
        <v/>
      </c>
      <c r="U18" s="267" t="str">
        <f t="shared" si="12"/>
        <v/>
      </c>
      <c r="V18" s="267" t="str">
        <f t="shared" si="12"/>
        <v/>
      </c>
    </row>
    <row r="19" ht="30.0" customHeight="1">
      <c r="A19" s="239">
        <v>13.0</v>
      </c>
      <c r="B19" s="239" t="s">
        <v>267</v>
      </c>
      <c r="C19" s="236" t="s">
        <v>192</v>
      </c>
      <c r="D19" s="236" t="s">
        <v>193</v>
      </c>
      <c r="E19" s="239" t="s">
        <v>245</v>
      </c>
      <c r="F19" s="239"/>
      <c r="G19" s="239"/>
      <c r="H19" s="266">
        <v>46237.0</v>
      </c>
      <c r="I19" s="266">
        <v>46246.0</v>
      </c>
      <c r="J19" s="239" t="s">
        <v>130</v>
      </c>
      <c r="K19" s="236"/>
      <c r="L19" s="267">
        <f t="shared" ref="L19:V19" si="13">IF(AND(L$6&lt;=$I19,L$6+6&gt;=$H19,$H19&lt;&gt;"",$I19&lt;&gt;""),1,"")</f>
        <v>1</v>
      </c>
      <c r="M19" s="267">
        <f t="shared" si="13"/>
        <v>1</v>
      </c>
      <c r="N19" s="267" t="str">
        <f t="shared" si="13"/>
        <v/>
      </c>
      <c r="O19" s="267" t="str">
        <f t="shared" si="13"/>
        <v/>
      </c>
      <c r="P19" s="267" t="str">
        <f t="shared" si="13"/>
        <v/>
      </c>
      <c r="Q19" s="267" t="str">
        <f t="shared" si="13"/>
        <v/>
      </c>
      <c r="R19" s="267" t="str">
        <f t="shared" si="13"/>
        <v/>
      </c>
      <c r="S19" s="267" t="str">
        <f t="shared" si="13"/>
        <v/>
      </c>
      <c r="T19" s="267" t="str">
        <f t="shared" si="13"/>
        <v/>
      </c>
      <c r="U19" s="267" t="str">
        <f t="shared" si="13"/>
        <v/>
      </c>
      <c r="V19" s="267" t="str">
        <f t="shared" si="13"/>
        <v/>
      </c>
    </row>
    <row r="20" ht="30.0" customHeight="1">
      <c r="A20" s="239">
        <v>14.0</v>
      </c>
      <c r="B20" s="239" t="s">
        <v>272</v>
      </c>
      <c r="C20" s="236" t="s">
        <v>192</v>
      </c>
      <c r="D20" s="236" t="s">
        <v>194</v>
      </c>
      <c r="E20" s="239" t="s">
        <v>245</v>
      </c>
      <c r="F20" s="239"/>
      <c r="G20" s="239"/>
      <c r="H20" s="266">
        <v>46237.0</v>
      </c>
      <c r="I20" s="266">
        <v>46246.0</v>
      </c>
      <c r="J20" s="239" t="s">
        <v>130</v>
      </c>
      <c r="K20" s="236"/>
      <c r="L20" s="267">
        <f t="shared" ref="L20:V20" si="14">IF(AND(L$6&lt;=$I20,L$6+6&gt;=$H20,$H20&lt;&gt;"",$I20&lt;&gt;""),1,"")</f>
        <v>1</v>
      </c>
      <c r="M20" s="267">
        <f t="shared" si="14"/>
        <v>1</v>
      </c>
      <c r="N20" s="267" t="str">
        <f t="shared" si="14"/>
        <v/>
      </c>
      <c r="O20" s="267" t="str">
        <f t="shared" si="14"/>
        <v/>
      </c>
      <c r="P20" s="267" t="str">
        <f t="shared" si="14"/>
        <v/>
      </c>
      <c r="Q20" s="267" t="str">
        <f t="shared" si="14"/>
        <v/>
      </c>
      <c r="R20" s="267" t="str">
        <f t="shared" si="14"/>
        <v/>
      </c>
      <c r="S20" s="267" t="str">
        <f t="shared" si="14"/>
        <v/>
      </c>
      <c r="T20" s="267" t="str">
        <f t="shared" si="14"/>
        <v/>
      </c>
      <c r="U20" s="267" t="str">
        <f t="shared" si="14"/>
        <v/>
      </c>
      <c r="V20" s="267" t="str">
        <f t="shared" si="14"/>
        <v/>
      </c>
    </row>
    <row r="21" ht="30.0" customHeight="1">
      <c r="A21" s="239">
        <v>15.0</v>
      </c>
      <c r="B21" s="239" t="s">
        <v>280</v>
      </c>
      <c r="C21" s="236" t="s">
        <v>192</v>
      </c>
      <c r="D21" s="236" t="s">
        <v>195</v>
      </c>
      <c r="E21" s="239" t="s">
        <v>245</v>
      </c>
      <c r="F21" s="239"/>
      <c r="G21" s="239"/>
      <c r="H21" s="266">
        <v>46237.0</v>
      </c>
      <c r="I21" s="266">
        <v>46246.0</v>
      </c>
      <c r="J21" s="239" t="s">
        <v>130</v>
      </c>
      <c r="K21" s="236"/>
      <c r="L21" s="267">
        <f t="shared" ref="L21:V21" si="15">IF(AND(L$6&lt;=$I21,L$6+6&gt;=$H21,$H21&lt;&gt;"",$I21&lt;&gt;""),1,"")</f>
        <v>1</v>
      </c>
      <c r="M21" s="267">
        <f t="shared" si="15"/>
        <v>1</v>
      </c>
      <c r="N21" s="267" t="str">
        <f t="shared" si="15"/>
        <v/>
      </c>
      <c r="O21" s="267" t="str">
        <f t="shared" si="15"/>
        <v/>
      </c>
      <c r="P21" s="267" t="str">
        <f t="shared" si="15"/>
        <v/>
      </c>
      <c r="Q21" s="267" t="str">
        <f t="shared" si="15"/>
        <v/>
      </c>
      <c r="R21" s="267" t="str">
        <f t="shared" si="15"/>
        <v/>
      </c>
      <c r="S21" s="267" t="str">
        <f t="shared" si="15"/>
        <v/>
      </c>
      <c r="T21" s="267" t="str">
        <f t="shared" si="15"/>
        <v/>
      </c>
      <c r="U21" s="267" t="str">
        <f t="shared" si="15"/>
        <v/>
      </c>
      <c r="V21" s="267" t="str">
        <f t="shared" si="15"/>
        <v/>
      </c>
    </row>
    <row r="22" ht="30.0" customHeight="1">
      <c r="A22" s="239">
        <v>16.0</v>
      </c>
      <c r="B22" s="239" t="s">
        <v>286</v>
      </c>
      <c r="C22" s="236" t="s">
        <v>192</v>
      </c>
      <c r="D22" s="236" t="s">
        <v>227</v>
      </c>
      <c r="E22" s="239" t="s">
        <v>245</v>
      </c>
      <c r="F22" s="239"/>
      <c r="G22" s="239"/>
      <c r="H22" s="266">
        <v>46237.0</v>
      </c>
      <c r="I22" s="266">
        <v>46246.0</v>
      </c>
      <c r="J22" s="239" t="s">
        <v>130</v>
      </c>
      <c r="K22" s="236"/>
      <c r="L22" s="267">
        <f t="shared" ref="L22:V22" si="16">IF(AND(L$6&lt;=$I22,L$6+6&gt;=$H22,$H22&lt;&gt;"",$I22&lt;&gt;""),1,"")</f>
        <v>1</v>
      </c>
      <c r="M22" s="267">
        <f t="shared" si="16"/>
        <v>1</v>
      </c>
      <c r="N22" s="267" t="str">
        <f t="shared" si="16"/>
        <v/>
      </c>
      <c r="O22" s="267" t="str">
        <f t="shared" si="16"/>
        <v/>
      </c>
      <c r="P22" s="267" t="str">
        <f t="shared" si="16"/>
        <v/>
      </c>
      <c r="Q22" s="267" t="str">
        <f t="shared" si="16"/>
        <v/>
      </c>
      <c r="R22" s="267" t="str">
        <f t="shared" si="16"/>
        <v/>
      </c>
      <c r="S22" s="267" t="str">
        <f t="shared" si="16"/>
        <v/>
      </c>
      <c r="T22" s="267" t="str">
        <f t="shared" si="16"/>
        <v/>
      </c>
      <c r="U22" s="267" t="str">
        <f t="shared" si="16"/>
        <v/>
      </c>
      <c r="V22" s="267" t="str">
        <f t="shared" si="16"/>
        <v/>
      </c>
    </row>
    <row r="23" ht="30.0" customHeight="1">
      <c r="A23" s="239">
        <v>17.0</v>
      </c>
      <c r="B23" s="239" t="s">
        <v>294</v>
      </c>
      <c r="C23" s="236" t="s">
        <v>192</v>
      </c>
      <c r="D23" s="236" t="s">
        <v>295</v>
      </c>
      <c r="E23" s="239" t="s">
        <v>245</v>
      </c>
      <c r="F23" s="239"/>
      <c r="G23" s="239"/>
      <c r="H23" s="266">
        <v>46244.0</v>
      </c>
      <c r="I23" s="266">
        <v>46248.0</v>
      </c>
      <c r="J23" s="239" t="s">
        <v>130</v>
      </c>
      <c r="K23" s="236" t="s">
        <v>299</v>
      </c>
      <c r="L23" s="267" t="str">
        <f t="shared" ref="L23:V23" si="17">IF(AND(L$6&lt;=$I23,L$6+6&gt;=$H23,$H23&lt;&gt;"",$I23&lt;&gt;""),1,"")</f>
        <v/>
      </c>
      <c r="M23" s="267">
        <f t="shared" si="17"/>
        <v>1</v>
      </c>
      <c r="N23" s="267" t="str">
        <f t="shared" si="17"/>
        <v/>
      </c>
      <c r="O23" s="267" t="str">
        <f t="shared" si="17"/>
        <v/>
      </c>
      <c r="P23" s="267" t="str">
        <f t="shared" si="17"/>
        <v/>
      </c>
      <c r="Q23" s="267" t="str">
        <f t="shared" si="17"/>
        <v/>
      </c>
      <c r="R23" s="267" t="str">
        <f t="shared" si="17"/>
        <v/>
      </c>
      <c r="S23" s="267" t="str">
        <f t="shared" si="17"/>
        <v/>
      </c>
      <c r="T23" s="267" t="str">
        <f t="shared" si="17"/>
        <v/>
      </c>
      <c r="U23" s="267" t="str">
        <f t="shared" si="17"/>
        <v/>
      </c>
      <c r="V23" s="267" t="str">
        <f t="shared" si="17"/>
        <v/>
      </c>
    </row>
    <row r="24" ht="30.0" customHeight="1">
      <c r="A24" s="239">
        <v>18.0</v>
      </c>
      <c r="B24" s="239" t="s">
        <v>301</v>
      </c>
      <c r="C24" s="236" t="s">
        <v>303</v>
      </c>
      <c r="D24" s="236" t="s">
        <v>305</v>
      </c>
      <c r="E24" s="239" t="s">
        <v>245</v>
      </c>
      <c r="F24" s="239"/>
      <c r="G24" s="239"/>
      <c r="H24" s="266">
        <v>46237.0</v>
      </c>
      <c r="I24" s="266">
        <v>46246.0</v>
      </c>
      <c r="J24" s="239" t="s">
        <v>130</v>
      </c>
      <c r="K24" s="236" t="s">
        <v>311</v>
      </c>
      <c r="L24" s="267">
        <f t="shared" ref="L24:V24" si="18">IF(AND(L$6&lt;=$I24,L$6+6&gt;=$H24,$H24&lt;&gt;"",$I24&lt;&gt;""),1,"")</f>
        <v>1</v>
      </c>
      <c r="M24" s="267">
        <f t="shared" si="18"/>
        <v>1</v>
      </c>
      <c r="N24" s="267" t="str">
        <f t="shared" si="18"/>
        <v/>
      </c>
      <c r="O24" s="267" t="str">
        <f t="shared" si="18"/>
        <v/>
      </c>
      <c r="P24" s="267" t="str">
        <f t="shared" si="18"/>
        <v/>
      </c>
      <c r="Q24" s="267" t="str">
        <f t="shared" si="18"/>
        <v/>
      </c>
      <c r="R24" s="267" t="str">
        <f t="shared" si="18"/>
        <v/>
      </c>
      <c r="S24" s="267" t="str">
        <f t="shared" si="18"/>
        <v/>
      </c>
      <c r="T24" s="267" t="str">
        <f t="shared" si="18"/>
        <v/>
      </c>
      <c r="U24" s="267" t="str">
        <f t="shared" si="18"/>
        <v/>
      </c>
      <c r="V24" s="267" t="str">
        <f t="shared" si="18"/>
        <v/>
      </c>
    </row>
    <row r="25" ht="30.0" customHeight="1">
      <c r="A25" s="239">
        <v>19.0</v>
      </c>
      <c r="B25" s="239" t="s">
        <v>314</v>
      </c>
      <c r="C25" s="236" t="s">
        <v>303</v>
      </c>
      <c r="D25" s="236" t="s">
        <v>317</v>
      </c>
      <c r="E25" s="239" t="s">
        <v>245</v>
      </c>
      <c r="F25" s="239"/>
      <c r="G25" s="239"/>
      <c r="H25" s="266">
        <v>46237.0</v>
      </c>
      <c r="I25" s="266">
        <v>46246.0</v>
      </c>
      <c r="J25" s="239" t="s">
        <v>130</v>
      </c>
      <c r="K25" s="236"/>
      <c r="L25" s="267">
        <f t="shared" ref="L25:V25" si="19">IF(AND(L$6&lt;=$I25,L$6+6&gt;=$H25,$H25&lt;&gt;"",$I25&lt;&gt;""),1,"")</f>
        <v>1</v>
      </c>
      <c r="M25" s="267">
        <f t="shared" si="19"/>
        <v>1</v>
      </c>
      <c r="N25" s="267" t="str">
        <f t="shared" si="19"/>
        <v/>
      </c>
      <c r="O25" s="267" t="str">
        <f t="shared" si="19"/>
        <v/>
      </c>
      <c r="P25" s="267" t="str">
        <f t="shared" si="19"/>
        <v/>
      </c>
      <c r="Q25" s="267" t="str">
        <f t="shared" si="19"/>
        <v/>
      </c>
      <c r="R25" s="267" t="str">
        <f t="shared" si="19"/>
        <v/>
      </c>
      <c r="S25" s="267" t="str">
        <f t="shared" si="19"/>
        <v/>
      </c>
      <c r="T25" s="267" t="str">
        <f t="shared" si="19"/>
        <v/>
      </c>
      <c r="U25" s="267" t="str">
        <f t="shared" si="19"/>
        <v/>
      </c>
      <c r="V25" s="267" t="str">
        <f t="shared" si="19"/>
        <v/>
      </c>
    </row>
    <row r="26" ht="30.0" customHeight="1">
      <c r="A26" s="239">
        <v>20.0</v>
      </c>
      <c r="B26" s="239" t="s">
        <v>325</v>
      </c>
      <c r="C26" s="236" t="s">
        <v>303</v>
      </c>
      <c r="D26" s="236" t="s">
        <v>327</v>
      </c>
      <c r="E26" s="239" t="s">
        <v>245</v>
      </c>
      <c r="F26" s="239"/>
      <c r="G26" s="239"/>
      <c r="H26" s="266">
        <v>46237.0</v>
      </c>
      <c r="I26" s="266">
        <v>46246.0</v>
      </c>
      <c r="J26" s="239" t="s">
        <v>130</v>
      </c>
      <c r="K26" s="236" t="s">
        <v>340</v>
      </c>
      <c r="L26" s="267">
        <f t="shared" ref="L26:V26" si="20">IF(AND(L$6&lt;=$I26,L$6+6&gt;=$H26,$H26&lt;&gt;"",$I26&lt;&gt;""),1,"")</f>
        <v>1</v>
      </c>
      <c r="M26" s="267">
        <f t="shared" si="20"/>
        <v>1</v>
      </c>
      <c r="N26" s="267" t="str">
        <f t="shared" si="20"/>
        <v/>
      </c>
      <c r="O26" s="267" t="str">
        <f t="shared" si="20"/>
        <v/>
      </c>
      <c r="P26" s="267" t="str">
        <f t="shared" si="20"/>
        <v/>
      </c>
      <c r="Q26" s="267" t="str">
        <f t="shared" si="20"/>
        <v/>
      </c>
      <c r="R26" s="267" t="str">
        <f t="shared" si="20"/>
        <v/>
      </c>
      <c r="S26" s="267" t="str">
        <f t="shared" si="20"/>
        <v/>
      </c>
      <c r="T26" s="267" t="str">
        <f t="shared" si="20"/>
        <v/>
      </c>
      <c r="U26" s="267" t="str">
        <f t="shared" si="20"/>
        <v/>
      </c>
      <c r="V26" s="267" t="str">
        <f t="shared" si="20"/>
        <v/>
      </c>
    </row>
    <row r="27" ht="30.0" customHeight="1">
      <c r="A27" s="239">
        <v>21.0</v>
      </c>
      <c r="B27" s="239" t="s">
        <v>342</v>
      </c>
      <c r="C27" s="236" t="s">
        <v>303</v>
      </c>
      <c r="D27" s="236" t="s">
        <v>344</v>
      </c>
      <c r="E27" s="239" t="s">
        <v>245</v>
      </c>
      <c r="F27" s="239"/>
      <c r="G27" s="239"/>
      <c r="H27" s="266">
        <v>46237.0</v>
      </c>
      <c r="I27" s="266">
        <v>46246.0</v>
      </c>
      <c r="J27" s="239" t="s">
        <v>130</v>
      </c>
      <c r="K27" s="236" t="s">
        <v>356</v>
      </c>
      <c r="L27" s="267">
        <f t="shared" ref="L27:V27" si="21">IF(AND(L$6&lt;=$I27,L$6+6&gt;=$H27,$H27&lt;&gt;"",$I27&lt;&gt;""),1,"")</f>
        <v>1</v>
      </c>
      <c r="M27" s="267">
        <f t="shared" si="21"/>
        <v>1</v>
      </c>
      <c r="N27" s="267" t="str">
        <f t="shared" si="21"/>
        <v/>
      </c>
      <c r="O27" s="267" t="str">
        <f t="shared" si="21"/>
        <v/>
      </c>
      <c r="P27" s="267" t="str">
        <f t="shared" si="21"/>
        <v/>
      </c>
      <c r="Q27" s="267" t="str">
        <f t="shared" si="21"/>
        <v/>
      </c>
      <c r="R27" s="267" t="str">
        <f t="shared" si="21"/>
        <v/>
      </c>
      <c r="S27" s="267" t="str">
        <f t="shared" si="21"/>
        <v/>
      </c>
      <c r="T27" s="267" t="str">
        <f t="shared" si="21"/>
        <v/>
      </c>
      <c r="U27" s="267" t="str">
        <f t="shared" si="21"/>
        <v/>
      </c>
      <c r="V27" s="267" t="str">
        <f t="shared" si="21"/>
        <v/>
      </c>
    </row>
    <row r="28" ht="30.0" customHeight="1">
      <c r="A28" s="239">
        <v>22.0</v>
      </c>
      <c r="B28" s="239" t="s">
        <v>357</v>
      </c>
      <c r="C28" s="236" t="s">
        <v>303</v>
      </c>
      <c r="D28" s="236" t="s">
        <v>358</v>
      </c>
      <c r="E28" s="239" t="s">
        <v>245</v>
      </c>
      <c r="F28" s="239"/>
      <c r="G28" s="239"/>
      <c r="H28" s="266">
        <v>46237.0</v>
      </c>
      <c r="I28" s="266">
        <v>46246.0</v>
      </c>
      <c r="J28" s="239" t="s">
        <v>130</v>
      </c>
      <c r="K28" s="236" t="s">
        <v>361</v>
      </c>
      <c r="L28" s="267">
        <f t="shared" ref="L28:V28" si="22">IF(AND(L$6&lt;=$I28,L$6+6&gt;=$H28,$H28&lt;&gt;"",$I28&lt;&gt;""),1,"")</f>
        <v>1</v>
      </c>
      <c r="M28" s="267">
        <f t="shared" si="22"/>
        <v>1</v>
      </c>
      <c r="N28" s="267" t="str">
        <f t="shared" si="22"/>
        <v/>
      </c>
      <c r="O28" s="267" t="str">
        <f t="shared" si="22"/>
        <v/>
      </c>
      <c r="P28" s="267" t="str">
        <f t="shared" si="22"/>
        <v/>
      </c>
      <c r="Q28" s="267" t="str">
        <f t="shared" si="22"/>
        <v/>
      </c>
      <c r="R28" s="267" t="str">
        <f t="shared" si="22"/>
        <v/>
      </c>
      <c r="S28" s="267" t="str">
        <f t="shared" si="22"/>
        <v/>
      </c>
      <c r="T28" s="267" t="str">
        <f t="shared" si="22"/>
        <v/>
      </c>
      <c r="U28" s="267" t="str">
        <f t="shared" si="22"/>
        <v/>
      </c>
      <c r="V28" s="267" t="str">
        <f t="shared" si="22"/>
        <v/>
      </c>
    </row>
    <row r="29" ht="30.0" customHeight="1">
      <c r="A29" s="239">
        <v>23.0</v>
      </c>
      <c r="B29" s="239" t="s">
        <v>362</v>
      </c>
      <c r="C29" s="236" t="s">
        <v>303</v>
      </c>
      <c r="D29" s="236" t="s">
        <v>363</v>
      </c>
      <c r="E29" s="239" t="s">
        <v>245</v>
      </c>
      <c r="F29" s="239"/>
      <c r="G29" s="239"/>
      <c r="H29" s="266">
        <v>46244.0</v>
      </c>
      <c r="I29" s="266">
        <v>46248.0</v>
      </c>
      <c r="J29" s="239" t="s">
        <v>130</v>
      </c>
      <c r="K29" s="236"/>
      <c r="L29" s="267" t="str">
        <f t="shared" ref="L29:V29" si="23">IF(AND(L$6&lt;=$I29,L$6+6&gt;=$H29,$H29&lt;&gt;"",$I29&lt;&gt;""),1,"")</f>
        <v/>
      </c>
      <c r="M29" s="267">
        <f t="shared" si="23"/>
        <v>1</v>
      </c>
      <c r="N29" s="267" t="str">
        <f t="shared" si="23"/>
        <v/>
      </c>
      <c r="O29" s="267" t="str">
        <f t="shared" si="23"/>
        <v/>
      </c>
      <c r="P29" s="267" t="str">
        <f t="shared" si="23"/>
        <v/>
      </c>
      <c r="Q29" s="267" t="str">
        <f t="shared" si="23"/>
        <v/>
      </c>
      <c r="R29" s="267" t="str">
        <f t="shared" si="23"/>
        <v/>
      </c>
      <c r="S29" s="267" t="str">
        <f t="shared" si="23"/>
        <v/>
      </c>
      <c r="T29" s="267" t="str">
        <f t="shared" si="23"/>
        <v/>
      </c>
      <c r="U29" s="267" t="str">
        <f t="shared" si="23"/>
        <v/>
      </c>
      <c r="V29" s="267" t="str">
        <f t="shared" si="23"/>
        <v/>
      </c>
    </row>
    <row r="30" ht="30.0" customHeight="1">
      <c r="A30" s="239">
        <v>24.0</v>
      </c>
      <c r="B30" s="239" t="s">
        <v>366</v>
      </c>
      <c r="C30" s="236" t="s">
        <v>367</v>
      </c>
      <c r="D30" s="236" t="s">
        <v>368</v>
      </c>
      <c r="E30" s="239" t="s">
        <v>245</v>
      </c>
      <c r="F30" s="239"/>
      <c r="G30" s="239"/>
      <c r="H30" s="266">
        <v>46244.0</v>
      </c>
      <c r="I30" s="266">
        <v>46253.0</v>
      </c>
      <c r="J30" s="239" t="s">
        <v>130</v>
      </c>
      <c r="K30" s="236" t="s">
        <v>372</v>
      </c>
      <c r="L30" s="267" t="str">
        <f t="shared" ref="L30:V30" si="24">IF(AND(L$6&lt;=$I30,L$6+6&gt;=$H30,$H30&lt;&gt;"",$I30&lt;&gt;""),1,"")</f>
        <v/>
      </c>
      <c r="M30" s="267">
        <f t="shared" si="24"/>
        <v>1</v>
      </c>
      <c r="N30" s="267">
        <f t="shared" si="24"/>
        <v>1</v>
      </c>
      <c r="O30" s="267" t="str">
        <f t="shared" si="24"/>
        <v/>
      </c>
      <c r="P30" s="267" t="str">
        <f t="shared" si="24"/>
        <v/>
      </c>
      <c r="Q30" s="267" t="str">
        <f t="shared" si="24"/>
        <v/>
      </c>
      <c r="R30" s="267" t="str">
        <f t="shared" si="24"/>
        <v/>
      </c>
      <c r="S30" s="267" t="str">
        <f t="shared" si="24"/>
        <v/>
      </c>
      <c r="T30" s="267" t="str">
        <f t="shared" si="24"/>
        <v/>
      </c>
      <c r="U30" s="267" t="str">
        <f t="shared" si="24"/>
        <v/>
      </c>
      <c r="V30" s="267" t="str">
        <f t="shared" si="24"/>
        <v/>
      </c>
    </row>
    <row r="31" ht="30.0" customHeight="1">
      <c r="A31" s="239">
        <v>25.0</v>
      </c>
      <c r="B31" s="239" t="s">
        <v>373</v>
      </c>
      <c r="C31" s="236" t="s">
        <v>367</v>
      </c>
      <c r="D31" s="236" t="s">
        <v>374</v>
      </c>
      <c r="E31" s="239" t="s">
        <v>245</v>
      </c>
      <c r="F31" s="239"/>
      <c r="G31" s="239"/>
      <c r="H31" s="266">
        <v>46244.0</v>
      </c>
      <c r="I31" s="266">
        <v>46253.0</v>
      </c>
      <c r="J31" s="239" t="s">
        <v>130</v>
      </c>
      <c r="K31" s="236"/>
      <c r="L31" s="267" t="str">
        <f t="shared" ref="L31:V31" si="25">IF(AND(L$6&lt;=$I31,L$6+6&gt;=$H31,$H31&lt;&gt;"",$I31&lt;&gt;""),1,"")</f>
        <v/>
      </c>
      <c r="M31" s="267">
        <f t="shared" si="25"/>
        <v>1</v>
      </c>
      <c r="N31" s="267">
        <f t="shared" si="25"/>
        <v>1</v>
      </c>
      <c r="O31" s="267" t="str">
        <f t="shared" si="25"/>
        <v/>
      </c>
      <c r="P31" s="267" t="str">
        <f t="shared" si="25"/>
        <v/>
      </c>
      <c r="Q31" s="267" t="str">
        <f t="shared" si="25"/>
        <v/>
      </c>
      <c r="R31" s="267" t="str">
        <f t="shared" si="25"/>
        <v/>
      </c>
      <c r="S31" s="267" t="str">
        <f t="shared" si="25"/>
        <v/>
      </c>
      <c r="T31" s="267" t="str">
        <f t="shared" si="25"/>
        <v/>
      </c>
      <c r="U31" s="267" t="str">
        <f t="shared" si="25"/>
        <v/>
      </c>
      <c r="V31" s="267" t="str">
        <f t="shared" si="25"/>
        <v/>
      </c>
    </row>
    <row r="32" ht="30.0" customHeight="1">
      <c r="A32" s="239">
        <v>26.0</v>
      </c>
      <c r="B32" s="239" t="s">
        <v>377</v>
      </c>
      <c r="C32" s="236" t="s">
        <v>367</v>
      </c>
      <c r="D32" s="236" t="s">
        <v>378</v>
      </c>
      <c r="E32" s="239" t="s">
        <v>245</v>
      </c>
      <c r="F32" s="239"/>
      <c r="G32" s="239"/>
      <c r="H32" s="266">
        <v>46244.0</v>
      </c>
      <c r="I32" s="266">
        <v>46253.0</v>
      </c>
      <c r="J32" s="239" t="s">
        <v>130</v>
      </c>
      <c r="K32" s="236" t="s">
        <v>381</v>
      </c>
      <c r="L32" s="267" t="str">
        <f t="shared" ref="L32:V32" si="26">IF(AND(L$6&lt;=$I32,L$6+6&gt;=$H32,$H32&lt;&gt;"",$I32&lt;&gt;""),1,"")</f>
        <v/>
      </c>
      <c r="M32" s="267">
        <f t="shared" si="26"/>
        <v>1</v>
      </c>
      <c r="N32" s="267">
        <f t="shared" si="26"/>
        <v>1</v>
      </c>
      <c r="O32" s="267" t="str">
        <f t="shared" si="26"/>
        <v/>
      </c>
      <c r="P32" s="267" t="str">
        <f t="shared" si="26"/>
        <v/>
      </c>
      <c r="Q32" s="267" t="str">
        <f t="shared" si="26"/>
        <v/>
      </c>
      <c r="R32" s="267" t="str">
        <f t="shared" si="26"/>
        <v/>
      </c>
      <c r="S32" s="267" t="str">
        <f t="shared" si="26"/>
        <v/>
      </c>
      <c r="T32" s="267" t="str">
        <f t="shared" si="26"/>
        <v/>
      </c>
      <c r="U32" s="267" t="str">
        <f t="shared" si="26"/>
        <v/>
      </c>
      <c r="V32" s="267" t="str">
        <f t="shared" si="26"/>
        <v/>
      </c>
    </row>
    <row r="33" ht="30.0" customHeight="1">
      <c r="A33" s="239">
        <v>27.0</v>
      </c>
      <c r="B33" s="239" t="s">
        <v>382</v>
      </c>
      <c r="C33" s="236" t="s">
        <v>367</v>
      </c>
      <c r="D33" s="236" t="s">
        <v>383</v>
      </c>
      <c r="E33" s="239" t="s">
        <v>245</v>
      </c>
      <c r="F33" s="239"/>
      <c r="G33" s="239"/>
      <c r="H33" s="266">
        <v>46244.0</v>
      </c>
      <c r="I33" s="266">
        <v>46253.0</v>
      </c>
      <c r="J33" s="239" t="s">
        <v>130</v>
      </c>
      <c r="K33" s="236"/>
      <c r="L33" s="267" t="str">
        <f t="shared" ref="L33:V33" si="27">IF(AND(L$6&lt;=$I33,L$6+6&gt;=$H33,$H33&lt;&gt;"",$I33&lt;&gt;""),1,"")</f>
        <v/>
      </c>
      <c r="M33" s="267">
        <f t="shared" si="27"/>
        <v>1</v>
      </c>
      <c r="N33" s="267">
        <f t="shared" si="27"/>
        <v>1</v>
      </c>
      <c r="O33" s="267" t="str">
        <f t="shared" si="27"/>
        <v/>
      </c>
      <c r="P33" s="267" t="str">
        <f t="shared" si="27"/>
        <v/>
      </c>
      <c r="Q33" s="267" t="str">
        <f t="shared" si="27"/>
        <v/>
      </c>
      <c r="R33" s="267" t="str">
        <f t="shared" si="27"/>
        <v/>
      </c>
      <c r="S33" s="267" t="str">
        <f t="shared" si="27"/>
        <v/>
      </c>
      <c r="T33" s="267" t="str">
        <f t="shared" si="27"/>
        <v/>
      </c>
      <c r="U33" s="267" t="str">
        <f t="shared" si="27"/>
        <v/>
      </c>
      <c r="V33" s="267" t="str">
        <f t="shared" si="27"/>
        <v/>
      </c>
    </row>
    <row r="34" ht="30.0" customHeight="1">
      <c r="A34" s="239">
        <v>28.0</v>
      </c>
      <c r="B34" s="239" t="s">
        <v>386</v>
      </c>
      <c r="C34" s="236" t="s">
        <v>367</v>
      </c>
      <c r="D34" s="236" t="s">
        <v>387</v>
      </c>
      <c r="E34" s="239" t="s">
        <v>245</v>
      </c>
      <c r="F34" s="239"/>
      <c r="G34" s="239"/>
      <c r="H34" s="266">
        <v>46244.0</v>
      </c>
      <c r="I34" s="266">
        <v>46253.0</v>
      </c>
      <c r="J34" s="239" t="s">
        <v>130</v>
      </c>
      <c r="K34" s="236"/>
      <c r="L34" s="267" t="str">
        <f t="shared" ref="L34:V34" si="28">IF(AND(L$6&lt;=$I34,L$6+6&gt;=$H34,$H34&lt;&gt;"",$I34&lt;&gt;""),1,"")</f>
        <v/>
      </c>
      <c r="M34" s="267">
        <f t="shared" si="28"/>
        <v>1</v>
      </c>
      <c r="N34" s="267">
        <f t="shared" si="28"/>
        <v>1</v>
      </c>
      <c r="O34" s="267" t="str">
        <f t="shared" si="28"/>
        <v/>
      </c>
      <c r="P34" s="267" t="str">
        <f t="shared" si="28"/>
        <v/>
      </c>
      <c r="Q34" s="267" t="str">
        <f t="shared" si="28"/>
        <v/>
      </c>
      <c r="R34" s="267" t="str">
        <f t="shared" si="28"/>
        <v/>
      </c>
      <c r="S34" s="267" t="str">
        <f t="shared" si="28"/>
        <v/>
      </c>
      <c r="T34" s="267" t="str">
        <f t="shared" si="28"/>
        <v/>
      </c>
      <c r="U34" s="267" t="str">
        <f t="shared" si="28"/>
        <v/>
      </c>
      <c r="V34" s="267" t="str">
        <f t="shared" si="28"/>
        <v/>
      </c>
    </row>
    <row r="35" ht="30.0" customHeight="1">
      <c r="A35" s="239">
        <v>29.0</v>
      </c>
      <c r="B35" s="239" t="s">
        <v>390</v>
      </c>
      <c r="C35" s="236" t="s">
        <v>367</v>
      </c>
      <c r="D35" s="236" t="s">
        <v>391</v>
      </c>
      <c r="E35" s="239" t="s">
        <v>245</v>
      </c>
      <c r="F35" s="239"/>
      <c r="G35" s="239"/>
      <c r="H35" s="266">
        <v>46251.0</v>
      </c>
      <c r="I35" s="266">
        <v>46255.0</v>
      </c>
      <c r="J35" s="239" t="s">
        <v>130</v>
      </c>
      <c r="K35" s="236"/>
      <c r="L35" s="267" t="str">
        <f t="shared" ref="L35:V35" si="29">IF(AND(L$6&lt;=$I35,L$6+6&gt;=$H35,$H35&lt;&gt;"",$I35&lt;&gt;""),1,"")</f>
        <v/>
      </c>
      <c r="M35" s="267" t="str">
        <f t="shared" si="29"/>
        <v/>
      </c>
      <c r="N35" s="267">
        <f t="shared" si="29"/>
        <v>1</v>
      </c>
      <c r="O35" s="267" t="str">
        <f t="shared" si="29"/>
        <v/>
      </c>
      <c r="P35" s="267" t="str">
        <f t="shared" si="29"/>
        <v/>
      </c>
      <c r="Q35" s="267" t="str">
        <f t="shared" si="29"/>
        <v/>
      </c>
      <c r="R35" s="267" t="str">
        <f t="shared" si="29"/>
        <v/>
      </c>
      <c r="S35" s="267" t="str">
        <f t="shared" si="29"/>
        <v/>
      </c>
      <c r="T35" s="267" t="str">
        <f t="shared" si="29"/>
        <v/>
      </c>
      <c r="U35" s="267" t="str">
        <f t="shared" si="29"/>
        <v/>
      </c>
      <c r="V35" s="267" t="str">
        <f t="shared" si="29"/>
        <v/>
      </c>
    </row>
    <row r="36" ht="30.0" customHeight="1">
      <c r="A36" s="239">
        <v>30.0</v>
      </c>
      <c r="B36" s="239" t="s">
        <v>394</v>
      </c>
      <c r="C36" s="236" t="s">
        <v>367</v>
      </c>
      <c r="D36" s="236" t="s">
        <v>395</v>
      </c>
      <c r="E36" s="239" t="s">
        <v>245</v>
      </c>
      <c r="F36" s="239"/>
      <c r="G36" s="239"/>
      <c r="H36" s="266">
        <v>46251.0</v>
      </c>
      <c r="I36" s="266">
        <v>46255.0</v>
      </c>
      <c r="J36" s="239" t="s">
        <v>130</v>
      </c>
      <c r="K36" s="236"/>
      <c r="L36" s="267" t="str">
        <f t="shared" ref="L36:V36" si="30">IF(AND(L$6&lt;=$I36,L$6+6&gt;=$H36,$H36&lt;&gt;"",$I36&lt;&gt;""),1,"")</f>
        <v/>
      </c>
      <c r="M36" s="267" t="str">
        <f t="shared" si="30"/>
        <v/>
      </c>
      <c r="N36" s="267">
        <f t="shared" si="30"/>
        <v>1</v>
      </c>
      <c r="O36" s="267" t="str">
        <f t="shared" si="30"/>
        <v/>
      </c>
      <c r="P36" s="267" t="str">
        <f t="shared" si="30"/>
        <v/>
      </c>
      <c r="Q36" s="267" t="str">
        <f t="shared" si="30"/>
        <v/>
      </c>
      <c r="R36" s="267" t="str">
        <f t="shared" si="30"/>
        <v/>
      </c>
      <c r="S36" s="267" t="str">
        <f t="shared" si="30"/>
        <v/>
      </c>
      <c r="T36" s="267" t="str">
        <f t="shared" si="30"/>
        <v/>
      </c>
      <c r="U36" s="267" t="str">
        <f t="shared" si="30"/>
        <v/>
      </c>
      <c r="V36" s="267" t="str">
        <f t="shared" si="30"/>
        <v/>
      </c>
    </row>
    <row r="37" ht="30.0" customHeight="1">
      <c r="A37" s="239">
        <v>31.0</v>
      </c>
      <c r="B37" s="239" t="s">
        <v>398</v>
      </c>
      <c r="C37" s="236" t="s">
        <v>399</v>
      </c>
      <c r="D37" s="236" t="s">
        <v>400</v>
      </c>
      <c r="E37" s="239" t="s">
        <v>245</v>
      </c>
      <c r="F37" s="239"/>
      <c r="G37" s="239"/>
      <c r="H37" s="266">
        <v>46244.0</v>
      </c>
      <c r="I37" s="266">
        <v>46253.0</v>
      </c>
      <c r="J37" s="239" t="s">
        <v>130</v>
      </c>
      <c r="K37" s="236"/>
      <c r="L37" s="267" t="str">
        <f t="shared" ref="L37:V37" si="31">IF(AND(L$6&lt;=$I37,L$6+6&gt;=$H37,$H37&lt;&gt;"",$I37&lt;&gt;""),1,"")</f>
        <v/>
      </c>
      <c r="M37" s="267">
        <f t="shared" si="31"/>
        <v>1</v>
      </c>
      <c r="N37" s="267">
        <f t="shared" si="31"/>
        <v>1</v>
      </c>
      <c r="O37" s="267" t="str">
        <f t="shared" si="31"/>
        <v/>
      </c>
      <c r="P37" s="267" t="str">
        <f t="shared" si="31"/>
        <v/>
      </c>
      <c r="Q37" s="267" t="str">
        <f t="shared" si="31"/>
        <v/>
      </c>
      <c r="R37" s="267" t="str">
        <f t="shared" si="31"/>
        <v/>
      </c>
      <c r="S37" s="267" t="str">
        <f t="shared" si="31"/>
        <v/>
      </c>
      <c r="T37" s="267" t="str">
        <f t="shared" si="31"/>
        <v/>
      </c>
      <c r="U37" s="267" t="str">
        <f t="shared" si="31"/>
        <v/>
      </c>
      <c r="V37" s="267" t="str">
        <f t="shared" si="31"/>
        <v/>
      </c>
    </row>
    <row r="38" ht="30.0" customHeight="1">
      <c r="A38" s="239">
        <v>32.0</v>
      </c>
      <c r="B38" s="239" t="s">
        <v>412</v>
      </c>
      <c r="C38" s="236" t="s">
        <v>399</v>
      </c>
      <c r="D38" s="236" t="s">
        <v>413</v>
      </c>
      <c r="E38" s="239" t="s">
        <v>245</v>
      </c>
      <c r="F38" s="239"/>
      <c r="G38" s="239"/>
      <c r="H38" s="266">
        <v>46244.0</v>
      </c>
      <c r="I38" s="266">
        <v>46253.0</v>
      </c>
      <c r="J38" s="239" t="s">
        <v>130</v>
      </c>
      <c r="K38" s="236" t="s">
        <v>419</v>
      </c>
      <c r="L38" s="267" t="str">
        <f t="shared" ref="L38:V38" si="32">IF(AND(L$6&lt;=$I38,L$6+6&gt;=$H38,$H38&lt;&gt;"",$I38&lt;&gt;""),1,"")</f>
        <v/>
      </c>
      <c r="M38" s="267">
        <f t="shared" si="32"/>
        <v>1</v>
      </c>
      <c r="N38" s="267">
        <f t="shared" si="32"/>
        <v>1</v>
      </c>
      <c r="O38" s="267" t="str">
        <f t="shared" si="32"/>
        <v/>
      </c>
      <c r="P38" s="267" t="str">
        <f t="shared" si="32"/>
        <v/>
      </c>
      <c r="Q38" s="267" t="str">
        <f t="shared" si="32"/>
        <v/>
      </c>
      <c r="R38" s="267" t="str">
        <f t="shared" si="32"/>
        <v/>
      </c>
      <c r="S38" s="267" t="str">
        <f t="shared" si="32"/>
        <v/>
      </c>
      <c r="T38" s="267" t="str">
        <f t="shared" si="32"/>
        <v/>
      </c>
      <c r="U38" s="267" t="str">
        <f t="shared" si="32"/>
        <v/>
      </c>
      <c r="V38" s="267" t="str">
        <f t="shared" si="32"/>
        <v/>
      </c>
    </row>
    <row r="39" ht="30.0" customHeight="1">
      <c r="A39" s="239">
        <v>33.0</v>
      </c>
      <c r="B39" s="239" t="s">
        <v>420</v>
      </c>
      <c r="C39" s="236" t="s">
        <v>399</v>
      </c>
      <c r="D39" s="236" t="s">
        <v>421</v>
      </c>
      <c r="E39" s="239" t="s">
        <v>245</v>
      </c>
      <c r="F39" s="239"/>
      <c r="G39" s="239"/>
      <c r="H39" s="266">
        <v>46244.0</v>
      </c>
      <c r="I39" s="266">
        <v>46253.0</v>
      </c>
      <c r="J39" s="239" t="s">
        <v>130</v>
      </c>
      <c r="K39" s="236" t="s">
        <v>424</v>
      </c>
      <c r="L39" s="267" t="str">
        <f t="shared" ref="L39:V39" si="33">IF(AND(L$6&lt;=$I39,L$6+6&gt;=$H39,$H39&lt;&gt;"",$I39&lt;&gt;""),1,"")</f>
        <v/>
      </c>
      <c r="M39" s="267">
        <f t="shared" si="33"/>
        <v>1</v>
      </c>
      <c r="N39" s="267">
        <f t="shared" si="33"/>
        <v>1</v>
      </c>
      <c r="O39" s="267" t="str">
        <f t="shared" si="33"/>
        <v/>
      </c>
      <c r="P39" s="267" t="str">
        <f t="shared" si="33"/>
        <v/>
      </c>
      <c r="Q39" s="267" t="str">
        <f t="shared" si="33"/>
        <v/>
      </c>
      <c r="R39" s="267" t="str">
        <f t="shared" si="33"/>
        <v/>
      </c>
      <c r="S39" s="267" t="str">
        <f t="shared" si="33"/>
        <v/>
      </c>
      <c r="T39" s="267" t="str">
        <f t="shared" si="33"/>
        <v/>
      </c>
      <c r="U39" s="267" t="str">
        <f t="shared" si="33"/>
        <v/>
      </c>
      <c r="V39" s="267" t="str">
        <f t="shared" si="33"/>
        <v/>
      </c>
    </row>
    <row r="40" ht="30.0" customHeight="1">
      <c r="A40" s="239">
        <v>34.0</v>
      </c>
      <c r="B40" s="239" t="s">
        <v>425</v>
      </c>
      <c r="C40" s="236" t="s">
        <v>399</v>
      </c>
      <c r="D40" s="236" t="s">
        <v>426</v>
      </c>
      <c r="E40" s="239" t="s">
        <v>245</v>
      </c>
      <c r="F40" s="239"/>
      <c r="G40" s="239"/>
      <c r="H40" s="266">
        <v>46244.0</v>
      </c>
      <c r="I40" s="266">
        <v>46253.0</v>
      </c>
      <c r="J40" s="239" t="s">
        <v>130</v>
      </c>
      <c r="K40" s="236"/>
      <c r="L40" s="267" t="str">
        <f t="shared" ref="L40:V40" si="34">IF(AND(L$6&lt;=$I40,L$6+6&gt;=$H40,$H40&lt;&gt;"",$I40&lt;&gt;""),1,"")</f>
        <v/>
      </c>
      <c r="M40" s="267">
        <f t="shared" si="34"/>
        <v>1</v>
      </c>
      <c r="N40" s="267">
        <f t="shared" si="34"/>
        <v>1</v>
      </c>
      <c r="O40" s="267" t="str">
        <f t="shared" si="34"/>
        <v/>
      </c>
      <c r="P40" s="267" t="str">
        <f t="shared" si="34"/>
        <v/>
      </c>
      <c r="Q40" s="267" t="str">
        <f t="shared" si="34"/>
        <v/>
      </c>
      <c r="R40" s="267" t="str">
        <f t="shared" si="34"/>
        <v/>
      </c>
      <c r="S40" s="267" t="str">
        <f t="shared" si="34"/>
        <v/>
      </c>
      <c r="T40" s="267" t="str">
        <f t="shared" si="34"/>
        <v/>
      </c>
      <c r="U40" s="267" t="str">
        <f t="shared" si="34"/>
        <v/>
      </c>
      <c r="V40" s="267" t="str">
        <f t="shared" si="34"/>
        <v/>
      </c>
    </row>
    <row r="41" ht="30.0" customHeight="1">
      <c r="A41" s="239">
        <v>35.0</v>
      </c>
      <c r="B41" s="239" t="s">
        <v>429</v>
      </c>
      <c r="C41" s="236" t="s">
        <v>399</v>
      </c>
      <c r="D41" s="236" t="s">
        <v>430</v>
      </c>
      <c r="E41" s="239" t="s">
        <v>245</v>
      </c>
      <c r="F41" s="239"/>
      <c r="G41" s="239"/>
      <c r="H41" s="266">
        <v>46251.0</v>
      </c>
      <c r="I41" s="266">
        <v>46255.0</v>
      </c>
      <c r="J41" s="239" t="s">
        <v>130</v>
      </c>
      <c r="K41" s="236"/>
      <c r="L41" s="267" t="str">
        <f t="shared" ref="L41:V41" si="35">IF(AND(L$6&lt;=$I41,L$6+6&gt;=$H41,$H41&lt;&gt;"",$I41&lt;&gt;""),1,"")</f>
        <v/>
      </c>
      <c r="M41" s="267" t="str">
        <f t="shared" si="35"/>
        <v/>
      </c>
      <c r="N41" s="267">
        <f t="shared" si="35"/>
        <v>1</v>
      </c>
      <c r="O41" s="267" t="str">
        <f t="shared" si="35"/>
        <v/>
      </c>
      <c r="P41" s="267" t="str">
        <f t="shared" si="35"/>
        <v/>
      </c>
      <c r="Q41" s="267" t="str">
        <f t="shared" si="35"/>
        <v/>
      </c>
      <c r="R41" s="267" t="str">
        <f t="shared" si="35"/>
        <v/>
      </c>
      <c r="S41" s="267" t="str">
        <f t="shared" si="35"/>
        <v/>
      </c>
      <c r="T41" s="267" t="str">
        <f t="shared" si="35"/>
        <v/>
      </c>
      <c r="U41" s="267" t="str">
        <f t="shared" si="35"/>
        <v/>
      </c>
      <c r="V41" s="267" t="str">
        <f t="shared" si="35"/>
        <v/>
      </c>
    </row>
    <row r="42" ht="30.0" customHeight="1">
      <c r="A42" s="239">
        <v>36.0</v>
      </c>
      <c r="B42" s="239" t="s">
        <v>433</v>
      </c>
      <c r="C42" s="236" t="s">
        <v>399</v>
      </c>
      <c r="D42" s="236" t="s">
        <v>434</v>
      </c>
      <c r="E42" s="239" t="s">
        <v>245</v>
      </c>
      <c r="F42" s="239"/>
      <c r="G42" s="239"/>
      <c r="H42" s="266">
        <v>46251.0</v>
      </c>
      <c r="I42" s="266">
        <v>46255.0</v>
      </c>
      <c r="J42" s="239" t="s">
        <v>130</v>
      </c>
      <c r="K42" s="236"/>
      <c r="L42" s="267" t="str">
        <f t="shared" ref="L42:V42" si="36">IF(AND(L$6&lt;=$I42,L$6+6&gt;=$H42,$H42&lt;&gt;"",$I42&lt;&gt;""),1,"")</f>
        <v/>
      </c>
      <c r="M42" s="267" t="str">
        <f t="shared" si="36"/>
        <v/>
      </c>
      <c r="N42" s="267">
        <f t="shared" si="36"/>
        <v>1</v>
      </c>
      <c r="O42" s="267" t="str">
        <f t="shared" si="36"/>
        <v/>
      </c>
      <c r="P42" s="267" t="str">
        <f t="shared" si="36"/>
        <v/>
      </c>
      <c r="Q42" s="267" t="str">
        <f t="shared" si="36"/>
        <v/>
      </c>
      <c r="R42" s="267" t="str">
        <f t="shared" si="36"/>
        <v/>
      </c>
      <c r="S42" s="267" t="str">
        <f t="shared" si="36"/>
        <v/>
      </c>
      <c r="T42" s="267" t="str">
        <f t="shared" si="36"/>
        <v/>
      </c>
      <c r="U42" s="267" t="str">
        <f t="shared" si="36"/>
        <v/>
      </c>
      <c r="V42" s="267" t="str">
        <f t="shared" si="36"/>
        <v/>
      </c>
    </row>
    <row r="43" ht="30.0" customHeight="1">
      <c r="A43" s="239">
        <v>37.0</v>
      </c>
      <c r="B43" s="239" t="s">
        <v>437</v>
      </c>
      <c r="C43" s="236" t="s">
        <v>438</v>
      </c>
      <c r="D43" s="236" t="s">
        <v>439</v>
      </c>
      <c r="E43" s="239" t="s">
        <v>245</v>
      </c>
      <c r="F43" s="239" t="s">
        <v>143</v>
      </c>
      <c r="G43" s="239"/>
      <c r="H43" s="266">
        <v>46244.0</v>
      </c>
      <c r="I43" s="266">
        <v>46248.0</v>
      </c>
      <c r="J43" s="239" t="s">
        <v>130</v>
      </c>
      <c r="K43" s="236"/>
      <c r="L43" s="267" t="str">
        <f t="shared" ref="L43:V43" si="37">IF(AND(L$6&lt;=$I43,L$6+6&gt;=$H43,$H43&lt;&gt;"",$I43&lt;&gt;""),1,"")</f>
        <v/>
      </c>
      <c r="M43" s="267">
        <f t="shared" si="37"/>
        <v>1</v>
      </c>
      <c r="N43" s="267" t="str">
        <f t="shared" si="37"/>
        <v/>
      </c>
      <c r="O43" s="267" t="str">
        <f t="shared" si="37"/>
        <v/>
      </c>
      <c r="P43" s="267" t="str">
        <f t="shared" si="37"/>
        <v/>
      </c>
      <c r="Q43" s="267" t="str">
        <f t="shared" si="37"/>
        <v/>
      </c>
      <c r="R43" s="267" t="str">
        <f t="shared" si="37"/>
        <v/>
      </c>
      <c r="S43" s="267" t="str">
        <f t="shared" si="37"/>
        <v/>
      </c>
      <c r="T43" s="267" t="str">
        <f t="shared" si="37"/>
        <v/>
      </c>
      <c r="U43" s="267" t="str">
        <f t="shared" si="37"/>
        <v/>
      </c>
      <c r="V43" s="267" t="str">
        <f t="shared" si="37"/>
        <v/>
      </c>
    </row>
    <row r="44" ht="30.0" customHeight="1">
      <c r="A44" s="239">
        <v>38.0</v>
      </c>
      <c r="B44" s="239" t="s">
        <v>442</v>
      </c>
      <c r="C44" s="236" t="s">
        <v>438</v>
      </c>
      <c r="D44" s="236" t="s">
        <v>443</v>
      </c>
      <c r="E44" s="239" t="s">
        <v>245</v>
      </c>
      <c r="F44" s="239" t="s">
        <v>143</v>
      </c>
      <c r="G44" s="239"/>
      <c r="H44" s="266">
        <v>46244.0</v>
      </c>
      <c r="I44" s="266">
        <v>46248.0</v>
      </c>
      <c r="J44" s="239" t="s">
        <v>130</v>
      </c>
      <c r="K44" s="236"/>
      <c r="L44" s="267" t="str">
        <f t="shared" ref="L44:V44" si="38">IF(AND(L$6&lt;=$I44,L$6+6&gt;=$H44,$H44&lt;&gt;"",$I44&lt;&gt;""),1,"")</f>
        <v/>
      </c>
      <c r="M44" s="267">
        <f t="shared" si="38"/>
        <v>1</v>
      </c>
      <c r="N44" s="267" t="str">
        <f t="shared" si="38"/>
        <v/>
      </c>
      <c r="O44" s="267" t="str">
        <f t="shared" si="38"/>
        <v/>
      </c>
      <c r="P44" s="267" t="str">
        <f t="shared" si="38"/>
        <v/>
      </c>
      <c r="Q44" s="267" t="str">
        <f t="shared" si="38"/>
        <v/>
      </c>
      <c r="R44" s="267" t="str">
        <f t="shared" si="38"/>
        <v/>
      </c>
      <c r="S44" s="267" t="str">
        <f t="shared" si="38"/>
        <v/>
      </c>
      <c r="T44" s="267" t="str">
        <f t="shared" si="38"/>
        <v/>
      </c>
      <c r="U44" s="267" t="str">
        <f t="shared" si="38"/>
        <v/>
      </c>
      <c r="V44" s="267" t="str">
        <f t="shared" si="38"/>
        <v/>
      </c>
    </row>
    <row r="45" ht="30.0" customHeight="1">
      <c r="A45" s="239">
        <v>39.0</v>
      </c>
      <c r="B45" s="239" t="s">
        <v>446</v>
      </c>
      <c r="C45" s="236" t="s">
        <v>438</v>
      </c>
      <c r="D45" s="236" t="s">
        <v>447</v>
      </c>
      <c r="E45" s="239" t="s">
        <v>245</v>
      </c>
      <c r="F45" s="239" t="s">
        <v>143</v>
      </c>
      <c r="G45" s="239"/>
      <c r="H45" s="266">
        <v>46244.0</v>
      </c>
      <c r="I45" s="266">
        <v>46248.0</v>
      </c>
      <c r="J45" s="239" t="s">
        <v>130</v>
      </c>
      <c r="K45" s="236"/>
      <c r="L45" s="267" t="str">
        <f t="shared" ref="L45:V45" si="39">IF(AND(L$6&lt;=$I45,L$6+6&gt;=$H45,$H45&lt;&gt;"",$I45&lt;&gt;""),1,"")</f>
        <v/>
      </c>
      <c r="M45" s="267">
        <f t="shared" si="39"/>
        <v>1</v>
      </c>
      <c r="N45" s="267" t="str">
        <f t="shared" si="39"/>
        <v/>
      </c>
      <c r="O45" s="267" t="str">
        <f t="shared" si="39"/>
        <v/>
      </c>
      <c r="P45" s="267" t="str">
        <f t="shared" si="39"/>
        <v/>
      </c>
      <c r="Q45" s="267" t="str">
        <f t="shared" si="39"/>
        <v/>
      </c>
      <c r="R45" s="267" t="str">
        <f t="shared" si="39"/>
        <v/>
      </c>
      <c r="S45" s="267" t="str">
        <f t="shared" si="39"/>
        <v/>
      </c>
      <c r="T45" s="267" t="str">
        <f t="shared" si="39"/>
        <v/>
      </c>
      <c r="U45" s="267" t="str">
        <f t="shared" si="39"/>
        <v/>
      </c>
      <c r="V45" s="267" t="str">
        <f t="shared" si="39"/>
        <v/>
      </c>
    </row>
    <row r="46" ht="30.0" customHeight="1">
      <c r="A46" s="239">
        <v>40.0</v>
      </c>
      <c r="B46" s="239" t="s">
        <v>450</v>
      </c>
      <c r="C46" s="236" t="s">
        <v>438</v>
      </c>
      <c r="D46" s="236" t="s">
        <v>451</v>
      </c>
      <c r="E46" s="239" t="s">
        <v>245</v>
      </c>
      <c r="F46" s="239" t="s">
        <v>143</v>
      </c>
      <c r="G46" s="239"/>
      <c r="H46" s="266">
        <v>46251.0</v>
      </c>
      <c r="I46" s="266">
        <v>46255.0</v>
      </c>
      <c r="J46" s="239" t="s">
        <v>130</v>
      </c>
      <c r="K46" s="236" t="s">
        <v>454</v>
      </c>
      <c r="L46" s="267" t="str">
        <f t="shared" ref="L46:V46" si="40">IF(AND(L$6&lt;=$I46,L$6+6&gt;=$H46,$H46&lt;&gt;"",$I46&lt;&gt;""),1,"")</f>
        <v/>
      </c>
      <c r="M46" s="267" t="str">
        <f t="shared" si="40"/>
        <v/>
      </c>
      <c r="N46" s="267">
        <f t="shared" si="40"/>
        <v>1</v>
      </c>
      <c r="O46" s="267" t="str">
        <f t="shared" si="40"/>
        <v/>
      </c>
      <c r="P46" s="267" t="str">
        <f t="shared" si="40"/>
        <v/>
      </c>
      <c r="Q46" s="267" t="str">
        <f t="shared" si="40"/>
        <v/>
      </c>
      <c r="R46" s="267" t="str">
        <f t="shared" si="40"/>
        <v/>
      </c>
      <c r="S46" s="267" t="str">
        <f t="shared" si="40"/>
        <v/>
      </c>
      <c r="T46" s="267" t="str">
        <f t="shared" si="40"/>
        <v/>
      </c>
      <c r="U46" s="267" t="str">
        <f t="shared" si="40"/>
        <v/>
      </c>
      <c r="V46" s="267" t="str">
        <f t="shared" si="40"/>
        <v/>
      </c>
    </row>
    <row r="47" ht="30.0" customHeight="1">
      <c r="A47" s="239">
        <v>41.0</v>
      </c>
      <c r="B47" s="239" t="s">
        <v>455</v>
      </c>
      <c r="C47" s="236" t="s">
        <v>438</v>
      </c>
      <c r="D47" s="236" t="s">
        <v>456</v>
      </c>
      <c r="E47" s="239" t="s">
        <v>245</v>
      </c>
      <c r="F47" s="239" t="s">
        <v>143</v>
      </c>
      <c r="G47" s="239"/>
      <c r="H47" s="266">
        <v>46251.0</v>
      </c>
      <c r="I47" s="266">
        <v>46255.0</v>
      </c>
      <c r="J47" s="239" t="s">
        <v>130</v>
      </c>
      <c r="K47" s="236"/>
      <c r="L47" s="267" t="str">
        <f t="shared" ref="L47:V47" si="41">IF(AND(L$6&lt;=$I47,L$6+6&gt;=$H47,$H47&lt;&gt;"",$I47&lt;&gt;""),1,"")</f>
        <v/>
      </c>
      <c r="M47" s="267" t="str">
        <f t="shared" si="41"/>
        <v/>
      </c>
      <c r="N47" s="267">
        <f t="shared" si="41"/>
        <v>1</v>
      </c>
      <c r="O47" s="267" t="str">
        <f t="shared" si="41"/>
        <v/>
      </c>
      <c r="P47" s="267" t="str">
        <f t="shared" si="41"/>
        <v/>
      </c>
      <c r="Q47" s="267" t="str">
        <f t="shared" si="41"/>
        <v/>
      </c>
      <c r="R47" s="267" t="str">
        <f t="shared" si="41"/>
        <v/>
      </c>
      <c r="S47" s="267" t="str">
        <f t="shared" si="41"/>
        <v/>
      </c>
      <c r="T47" s="267" t="str">
        <f t="shared" si="41"/>
        <v/>
      </c>
      <c r="U47" s="267" t="str">
        <f t="shared" si="41"/>
        <v/>
      </c>
      <c r="V47" s="267" t="str">
        <f t="shared" si="41"/>
        <v/>
      </c>
    </row>
    <row r="48" ht="30.0" customHeight="1">
      <c r="A48" s="239">
        <v>42.0</v>
      </c>
      <c r="B48" s="239" t="s">
        <v>459</v>
      </c>
      <c r="C48" s="236" t="s">
        <v>438</v>
      </c>
      <c r="D48" s="236" t="s">
        <v>460</v>
      </c>
      <c r="E48" s="239" t="s">
        <v>245</v>
      </c>
      <c r="F48" s="239" t="s">
        <v>143</v>
      </c>
      <c r="G48" s="239"/>
      <c r="H48" s="266">
        <v>46251.0</v>
      </c>
      <c r="I48" s="266">
        <v>46255.0</v>
      </c>
      <c r="J48" s="239" t="s">
        <v>130</v>
      </c>
      <c r="K48" s="236"/>
      <c r="L48" s="267" t="str">
        <f t="shared" ref="L48:V48" si="42">IF(AND(L$6&lt;=$I48,L$6+6&gt;=$H48,$H48&lt;&gt;"",$I48&lt;&gt;""),1,"")</f>
        <v/>
      </c>
      <c r="M48" s="267" t="str">
        <f t="shared" si="42"/>
        <v/>
      </c>
      <c r="N48" s="267">
        <f t="shared" si="42"/>
        <v>1</v>
      </c>
      <c r="O48" s="267" t="str">
        <f t="shared" si="42"/>
        <v/>
      </c>
      <c r="P48" s="267" t="str">
        <f t="shared" si="42"/>
        <v/>
      </c>
      <c r="Q48" s="267" t="str">
        <f t="shared" si="42"/>
        <v/>
      </c>
      <c r="R48" s="267" t="str">
        <f t="shared" si="42"/>
        <v/>
      </c>
      <c r="S48" s="267" t="str">
        <f t="shared" si="42"/>
        <v/>
      </c>
      <c r="T48" s="267" t="str">
        <f t="shared" si="42"/>
        <v/>
      </c>
      <c r="U48" s="267" t="str">
        <f t="shared" si="42"/>
        <v/>
      </c>
      <c r="V48" s="267" t="str">
        <f t="shared" si="42"/>
        <v/>
      </c>
    </row>
    <row r="49" ht="30.0" customHeight="1">
      <c r="A49" s="239">
        <v>43.0</v>
      </c>
      <c r="B49" s="239" t="s">
        <v>463</v>
      </c>
      <c r="C49" s="236" t="s">
        <v>438</v>
      </c>
      <c r="D49" s="236" t="s">
        <v>464</v>
      </c>
      <c r="E49" s="239" t="s">
        <v>245</v>
      </c>
      <c r="F49" s="239" t="s">
        <v>143</v>
      </c>
      <c r="G49" s="239"/>
      <c r="H49" s="266">
        <v>46251.0</v>
      </c>
      <c r="I49" s="266">
        <v>46255.0</v>
      </c>
      <c r="J49" s="239" t="s">
        <v>130</v>
      </c>
      <c r="K49" s="236"/>
      <c r="L49" s="267" t="str">
        <f t="shared" ref="L49:V49" si="43">IF(AND(L$6&lt;=$I49,L$6+6&gt;=$H49,$H49&lt;&gt;"",$I49&lt;&gt;""),1,"")</f>
        <v/>
      </c>
      <c r="M49" s="267" t="str">
        <f t="shared" si="43"/>
        <v/>
      </c>
      <c r="N49" s="267">
        <f t="shared" si="43"/>
        <v>1</v>
      </c>
      <c r="O49" s="267" t="str">
        <f t="shared" si="43"/>
        <v/>
      </c>
      <c r="P49" s="267" t="str">
        <f t="shared" si="43"/>
        <v/>
      </c>
      <c r="Q49" s="267" t="str">
        <f t="shared" si="43"/>
        <v/>
      </c>
      <c r="R49" s="267" t="str">
        <f t="shared" si="43"/>
        <v/>
      </c>
      <c r="S49" s="267" t="str">
        <f t="shared" si="43"/>
        <v/>
      </c>
      <c r="T49" s="267" t="str">
        <f t="shared" si="43"/>
        <v/>
      </c>
      <c r="U49" s="267" t="str">
        <f t="shared" si="43"/>
        <v/>
      </c>
      <c r="V49" s="267" t="str">
        <f t="shared" si="43"/>
        <v/>
      </c>
    </row>
    <row r="50" ht="30.0" customHeight="1">
      <c r="A50" s="239">
        <v>44.0</v>
      </c>
      <c r="B50" s="239" t="s">
        <v>466</v>
      </c>
      <c r="C50" s="236" t="s">
        <v>467</v>
      </c>
      <c r="D50" s="236" t="s">
        <v>468</v>
      </c>
      <c r="E50" s="239" t="s">
        <v>245</v>
      </c>
      <c r="F50" s="239"/>
      <c r="G50" s="239"/>
      <c r="H50" s="266">
        <v>46251.0</v>
      </c>
      <c r="I50" s="266">
        <v>46260.0</v>
      </c>
      <c r="J50" s="239" t="s">
        <v>130</v>
      </c>
      <c r="K50" s="236"/>
      <c r="L50" s="267" t="str">
        <f t="shared" ref="L50:V50" si="44">IF(AND(L$6&lt;=$I50,L$6+6&gt;=$H50,$H50&lt;&gt;"",$I50&lt;&gt;""),1,"")</f>
        <v/>
      </c>
      <c r="M50" s="267" t="str">
        <f t="shared" si="44"/>
        <v/>
      </c>
      <c r="N50" s="267">
        <f t="shared" si="44"/>
        <v>1</v>
      </c>
      <c r="O50" s="267">
        <f t="shared" si="44"/>
        <v>1</v>
      </c>
      <c r="P50" s="267" t="str">
        <f t="shared" si="44"/>
        <v/>
      </c>
      <c r="Q50" s="267" t="str">
        <f t="shared" si="44"/>
        <v/>
      </c>
      <c r="R50" s="267" t="str">
        <f t="shared" si="44"/>
        <v/>
      </c>
      <c r="S50" s="267" t="str">
        <f t="shared" si="44"/>
        <v/>
      </c>
      <c r="T50" s="267" t="str">
        <f t="shared" si="44"/>
        <v/>
      </c>
      <c r="U50" s="267" t="str">
        <f t="shared" si="44"/>
        <v/>
      </c>
      <c r="V50" s="267" t="str">
        <f t="shared" si="44"/>
        <v/>
      </c>
    </row>
    <row r="51" ht="30.0" customHeight="1">
      <c r="A51" s="239">
        <v>45.0</v>
      </c>
      <c r="B51" s="239" t="s">
        <v>472</v>
      </c>
      <c r="C51" s="236" t="s">
        <v>467</v>
      </c>
      <c r="D51" s="236" t="s">
        <v>473</v>
      </c>
      <c r="E51" s="239" t="s">
        <v>245</v>
      </c>
      <c r="F51" s="239"/>
      <c r="G51" s="239"/>
      <c r="H51" s="266">
        <v>46251.0</v>
      </c>
      <c r="I51" s="266">
        <v>46260.0</v>
      </c>
      <c r="J51" s="239" t="s">
        <v>130</v>
      </c>
      <c r="K51" s="236"/>
      <c r="L51" s="267" t="str">
        <f t="shared" ref="L51:V51" si="45">IF(AND(L$6&lt;=$I51,L$6+6&gt;=$H51,$H51&lt;&gt;"",$I51&lt;&gt;""),1,"")</f>
        <v/>
      </c>
      <c r="M51" s="267" t="str">
        <f t="shared" si="45"/>
        <v/>
      </c>
      <c r="N51" s="267">
        <f t="shared" si="45"/>
        <v>1</v>
      </c>
      <c r="O51" s="267">
        <f t="shared" si="45"/>
        <v>1</v>
      </c>
      <c r="P51" s="267" t="str">
        <f t="shared" si="45"/>
        <v/>
      </c>
      <c r="Q51" s="267" t="str">
        <f t="shared" si="45"/>
        <v/>
      </c>
      <c r="R51" s="267" t="str">
        <f t="shared" si="45"/>
        <v/>
      </c>
      <c r="S51" s="267" t="str">
        <f t="shared" si="45"/>
        <v/>
      </c>
      <c r="T51" s="267" t="str">
        <f t="shared" si="45"/>
        <v/>
      </c>
      <c r="U51" s="267" t="str">
        <f t="shared" si="45"/>
        <v/>
      </c>
      <c r="V51" s="267" t="str">
        <f t="shared" si="45"/>
        <v/>
      </c>
    </row>
    <row r="52" ht="30.0" customHeight="1">
      <c r="A52" s="239">
        <v>46.0</v>
      </c>
      <c r="B52" s="239" t="s">
        <v>476</v>
      </c>
      <c r="C52" s="236" t="s">
        <v>467</v>
      </c>
      <c r="D52" s="236" t="s">
        <v>477</v>
      </c>
      <c r="E52" s="239" t="s">
        <v>245</v>
      </c>
      <c r="F52" s="239"/>
      <c r="G52" s="239"/>
      <c r="H52" s="266">
        <v>46251.0</v>
      </c>
      <c r="I52" s="266">
        <v>46260.0</v>
      </c>
      <c r="J52" s="239" t="s">
        <v>130</v>
      </c>
      <c r="K52" s="236"/>
      <c r="L52" s="267" t="str">
        <f t="shared" ref="L52:V52" si="46">IF(AND(L$6&lt;=$I52,L$6+6&gt;=$H52,$H52&lt;&gt;"",$I52&lt;&gt;""),1,"")</f>
        <v/>
      </c>
      <c r="M52" s="267" t="str">
        <f t="shared" si="46"/>
        <v/>
      </c>
      <c r="N52" s="267">
        <f t="shared" si="46"/>
        <v>1</v>
      </c>
      <c r="O52" s="267">
        <f t="shared" si="46"/>
        <v>1</v>
      </c>
      <c r="P52" s="267" t="str">
        <f t="shared" si="46"/>
        <v/>
      </c>
      <c r="Q52" s="267" t="str">
        <f t="shared" si="46"/>
        <v/>
      </c>
      <c r="R52" s="267" t="str">
        <f t="shared" si="46"/>
        <v/>
      </c>
      <c r="S52" s="267" t="str">
        <f t="shared" si="46"/>
        <v/>
      </c>
      <c r="T52" s="267" t="str">
        <f t="shared" si="46"/>
        <v/>
      </c>
      <c r="U52" s="267" t="str">
        <f t="shared" si="46"/>
        <v/>
      </c>
      <c r="V52" s="267" t="str">
        <f t="shared" si="46"/>
        <v/>
      </c>
    </row>
    <row r="53" ht="30.0" customHeight="1">
      <c r="A53" s="239">
        <v>47.0</v>
      </c>
      <c r="B53" s="239" t="s">
        <v>480</v>
      </c>
      <c r="C53" s="236" t="s">
        <v>467</v>
      </c>
      <c r="D53" s="236" t="s">
        <v>481</v>
      </c>
      <c r="E53" s="239" t="s">
        <v>245</v>
      </c>
      <c r="F53" s="239"/>
      <c r="G53" s="239"/>
      <c r="H53" s="266">
        <v>46251.0</v>
      </c>
      <c r="I53" s="266">
        <v>46260.0</v>
      </c>
      <c r="J53" s="239" t="s">
        <v>130</v>
      </c>
      <c r="K53" s="236"/>
      <c r="L53" s="267" t="str">
        <f t="shared" ref="L53:V53" si="47">IF(AND(L$6&lt;=$I53,L$6+6&gt;=$H53,$H53&lt;&gt;"",$I53&lt;&gt;""),1,"")</f>
        <v/>
      </c>
      <c r="M53" s="267" t="str">
        <f t="shared" si="47"/>
        <v/>
      </c>
      <c r="N53" s="267">
        <f t="shared" si="47"/>
        <v>1</v>
      </c>
      <c r="O53" s="267">
        <f t="shared" si="47"/>
        <v>1</v>
      </c>
      <c r="P53" s="267" t="str">
        <f t="shared" si="47"/>
        <v/>
      </c>
      <c r="Q53" s="267" t="str">
        <f t="shared" si="47"/>
        <v/>
      </c>
      <c r="R53" s="267" t="str">
        <f t="shared" si="47"/>
        <v/>
      </c>
      <c r="S53" s="267" t="str">
        <f t="shared" si="47"/>
        <v/>
      </c>
      <c r="T53" s="267" t="str">
        <f t="shared" si="47"/>
        <v/>
      </c>
      <c r="U53" s="267" t="str">
        <f t="shared" si="47"/>
        <v/>
      </c>
      <c r="V53" s="267" t="str">
        <f t="shared" si="47"/>
        <v/>
      </c>
    </row>
    <row r="54" ht="30.0" customHeight="1">
      <c r="A54" s="239">
        <v>48.0</v>
      </c>
      <c r="B54" s="239" t="s">
        <v>485</v>
      </c>
      <c r="C54" s="236" t="s">
        <v>467</v>
      </c>
      <c r="D54" s="236" t="s">
        <v>486</v>
      </c>
      <c r="E54" s="239" t="s">
        <v>245</v>
      </c>
      <c r="F54" s="239"/>
      <c r="G54" s="239"/>
      <c r="H54" s="266">
        <v>46251.0</v>
      </c>
      <c r="I54" s="266">
        <v>46260.0</v>
      </c>
      <c r="J54" s="239" t="s">
        <v>130</v>
      </c>
      <c r="K54" s="236"/>
      <c r="L54" s="267" t="str">
        <f t="shared" ref="L54:V54" si="48">IF(AND(L$6&lt;=$I54,L$6+6&gt;=$H54,$H54&lt;&gt;"",$I54&lt;&gt;""),1,"")</f>
        <v/>
      </c>
      <c r="M54" s="267" t="str">
        <f t="shared" si="48"/>
        <v/>
      </c>
      <c r="N54" s="267">
        <f t="shared" si="48"/>
        <v>1</v>
      </c>
      <c r="O54" s="267">
        <f t="shared" si="48"/>
        <v>1</v>
      </c>
      <c r="P54" s="267" t="str">
        <f t="shared" si="48"/>
        <v/>
      </c>
      <c r="Q54" s="267" t="str">
        <f t="shared" si="48"/>
        <v/>
      </c>
      <c r="R54" s="267" t="str">
        <f t="shared" si="48"/>
        <v/>
      </c>
      <c r="S54" s="267" t="str">
        <f t="shared" si="48"/>
        <v/>
      </c>
      <c r="T54" s="267" t="str">
        <f t="shared" si="48"/>
        <v/>
      </c>
      <c r="U54" s="267" t="str">
        <f t="shared" si="48"/>
        <v/>
      </c>
      <c r="V54" s="267" t="str">
        <f t="shared" si="48"/>
        <v/>
      </c>
    </row>
    <row r="55" ht="30.0" customHeight="1">
      <c r="A55" s="239">
        <v>49.0</v>
      </c>
      <c r="B55" s="239" t="s">
        <v>489</v>
      </c>
      <c r="C55" s="236" t="s">
        <v>467</v>
      </c>
      <c r="D55" s="236" t="s">
        <v>490</v>
      </c>
      <c r="E55" s="239" t="s">
        <v>245</v>
      </c>
      <c r="F55" s="239"/>
      <c r="G55" s="239"/>
      <c r="H55" s="266">
        <v>46258.0</v>
      </c>
      <c r="I55" s="266">
        <v>46262.0</v>
      </c>
      <c r="J55" s="239" t="s">
        <v>130</v>
      </c>
      <c r="K55" s="236"/>
      <c r="L55" s="267" t="str">
        <f t="shared" ref="L55:V55" si="49">IF(AND(L$6&lt;=$I55,L$6+6&gt;=$H55,$H55&lt;&gt;"",$I55&lt;&gt;""),1,"")</f>
        <v/>
      </c>
      <c r="M55" s="267" t="str">
        <f t="shared" si="49"/>
        <v/>
      </c>
      <c r="N55" s="267" t="str">
        <f t="shared" si="49"/>
        <v/>
      </c>
      <c r="O55" s="267">
        <f t="shared" si="49"/>
        <v>1</v>
      </c>
      <c r="P55" s="267" t="str">
        <f t="shared" si="49"/>
        <v/>
      </c>
      <c r="Q55" s="267" t="str">
        <f t="shared" si="49"/>
        <v/>
      </c>
      <c r="R55" s="267" t="str">
        <f t="shared" si="49"/>
        <v/>
      </c>
      <c r="S55" s="267" t="str">
        <f t="shared" si="49"/>
        <v/>
      </c>
      <c r="T55" s="267" t="str">
        <f t="shared" si="49"/>
        <v/>
      </c>
      <c r="U55" s="267" t="str">
        <f t="shared" si="49"/>
        <v/>
      </c>
      <c r="V55" s="267" t="str">
        <f t="shared" si="49"/>
        <v/>
      </c>
    </row>
    <row r="56" ht="30.0" customHeight="1">
      <c r="A56" s="239">
        <v>50.0</v>
      </c>
      <c r="B56" s="239" t="s">
        <v>492</v>
      </c>
      <c r="C56" s="236" t="s">
        <v>467</v>
      </c>
      <c r="D56" s="236" t="s">
        <v>493</v>
      </c>
      <c r="E56" s="239" t="s">
        <v>245</v>
      </c>
      <c r="F56" s="239"/>
      <c r="G56" s="239"/>
      <c r="H56" s="266">
        <v>46258.0</v>
      </c>
      <c r="I56" s="266">
        <v>46262.0</v>
      </c>
      <c r="J56" s="239" t="s">
        <v>130</v>
      </c>
      <c r="K56" s="236"/>
      <c r="L56" s="267" t="str">
        <f t="shared" ref="L56:V56" si="50">IF(AND(L$6&lt;=$I56,L$6+6&gt;=$H56,$H56&lt;&gt;"",$I56&lt;&gt;""),1,"")</f>
        <v/>
      </c>
      <c r="M56" s="267" t="str">
        <f t="shared" si="50"/>
        <v/>
      </c>
      <c r="N56" s="267" t="str">
        <f t="shared" si="50"/>
        <v/>
      </c>
      <c r="O56" s="267">
        <f t="shared" si="50"/>
        <v>1</v>
      </c>
      <c r="P56" s="267" t="str">
        <f t="shared" si="50"/>
        <v/>
      </c>
      <c r="Q56" s="267" t="str">
        <f t="shared" si="50"/>
        <v/>
      </c>
      <c r="R56" s="267" t="str">
        <f t="shared" si="50"/>
        <v/>
      </c>
      <c r="S56" s="267" t="str">
        <f t="shared" si="50"/>
        <v/>
      </c>
      <c r="T56" s="267" t="str">
        <f t="shared" si="50"/>
        <v/>
      </c>
      <c r="U56" s="267" t="str">
        <f t="shared" si="50"/>
        <v/>
      </c>
      <c r="V56" s="267" t="str">
        <f t="shared" si="50"/>
        <v/>
      </c>
    </row>
    <row r="57" ht="30.0" customHeight="1">
      <c r="A57" s="239">
        <v>51.0</v>
      </c>
      <c r="B57" s="239" t="s">
        <v>495</v>
      </c>
      <c r="C57" s="236" t="s">
        <v>496</v>
      </c>
      <c r="D57" s="236" t="s">
        <v>497</v>
      </c>
      <c r="E57" s="239" t="s">
        <v>245</v>
      </c>
      <c r="F57" s="239"/>
      <c r="G57" s="239"/>
      <c r="H57" s="266">
        <v>46251.0</v>
      </c>
      <c r="I57" s="266">
        <v>46262.0</v>
      </c>
      <c r="J57" s="239" t="s">
        <v>130</v>
      </c>
      <c r="K57" s="236" t="s">
        <v>419</v>
      </c>
      <c r="L57" s="267" t="str">
        <f t="shared" ref="L57:V57" si="51">IF(AND(L$6&lt;=$I57,L$6+6&gt;=$H57,$H57&lt;&gt;"",$I57&lt;&gt;""),1,"")</f>
        <v/>
      </c>
      <c r="M57" s="267" t="str">
        <f t="shared" si="51"/>
        <v/>
      </c>
      <c r="N57" s="267">
        <f t="shared" si="51"/>
        <v>1</v>
      </c>
      <c r="O57" s="267">
        <f t="shared" si="51"/>
        <v>1</v>
      </c>
      <c r="P57" s="267" t="str">
        <f t="shared" si="51"/>
        <v/>
      </c>
      <c r="Q57" s="267" t="str">
        <f t="shared" si="51"/>
        <v/>
      </c>
      <c r="R57" s="267" t="str">
        <f t="shared" si="51"/>
        <v/>
      </c>
      <c r="S57" s="267" t="str">
        <f t="shared" si="51"/>
        <v/>
      </c>
      <c r="T57" s="267" t="str">
        <f t="shared" si="51"/>
        <v/>
      </c>
      <c r="U57" s="267" t="str">
        <f t="shared" si="51"/>
        <v/>
      </c>
      <c r="V57" s="267" t="str">
        <f t="shared" si="51"/>
        <v/>
      </c>
    </row>
    <row r="58" ht="30.0" customHeight="1">
      <c r="A58" s="239">
        <v>52.0</v>
      </c>
      <c r="B58" s="239" t="s">
        <v>500</v>
      </c>
      <c r="C58" s="236" t="s">
        <v>496</v>
      </c>
      <c r="D58" s="236" t="s">
        <v>501</v>
      </c>
      <c r="E58" s="239" t="s">
        <v>245</v>
      </c>
      <c r="F58" s="239"/>
      <c r="G58" s="239"/>
      <c r="H58" s="266">
        <v>46251.0</v>
      </c>
      <c r="I58" s="266">
        <v>46262.0</v>
      </c>
      <c r="J58" s="239" t="s">
        <v>130</v>
      </c>
      <c r="K58" s="236" t="s">
        <v>504</v>
      </c>
      <c r="L58" s="267" t="str">
        <f t="shared" ref="L58:V58" si="52">IF(AND(L$6&lt;=$I58,L$6+6&gt;=$H58,$H58&lt;&gt;"",$I58&lt;&gt;""),1,"")</f>
        <v/>
      </c>
      <c r="M58" s="267" t="str">
        <f t="shared" si="52"/>
        <v/>
      </c>
      <c r="N58" s="267">
        <f t="shared" si="52"/>
        <v>1</v>
      </c>
      <c r="O58" s="267">
        <f t="shared" si="52"/>
        <v>1</v>
      </c>
      <c r="P58" s="267" t="str">
        <f t="shared" si="52"/>
        <v/>
      </c>
      <c r="Q58" s="267" t="str">
        <f t="shared" si="52"/>
        <v/>
      </c>
      <c r="R58" s="267" t="str">
        <f t="shared" si="52"/>
        <v/>
      </c>
      <c r="S58" s="267" t="str">
        <f t="shared" si="52"/>
        <v/>
      </c>
      <c r="T58" s="267" t="str">
        <f t="shared" si="52"/>
        <v/>
      </c>
      <c r="U58" s="267" t="str">
        <f t="shared" si="52"/>
        <v/>
      </c>
      <c r="V58" s="267" t="str">
        <f t="shared" si="52"/>
        <v/>
      </c>
    </row>
    <row r="59" ht="30.0" customHeight="1">
      <c r="A59" s="239">
        <v>53.0</v>
      </c>
      <c r="B59" s="239" t="s">
        <v>505</v>
      </c>
      <c r="C59" s="236" t="s">
        <v>496</v>
      </c>
      <c r="D59" s="236" t="s">
        <v>506</v>
      </c>
      <c r="E59" s="239" t="s">
        <v>245</v>
      </c>
      <c r="F59" s="239"/>
      <c r="G59" s="239"/>
      <c r="H59" s="266">
        <v>46251.0</v>
      </c>
      <c r="I59" s="266">
        <v>46262.0</v>
      </c>
      <c r="J59" s="239" t="s">
        <v>130</v>
      </c>
      <c r="K59" s="236"/>
      <c r="L59" s="267" t="str">
        <f t="shared" ref="L59:V59" si="53">IF(AND(L$6&lt;=$I59,L$6+6&gt;=$H59,$H59&lt;&gt;"",$I59&lt;&gt;""),1,"")</f>
        <v/>
      </c>
      <c r="M59" s="267" t="str">
        <f t="shared" si="53"/>
        <v/>
      </c>
      <c r="N59" s="267">
        <f t="shared" si="53"/>
        <v>1</v>
      </c>
      <c r="O59" s="267">
        <f t="shared" si="53"/>
        <v>1</v>
      </c>
      <c r="P59" s="267" t="str">
        <f t="shared" si="53"/>
        <v/>
      </c>
      <c r="Q59" s="267" t="str">
        <f t="shared" si="53"/>
        <v/>
      </c>
      <c r="R59" s="267" t="str">
        <f t="shared" si="53"/>
        <v/>
      </c>
      <c r="S59" s="267" t="str">
        <f t="shared" si="53"/>
        <v/>
      </c>
      <c r="T59" s="267" t="str">
        <f t="shared" si="53"/>
        <v/>
      </c>
      <c r="U59" s="267" t="str">
        <f t="shared" si="53"/>
        <v/>
      </c>
      <c r="V59" s="267" t="str">
        <f t="shared" si="53"/>
        <v/>
      </c>
    </row>
    <row r="60" ht="30.0" customHeight="1">
      <c r="A60" s="239">
        <v>54.0</v>
      </c>
      <c r="B60" s="239" t="s">
        <v>509</v>
      </c>
      <c r="C60" s="236" t="s">
        <v>510</v>
      </c>
      <c r="D60" s="236" t="s">
        <v>511</v>
      </c>
      <c r="E60" s="239" t="s">
        <v>245</v>
      </c>
      <c r="F60" s="239"/>
      <c r="G60" s="239"/>
      <c r="H60" s="266">
        <v>46251.0</v>
      </c>
      <c r="I60" s="266">
        <v>46255.0</v>
      </c>
      <c r="J60" s="239" t="s">
        <v>130</v>
      </c>
      <c r="K60" s="236" t="s">
        <v>514</v>
      </c>
      <c r="L60" s="267" t="str">
        <f t="shared" ref="L60:V60" si="54">IF(AND(L$6&lt;=$I60,L$6+6&gt;=$H60,$H60&lt;&gt;"",$I60&lt;&gt;""),1,"")</f>
        <v/>
      </c>
      <c r="M60" s="267" t="str">
        <f t="shared" si="54"/>
        <v/>
      </c>
      <c r="N60" s="267">
        <f t="shared" si="54"/>
        <v>1</v>
      </c>
      <c r="O60" s="267" t="str">
        <f t="shared" si="54"/>
        <v/>
      </c>
      <c r="P60" s="267" t="str">
        <f t="shared" si="54"/>
        <v/>
      </c>
      <c r="Q60" s="267" t="str">
        <f t="shared" si="54"/>
        <v/>
      </c>
      <c r="R60" s="267" t="str">
        <f t="shared" si="54"/>
        <v/>
      </c>
      <c r="S60" s="267" t="str">
        <f t="shared" si="54"/>
        <v/>
      </c>
      <c r="T60" s="267" t="str">
        <f t="shared" si="54"/>
        <v/>
      </c>
      <c r="U60" s="267" t="str">
        <f t="shared" si="54"/>
        <v/>
      </c>
      <c r="V60" s="267" t="str">
        <f t="shared" si="54"/>
        <v/>
      </c>
    </row>
    <row r="61" ht="30.0" customHeight="1">
      <c r="A61" s="239">
        <v>55.0</v>
      </c>
      <c r="B61" s="239" t="s">
        <v>515</v>
      </c>
      <c r="C61" s="236" t="s">
        <v>510</v>
      </c>
      <c r="D61" s="236" t="s">
        <v>516</v>
      </c>
      <c r="E61" s="239" t="s">
        <v>245</v>
      </c>
      <c r="F61" s="239"/>
      <c r="G61" s="239"/>
      <c r="H61" s="266">
        <v>46251.0</v>
      </c>
      <c r="I61" s="266">
        <v>46255.0</v>
      </c>
      <c r="J61" s="239" t="s">
        <v>130</v>
      </c>
      <c r="K61" s="236" t="s">
        <v>519</v>
      </c>
      <c r="L61" s="267" t="str">
        <f t="shared" ref="L61:V61" si="55">IF(AND(L$6&lt;=$I61,L$6+6&gt;=$H61,$H61&lt;&gt;"",$I61&lt;&gt;""),1,"")</f>
        <v/>
      </c>
      <c r="M61" s="267" t="str">
        <f t="shared" si="55"/>
        <v/>
      </c>
      <c r="N61" s="267">
        <f t="shared" si="55"/>
        <v>1</v>
      </c>
      <c r="O61" s="267" t="str">
        <f t="shared" si="55"/>
        <v/>
      </c>
      <c r="P61" s="267" t="str">
        <f t="shared" si="55"/>
        <v/>
      </c>
      <c r="Q61" s="267" t="str">
        <f t="shared" si="55"/>
        <v/>
      </c>
      <c r="R61" s="267" t="str">
        <f t="shared" si="55"/>
        <v/>
      </c>
      <c r="S61" s="267" t="str">
        <f t="shared" si="55"/>
        <v/>
      </c>
      <c r="T61" s="267" t="str">
        <f t="shared" si="55"/>
        <v/>
      </c>
      <c r="U61" s="267" t="str">
        <f t="shared" si="55"/>
        <v/>
      </c>
      <c r="V61" s="267" t="str">
        <f t="shared" si="55"/>
        <v/>
      </c>
    </row>
    <row r="62" ht="30.0" customHeight="1">
      <c r="A62" s="239">
        <v>56.0</v>
      </c>
      <c r="B62" s="239" t="s">
        <v>520</v>
      </c>
      <c r="C62" s="236" t="s">
        <v>510</v>
      </c>
      <c r="D62" s="236" t="s">
        <v>521</v>
      </c>
      <c r="E62" s="239" t="s">
        <v>245</v>
      </c>
      <c r="F62" s="239"/>
      <c r="G62" s="239"/>
      <c r="H62" s="266">
        <v>46251.0</v>
      </c>
      <c r="I62" s="266">
        <v>46255.0</v>
      </c>
      <c r="J62" s="239" t="s">
        <v>130</v>
      </c>
      <c r="K62" s="236"/>
      <c r="L62" s="267" t="str">
        <f t="shared" ref="L62:V62" si="56">IF(AND(L$6&lt;=$I62,L$6+6&gt;=$H62,$H62&lt;&gt;"",$I62&lt;&gt;""),1,"")</f>
        <v/>
      </c>
      <c r="M62" s="267" t="str">
        <f t="shared" si="56"/>
        <v/>
      </c>
      <c r="N62" s="267">
        <f t="shared" si="56"/>
        <v>1</v>
      </c>
      <c r="O62" s="267" t="str">
        <f t="shared" si="56"/>
        <v/>
      </c>
      <c r="P62" s="267" t="str">
        <f t="shared" si="56"/>
        <v/>
      </c>
      <c r="Q62" s="267" t="str">
        <f t="shared" si="56"/>
        <v/>
      </c>
      <c r="R62" s="267" t="str">
        <f t="shared" si="56"/>
        <v/>
      </c>
      <c r="S62" s="267" t="str">
        <f t="shared" si="56"/>
        <v/>
      </c>
      <c r="T62" s="267" t="str">
        <f t="shared" si="56"/>
        <v/>
      </c>
      <c r="U62" s="267" t="str">
        <f t="shared" si="56"/>
        <v/>
      </c>
      <c r="V62" s="267" t="str">
        <f t="shared" si="56"/>
        <v/>
      </c>
    </row>
    <row r="63" ht="30.0" customHeight="1">
      <c r="A63" s="239">
        <v>57.0</v>
      </c>
      <c r="B63" s="239" t="s">
        <v>524</v>
      </c>
      <c r="C63" s="236" t="s">
        <v>510</v>
      </c>
      <c r="D63" s="236" t="s">
        <v>525</v>
      </c>
      <c r="E63" s="239" t="s">
        <v>245</v>
      </c>
      <c r="F63" s="239"/>
      <c r="G63" s="239"/>
      <c r="H63" s="266">
        <v>46251.0</v>
      </c>
      <c r="I63" s="266">
        <v>46255.0</v>
      </c>
      <c r="J63" s="239" t="s">
        <v>130</v>
      </c>
      <c r="K63" s="236" t="s">
        <v>528</v>
      </c>
      <c r="L63" s="267" t="str">
        <f t="shared" ref="L63:V63" si="57">IF(AND(L$6&lt;=$I63,L$6+6&gt;=$H63,$H63&lt;&gt;"",$I63&lt;&gt;""),1,"")</f>
        <v/>
      </c>
      <c r="M63" s="267" t="str">
        <f t="shared" si="57"/>
        <v/>
      </c>
      <c r="N63" s="267">
        <f t="shared" si="57"/>
        <v>1</v>
      </c>
      <c r="O63" s="267" t="str">
        <f t="shared" si="57"/>
        <v/>
      </c>
      <c r="P63" s="267" t="str">
        <f t="shared" si="57"/>
        <v/>
      </c>
      <c r="Q63" s="267" t="str">
        <f t="shared" si="57"/>
        <v/>
      </c>
      <c r="R63" s="267" t="str">
        <f t="shared" si="57"/>
        <v/>
      </c>
      <c r="S63" s="267" t="str">
        <f t="shared" si="57"/>
        <v/>
      </c>
      <c r="T63" s="267" t="str">
        <f t="shared" si="57"/>
        <v/>
      </c>
      <c r="U63" s="267" t="str">
        <f t="shared" si="57"/>
        <v/>
      </c>
      <c r="V63" s="267" t="str">
        <f t="shared" si="57"/>
        <v/>
      </c>
    </row>
    <row r="64" ht="30.0" customHeight="1">
      <c r="A64" s="239">
        <v>58.0</v>
      </c>
      <c r="B64" s="239" t="s">
        <v>529</v>
      </c>
      <c r="C64" s="236" t="s">
        <v>530</v>
      </c>
      <c r="D64" s="236" t="s">
        <v>531</v>
      </c>
      <c r="E64" s="239" t="s">
        <v>245</v>
      </c>
      <c r="F64" s="239"/>
      <c r="G64" s="239"/>
      <c r="H64" s="266">
        <v>46258.0</v>
      </c>
      <c r="I64" s="266">
        <v>46267.0</v>
      </c>
      <c r="J64" s="239" t="s">
        <v>130</v>
      </c>
      <c r="K64" s="236"/>
      <c r="L64" s="267" t="str">
        <f t="shared" ref="L64:V64" si="58">IF(AND(L$6&lt;=$I64,L$6+6&gt;=$H64,$H64&lt;&gt;"",$I64&lt;&gt;""),1,"")</f>
        <v/>
      </c>
      <c r="M64" s="267" t="str">
        <f t="shared" si="58"/>
        <v/>
      </c>
      <c r="N64" s="267" t="str">
        <f t="shared" si="58"/>
        <v/>
      </c>
      <c r="O64" s="267">
        <f t="shared" si="58"/>
        <v>1</v>
      </c>
      <c r="P64" s="267">
        <f t="shared" si="58"/>
        <v>1</v>
      </c>
      <c r="Q64" s="267" t="str">
        <f t="shared" si="58"/>
        <v/>
      </c>
      <c r="R64" s="267" t="str">
        <f t="shared" si="58"/>
        <v/>
      </c>
      <c r="S64" s="267" t="str">
        <f t="shared" si="58"/>
        <v/>
      </c>
      <c r="T64" s="267" t="str">
        <f t="shared" si="58"/>
        <v/>
      </c>
      <c r="U64" s="267" t="str">
        <f t="shared" si="58"/>
        <v/>
      </c>
      <c r="V64" s="267" t="str">
        <f t="shared" si="58"/>
        <v/>
      </c>
    </row>
    <row r="65" ht="30.0" customHeight="1">
      <c r="A65" s="239">
        <v>59.0</v>
      </c>
      <c r="B65" s="239" t="s">
        <v>534</v>
      </c>
      <c r="C65" s="236" t="s">
        <v>530</v>
      </c>
      <c r="D65" s="236" t="s">
        <v>535</v>
      </c>
      <c r="E65" s="239" t="s">
        <v>245</v>
      </c>
      <c r="F65" s="239"/>
      <c r="G65" s="239"/>
      <c r="H65" s="266">
        <v>46258.0</v>
      </c>
      <c r="I65" s="266">
        <v>46267.0</v>
      </c>
      <c r="J65" s="239" t="s">
        <v>130</v>
      </c>
      <c r="K65" s="236" t="s">
        <v>419</v>
      </c>
      <c r="L65" s="267" t="str">
        <f t="shared" ref="L65:V65" si="59">IF(AND(L$6&lt;=$I65,L$6+6&gt;=$H65,$H65&lt;&gt;"",$I65&lt;&gt;""),1,"")</f>
        <v/>
      </c>
      <c r="M65" s="267" t="str">
        <f t="shared" si="59"/>
        <v/>
      </c>
      <c r="N65" s="267" t="str">
        <f t="shared" si="59"/>
        <v/>
      </c>
      <c r="O65" s="267">
        <f t="shared" si="59"/>
        <v>1</v>
      </c>
      <c r="P65" s="267">
        <f t="shared" si="59"/>
        <v>1</v>
      </c>
      <c r="Q65" s="267" t="str">
        <f t="shared" si="59"/>
        <v/>
      </c>
      <c r="R65" s="267" t="str">
        <f t="shared" si="59"/>
        <v/>
      </c>
      <c r="S65" s="267" t="str">
        <f t="shared" si="59"/>
        <v/>
      </c>
      <c r="T65" s="267" t="str">
        <f t="shared" si="59"/>
        <v/>
      </c>
      <c r="U65" s="267" t="str">
        <f t="shared" si="59"/>
        <v/>
      </c>
      <c r="V65" s="267" t="str">
        <f t="shared" si="59"/>
        <v/>
      </c>
    </row>
    <row r="66" ht="30.0" customHeight="1">
      <c r="A66" s="239">
        <v>60.0</v>
      </c>
      <c r="B66" s="239" t="s">
        <v>538</v>
      </c>
      <c r="C66" s="236" t="s">
        <v>530</v>
      </c>
      <c r="D66" s="236" t="s">
        <v>539</v>
      </c>
      <c r="E66" s="239" t="s">
        <v>245</v>
      </c>
      <c r="F66" s="239"/>
      <c r="G66" s="239"/>
      <c r="H66" s="266">
        <v>46258.0</v>
      </c>
      <c r="I66" s="266">
        <v>46267.0</v>
      </c>
      <c r="J66" s="239" t="s">
        <v>130</v>
      </c>
      <c r="K66" s="236"/>
      <c r="L66" s="267" t="str">
        <f t="shared" ref="L66:V66" si="60">IF(AND(L$6&lt;=$I66,L$6+6&gt;=$H66,$H66&lt;&gt;"",$I66&lt;&gt;""),1,"")</f>
        <v/>
      </c>
      <c r="M66" s="267" t="str">
        <f t="shared" si="60"/>
        <v/>
      </c>
      <c r="N66" s="267" t="str">
        <f t="shared" si="60"/>
        <v/>
      </c>
      <c r="O66" s="267">
        <f t="shared" si="60"/>
        <v>1</v>
      </c>
      <c r="P66" s="267">
        <f t="shared" si="60"/>
        <v>1</v>
      </c>
      <c r="Q66" s="267" t="str">
        <f t="shared" si="60"/>
        <v/>
      </c>
      <c r="R66" s="267" t="str">
        <f t="shared" si="60"/>
        <v/>
      </c>
      <c r="S66" s="267" t="str">
        <f t="shared" si="60"/>
        <v/>
      </c>
      <c r="T66" s="267" t="str">
        <f t="shared" si="60"/>
        <v/>
      </c>
      <c r="U66" s="267" t="str">
        <f t="shared" si="60"/>
        <v/>
      </c>
      <c r="V66" s="267" t="str">
        <f t="shared" si="60"/>
        <v/>
      </c>
    </row>
    <row r="67" ht="30.0" customHeight="1">
      <c r="A67" s="239">
        <v>61.0</v>
      </c>
      <c r="B67" s="239" t="s">
        <v>542</v>
      </c>
      <c r="C67" s="236" t="s">
        <v>530</v>
      </c>
      <c r="D67" s="236" t="s">
        <v>543</v>
      </c>
      <c r="E67" s="239" t="s">
        <v>245</v>
      </c>
      <c r="F67" s="239"/>
      <c r="G67" s="239"/>
      <c r="H67" s="266">
        <v>46258.0</v>
      </c>
      <c r="I67" s="266">
        <v>46267.0</v>
      </c>
      <c r="J67" s="239" t="s">
        <v>130</v>
      </c>
      <c r="K67" s="236"/>
      <c r="L67" s="267" t="str">
        <f t="shared" ref="L67:V67" si="61">IF(AND(L$6&lt;=$I67,L$6+6&gt;=$H67,$H67&lt;&gt;"",$I67&lt;&gt;""),1,"")</f>
        <v/>
      </c>
      <c r="M67" s="267" t="str">
        <f t="shared" si="61"/>
        <v/>
      </c>
      <c r="N67" s="267" t="str">
        <f t="shared" si="61"/>
        <v/>
      </c>
      <c r="O67" s="267">
        <f t="shared" si="61"/>
        <v>1</v>
      </c>
      <c r="P67" s="267">
        <f t="shared" si="61"/>
        <v>1</v>
      </c>
      <c r="Q67" s="267" t="str">
        <f t="shared" si="61"/>
        <v/>
      </c>
      <c r="R67" s="267" t="str">
        <f t="shared" si="61"/>
        <v/>
      </c>
      <c r="S67" s="267" t="str">
        <f t="shared" si="61"/>
        <v/>
      </c>
      <c r="T67" s="267" t="str">
        <f t="shared" si="61"/>
        <v/>
      </c>
      <c r="U67" s="267" t="str">
        <f t="shared" si="61"/>
        <v/>
      </c>
      <c r="V67" s="267" t="str">
        <f t="shared" si="61"/>
        <v/>
      </c>
    </row>
    <row r="68" ht="30.0" customHeight="1">
      <c r="A68" s="239">
        <v>62.0</v>
      </c>
      <c r="B68" s="239" t="s">
        <v>546</v>
      </c>
      <c r="C68" s="236" t="s">
        <v>530</v>
      </c>
      <c r="D68" s="236" t="s">
        <v>547</v>
      </c>
      <c r="E68" s="239" t="s">
        <v>245</v>
      </c>
      <c r="F68" s="239"/>
      <c r="G68" s="239"/>
      <c r="H68" s="266">
        <v>46258.0</v>
      </c>
      <c r="I68" s="266">
        <v>46267.0</v>
      </c>
      <c r="J68" s="239" t="s">
        <v>130</v>
      </c>
      <c r="K68" s="236"/>
      <c r="L68" s="267" t="str">
        <f t="shared" ref="L68:V68" si="62">IF(AND(L$6&lt;=$I68,L$6+6&gt;=$H68,$H68&lt;&gt;"",$I68&lt;&gt;""),1,"")</f>
        <v/>
      </c>
      <c r="M68" s="267" t="str">
        <f t="shared" si="62"/>
        <v/>
      </c>
      <c r="N68" s="267" t="str">
        <f t="shared" si="62"/>
        <v/>
      </c>
      <c r="O68" s="267">
        <f t="shared" si="62"/>
        <v>1</v>
      </c>
      <c r="P68" s="267">
        <f t="shared" si="62"/>
        <v>1</v>
      </c>
      <c r="Q68" s="267" t="str">
        <f t="shared" si="62"/>
        <v/>
      </c>
      <c r="R68" s="267" t="str">
        <f t="shared" si="62"/>
        <v/>
      </c>
      <c r="S68" s="267" t="str">
        <f t="shared" si="62"/>
        <v/>
      </c>
      <c r="T68" s="267" t="str">
        <f t="shared" si="62"/>
        <v/>
      </c>
      <c r="U68" s="267" t="str">
        <f t="shared" si="62"/>
        <v/>
      </c>
      <c r="V68" s="267" t="str">
        <f t="shared" si="62"/>
        <v/>
      </c>
    </row>
    <row r="69" ht="30.0" customHeight="1">
      <c r="A69" s="239">
        <v>63.0</v>
      </c>
      <c r="B69" s="239" t="s">
        <v>550</v>
      </c>
      <c r="C69" s="236" t="s">
        <v>530</v>
      </c>
      <c r="D69" s="236" t="s">
        <v>551</v>
      </c>
      <c r="E69" s="239" t="s">
        <v>245</v>
      </c>
      <c r="F69" s="239"/>
      <c r="G69" s="239"/>
      <c r="H69" s="266">
        <v>46265.0</v>
      </c>
      <c r="I69" s="266">
        <v>46269.0</v>
      </c>
      <c r="J69" s="239" t="s">
        <v>130</v>
      </c>
      <c r="K69" s="236" t="s">
        <v>554</v>
      </c>
      <c r="L69" s="267" t="str">
        <f t="shared" ref="L69:V69" si="63">IF(AND(L$6&lt;=$I69,L$6+6&gt;=$H69,$H69&lt;&gt;"",$I69&lt;&gt;""),1,"")</f>
        <v/>
      </c>
      <c r="M69" s="267" t="str">
        <f t="shared" si="63"/>
        <v/>
      </c>
      <c r="N69" s="267" t="str">
        <f t="shared" si="63"/>
        <v/>
      </c>
      <c r="O69" s="267" t="str">
        <f t="shared" si="63"/>
        <v/>
      </c>
      <c r="P69" s="267">
        <f t="shared" si="63"/>
        <v>1</v>
      </c>
      <c r="Q69" s="267" t="str">
        <f t="shared" si="63"/>
        <v/>
      </c>
      <c r="R69" s="267" t="str">
        <f t="shared" si="63"/>
        <v/>
      </c>
      <c r="S69" s="267" t="str">
        <f t="shared" si="63"/>
        <v/>
      </c>
      <c r="T69" s="267" t="str">
        <f t="shared" si="63"/>
        <v/>
      </c>
      <c r="U69" s="267" t="str">
        <f t="shared" si="63"/>
        <v/>
      </c>
      <c r="V69" s="267" t="str">
        <f t="shared" si="63"/>
        <v/>
      </c>
    </row>
    <row r="70" ht="30.0" customHeight="1">
      <c r="A70" s="239">
        <v>64.0</v>
      </c>
      <c r="B70" s="239" t="s">
        <v>555</v>
      </c>
      <c r="C70" s="236" t="s">
        <v>530</v>
      </c>
      <c r="D70" s="236" t="s">
        <v>556</v>
      </c>
      <c r="E70" s="239" t="s">
        <v>245</v>
      </c>
      <c r="F70" s="239"/>
      <c r="G70" s="239"/>
      <c r="H70" s="266">
        <v>46265.0</v>
      </c>
      <c r="I70" s="266">
        <v>46269.0</v>
      </c>
      <c r="J70" s="239" t="s">
        <v>130</v>
      </c>
      <c r="K70" s="236" t="s">
        <v>560</v>
      </c>
      <c r="L70" s="267" t="str">
        <f t="shared" ref="L70:V70" si="64">IF(AND(L$6&lt;=$I70,L$6+6&gt;=$H70,$H70&lt;&gt;"",$I70&lt;&gt;""),1,"")</f>
        <v/>
      </c>
      <c r="M70" s="267" t="str">
        <f t="shared" si="64"/>
        <v/>
      </c>
      <c r="N70" s="267" t="str">
        <f t="shared" si="64"/>
        <v/>
      </c>
      <c r="O70" s="267" t="str">
        <f t="shared" si="64"/>
        <v/>
      </c>
      <c r="P70" s="267">
        <f t="shared" si="64"/>
        <v>1</v>
      </c>
      <c r="Q70" s="267" t="str">
        <f t="shared" si="64"/>
        <v/>
      </c>
      <c r="R70" s="267" t="str">
        <f t="shared" si="64"/>
        <v/>
      </c>
      <c r="S70" s="267" t="str">
        <f t="shared" si="64"/>
        <v/>
      </c>
      <c r="T70" s="267" t="str">
        <f t="shared" si="64"/>
        <v/>
      </c>
      <c r="U70" s="267" t="str">
        <f t="shared" si="64"/>
        <v/>
      </c>
      <c r="V70" s="267" t="str">
        <f t="shared" si="64"/>
        <v/>
      </c>
    </row>
    <row r="71" ht="30.0" customHeight="1">
      <c r="A71" s="239">
        <v>65.0</v>
      </c>
      <c r="B71" s="239" t="s">
        <v>561</v>
      </c>
      <c r="C71" s="236" t="s">
        <v>530</v>
      </c>
      <c r="D71" s="236" t="s">
        <v>562</v>
      </c>
      <c r="E71" s="239" t="s">
        <v>199</v>
      </c>
      <c r="F71" s="239"/>
      <c r="G71" s="239"/>
      <c r="H71" s="266"/>
      <c r="I71" s="266"/>
      <c r="J71" s="239" t="s">
        <v>130</v>
      </c>
      <c r="K71" s="236" t="s">
        <v>567</v>
      </c>
      <c r="L71" s="267" t="str">
        <f t="shared" ref="L71:V71" si="65">IF(AND(L$6&lt;=$I71,L$6+6&gt;=$H71,$H71&lt;&gt;"",$I71&lt;&gt;""),1,"")</f>
        <v/>
      </c>
      <c r="M71" s="267" t="str">
        <f t="shared" si="65"/>
        <v/>
      </c>
      <c r="N71" s="267" t="str">
        <f t="shared" si="65"/>
        <v/>
      </c>
      <c r="O71" s="267" t="str">
        <f t="shared" si="65"/>
        <v/>
      </c>
      <c r="P71" s="267" t="str">
        <f t="shared" si="65"/>
        <v/>
      </c>
      <c r="Q71" s="267" t="str">
        <f t="shared" si="65"/>
        <v/>
      </c>
      <c r="R71" s="267" t="str">
        <f t="shared" si="65"/>
        <v/>
      </c>
      <c r="S71" s="267" t="str">
        <f t="shared" si="65"/>
        <v/>
      </c>
      <c r="T71" s="267" t="str">
        <f t="shared" si="65"/>
        <v/>
      </c>
      <c r="U71" s="267" t="str">
        <f t="shared" si="65"/>
        <v/>
      </c>
      <c r="V71" s="267" t="str">
        <f t="shared" si="65"/>
        <v/>
      </c>
    </row>
    <row r="72" ht="30.0" customHeight="1">
      <c r="A72" s="239">
        <v>66.0</v>
      </c>
      <c r="B72" s="239" t="s">
        <v>568</v>
      </c>
      <c r="C72" s="236" t="s">
        <v>569</v>
      </c>
      <c r="D72" s="236" t="s">
        <v>570</v>
      </c>
      <c r="E72" s="239" t="s">
        <v>245</v>
      </c>
      <c r="F72" s="239"/>
      <c r="G72" s="239"/>
      <c r="H72" s="266">
        <v>46265.0</v>
      </c>
      <c r="I72" s="266">
        <v>46267.0</v>
      </c>
      <c r="J72" s="239" t="s">
        <v>130</v>
      </c>
      <c r="K72" s="236"/>
      <c r="L72" s="267" t="str">
        <f t="shared" ref="L72:V72" si="66">IF(AND(L$6&lt;=$I72,L$6+6&gt;=$H72,$H72&lt;&gt;"",$I72&lt;&gt;""),1,"")</f>
        <v/>
      </c>
      <c r="M72" s="267" t="str">
        <f t="shared" si="66"/>
        <v/>
      </c>
      <c r="N72" s="267" t="str">
        <f t="shared" si="66"/>
        <v/>
      </c>
      <c r="O72" s="267" t="str">
        <f t="shared" si="66"/>
        <v/>
      </c>
      <c r="P72" s="267">
        <f t="shared" si="66"/>
        <v>1</v>
      </c>
      <c r="Q72" s="267" t="str">
        <f t="shared" si="66"/>
        <v/>
      </c>
      <c r="R72" s="267" t="str">
        <f t="shared" si="66"/>
        <v/>
      </c>
      <c r="S72" s="267" t="str">
        <f t="shared" si="66"/>
        <v/>
      </c>
      <c r="T72" s="267" t="str">
        <f t="shared" si="66"/>
        <v/>
      </c>
      <c r="U72" s="267" t="str">
        <f t="shared" si="66"/>
        <v/>
      </c>
      <c r="V72" s="267" t="str">
        <f t="shared" si="66"/>
        <v/>
      </c>
    </row>
    <row r="73" ht="30.0" customHeight="1">
      <c r="A73" s="239">
        <v>67.0</v>
      </c>
      <c r="B73" s="239" t="s">
        <v>573</v>
      </c>
      <c r="C73" s="236" t="s">
        <v>569</v>
      </c>
      <c r="D73" s="236" t="s">
        <v>574</v>
      </c>
      <c r="E73" s="239" t="s">
        <v>245</v>
      </c>
      <c r="F73" s="239"/>
      <c r="G73" s="239"/>
      <c r="H73" s="266">
        <v>46268.0</v>
      </c>
      <c r="I73" s="266">
        <v>46275.0</v>
      </c>
      <c r="J73" s="239" t="s">
        <v>130</v>
      </c>
      <c r="K73" s="236" t="s">
        <v>578</v>
      </c>
      <c r="L73" s="267" t="str">
        <f t="shared" ref="L73:V73" si="67">IF(AND(L$6&lt;=$I73,L$6+6&gt;=$H73,$H73&lt;&gt;"",$I73&lt;&gt;""),1,"")</f>
        <v/>
      </c>
      <c r="M73" s="267" t="str">
        <f t="shared" si="67"/>
        <v/>
      </c>
      <c r="N73" s="267" t="str">
        <f t="shared" si="67"/>
        <v/>
      </c>
      <c r="O73" s="267" t="str">
        <f t="shared" si="67"/>
        <v/>
      </c>
      <c r="P73" s="267">
        <f t="shared" si="67"/>
        <v>1</v>
      </c>
      <c r="Q73" s="267">
        <f t="shared" si="67"/>
        <v>1</v>
      </c>
      <c r="R73" s="267" t="str">
        <f t="shared" si="67"/>
        <v/>
      </c>
      <c r="S73" s="267" t="str">
        <f t="shared" si="67"/>
        <v/>
      </c>
      <c r="T73" s="267" t="str">
        <f t="shared" si="67"/>
        <v/>
      </c>
      <c r="U73" s="267" t="str">
        <f t="shared" si="67"/>
        <v/>
      </c>
      <c r="V73" s="267" t="str">
        <f t="shared" si="67"/>
        <v/>
      </c>
    </row>
    <row r="74" ht="30.0" customHeight="1">
      <c r="A74" s="239">
        <v>68.0</v>
      </c>
      <c r="B74" s="239" t="s">
        <v>579</v>
      </c>
      <c r="C74" s="236" t="s">
        <v>569</v>
      </c>
      <c r="D74" s="236" t="s">
        <v>580</v>
      </c>
      <c r="E74" s="239" t="s">
        <v>245</v>
      </c>
      <c r="F74" s="239"/>
      <c r="G74" s="239"/>
      <c r="H74" s="266">
        <v>46268.0</v>
      </c>
      <c r="I74" s="266">
        <v>46275.0</v>
      </c>
      <c r="J74" s="239" t="s">
        <v>130</v>
      </c>
      <c r="K74" s="236" t="s">
        <v>578</v>
      </c>
      <c r="L74" s="267" t="str">
        <f t="shared" ref="L74:V74" si="68">IF(AND(L$6&lt;=$I74,L$6+6&gt;=$H74,$H74&lt;&gt;"",$I74&lt;&gt;""),1,"")</f>
        <v/>
      </c>
      <c r="M74" s="267" t="str">
        <f t="shared" si="68"/>
        <v/>
      </c>
      <c r="N74" s="267" t="str">
        <f t="shared" si="68"/>
        <v/>
      </c>
      <c r="O74" s="267" t="str">
        <f t="shared" si="68"/>
        <v/>
      </c>
      <c r="P74" s="267">
        <f t="shared" si="68"/>
        <v>1</v>
      </c>
      <c r="Q74" s="267">
        <f t="shared" si="68"/>
        <v>1</v>
      </c>
      <c r="R74" s="267" t="str">
        <f t="shared" si="68"/>
        <v/>
      </c>
      <c r="S74" s="267" t="str">
        <f t="shared" si="68"/>
        <v/>
      </c>
      <c r="T74" s="267" t="str">
        <f t="shared" si="68"/>
        <v/>
      </c>
      <c r="U74" s="267" t="str">
        <f t="shared" si="68"/>
        <v/>
      </c>
      <c r="V74" s="267" t="str">
        <f t="shared" si="68"/>
        <v/>
      </c>
    </row>
    <row r="75" ht="30.0" customHeight="1">
      <c r="A75" s="239">
        <v>69.0</v>
      </c>
      <c r="B75" s="239" t="s">
        <v>583</v>
      </c>
      <c r="C75" s="236" t="s">
        <v>569</v>
      </c>
      <c r="D75" s="236" t="s">
        <v>584</v>
      </c>
      <c r="E75" s="239" t="s">
        <v>245</v>
      </c>
      <c r="F75" s="239"/>
      <c r="G75" s="239"/>
      <c r="H75" s="266">
        <v>46268.0</v>
      </c>
      <c r="I75" s="266">
        <v>46275.0</v>
      </c>
      <c r="J75" s="239" t="s">
        <v>130</v>
      </c>
      <c r="K75" s="236" t="s">
        <v>587</v>
      </c>
      <c r="L75" s="267" t="str">
        <f t="shared" ref="L75:V75" si="69">IF(AND(L$6&lt;=$I75,L$6+6&gt;=$H75,$H75&lt;&gt;"",$I75&lt;&gt;""),1,"")</f>
        <v/>
      </c>
      <c r="M75" s="267" t="str">
        <f t="shared" si="69"/>
        <v/>
      </c>
      <c r="N75" s="267" t="str">
        <f t="shared" si="69"/>
        <v/>
      </c>
      <c r="O75" s="267" t="str">
        <f t="shared" si="69"/>
        <v/>
      </c>
      <c r="P75" s="267">
        <f t="shared" si="69"/>
        <v>1</v>
      </c>
      <c r="Q75" s="267">
        <f t="shared" si="69"/>
        <v>1</v>
      </c>
      <c r="R75" s="267" t="str">
        <f t="shared" si="69"/>
        <v/>
      </c>
      <c r="S75" s="267" t="str">
        <f t="shared" si="69"/>
        <v/>
      </c>
      <c r="T75" s="267" t="str">
        <f t="shared" si="69"/>
        <v/>
      </c>
      <c r="U75" s="267" t="str">
        <f t="shared" si="69"/>
        <v/>
      </c>
      <c r="V75" s="267" t="str">
        <f t="shared" si="69"/>
        <v/>
      </c>
    </row>
    <row r="76" ht="30.0" customHeight="1">
      <c r="A76" s="239">
        <v>70.0</v>
      </c>
      <c r="B76" s="239" t="s">
        <v>588</v>
      </c>
      <c r="C76" s="236" t="s">
        <v>569</v>
      </c>
      <c r="D76" s="236" t="s">
        <v>589</v>
      </c>
      <c r="E76" s="239" t="s">
        <v>245</v>
      </c>
      <c r="F76" s="239"/>
      <c r="G76" s="239"/>
      <c r="H76" s="266">
        <v>46268.0</v>
      </c>
      <c r="I76" s="266">
        <v>46275.0</v>
      </c>
      <c r="J76" s="239" t="s">
        <v>130</v>
      </c>
      <c r="K76" s="236" t="s">
        <v>578</v>
      </c>
      <c r="L76" s="267" t="str">
        <f t="shared" ref="L76:V76" si="70">IF(AND(L$6&lt;=$I76,L$6+6&gt;=$H76,$H76&lt;&gt;"",$I76&lt;&gt;""),1,"")</f>
        <v/>
      </c>
      <c r="M76" s="267" t="str">
        <f t="shared" si="70"/>
        <v/>
      </c>
      <c r="N76" s="267" t="str">
        <f t="shared" si="70"/>
        <v/>
      </c>
      <c r="O76" s="267" t="str">
        <f t="shared" si="70"/>
        <v/>
      </c>
      <c r="P76" s="267">
        <f t="shared" si="70"/>
        <v>1</v>
      </c>
      <c r="Q76" s="267">
        <f t="shared" si="70"/>
        <v>1</v>
      </c>
      <c r="R76" s="267" t="str">
        <f t="shared" si="70"/>
        <v/>
      </c>
      <c r="S76" s="267" t="str">
        <f t="shared" si="70"/>
        <v/>
      </c>
      <c r="T76" s="267" t="str">
        <f t="shared" si="70"/>
        <v/>
      </c>
      <c r="U76" s="267" t="str">
        <f t="shared" si="70"/>
        <v/>
      </c>
      <c r="V76" s="267" t="str">
        <f t="shared" si="70"/>
        <v/>
      </c>
    </row>
    <row r="77" ht="30.0" customHeight="1">
      <c r="A77" s="239">
        <v>71.0</v>
      </c>
      <c r="B77" s="239" t="s">
        <v>592</v>
      </c>
      <c r="C77" s="236" t="s">
        <v>569</v>
      </c>
      <c r="D77" s="236" t="s">
        <v>593</v>
      </c>
      <c r="E77" s="239" t="s">
        <v>245</v>
      </c>
      <c r="F77" s="239"/>
      <c r="G77" s="239"/>
      <c r="H77" s="266">
        <v>46275.0</v>
      </c>
      <c r="I77" s="266">
        <v>46276.0</v>
      </c>
      <c r="J77" s="239" t="s">
        <v>130</v>
      </c>
      <c r="K77" s="236" t="s">
        <v>596</v>
      </c>
      <c r="L77" s="267" t="str">
        <f t="shared" ref="L77:V77" si="71">IF(AND(L$6&lt;=$I77,L$6+6&gt;=$H77,$H77&lt;&gt;"",$I77&lt;&gt;""),1,"")</f>
        <v/>
      </c>
      <c r="M77" s="267" t="str">
        <f t="shared" si="71"/>
        <v/>
      </c>
      <c r="N77" s="267" t="str">
        <f t="shared" si="71"/>
        <v/>
      </c>
      <c r="O77" s="267" t="str">
        <f t="shared" si="71"/>
        <v/>
      </c>
      <c r="P77" s="267" t="str">
        <f t="shared" si="71"/>
        <v/>
      </c>
      <c r="Q77" s="267">
        <f t="shared" si="71"/>
        <v>1</v>
      </c>
      <c r="R77" s="267" t="str">
        <f t="shared" si="71"/>
        <v/>
      </c>
      <c r="S77" s="267" t="str">
        <f t="shared" si="71"/>
        <v/>
      </c>
      <c r="T77" s="267" t="str">
        <f t="shared" si="71"/>
        <v/>
      </c>
      <c r="U77" s="267" t="str">
        <f t="shared" si="71"/>
        <v/>
      </c>
      <c r="V77" s="267" t="str">
        <f t="shared" si="71"/>
        <v/>
      </c>
    </row>
    <row r="78" ht="30.0" customHeight="1">
      <c r="A78" s="239">
        <v>72.0</v>
      </c>
      <c r="B78" s="239" t="s">
        <v>597</v>
      </c>
      <c r="C78" s="236" t="s">
        <v>334</v>
      </c>
      <c r="D78" s="236" t="s">
        <v>598</v>
      </c>
      <c r="E78" s="239" t="s">
        <v>245</v>
      </c>
      <c r="F78" s="239"/>
      <c r="G78" s="239"/>
      <c r="H78" s="266">
        <v>46272.0</v>
      </c>
      <c r="I78" s="266">
        <v>46273.0</v>
      </c>
      <c r="J78" s="239" t="s">
        <v>130</v>
      </c>
      <c r="K78" s="236"/>
      <c r="L78" s="267" t="str">
        <f t="shared" ref="L78:V78" si="72">IF(AND(L$6&lt;=$I78,L$6+6&gt;=$H78,$H78&lt;&gt;"",$I78&lt;&gt;""),1,"")</f>
        <v/>
      </c>
      <c r="M78" s="267" t="str">
        <f t="shared" si="72"/>
        <v/>
      </c>
      <c r="N78" s="267" t="str">
        <f t="shared" si="72"/>
        <v/>
      </c>
      <c r="O78" s="267" t="str">
        <f t="shared" si="72"/>
        <v/>
      </c>
      <c r="P78" s="267" t="str">
        <f t="shared" si="72"/>
        <v/>
      </c>
      <c r="Q78" s="267">
        <f t="shared" si="72"/>
        <v>1</v>
      </c>
      <c r="R78" s="267" t="str">
        <f t="shared" si="72"/>
        <v/>
      </c>
      <c r="S78" s="267" t="str">
        <f t="shared" si="72"/>
        <v/>
      </c>
      <c r="T78" s="267" t="str">
        <f t="shared" si="72"/>
        <v/>
      </c>
      <c r="U78" s="267" t="str">
        <f t="shared" si="72"/>
        <v/>
      </c>
      <c r="V78" s="267" t="str">
        <f t="shared" si="72"/>
        <v/>
      </c>
    </row>
    <row r="79" ht="30.0" customHeight="1">
      <c r="A79" s="239">
        <v>73.0</v>
      </c>
      <c r="B79" s="239" t="s">
        <v>602</v>
      </c>
      <c r="C79" s="236" t="s">
        <v>334</v>
      </c>
      <c r="D79" s="236" t="s">
        <v>603</v>
      </c>
      <c r="E79" s="239" t="s">
        <v>245</v>
      </c>
      <c r="F79" s="239"/>
      <c r="G79" s="239"/>
      <c r="H79" s="266">
        <v>46274.0</v>
      </c>
      <c r="I79" s="266">
        <v>46280.0</v>
      </c>
      <c r="J79" s="239" t="s">
        <v>130</v>
      </c>
      <c r="K79" s="236" t="s">
        <v>578</v>
      </c>
      <c r="L79" s="267" t="str">
        <f t="shared" ref="L79:V79" si="73">IF(AND(L$6&lt;=$I79,L$6+6&gt;=$H79,$H79&lt;&gt;"",$I79&lt;&gt;""),1,"")</f>
        <v/>
      </c>
      <c r="M79" s="267" t="str">
        <f t="shared" si="73"/>
        <v/>
      </c>
      <c r="N79" s="267" t="str">
        <f t="shared" si="73"/>
        <v/>
      </c>
      <c r="O79" s="267" t="str">
        <f t="shared" si="73"/>
        <v/>
      </c>
      <c r="P79" s="267" t="str">
        <f t="shared" si="73"/>
        <v/>
      </c>
      <c r="Q79" s="267">
        <f t="shared" si="73"/>
        <v>1</v>
      </c>
      <c r="R79" s="267">
        <f t="shared" si="73"/>
        <v>1</v>
      </c>
      <c r="S79" s="267" t="str">
        <f t="shared" si="73"/>
        <v/>
      </c>
      <c r="T79" s="267" t="str">
        <f t="shared" si="73"/>
        <v/>
      </c>
      <c r="U79" s="267" t="str">
        <f t="shared" si="73"/>
        <v/>
      </c>
      <c r="V79" s="267" t="str">
        <f t="shared" si="73"/>
        <v/>
      </c>
    </row>
    <row r="80" ht="30.0" customHeight="1">
      <c r="A80" s="239">
        <v>74.0</v>
      </c>
      <c r="B80" s="239" t="s">
        <v>606</v>
      </c>
      <c r="C80" s="236" t="s">
        <v>334</v>
      </c>
      <c r="D80" s="236" t="s">
        <v>607</v>
      </c>
      <c r="E80" s="239" t="s">
        <v>245</v>
      </c>
      <c r="F80" s="239"/>
      <c r="G80" s="239"/>
      <c r="H80" s="266">
        <v>46274.0</v>
      </c>
      <c r="I80" s="266">
        <v>46280.0</v>
      </c>
      <c r="J80" s="239" t="s">
        <v>130</v>
      </c>
      <c r="K80" s="236"/>
      <c r="L80" s="267" t="str">
        <f t="shared" ref="L80:V80" si="74">IF(AND(L$6&lt;=$I80,L$6+6&gt;=$H80,$H80&lt;&gt;"",$I80&lt;&gt;""),1,"")</f>
        <v/>
      </c>
      <c r="M80" s="267" t="str">
        <f t="shared" si="74"/>
        <v/>
      </c>
      <c r="N80" s="267" t="str">
        <f t="shared" si="74"/>
        <v/>
      </c>
      <c r="O80" s="267" t="str">
        <f t="shared" si="74"/>
        <v/>
      </c>
      <c r="P80" s="267" t="str">
        <f t="shared" si="74"/>
        <v/>
      </c>
      <c r="Q80" s="267">
        <f t="shared" si="74"/>
        <v>1</v>
      </c>
      <c r="R80" s="267">
        <f t="shared" si="74"/>
        <v>1</v>
      </c>
      <c r="S80" s="267" t="str">
        <f t="shared" si="74"/>
        <v/>
      </c>
      <c r="T80" s="267" t="str">
        <f t="shared" si="74"/>
        <v/>
      </c>
      <c r="U80" s="267" t="str">
        <f t="shared" si="74"/>
        <v/>
      </c>
      <c r="V80" s="267" t="str">
        <f t="shared" si="74"/>
        <v/>
      </c>
    </row>
    <row r="81" ht="30.0" customHeight="1">
      <c r="A81" s="239">
        <v>75.0</v>
      </c>
      <c r="B81" s="239" t="s">
        <v>610</v>
      </c>
      <c r="C81" s="236" t="s">
        <v>334</v>
      </c>
      <c r="D81" s="236" t="s">
        <v>611</v>
      </c>
      <c r="E81" s="239" t="s">
        <v>245</v>
      </c>
      <c r="F81" s="239"/>
      <c r="G81" s="239"/>
      <c r="H81" s="266">
        <v>46274.0</v>
      </c>
      <c r="I81" s="266">
        <v>46280.0</v>
      </c>
      <c r="J81" s="239" t="s">
        <v>130</v>
      </c>
      <c r="K81" s="236"/>
      <c r="L81" s="267" t="str">
        <f t="shared" ref="L81:V81" si="75">IF(AND(L$6&lt;=$I81,L$6+6&gt;=$H81,$H81&lt;&gt;"",$I81&lt;&gt;""),1,"")</f>
        <v/>
      </c>
      <c r="M81" s="267" t="str">
        <f t="shared" si="75"/>
        <v/>
      </c>
      <c r="N81" s="267" t="str">
        <f t="shared" si="75"/>
        <v/>
      </c>
      <c r="O81" s="267" t="str">
        <f t="shared" si="75"/>
        <v/>
      </c>
      <c r="P81" s="267" t="str">
        <f t="shared" si="75"/>
        <v/>
      </c>
      <c r="Q81" s="267">
        <f t="shared" si="75"/>
        <v>1</v>
      </c>
      <c r="R81" s="267">
        <f t="shared" si="75"/>
        <v>1</v>
      </c>
      <c r="S81" s="267" t="str">
        <f t="shared" si="75"/>
        <v/>
      </c>
      <c r="T81" s="267" t="str">
        <f t="shared" si="75"/>
        <v/>
      </c>
      <c r="U81" s="267" t="str">
        <f t="shared" si="75"/>
        <v/>
      </c>
      <c r="V81" s="267" t="str">
        <f t="shared" si="75"/>
        <v/>
      </c>
    </row>
    <row r="82" ht="30.0" customHeight="1">
      <c r="A82" s="239">
        <v>76.0</v>
      </c>
      <c r="B82" s="239" t="s">
        <v>614</v>
      </c>
      <c r="C82" s="236" t="s">
        <v>334</v>
      </c>
      <c r="D82" s="236" t="s">
        <v>615</v>
      </c>
      <c r="E82" s="239" t="s">
        <v>245</v>
      </c>
      <c r="F82" s="239"/>
      <c r="G82" s="239"/>
      <c r="H82" s="266">
        <v>46274.0</v>
      </c>
      <c r="I82" s="266">
        <v>46280.0</v>
      </c>
      <c r="J82" s="239" t="s">
        <v>130</v>
      </c>
      <c r="K82" s="236"/>
      <c r="L82" s="267" t="str">
        <f t="shared" ref="L82:V82" si="76">IF(AND(L$6&lt;=$I82,L$6+6&gt;=$H82,$H82&lt;&gt;"",$I82&lt;&gt;""),1,"")</f>
        <v/>
      </c>
      <c r="M82" s="267" t="str">
        <f t="shared" si="76"/>
        <v/>
      </c>
      <c r="N82" s="267" t="str">
        <f t="shared" si="76"/>
        <v/>
      </c>
      <c r="O82" s="267" t="str">
        <f t="shared" si="76"/>
        <v/>
      </c>
      <c r="P82" s="267" t="str">
        <f t="shared" si="76"/>
        <v/>
      </c>
      <c r="Q82" s="267">
        <f t="shared" si="76"/>
        <v>1</v>
      </c>
      <c r="R82" s="267">
        <f t="shared" si="76"/>
        <v>1</v>
      </c>
      <c r="S82" s="267" t="str">
        <f t="shared" si="76"/>
        <v/>
      </c>
      <c r="T82" s="267" t="str">
        <f t="shared" si="76"/>
        <v/>
      </c>
      <c r="U82" s="267" t="str">
        <f t="shared" si="76"/>
        <v/>
      </c>
      <c r="V82" s="267" t="str">
        <f t="shared" si="76"/>
        <v/>
      </c>
    </row>
    <row r="83" ht="30.0" customHeight="1">
      <c r="A83" s="239">
        <v>77.0</v>
      </c>
      <c r="B83" s="239" t="s">
        <v>618</v>
      </c>
      <c r="C83" s="236" t="s">
        <v>334</v>
      </c>
      <c r="D83" s="236" t="s">
        <v>619</v>
      </c>
      <c r="E83" s="239" t="s">
        <v>245</v>
      </c>
      <c r="F83" s="239"/>
      <c r="G83" s="239"/>
      <c r="H83" s="266">
        <v>46280.0</v>
      </c>
      <c r="I83" s="266">
        <v>46281.0</v>
      </c>
      <c r="J83" s="239" t="s">
        <v>130</v>
      </c>
      <c r="K83" s="236" t="s">
        <v>622</v>
      </c>
      <c r="L83" s="267" t="str">
        <f t="shared" ref="L83:V83" si="77">IF(AND(L$6&lt;=$I83,L$6+6&gt;=$H83,$H83&lt;&gt;"",$I83&lt;&gt;""),1,"")</f>
        <v/>
      </c>
      <c r="M83" s="267" t="str">
        <f t="shared" si="77"/>
        <v/>
      </c>
      <c r="N83" s="267" t="str">
        <f t="shared" si="77"/>
        <v/>
      </c>
      <c r="O83" s="267" t="str">
        <f t="shared" si="77"/>
        <v/>
      </c>
      <c r="P83" s="267" t="str">
        <f t="shared" si="77"/>
        <v/>
      </c>
      <c r="Q83" s="267" t="str">
        <f t="shared" si="77"/>
        <v/>
      </c>
      <c r="R83" s="267">
        <f t="shared" si="77"/>
        <v>1</v>
      </c>
      <c r="S83" s="267" t="str">
        <f t="shared" si="77"/>
        <v/>
      </c>
      <c r="T83" s="267" t="str">
        <f t="shared" si="77"/>
        <v/>
      </c>
      <c r="U83" s="267" t="str">
        <f t="shared" si="77"/>
        <v/>
      </c>
      <c r="V83" s="267" t="str">
        <f t="shared" si="77"/>
        <v/>
      </c>
    </row>
    <row r="84" ht="30.0" customHeight="1">
      <c r="A84" s="239">
        <v>78.0</v>
      </c>
      <c r="B84" s="239" t="s">
        <v>623</v>
      </c>
      <c r="C84" s="236" t="s">
        <v>624</v>
      </c>
      <c r="D84" s="236" t="s">
        <v>625</v>
      </c>
      <c r="E84" s="239" t="s">
        <v>245</v>
      </c>
      <c r="F84" s="239"/>
      <c r="G84" s="239"/>
      <c r="H84" s="266">
        <v>46265.0</v>
      </c>
      <c r="I84" s="266">
        <v>46275.0</v>
      </c>
      <c r="J84" s="239" t="s">
        <v>130</v>
      </c>
      <c r="K84" s="236"/>
      <c r="L84" s="267" t="str">
        <f t="shared" ref="L84:V84" si="78">IF(AND(L$6&lt;=$I84,L$6+6&gt;=$H84,$H84&lt;&gt;"",$I84&lt;&gt;""),1,"")</f>
        <v/>
      </c>
      <c r="M84" s="267" t="str">
        <f t="shared" si="78"/>
        <v/>
      </c>
      <c r="N84" s="267" t="str">
        <f t="shared" si="78"/>
        <v/>
      </c>
      <c r="O84" s="267" t="str">
        <f t="shared" si="78"/>
        <v/>
      </c>
      <c r="P84" s="267">
        <f t="shared" si="78"/>
        <v>1</v>
      </c>
      <c r="Q84" s="267">
        <f t="shared" si="78"/>
        <v>1</v>
      </c>
      <c r="R84" s="267" t="str">
        <f t="shared" si="78"/>
        <v/>
      </c>
      <c r="S84" s="267" t="str">
        <f t="shared" si="78"/>
        <v/>
      </c>
      <c r="T84" s="267" t="str">
        <f t="shared" si="78"/>
        <v/>
      </c>
      <c r="U84" s="267" t="str">
        <f t="shared" si="78"/>
        <v/>
      </c>
      <c r="V84" s="267" t="str">
        <f t="shared" si="78"/>
        <v/>
      </c>
    </row>
    <row r="85" ht="30.0" customHeight="1">
      <c r="A85" s="239">
        <v>79.0</v>
      </c>
      <c r="B85" s="239" t="s">
        <v>629</v>
      </c>
      <c r="C85" s="236" t="s">
        <v>624</v>
      </c>
      <c r="D85" s="236" t="s">
        <v>630</v>
      </c>
      <c r="E85" s="239" t="s">
        <v>245</v>
      </c>
      <c r="F85" s="239"/>
      <c r="G85" s="239"/>
      <c r="H85" s="266">
        <v>46265.0</v>
      </c>
      <c r="I85" s="266">
        <v>46275.0</v>
      </c>
      <c r="J85" s="239" t="s">
        <v>130</v>
      </c>
      <c r="K85" s="236"/>
      <c r="L85" s="267" t="str">
        <f t="shared" ref="L85:V85" si="79">IF(AND(L$6&lt;=$I85,L$6+6&gt;=$H85,$H85&lt;&gt;"",$I85&lt;&gt;""),1,"")</f>
        <v/>
      </c>
      <c r="M85" s="267" t="str">
        <f t="shared" si="79"/>
        <v/>
      </c>
      <c r="N85" s="267" t="str">
        <f t="shared" si="79"/>
        <v/>
      </c>
      <c r="O85" s="267" t="str">
        <f t="shared" si="79"/>
        <v/>
      </c>
      <c r="P85" s="267">
        <f t="shared" si="79"/>
        <v>1</v>
      </c>
      <c r="Q85" s="267">
        <f t="shared" si="79"/>
        <v>1</v>
      </c>
      <c r="R85" s="267" t="str">
        <f t="shared" si="79"/>
        <v/>
      </c>
      <c r="S85" s="267" t="str">
        <f t="shared" si="79"/>
        <v/>
      </c>
      <c r="T85" s="267" t="str">
        <f t="shared" si="79"/>
        <v/>
      </c>
      <c r="U85" s="267" t="str">
        <f t="shared" si="79"/>
        <v/>
      </c>
      <c r="V85" s="267" t="str">
        <f t="shared" si="79"/>
        <v/>
      </c>
    </row>
    <row r="86" ht="30.0" customHeight="1">
      <c r="A86" s="239">
        <v>80.0</v>
      </c>
      <c r="B86" s="239" t="s">
        <v>633</v>
      </c>
      <c r="C86" s="236" t="s">
        <v>624</v>
      </c>
      <c r="D86" s="236" t="s">
        <v>634</v>
      </c>
      <c r="E86" s="239" t="s">
        <v>245</v>
      </c>
      <c r="F86" s="239"/>
      <c r="G86" s="239"/>
      <c r="H86" s="266">
        <v>46265.0</v>
      </c>
      <c r="I86" s="266">
        <v>46275.0</v>
      </c>
      <c r="J86" s="239" t="s">
        <v>130</v>
      </c>
      <c r="K86" s="236"/>
      <c r="L86" s="267" t="str">
        <f t="shared" ref="L86:V86" si="80">IF(AND(L$6&lt;=$I86,L$6+6&gt;=$H86,$H86&lt;&gt;"",$I86&lt;&gt;""),1,"")</f>
        <v/>
      </c>
      <c r="M86" s="267" t="str">
        <f t="shared" si="80"/>
        <v/>
      </c>
      <c r="N86" s="267" t="str">
        <f t="shared" si="80"/>
        <v/>
      </c>
      <c r="O86" s="267" t="str">
        <f t="shared" si="80"/>
        <v/>
      </c>
      <c r="P86" s="267">
        <f t="shared" si="80"/>
        <v>1</v>
      </c>
      <c r="Q86" s="267">
        <f t="shared" si="80"/>
        <v>1</v>
      </c>
      <c r="R86" s="267" t="str">
        <f t="shared" si="80"/>
        <v/>
      </c>
      <c r="S86" s="267" t="str">
        <f t="shared" si="80"/>
        <v/>
      </c>
      <c r="T86" s="267" t="str">
        <f t="shared" si="80"/>
        <v/>
      </c>
      <c r="U86" s="267" t="str">
        <f t="shared" si="80"/>
        <v/>
      </c>
      <c r="V86" s="267" t="str">
        <f t="shared" si="80"/>
        <v/>
      </c>
    </row>
    <row r="87" ht="30.0" customHeight="1">
      <c r="A87" s="239">
        <v>81.0</v>
      </c>
      <c r="B87" s="239" t="s">
        <v>637</v>
      </c>
      <c r="C87" s="236" t="s">
        <v>624</v>
      </c>
      <c r="D87" s="236" t="s">
        <v>638</v>
      </c>
      <c r="E87" s="239" t="s">
        <v>245</v>
      </c>
      <c r="F87" s="239" t="s">
        <v>143</v>
      </c>
      <c r="G87" s="239"/>
      <c r="H87" s="266">
        <v>46265.0</v>
      </c>
      <c r="I87" s="266">
        <v>46275.0</v>
      </c>
      <c r="J87" s="239" t="s">
        <v>130</v>
      </c>
      <c r="K87" s="236"/>
      <c r="L87" s="267" t="str">
        <f t="shared" ref="L87:V87" si="81">IF(AND(L$6&lt;=$I87,L$6+6&gt;=$H87,$H87&lt;&gt;"",$I87&lt;&gt;""),1,"")</f>
        <v/>
      </c>
      <c r="M87" s="267" t="str">
        <f t="shared" si="81"/>
        <v/>
      </c>
      <c r="N87" s="267" t="str">
        <f t="shared" si="81"/>
        <v/>
      </c>
      <c r="O87" s="267" t="str">
        <f t="shared" si="81"/>
        <v/>
      </c>
      <c r="P87" s="267">
        <f t="shared" si="81"/>
        <v>1</v>
      </c>
      <c r="Q87" s="267">
        <f t="shared" si="81"/>
        <v>1</v>
      </c>
      <c r="R87" s="267" t="str">
        <f t="shared" si="81"/>
        <v/>
      </c>
      <c r="S87" s="267" t="str">
        <f t="shared" si="81"/>
        <v/>
      </c>
      <c r="T87" s="267" t="str">
        <f t="shared" si="81"/>
        <v/>
      </c>
      <c r="U87" s="267" t="str">
        <f t="shared" si="81"/>
        <v/>
      </c>
      <c r="V87" s="267" t="str">
        <f t="shared" si="81"/>
        <v/>
      </c>
    </row>
    <row r="88" ht="30.0" customHeight="1">
      <c r="A88" s="239">
        <v>82.0</v>
      </c>
      <c r="B88" s="239" t="s">
        <v>641</v>
      </c>
      <c r="C88" s="236" t="s">
        <v>624</v>
      </c>
      <c r="D88" s="236" t="s">
        <v>642</v>
      </c>
      <c r="E88" s="239" t="s">
        <v>245</v>
      </c>
      <c r="F88" s="239" t="s">
        <v>143</v>
      </c>
      <c r="G88" s="239"/>
      <c r="H88" s="266">
        <v>46265.0</v>
      </c>
      <c r="I88" s="266">
        <v>46275.0</v>
      </c>
      <c r="J88" s="239" t="s">
        <v>130</v>
      </c>
      <c r="K88" s="236"/>
      <c r="L88" s="267" t="str">
        <f t="shared" ref="L88:V88" si="82">IF(AND(L$6&lt;=$I88,L$6+6&gt;=$H88,$H88&lt;&gt;"",$I88&lt;&gt;""),1,"")</f>
        <v/>
      </c>
      <c r="M88" s="267" t="str">
        <f t="shared" si="82"/>
        <v/>
      </c>
      <c r="N88" s="267" t="str">
        <f t="shared" si="82"/>
        <v/>
      </c>
      <c r="O88" s="267" t="str">
        <f t="shared" si="82"/>
        <v/>
      </c>
      <c r="P88" s="267">
        <f t="shared" si="82"/>
        <v>1</v>
      </c>
      <c r="Q88" s="267">
        <f t="shared" si="82"/>
        <v>1</v>
      </c>
      <c r="R88" s="267" t="str">
        <f t="shared" si="82"/>
        <v/>
      </c>
      <c r="S88" s="267" t="str">
        <f t="shared" si="82"/>
        <v/>
      </c>
      <c r="T88" s="267" t="str">
        <f t="shared" si="82"/>
        <v/>
      </c>
      <c r="U88" s="267" t="str">
        <f t="shared" si="82"/>
        <v/>
      </c>
      <c r="V88" s="267" t="str">
        <f t="shared" si="82"/>
        <v/>
      </c>
    </row>
    <row r="89" ht="30.0" customHeight="1">
      <c r="A89" s="239">
        <v>83.0</v>
      </c>
      <c r="B89" s="239" t="s">
        <v>645</v>
      </c>
      <c r="C89" s="236" t="s">
        <v>624</v>
      </c>
      <c r="D89" s="236" t="s">
        <v>646</v>
      </c>
      <c r="E89" s="239" t="s">
        <v>245</v>
      </c>
      <c r="F89" s="239" t="s">
        <v>143</v>
      </c>
      <c r="G89" s="239"/>
      <c r="H89" s="266">
        <v>46275.0</v>
      </c>
      <c r="I89" s="266">
        <v>46276.0</v>
      </c>
      <c r="J89" s="239" t="s">
        <v>130</v>
      </c>
      <c r="K89" s="236"/>
      <c r="L89" s="267" t="str">
        <f t="shared" ref="L89:V89" si="83">IF(AND(L$6&lt;=$I89,L$6+6&gt;=$H89,$H89&lt;&gt;"",$I89&lt;&gt;""),1,"")</f>
        <v/>
      </c>
      <c r="M89" s="267" t="str">
        <f t="shared" si="83"/>
        <v/>
      </c>
      <c r="N89" s="267" t="str">
        <f t="shared" si="83"/>
        <v/>
      </c>
      <c r="O89" s="267" t="str">
        <f t="shared" si="83"/>
        <v/>
      </c>
      <c r="P89" s="267" t="str">
        <f t="shared" si="83"/>
        <v/>
      </c>
      <c r="Q89" s="267">
        <f t="shared" si="83"/>
        <v>1</v>
      </c>
      <c r="R89" s="267" t="str">
        <f t="shared" si="83"/>
        <v/>
      </c>
      <c r="S89" s="267" t="str">
        <f t="shared" si="83"/>
        <v/>
      </c>
      <c r="T89" s="267" t="str">
        <f t="shared" si="83"/>
        <v/>
      </c>
      <c r="U89" s="267" t="str">
        <f t="shared" si="83"/>
        <v/>
      </c>
      <c r="V89" s="267" t="str">
        <f t="shared" si="83"/>
        <v/>
      </c>
    </row>
    <row r="90" ht="30.0" customHeight="1">
      <c r="A90" s="239">
        <v>84.0</v>
      </c>
      <c r="B90" s="239" t="s">
        <v>649</v>
      </c>
      <c r="C90" s="236" t="s">
        <v>650</v>
      </c>
      <c r="D90" s="236" t="s">
        <v>651</v>
      </c>
      <c r="E90" s="239" t="s">
        <v>245</v>
      </c>
      <c r="F90" s="239"/>
      <c r="G90" s="239"/>
      <c r="H90" s="266">
        <v>46272.0</v>
      </c>
      <c r="I90" s="266">
        <v>46280.0</v>
      </c>
      <c r="J90" s="239" t="s">
        <v>130</v>
      </c>
      <c r="K90" s="236" t="s">
        <v>655</v>
      </c>
      <c r="L90" s="267" t="str">
        <f t="shared" ref="L90:V90" si="84">IF(AND(L$6&lt;=$I90,L$6+6&gt;=$H90,$H90&lt;&gt;"",$I90&lt;&gt;""),1,"")</f>
        <v/>
      </c>
      <c r="M90" s="267" t="str">
        <f t="shared" si="84"/>
        <v/>
      </c>
      <c r="N90" s="267" t="str">
        <f t="shared" si="84"/>
        <v/>
      </c>
      <c r="O90" s="267" t="str">
        <f t="shared" si="84"/>
        <v/>
      </c>
      <c r="P90" s="267" t="str">
        <f t="shared" si="84"/>
        <v/>
      </c>
      <c r="Q90" s="267">
        <f t="shared" si="84"/>
        <v>1</v>
      </c>
      <c r="R90" s="267">
        <f t="shared" si="84"/>
        <v>1</v>
      </c>
      <c r="S90" s="267" t="str">
        <f t="shared" si="84"/>
        <v/>
      </c>
      <c r="T90" s="267" t="str">
        <f t="shared" si="84"/>
        <v/>
      </c>
      <c r="U90" s="267" t="str">
        <f t="shared" si="84"/>
        <v/>
      </c>
      <c r="V90" s="267" t="str">
        <f t="shared" si="84"/>
        <v/>
      </c>
    </row>
    <row r="91" ht="30.0" customHeight="1">
      <c r="A91" s="239">
        <v>85.0</v>
      </c>
      <c r="B91" s="239" t="s">
        <v>656</v>
      </c>
      <c r="C91" s="236" t="s">
        <v>650</v>
      </c>
      <c r="D91" s="236" t="s">
        <v>657</v>
      </c>
      <c r="E91" s="239" t="s">
        <v>245</v>
      </c>
      <c r="F91" s="239"/>
      <c r="G91" s="239"/>
      <c r="H91" s="266">
        <v>46272.0</v>
      </c>
      <c r="I91" s="266">
        <v>46280.0</v>
      </c>
      <c r="J91" s="239" t="s">
        <v>130</v>
      </c>
      <c r="K91" s="236"/>
      <c r="L91" s="267" t="str">
        <f t="shared" ref="L91:V91" si="85">IF(AND(L$6&lt;=$I91,L$6+6&gt;=$H91,$H91&lt;&gt;"",$I91&lt;&gt;""),1,"")</f>
        <v/>
      </c>
      <c r="M91" s="267" t="str">
        <f t="shared" si="85"/>
        <v/>
      </c>
      <c r="N91" s="267" t="str">
        <f t="shared" si="85"/>
        <v/>
      </c>
      <c r="O91" s="267" t="str">
        <f t="shared" si="85"/>
        <v/>
      </c>
      <c r="P91" s="267" t="str">
        <f t="shared" si="85"/>
        <v/>
      </c>
      <c r="Q91" s="267">
        <f t="shared" si="85"/>
        <v>1</v>
      </c>
      <c r="R91" s="267">
        <f t="shared" si="85"/>
        <v>1</v>
      </c>
      <c r="S91" s="267" t="str">
        <f t="shared" si="85"/>
        <v/>
      </c>
      <c r="T91" s="267" t="str">
        <f t="shared" si="85"/>
        <v/>
      </c>
      <c r="U91" s="267" t="str">
        <f t="shared" si="85"/>
        <v/>
      </c>
      <c r="V91" s="267" t="str">
        <f t="shared" si="85"/>
        <v/>
      </c>
    </row>
    <row r="92" ht="30.0" customHeight="1">
      <c r="A92" s="239">
        <v>86.0</v>
      </c>
      <c r="B92" s="239" t="s">
        <v>660</v>
      </c>
      <c r="C92" s="236" t="s">
        <v>650</v>
      </c>
      <c r="D92" s="236" t="s">
        <v>661</v>
      </c>
      <c r="E92" s="239" t="s">
        <v>245</v>
      </c>
      <c r="F92" s="239"/>
      <c r="G92" s="239"/>
      <c r="H92" s="266">
        <v>46272.0</v>
      </c>
      <c r="I92" s="266">
        <v>46280.0</v>
      </c>
      <c r="J92" s="239" t="s">
        <v>130</v>
      </c>
      <c r="K92" s="236"/>
      <c r="L92" s="267" t="str">
        <f t="shared" ref="L92:V92" si="86">IF(AND(L$6&lt;=$I92,L$6+6&gt;=$H92,$H92&lt;&gt;"",$I92&lt;&gt;""),1,"")</f>
        <v/>
      </c>
      <c r="M92" s="267" t="str">
        <f t="shared" si="86"/>
        <v/>
      </c>
      <c r="N92" s="267" t="str">
        <f t="shared" si="86"/>
        <v/>
      </c>
      <c r="O92" s="267" t="str">
        <f t="shared" si="86"/>
        <v/>
      </c>
      <c r="P92" s="267" t="str">
        <f t="shared" si="86"/>
        <v/>
      </c>
      <c r="Q92" s="267">
        <f t="shared" si="86"/>
        <v>1</v>
      </c>
      <c r="R92" s="267">
        <f t="shared" si="86"/>
        <v>1</v>
      </c>
      <c r="S92" s="267" t="str">
        <f t="shared" si="86"/>
        <v/>
      </c>
      <c r="T92" s="267" t="str">
        <f t="shared" si="86"/>
        <v/>
      </c>
      <c r="U92" s="267" t="str">
        <f t="shared" si="86"/>
        <v/>
      </c>
      <c r="V92" s="267" t="str">
        <f t="shared" si="86"/>
        <v/>
      </c>
    </row>
    <row r="93" ht="30.0" customHeight="1">
      <c r="A93" s="239">
        <v>87.0</v>
      </c>
      <c r="B93" s="239" t="s">
        <v>664</v>
      </c>
      <c r="C93" s="236" t="s">
        <v>650</v>
      </c>
      <c r="D93" s="236" t="s">
        <v>665</v>
      </c>
      <c r="E93" s="239" t="s">
        <v>245</v>
      </c>
      <c r="F93" s="239"/>
      <c r="G93" s="239"/>
      <c r="H93" s="266">
        <v>46272.0</v>
      </c>
      <c r="I93" s="266">
        <v>46280.0</v>
      </c>
      <c r="J93" s="239" t="s">
        <v>130</v>
      </c>
      <c r="K93" s="236"/>
      <c r="L93" s="267" t="str">
        <f t="shared" ref="L93:V93" si="87">IF(AND(L$6&lt;=$I93,L$6+6&gt;=$H93,$H93&lt;&gt;"",$I93&lt;&gt;""),1,"")</f>
        <v/>
      </c>
      <c r="M93" s="267" t="str">
        <f t="shared" si="87"/>
        <v/>
      </c>
      <c r="N93" s="267" t="str">
        <f t="shared" si="87"/>
        <v/>
      </c>
      <c r="O93" s="267" t="str">
        <f t="shared" si="87"/>
        <v/>
      </c>
      <c r="P93" s="267" t="str">
        <f t="shared" si="87"/>
        <v/>
      </c>
      <c r="Q93" s="267">
        <f t="shared" si="87"/>
        <v>1</v>
      </c>
      <c r="R93" s="267">
        <f t="shared" si="87"/>
        <v>1</v>
      </c>
      <c r="S93" s="267" t="str">
        <f t="shared" si="87"/>
        <v/>
      </c>
      <c r="T93" s="267" t="str">
        <f t="shared" si="87"/>
        <v/>
      </c>
      <c r="U93" s="267" t="str">
        <f t="shared" si="87"/>
        <v/>
      </c>
      <c r="V93" s="267" t="str">
        <f t="shared" si="87"/>
        <v/>
      </c>
    </row>
    <row r="94" ht="30.0" customHeight="1">
      <c r="A94" s="239">
        <v>88.0</v>
      </c>
      <c r="B94" s="239" t="s">
        <v>668</v>
      </c>
      <c r="C94" s="236" t="s">
        <v>650</v>
      </c>
      <c r="D94" s="236" t="s">
        <v>669</v>
      </c>
      <c r="E94" s="239" t="s">
        <v>245</v>
      </c>
      <c r="F94" s="239"/>
      <c r="G94" s="239"/>
      <c r="H94" s="266">
        <v>46272.0</v>
      </c>
      <c r="I94" s="266">
        <v>46280.0</v>
      </c>
      <c r="J94" s="239" t="s">
        <v>130</v>
      </c>
      <c r="K94" s="236"/>
      <c r="L94" s="267" t="str">
        <f t="shared" ref="L94:V94" si="88">IF(AND(L$6&lt;=$I94,L$6+6&gt;=$H94,$H94&lt;&gt;"",$I94&lt;&gt;""),1,"")</f>
        <v/>
      </c>
      <c r="M94" s="267" t="str">
        <f t="shared" si="88"/>
        <v/>
      </c>
      <c r="N94" s="267" t="str">
        <f t="shared" si="88"/>
        <v/>
      </c>
      <c r="O94" s="267" t="str">
        <f t="shared" si="88"/>
        <v/>
      </c>
      <c r="P94" s="267" t="str">
        <f t="shared" si="88"/>
        <v/>
      </c>
      <c r="Q94" s="267">
        <f t="shared" si="88"/>
        <v>1</v>
      </c>
      <c r="R94" s="267">
        <f t="shared" si="88"/>
        <v>1</v>
      </c>
      <c r="S94" s="267" t="str">
        <f t="shared" si="88"/>
        <v/>
      </c>
      <c r="T94" s="267" t="str">
        <f t="shared" si="88"/>
        <v/>
      </c>
      <c r="U94" s="267" t="str">
        <f t="shared" si="88"/>
        <v/>
      </c>
      <c r="V94" s="267" t="str">
        <f t="shared" si="88"/>
        <v/>
      </c>
    </row>
    <row r="95" ht="30.0" customHeight="1">
      <c r="A95" s="239">
        <v>89.0</v>
      </c>
      <c r="B95" s="239" t="s">
        <v>672</v>
      </c>
      <c r="C95" s="236" t="s">
        <v>650</v>
      </c>
      <c r="D95" s="236" t="s">
        <v>673</v>
      </c>
      <c r="E95" s="239" t="s">
        <v>245</v>
      </c>
      <c r="F95" s="239"/>
      <c r="G95" s="239"/>
      <c r="H95" s="266">
        <v>46280.0</v>
      </c>
      <c r="I95" s="266">
        <v>46281.0</v>
      </c>
      <c r="J95" s="239" t="s">
        <v>130</v>
      </c>
      <c r="K95" s="236" t="s">
        <v>676</v>
      </c>
      <c r="L95" s="267" t="str">
        <f t="shared" ref="L95:V95" si="89">IF(AND(L$6&lt;=$I95,L$6+6&gt;=$H95,$H95&lt;&gt;"",$I95&lt;&gt;""),1,"")</f>
        <v/>
      </c>
      <c r="M95" s="267" t="str">
        <f t="shared" si="89"/>
        <v/>
      </c>
      <c r="N95" s="267" t="str">
        <f t="shared" si="89"/>
        <v/>
      </c>
      <c r="O95" s="267" t="str">
        <f t="shared" si="89"/>
        <v/>
      </c>
      <c r="P95" s="267" t="str">
        <f t="shared" si="89"/>
        <v/>
      </c>
      <c r="Q95" s="267" t="str">
        <f t="shared" si="89"/>
        <v/>
      </c>
      <c r="R95" s="267">
        <f t="shared" si="89"/>
        <v>1</v>
      </c>
      <c r="S95" s="267" t="str">
        <f t="shared" si="89"/>
        <v/>
      </c>
      <c r="T95" s="267" t="str">
        <f t="shared" si="89"/>
        <v/>
      </c>
      <c r="U95" s="267" t="str">
        <f t="shared" si="89"/>
        <v/>
      </c>
      <c r="V95" s="267" t="str">
        <f t="shared" si="89"/>
        <v/>
      </c>
    </row>
    <row r="96" ht="30.0" customHeight="1">
      <c r="A96" s="239">
        <v>90.0</v>
      </c>
      <c r="B96" s="239" t="s">
        <v>677</v>
      </c>
      <c r="C96" s="236" t="s">
        <v>678</v>
      </c>
      <c r="D96" s="236" t="s">
        <v>679</v>
      </c>
      <c r="E96" s="239" t="s">
        <v>199</v>
      </c>
      <c r="F96" s="239"/>
      <c r="G96" s="239"/>
      <c r="H96" s="266"/>
      <c r="I96" s="266"/>
      <c r="J96" s="239" t="s">
        <v>130</v>
      </c>
      <c r="K96" s="236" t="s">
        <v>683</v>
      </c>
      <c r="L96" s="267" t="str">
        <f t="shared" ref="L96:V96" si="90">IF(AND(L$6&lt;=$I96,L$6+6&gt;=$H96,$H96&lt;&gt;"",$I96&lt;&gt;""),1,"")</f>
        <v/>
      </c>
      <c r="M96" s="267" t="str">
        <f t="shared" si="90"/>
        <v/>
      </c>
      <c r="N96" s="267" t="str">
        <f t="shared" si="90"/>
        <v/>
      </c>
      <c r="O96" s="267" t="str">
        <f t="shared" si="90"/>
        <v/>
      </c>
      <c r="P96" s="267" t="str">
        <f t="shared" si="90"/>
        <v/>
      </c>
      <c r="Q96" s="267" t="str">
        <f t="shared" si="90"/>
        <v/>
      </c>
      <c r="R96" s="267" t="str">
        <f t="shared" si="90"/>
        <v/>
      </c>
      <c r="S96" s="267" t="str">
        <f t="shared" si="90"/>
        <v/>
      </c>
      <c r="T96" s="267" t="str">
        <f t="shared" si="90"/>
        <v/>
      </c>
      <c r="U96" s="267" t="str">
        <f t="shared" si="90"/>
        <v/>
      </c>
      <c r="V96" s="267" t="str">
        <f t="shared" si="90"/>
        <v/>
      </c>
    </row>
    <row r="97" ht="30.0" customHeight="1">
      <c r="A97" s="239">
        <v>91.0</v>
      </c>
      <c r="B97" s="239" t="s">
        <v>684</v>
      </c>
      <c r="C97" s="236" t="s">
        <v>678</v>
      </c>
      <c r="D97" s="236" t="s">
        <v>685</v>
      </c>
      <c r="E97" s="239" t="s">
        <v>199</v>
      </c>
      <c r="F97" s="239"/>
      <c r="G97" s="239"/>
      <c r="H97" s="266"/>
      <c r="I97" s="266"/>
      <c r="J97" s="239" t="s">
        <v>130</v>
      </c>
      <c r="K97" s="236" t="s">
        <v>683</v>
      </c>
      <c r="L97" s="267" t="str">
        <f t="shared" ref="L97:V97" si="91">IF(AND(L$6&lt;=$I97,L$6+6&gt;=$H97,$H97&lt;&gt;"",$I97&lt;&gt;""),1,"")</f>
        <v/>
      </c>
      <c r="M97" s="267" t="str">
        <f t="shared" si="91"/>
        <v/>
      </c>
      <c r="N97" s="267" t="str">
        <f t="shared" si="91"/>
        <v/>
      </c>
      <c r="O97" s="267" t="str">
        <f t="shared" si="91"/>
        <v/>
      </c>
      <c r="P97" s="267" t="str">
        <f t="shared" si="91"/>
        <v/>
      </c>
      <c r="Q97" s="267" t="str">
        <f t="shared" si="91"/>
        <v/>
      </c>
      <c r="R97" s="267" t="str">
        <f t="shared" si="91"/>
        <v/>
      </c>
      <c r="S97" s="267" t="str">
        <f t="shared" si="91"/>
        <v/>
      </c>
      <c r="T97" s="267" t="str">
        <f t="shared" si="91"/>
        <v/>
      </c>
      <c r="U97" s="267" t="str">
        <f t="shared" si="91"/>
        <v/>
      </c>
      <c r="V97" s="267" t="str">
        <f t="shared" si="91"/>
        <v/>
      </c>
    </row>
    <row r="98" ht="30.0" customHeight="1">
      <c r="A98" s="239">
        <v>92.0</v>
      </c>
      <c r="B98" s="239" t="s">
        <v>688</v>
      </c>
      <c r="C98" s="236" t="s">
        <v>678</v>
      </c>
      <c r="D98" s="236" t="s">
        <v>689</v>
      </c>
      <c r="E98" s="239" t="s">
        <v>199</v>
      </c>
      <c r="F98" s="239"/>
      <c r="G98" s="239"/>
      <c r="H98" s="266"/>
      <c r="I98" s="266"/>
      <c r="J98" s="239" t="s">
        <v>130</v>
      </c>
      <c r="K98" s="236" t="s">
        <v>683</v>
      </c>
      <c r="L98" s="267" t="str">
        <f t="shared" ref="L98:V98" si="92">IF(AND(L$6&lt;=$I98,L$6+6&gt;=$H98,$H98&lt;&gt;"",$I98&lt;&gt;""),1,"")</f>
        <v/>
      </c>
      <c r="M98" s="267" t="str">
        <f t="shared" si="92"/>
        <v/>
      </c>
      <c r="N98" s="267" t="str">
        <f t="shared" si="92"/>
        <v/>
      </c>
      <c r="O98" s="267" t="str">
        <f t="shared" si="92"/>
        <v/>
      </c>
      <c r="P98" s="267" t="str">
        <f t="shared" si="92"/>
        <v/>
      </c>
      <c r="Q98" s="267" t="str">
        <f t="shared" si="92"/>
        <v/>
      </c>
      <c r="R98" s="267" t="str">
        <f t="shared" si="92"/>
        <v/>
      </c>
      <c r="S98" s="267" t="str">
        <f t="shared" si="92"/>
        <v/>
      </c>
      <c r="T98" s="267" t="str">
        <f t="shared" si="92"/>
        <v/>
      </c>
      <c r="U98" s="267" t="str">
        <f t="shared" si="92"/>
        <v/>
      </c>
      <c r="V98" s="267" t="str">
        <f t="shared" si="92"/>
        <v/>
      </c>
    </row>
    <row r="99" ht="30.0" customHeight="1">
      <c r="A99" s="239">
        <v>93.0</v>
      </c>
      <c r="B99" s="239" t="s">
        <v>692</v>
      </c>
      <c r="C99" s="236" t="s">
        <v>678</v>
      </c>
      <c r="D99" s="236" t="s">
        <v>693</v>
      </c>
      <c r="E99" s="239" t="s">
        <v>199</v>
      </c>
      <c r="F99" s="239"/>
      <c r="G99" s="239"/>
      <c r="H99" s="266"/>
      <c r="I99" s="266"/>
      <c r="J99" s="239" t="s">
        <v>130</v>
      </c>
      <c r="K99" s="236" t="s">
        <v>683</v>
      </c>
      <c r="L99" s="267" t="str">
        <f t="shared" ref="L99:V99" si="93">IF(AND(L$6&lt;=$I99,L$6+6&gt;=$H99,$H99&lt;&gt;"",$I99&lt;&gt;""),1,"")</f>
        <v/>
      </c>
      <c r="M99" s="267" t="str">
        <f t="shared" si="93"/>
        <v/>
      </c>
      <c r="N99" s="267" t="str">
        <f t="shared" si="93"/>
        <v/>
      </c>
      <c r="O99" s="267" t="str">
        <f t="shared" si="93"/>
        <v/>
      </c>
      <c r="P99" s="267" t="str">
        <f t="shared" si="93"/>
        <v/>
      </c>
      <c r="Q99" s="267" t="str">
        <f t="shared" si="93"/>
        <v/>
      </c>
      <c r="R99" s="267" t="str">
        <f t="shared" si="93"/>
        <v/>
      </c>
      <c r="S99" s="267" t="str">
        <f t="shared" si="93"/>
        <v/>
      </c>
      <c r="T99" s="267" t="str">
        <f t="shared" si="93"/>
        <v/>
      </c>
      <c r="U99" s="267" t="str">
        <f t="shared" si="93"/>
        <v/>
      </c>
      <c r="V99" s="267" t="str">
        <f t="shared" si="93"/>
        <v/>
      </c>
    </row>
    <row r="100" ht="30.0" customHeight="1">
      <c r="A100" s="239">
        <v>94.0</v>
      </c>
      <c r="B100" s="239" t="s">
        <v>696</v>
      </c>
      <c r="C100" s="236" t="s">
        <v>678</v>
      </c>
      <c r="D100" s="236" t="s">
        <v>697</v>
      </c>
      <c r="E100" s="239" t="s">
        <v>199</v>
      </c>
      <c r="F100" s="239"/>
      <c r="G100" s="239"/>
      <c r="H100" s="266"/>
      <c r="I100" s="266"/>
      <c r="J100" s="239" t="s">
        <v>130</v>
      </c>
      <c r="K100" s="236" t="s">
        <v>683</v>
      </c>
      <c r="L100" s="267" t="str">
        <f t="shared" ref="L100:V100" si="94">IF(AND(L$6&lt;=$I100,L$6+6&gt;=$H100,$H100&lt;&gt;"",$I100&lt;&gt;""),1,"")</f>
        <v/>
      </c>
      <c r="M100" s="267" t="str">
        <f t="shared" si="94"/>
        <v/>
      </c>
      <c r="N100" s="267" t="str">
        <f t="shared" si="94"/>
        <v/>
      </c>
      <c r="O100" s="267" t="str">
        <f t="shared" si="94"/>
        <v/>
      </c>
      <c r="P100" s="267" t="str">
        <f t="shared" si="94"/>
        <v/>
      </c>
      <c r="Q100" s="267" t="str">
        <f t="shared" si="94"/>
        <v/>
      </c>
      <c r="R100" s="267" t="str">
        <f t="shared" si="94"/>
        <v/>
      </c>
      <c r="S100" s="267" t="str">
        <f t="shared" si="94"/>
        <v/>
      </c>
      <c r="T100" s="267" t="str">
        <f t="shared" si="94"/>
        <v/>
      </c>
      <c r="U100" s="267" t="str">
        <f t="shared" si="94"/>
        <v/>
      </c>
      <c r="V100" s="267" t="str">
        <f t="shared" si="94"/>
        <v/>
      </c>
    </row>
    <row r="101" ht="30.0" customHeight="1">
      <c r="A101" s="239">
        <v>95.0</v>
      </c>
      <c r="B101" s="239" t="s">
        <v>700</v>
      </c>
      <c r="C101" s="236" t="s">
        <v>678</v>
      </c>
      <c r="D101" s="236" t="s">
        <v>701</v>
      </c>
      <c r="E101" s="239" t="s">
        <v>199</v>
      </c>
      <c r="F101" s="239"/>
      <c r="G101" s="239"/>
      <c r="H101" s="266"/>
      <c r="I101" s="266"/>
      <c r="J101" s="239" t="s">
        <v>130</v>
      </c>
      <c r="K101" s="236" t="s">
        <v>683</v>
      </c>
      <c r="L101" s="267" t="str">
        <f t="shared" ref="L101:V101" si="95">IF(AND(L$6&lt;=$I101,L$6+6&gt;=$H101,$H101&lt;&gt;"",$I101&lt;&gt;""),1,"")</f>
        <v/>
      </c>
      <c r="M101" s="267" t="str">
        <f t="shared" si="95"/>
        <v/>
      </c>
      <c r="N101" s="267" t="str">
        <f t="shared" si="95"/>
        <v/>
      </c>
      <c r="O101" s="267" t="str">
        <f t="shared" si="95"/>
        <v/>
      </c>
      <c r="P101" s="267" t="str">
        <f t="shared" si="95"/>
        <v/>
      </c>
      <c r="Q101" s="267" t="str">
        <f t="shared" si="95"/>
        <v/>
      </c>
      <c r="R101" s="267" t="str">
        <f t="shared" si="95"/>
        <v/>
      </c>
      <c r="S101" s="267" t="str">
        <f t="shared" si="95"/>
        <v/>
      </c>
      <c r="T101" s="267" t="str">
        <f t="shared" si="95"/>
        <v/>
      </c>
      <c r="U101" s="267" t="str">
        <f t="shared" si="95"/>
        <v/>
      </c>
      <c r="V101" s="267" t="str">
        <f t="shared" si="95"/>
        <v/>
      </c>
    </row>
    <row r="102" ht="30.0" customHeight="1">
      <c r="A102" s="239">
        <v>96.0</v>
      </c>
      <c r="B102" s="239" t="s">
        <v>704</v>
      </c>
      <c r="C102" s="236" t="s">
        <v>678</v>
      </c>
      <c r="D102" s="236" t="s">
        <v>705</v>
      </c>
      <c r="E102" s="239" t="s">
        <v>199</v>
      </c>
      <c r="F102" s="239"/>
      <c r="G102" s="239"/>
      <c r="H102" s="266"/>
      <c r="I102" s="266"/>
      <c r="J102" s="239" t="s">
        <v>130</v>
      </c>
      <c r="K102" s="236" t="s">
        <v>683</v>
      </c>
      <c r="L102" s="267" t="str">
        <f t="shared" ref="L102:V102" si="96">IF(AND(L$6&lt;=$I102,L$6+6&gt;=$H102,$H102&lt;&gt;"",$I102&lt;&gt;""),1,"")</f>
        <v/>
      </c>
      <c r="M102" s="267" t="str">
        <f t="shared" si="96"/>
        <v/>
      </c>
      <c r="N102" s="267" t="str">
        <f t="shared" si="96"/>
        <v/>
      </c>
      <c r="O102" s="267" t="str">
        <f t="shared" si="96"/>
        <v/>
      </c>
      <c r="P102" s="267" t="str">
        <f t="shared" si="96"/>
        <v/>
      </c>
      <c r="Q102" s="267" t="str">
        <f t="shared" si="96"/>
        <v/>
      </c>
      <c r="R102" s="267" t="str">
        <f t="shared" si="96"/>
        <v/>
      </c>
      <c r="S102" s="267" t="str">
        <f t="shared" si="96"/>
        <v/>
      </c>
      <c r="T102" s="267" t="str">
        <f t="shared" si="96"/>
        <v/>
      </c>
      <c r="U102" s="267" t="str">
        <f t="shared" si="96"/>
        <v/>
      </c>
      <c r="V102" s="267" t="str">
        <f t="shared" si="96"/>
        <v/>
      </c>
    </row>
    <row r="103" ht="30.0" customHeight="1">
      <c r="A103" s="239">
        <v>97.0</v>
      </c>
      <c r="B103" s="239" t="s">
        <v>708</v>
      </c>
      <c r="C103" s="236" t="s">
        <v>678</v>
      </c>
      <c r="D103" s="236" t="s">
        <v>709</v>
      </c>
      <c r="E103" s="239" t="s">
        <v>199</v>
      </c>
      <c r="F103" s="239"/>
      <c r="G103" s="239"/>
      <c r="H103" s="266"/>
      <c r="I103" s="266"/>
      <c r="J103" s="239" t="s">
        <v>130</v>
      </c>
      <c r="K103" s="236" t="s">
        <v>683</v>
      </c>
      <c r="L103" s="267" t="str">
        <f t="shared" ref="L103:V103" si="97">IF(AND(L$6&lt;=$I103,L$6+6&gt;=$H103,$H103&lt;&gt;"",$I103&lt;&gt;""),1,"")</f>
        <v/>
      </c>
      <c r="M103" s="267" t="str">
        <f t="shared" si="97"/>
        <v/>
      </c>
      <c r="N103" s="267" t="str">
        <f t="shared" si="97"/>
        <v/>
      </c>
      <c r="O103" s="267" t="str">
        <f t="shared" si="97"/>
        <v/>
      </c>
      <c r="P103" s="267" t="str">
        <f t="shared" si="97"/>
        <v/>
      </c>
      <c r="Q103" s="267" t="str">
        <f t="shared" si="97"/>
        <v/>
      </c>
      <c r="R103" s="267" t="str">
        <f t="shared" si="97"/>
        <v/>
      </c>
      <c r="S103" s="267" t="str">
        <f t="shared" si="97"/>
        <v/>
      </c>
      <c r="T103" s="267" t="str">
        <f t="shared" si="97"/>
        <v/>
      </c>
      <c r="U103" s="267" t="str">
        <f t="shared" si="97"/>
        <v/>
      </c>
      <c r="V103" s="267" t="str">
        <f t="shared" si="97"/>
        <v/>
      </c>
    </row>
    <row r="104" ht="30.0" customHeight="1">
      <c r="A104" s="239">
        <v>98.0</v>
      </c>
      <c r="B104" s="239" t="s">
        <v>712</v>
      </c>
      <c r="C104" s="236" t="s">
        <v>713</v>
      </c>
      <c r="D104" s="236" t="s">
        <v>714</v>
      </c>
      <c r="E104" s="239" t="s">
        <v>202</v>
      </c>
      <c r="F104" s="239"/>
      <c r="G104" s="239"/>
      <c r="H104" s="266">
        <v>46283.0</v>
      </c>
      <c r="I104" s="266">
        <v>46283.0</v>
      </c>
      <c r="J104" s="239" t="s">
        <v>130</v>
      </c>
      <c r="K104" s="236" t="s">
        <v>717</v>
      </c>
      <c r="L104" s="267" t="str">
        <f t="shared" ref="L104:V104" si="98">IF(AND(L$6&lt;=$I104,L$6+6&gt;=$H104,$H104&lt;&gt;"",$I104&lt;&gt;""),1,"")</f>
        <v/>
      </c>
      <c r="M104" s="267" t="str">
        <f t="shared" si="98"/>
        <v/>
      </c>
      <c r="N104" s="267" t="str">
        <f t="shared" si="98"/>
        <v/>
      </c>
      <c r="O104" s="267" t="str">
        <f t="shared" si="98"/>
        <v/>
      </c>
      <c r="P104" s="267" t="str">
        <f t="shared" si="98"/>
        <v/>
      </c>
      <c r="Q104" s="267" t="str">
        <f t="shared" si="98"/>
        <v/>
      </c>
      <c r="R104" s="267">
        <f t="shared" si="98"/>
        <v>1</v>
      </c>
      <c r="S104" s="267" t="str">
        <f t="shared" si="98"/>
        <v/>
      </c>
      <c r="T104" s="267" t="str">
        <f t="shared" si="98"/>
        <v/>
      </c>
      <c r="U104" s="267" t="str">
        <f t="shared" si="98"/>
        <v/>
      </c>
      <c r="V104" s="267" t="str">
        <f t="shared" si="98"/>
        <v/>
      </c>
    </row>
    <row r="105" ht="30.0" customHeight="1">
      <c r="A105" s="239">
        <v>99.0</v>
      </c>
      <c r="B105" s="239" t="s">
        <v>718</v>
      </c>
      <c r="C105" s="236" t="s">
        <v>350</v>
      </c>
      <c r="D105" s="236" t="s">
        <v>719</v>
      </c>
      <c r="E105" s="239" t="s">
        <v>199</v>
      </c>
      <c r="F105" s="239"/>
      <c r="G105" s="239"/>
      <c r="H105" s="266"/>
      <c r="I105" s="266"/>
      <c r="J105" s="239" t="s">
        <v>130</v>
      </c>
      <c r="K105" s="236" t="s">
        <v>723</v>
      </c>
      <c r="L105" s="267" t="str">
        <f t="shared" ref="L105:V105" si="99">IF(AND(L$6&lt;=$I105,L$6+6&gt;=$H105,$H105&lt;&gt;"",$I105&lt;&gt;""),1,"")</f>
        <v/>
      </c>
      <c r="M105" s="267" t="str">
        <f t="shared" si="99"/>
        <v/>
      </c>
      <c r="N105" s="267" t="str">
        <f t="shared" si="99"/>
        <v/>
      </c>
      <c r="O105" s="267" t="str">
        <f t="shared" si="99"/>
        <v/>
      </c>
      <c r="P105" s="267" t="str">
        <f t="shared" si="99"/>
        <v/>
      </c>
      <c r="Q105" s="267" t="str">
        <f t="shared" si="99"/>
        <v/>
      </c>
      <c r="R105" s="267" t="str">
        <f t="shared" si="99"/>
        <v/>
      </c>
      <c r="S105" s="267" t="str">
        <f t="shared" si="99"/>
        <v/>
      </c>
      <c r="T105" s="267" t="str">
        <f t="shared" si="99"/>
        <v/>
      </c>
      <c r="U105" s="267" t="str">
        <f t="shared" si="99"/>
        <v/>
      </c>
      <c r="V105" s="267" t="str">
        <f t="shared" si="99"/>
        <v/>
      </c>
    </row>
    <row r="106" ht="30.0" customHeight="1">
      <c r="A106" s="239">
        <v>100.0</v>
      </c>
      <c r="B106" s="239" t="s">
        <v>724</v>
      </c>
      <c r="C106" s="236" t="s">
        <v>350</v>
      </c>
      <c r="D106" s="236" t="s">
        <v>725</v>
      </c>
      <c r="E106" s="239" t="s">
        <v>199</v>
      </c>
      <c r="F106" s="239"/>
      <c r="G106" s="239"/>
      <c r="H106" s="266"/>
      <c r="I106" s="266"/>
      <c r="J106" s="239" t="s">
        <v>130</v>
      </c>
      <c r="K106" s="236" t="s">
        <v>723</v>
      </c>
      <c r="L106" s="267" t="str">
        <f t="shared" ref="L106:V106" si="100">IF(AND(L$6&lt;=$I106,L$6+6&gt;=$H106,$H106&lt;&gt;"",$I106&lt;&gt;""),1,"")</f>
        <v/>
      </c>
      <c r="M106" s="267" t="str">
        <f t="shared" si="100"/>
        <v/>
      </c>
      <c r="N106" s="267" t="str">
        <f t="shared" si="100"/>
        <v/>
      </c>
      <c r="O106" s="267" t="str">
        <f t="shared" si="100"/>
        <v/>
      </c>
      <c r="P106" s="267" t="str">
        <f t="shared" si="100"/>
        <v/>
      </c>
      <c r="Q106" s="267" t="str">
        <f t="shared" si="100"/>
        <v/>
      </c>
      <c r="R106" s="267" t="str">
        <f t="shared" si="100"/>
        <v/>
      </c>
      <c r="S106" s="267" t="str">
        <f t="shared" si="100"/>
        <v/>
      </c>
      <c r="T106" s="267" t="str">
        <f t="shared" si="100"/>
        <v/>
      </c>
      <c r="U106" s="267" t="str">
        <f t="shared" si="100"/>
        <v/>
      </c>
      <c r="V106" s="267" t="str">
        <f t="shared" si="100"/>
        <v/>
      </c>
    </row>
    <row r="107" ht="30.0" customHeight="1">
      <c r="A107" s="239">
        <v>101.0</v>
      </c>
      <c r="B107" s="239" t="s">
        <v>728</v>
      </c>
      <c r="C107" s="236" t="s">
        <v>350</v>
      </c>
      <c r="D107" s="236" t="s">
        <v>729</v>
      </c>
      <c r="E107" s="239" t="s">
        <v>199</v>
      </c>
      <c r="F107" s="239"/>
      <c r="G107" s="239"/>
      <c r="H107" s="266"/>
      <c r="I107" s="266"/>
      <c r="J107" s="239" t="s">
        <v>130</v>
      </c>
      <c r="K107" s="236" t="s">
        <v>732</v>
      </c>
      <c r="L107" s="267" t="str">
        <f t="shared" ref="L107:V107" si="101">IF(AND(L$6&lt;=$I107,L$6+6&gt;=$H107,$H107&lt;&gt;"",$I107&lt;&gt;""),1,"")</f>
        <v/>
      </c>
      <c r="M107" s="267" t="str">
        <f t="shared" si="101"/>
        <v/>
      </c>
      <c r="N107" s="267" t="str">
        <f t="shared" si="101"/>
        <v/>
      </c>
      <c r="O107" s="267" t="str">
        <f t="shared" si="101"/>
        <v/>
      </c>
      <c r="P107" s="267" t="str">
        <f t="shared" si="101"/>
        <v/>
      </c>
      <c r="Q107" s="267" t="str">
        <f t="shared" si="101"/>
        <v/>
      </c>
      <c r="R107" s="267" t="str">
        <f t="shared" si="101"/>
        <v/>
      </c>
      <c r="S107" s="267" t="str">
        <f t="shared" si="101"/>
        <v/>
      </c>
      <c r="T107" s="267" t="str">
        <f t="shared" si="101"/>
        <v/>
      </c>
      <c r="U107" s="267" t="str">
        <f t="shared" si="101"/>
        <v/>
      </c>
      <c r="V107" s="267" t="str">
        <f t="shared" si="101"/>
        <v/>
      </c>
    </row>
    <row r="108" ht="30.0" customHeight="1">
      <c r="A108" s="239">
        <v>102.0</v>
      </c>
      <c r="B108" s="239" t="s">
        <v>733</v>
      </c>
      <c r="C108" s="236" t="s">
        <v>350</v>
      </c>
      <c r="D108" s="236" t="s">
        <v>734</v>
      </c>
      <c r="E108" s="239" t="s">
        <v>199</v>
      </c>
      <c r="F108" s="239"/>
      <c r="G108" s="239"/>
      <c r="H108" s="266"/>
      <c r="I108" s="266"/>
      <c r="J108" s="239" t="s">
        <v>130</v>
      </c>
      <c r="K108" s="236" t="s">
        <v>723</v>
      </c>
      <c r="L108" s="267" t="str">
        <f t="shared" ref="L108:V108" si="102">IF(AND(L$6&lt;=$I108,L$6+6&gt;=$H108,$H108&lt;&gt;"",$I108&lt;&gt;""),1,"")</f>
        <v/>
      </c>
      <c r="M108" s="267" t="str">
        <f t="shared" si="102"/>
        <v/>
      </c>
      <c r="N108" s="267" t="str">
        <f t="shared" si="102"/>
        <v/>
      </c>
      <c r="O108" s="267" t="str">
        <f t="shared" si="102"/>
        <v/>
      </c>
      <c r="P108" s="267" t="str">
        <f t="shared" si="102"/>
        <v/>
      </c>
      <c r="Q108" s="267" t="str">
        <f t="shared" si="102"/>
        <v/>
      </c>
      <c r="R108" s="267" t="str">
        <f t="shared" si="102"/>
        <v/>
      </c>
      <c r="S108" s="267" t="str">
        <f t="shared" si="102"/>
        <v/>
      </c>
      <c r="T108" s="267" t="str">
        <f t="shared" si="102"/>
        <v/>
      </c>
      <c r="U108" s="267" t="str">
        <f t="shared" si="102"/>
        <v/>
      </c>
      <c r="V108" s="267" t="str">
        <f t="shared" si="102"/>
        <v/>
      </c>
    </row>
    <row r="109" ht="30.0" customHeight="1">
      <c r="A109" s="239">
        <v>103.0</v>
      </c>
      <c r="B109" s="239" t="s">
        <v>737</v>
      </c>
      <c r="C109" s="236" t="s">
        <v>350</v>
      </c>
      <c r="D109" s="236" t="s">
        <v>738</v>
      </c>
      <c r="E109" s="239" t="s">
        <v>199</v>
      </c>
      <c r="F109" s="239"/>
      <c r="G109" s="239"/>
      <c r="H109" s="266"/>
      <c r="I109" s="266"/>
      <c r="J109" s="239" t="s">
        <v>130</v>
      </c>
      <c r="K109" s="236" t="s">
        <v>741</v>
      </c>
      <c r="L109" s="267" t="str">
        <f t="shared" ref="L109:V109" si="103">IF(AND(L$6&lt;=$I109,L$6+6&gt;=$H109,$H109&lt;&gt;"",$I109&lt;&gt;""),1,"")</f>
        <v/>
      </c>
      <c r="M109" s="267" t="str">
        <f t="shared" si="103"/>
        <v/>
      </c>
      <c r="N109" s="267" t="str">
        <f t="shared" si="103"/>
        <v/>
      </c>
      <c r="O109" s="267" t="str">
        <f t="shared" si="103"/>
        <v/>
      </c>
      <c r="P109" s="267" t="str">
        <f t="shared" si="103"/>
        <v/>
      </c>
      <c r="Q109" s="267" t="str">
        <f t="shared" si="103"/>
        <v/>
      </c>
      <c r="R109" s="267" t="str">
        <f t="shared" si="103"/>
        <v/>
      </c>
      <c r="S109" s="267" t="str">
        <f t="shared" si="103"/>
        <v/>
      </c>
      <c r="T109" s="267" t="str">
        <f t="shared" si="103"/>
        <v/>
      </c>
      <c r="U109" s="267" t="str">
        <f t="shared" si="103"/>
        <v/>
      </c>
      <c r="V109" s="267" t="str">
        <f t="shared" si="103"/>
        <v/>
      </c>
    </row>
    <row r="110" ht="30.0" customHeight="1">
      <c r="A110" s="239">
        <v>104.0</v>
      </c>
      <c r="B110" s="239" t="s">
        <v>742</v>
      </c>
      <c r="C110" s="236" t="s">
        <v>350</v>
      </c>
      <c r="D110" s="236" t="s">
        <v>743</v>
      </c>
      <c r="E110" s="239" t="s">
        <v>199</v>
      </c>
      <c r="F110" s="239"/>
      <c r="G110" s="239"/>
      <c r="H110" s="266"/>
      <c r="I110" s="266"/>
      <c r="J110" s="239" t="s">
        <v>130</v>
      </c>
      <c r="K110" s="236" t="s">
        <v>723</v>
      </c>
      <c r="L110" s="267" t="str">
        <f t="shared" ref="L110:V110" si="104">IF(AND(L$6&lt;=$I110,L$6+6&gt;=$H110,$H110&lt;&gt;"",$I110&lt;&gt;""),1,"")</f>
        <v/>
      </c>
      <c r="M110" s="267" t="str">
        <f t="shared" si="104"/>
        <v/>
      </c>
      <c r="N110" s="267" t="str">
        <f t="shared" si="104"/>
        <v/>
      </c>
      <c r="O110" s="267" t="str">
        <f t="shared" si="104"/>
        <v/>
      </c>
      <c r="P110" s="267" t="str">
        <f t="shared" si="104"/>
        <v/>
      </c>
      <c r="Q110" s="267" t="str">
        <f t="shared" si="104"/>
        <v/>
      </c>
      <c r="R110" s="267" t="str">
        <f t="shared" si="104"/>
        <v/>
      </c>
      <c r="S110" s="267" t="str">
        <f t="shared" si="104"/>
        <v/>
      </c>
      <c r="T110" s="267" t="str">
        <f t="shared" si="104"/>
        <v/>
      </c>
      <c r="U110" s="267" t="str">
        <f t="shared" si="104"/>
        <v/>
      </c>
      <c r="V110" s="267" t="str">
        <f t="shared" si="104"/>
        <v/>
      </c>
    </row>
    <row r="111" ht="30.0" customHeight="1">
      <c r="A111" s="239">
        <v>105.0</v>
      </c>
      <c r="B111" s="239" t="s">
        <v>746</v>
      </c>
      <c r="C111" s="236" t="s">
        <v>350</v>
      </c>
      <c r="D111" s="236" t="s">
        <v>747</v>
      </c>
      <c r="E111" s="239" t="s">
        <v>199</v>
      </c>
      <c r="F111" s="239"/>
      <c r="G111" s="239"/>
      <c r="H111" s="266"/>
      <c r="I111" s="266"/>
      <c r="J111" s="239" t="s">
        <v>130</v>
      </c>
      <c r="K111" s="236" t="s">
        <v>750</v>
      </c>
      <c r="L111" s="267" t="str">
        <f t="shared" ref="L111:V111" si="105">IF(AND(L$6&lt;=$I111,L$6+6&gt;=$H111,$H111&lt;&gt;"",$I111&lt;&gt;""),1,"")</f>
        <v/>
      </c>
      <c r="M111" s="267" t="str">
        <f t="shared" si="105"/>
        <v/>
      </c>
      <c r="N111" s="267" t="str">
        <f t="shared" si="105"/>
        <v/>
      </c>
      <c r="O111" s="267" t="str">
        <f t="shared" si="105"/>
        <v/>
      </c>
      <c r="P111" s="267" t="str">
        <f t="shared" si="105"/>
        <v/>
      </c>
      <c r="Q111" s="267" t="str">
        <f t="shared" si="105"/>
        <v/>
      </c>
      <c r="R111" s="267" t="str">
        <f t="shared" si="105"/>
        <v/>
      </c>
      <c r="S111" s="267" t="str">
        <f t="shared" si="105"/>
        <v/>
      </c>
      <c r="T111" s="267" t="str">
        <f t="shared" si="105"/>
        <v/>
      </c>
      <c r="U111" s="267" t="str">
        <f t="shared" si="105"/>
        <v/>
      </c>
      <c r="V111" s="267" t="str">
        <f t="shared" si="105"/>
        <v/>
      </c>
    </row>
    <row r="112" ht="30.0" customHeight="1">
      <c r="A112" s="239">
        <v>106.0</v>
      </c>
      <c r="B112" s="239" t="s">
        <v>751</v>
      </c>
      <c r="C112" s="236" t="s">
        <v>350</v>
      </c>
      <c r="D112" s="236" t="s">
        <v>752</v>
      </c>
      <c r="E112" s="239" t="s">
        <v>199</v>
      </c>
      <c r="F112" s="239"/>
      <c r="G112" s="239"/>
      <c r="H112" s="266"/>
      <c r="I112" s="266"/>
      <c r="J112" s="239" t="s">
        <v>130</v>
      </c>
      <c r="K112" s="236" t="s">
        <v>750</v>
      </c>
      <c r="L112" s="267" t="str">
        <f t="shared" ref="L112:V112" si="106">IF(AND(L$6&lt;=$I112,L$6+6&gt;=$H112,$H112&lt;&gt;"",$I112&lt;&gt;""),1,"")</f>
        <v/>
      </c>
      <c r="M112" s="267" t="str">
        <f t="shared" si="106"/>
        <v/>
      </c>
      <c r="N112" s="267" t="str">
        <f t="shared" si="106"/>
        <v/>
      </c>
      <c r="O112" s="267" t="str">
        <f t="shared" si="106"/>
        <v/>
      </c>
      <c r="P112" s="267" t="str">
        <f t="shared" si="106"/>
        <v/>
      </c>
      <c r="Q112" s="267" t="str">
        <f t="shared" si="106"/>
        <v/>
      </c>
      <c r="R112" s="267" t="str">
        <f t="shared" si="106"/>
        <v/>
      </c>
      <c r="S112" s="267" t="str">
        <f t="shared" si="106"/>
        <v/>
      </c>
      <c r="T112" s="267" t="str">
        <f t="shared" si="106"/>
        <v/>
      </c>
      <c r="U112" s="267" t="str">
        <f t="shared" si="106"/>
        <v/>
      </c>
      <c r="V112" s="267" t="str">
        <f t="shared" si="106"/>
        <v/>
      </c>
    </row>
    <row r="113" ht="30.0" customHeight="1">
      <c r="A113" s="239">
        <v>107.0</v>
      </c>
      <c r="B113" s="239" t="s">
        <v>755</v>
      </c>
      <c r="C113" s="236" t="s">
        <v>350</v>
      </c>
      <c r="D113" s="236" t="s">
        <v>756</v>
      </c>
      <c r="E113" s="239" t="s">
        <v>199</v>
      </c>
      <c r="F113" s="239"/>
      <c r="G113" s="239"/>
      <c r="H113" s="266"/>
      <c r="I113" s="266"/>
      <c r="J113" s="239" t="s">
        <v>130</v>
      </c>
      <c r="K113" s="236" t="s">
        <v>750</v>
      </c>
      <c r="L113" s="267" t="str">
        <f t="shared" ref="L113:V113" si="107">IF(AND(L$6&lt;=$I113,L$6+6&gt;=$H113,$H113&lt;&gt;"",$I113&lt;&gt;""),1,"")</f>
        <v/>
      </c>
      <c r="M113" s="267" t="str">
        <f t="shared" si="107"/>
        <v/>
      </c>
      <c r="N113" s="267" t="str">
        <f t="shared" si="107"/>
        <v/>
      </c>
      <c r="O113" s="267" t="str">
        <f t="shared" si="107"/>
        <v/>
      </c>
      <c r="P113" s="267" t="str">
        <f t="shared" si="107"/>
        <v/>
      </c>
      <c r="Q113" s="267" t="str">
        <f t="shared" si="107"/>
        <v/>
      </c>
      <c r="R113" s="267" t="str">
        <f t="shared" si="107"/>
        <v/>
      </c>
      <c r="S113" s="267" t="str">
        <f t="shared" si="107"/>
        <v/>
      </c>
      <c r="T113" s="267" t="str">
        <f t="shared" si="107"/>
        <v/>
      </c>
      <c r="U113" s="267" t="str">
        <f t="shared" si="107"/>
        <v/>
      </c>
      <c r="V113" s="267" t="str">
        <f t="shared" si="107"/>
        <v/>
      </c>
    </row>
    <row r="114" ht="30.0" customHeight="1">
      <c r="A114" s="239">
        <v>108.0</v>
      </c>
      <c r="B114" s="239" t="s">
        <v>759</v>
      </c>
      <c r="C114" s="236" t="s">
        <v>350</v>
      </c>
      <c r="D114" s="236" t="s">
        <v>760</v>
      </c>
      <c r="E114" s="239" t="s">
        <v>199</v>
      </c>
      <c r="F114" s="239"/>
      <c r="G114" s="239"/>
      <c r="H114" s="266"/>
      <c r="I114" s="266"/>
      <c r="J114" s="239" t="s">
        <v>130</v>
      </c>
      <c r="K114" s="236" t="s">
        <v>763</v>
      </c>
      <c r="L114" s="267" t="str">
        <f t="shared" ref="L114:V114" si="108">IF(AND(L$6&lt;=$I114,L$6+6&gt;=$H114,$H114&lt;&gt;"",$I114&lt;&gt;""),1,"")</f>
        <v/>
      </c>
      <c r="M114" s="267" t="str">
        <f t="shared" si="108"/>
        <v/>
      </c>
      <c r="N114" s="267" t="str">
        <f t="shared" si="108"/>
        <v/>
      </c>
      <c r="O114" s="267" t="str">
        <f t="shared" si="108"/>
        <v/>
      </c>
      <c r="P114" s="267" t="str">
        <f t="shared" si="108"/>
        <v/>
      </c>
      <c r="Q114" s="267" t="str">
        <f t="shared" si="108"/>
        <v/>
      </c>
      <c r="R114" s="267" t="str">
        <f t="shared" si="108"/>
        <v/>
      </c>
      <c r="S114" s="267" t="str">
        <f t="shared" si="108"/>
        <v/>
      </c>
      <c r="T114" s="267" t="str">
        <f t="shared" si="108"/>
        <v/>
      </c>
      <c r="U114" s="267" t="str">
        <f t="shared" si="108"/>
        <v/>
      </c>
      <c r="V114" s="267" t="str">
        <f t="shared" si="108"/>
        <v/>
      </c>
    </row>
    <row r="115" ht="30.0" customHeight="1">
      <c r="A115" s="239">
        <v>109.0</v>
      </c>
      <c r="B115" s="239" t="s">
        <v>764</v>
      </c>
      <c r="C115" s="236" t="s">
        <v>350</v>
      </c>
      <c r="D115" s="236" t="s">
        <v>765</v>
      </c>
      <c r="E115" s="239" t="s">
        <v>199</v>
      </c>
      <c r="F115" s="239"/>
      <c r="G115" s="239"/>
      <c r="H115" s="266"/>
      <c r="I115" s="266"/>
      <c r="J115" s="239" t="s">
        <v>130</v>
      </c>
      <c r="K115" s="236" t="s">
        <v>768</v>
      </c>
      <c r="L115" s="267" t="str">
        <f t="shared" ref="L115:V115" si="109">IF(AND(L$6&lt;=$I115,L$6+6&gt;=$H115,$H115&lt;&gt;"",$I115&lt;&gt;""),1,"")</f>
        <v/>
      </c>
      <c r="M115" s="267" t="str">
        <f t="shared" si="109"/>
        <v/>
      </c>
      <c r="N115" s="267" t="str">
        <f t="shared" si="109"/>
        <v/>
      </c>
      <c r="O115" s="267" t="str">
        <f t="shared" si="109"/>
        <v/>
      </c>
      <c r="P115" s="267" t="str">
        <f t="shared" si="109"/>
        <v/>
      </c>
      <c r="Q115" s="267" t="str">
        <f t="shared" si="109"/>
        <v/>
      </c>
      <c r="R115" s="267" t="str">
        <f t="shared" si="109"/>
        <v/>
      </c>
      <c r="S115" s="267" t="str">
        <f t="shared" si="109"/>
        <v/>
      </c>
      <c r="T115" s="267" t="str">
        <f t="shared" si="109"/>
        <v/>
      </c>
      <c r="U115" s="267" t="str">
        <f t="shared" si="109"/>
        <v/>
      </c>
      <c r="V115" s="267" t="str">
        <f t="shared" si="109"/>
        <v/>
      </c>
    </row>
    <row r="116" ht="30.0" customHeight="1">
      <c r="A116" s="239">
        <v>110.0</v>
      </c>
      <c r="B116" s="239" t="s">
        <v>769</v>
      </c>
      <c r="C116" s="236" t="s">
        <v>770</v>
      </c>
      <c r="D116" s="236" t="s">
        <v>771</v>
      </c>
      <c r="E116" s="239" t="s">
        <v>200</v>
      </c>
      <c r="F116" s="239"/>
      <c r="G116" s="239"/>
      <c r="H116" s="266"/>
      <c r="I116" s="266"/>
      <c r="J116" s="239" t="s">
        <v>130</v>
      </c>
      <c r="K116" s="236" t="s">
        <v>775</v>
      </c>
      <c r="L116" s="267" t="str">
        <f t="shared" ref="L116:V116" si="110">IF(AND(L$6&lt;=$I116,L$6+6&gt;=$H116,$H116&lt;&gt;"",$I116&lt;&gt;""),1,"")</f>
        <v/>
      </c>
      <c r="M116" s="267" t="str">
        <f t="shared" si="110"/>
        <v/>
      </c>
      <c r="N116" s="267" t="str">
        <f t="shared" si="110"/>
        <v/>
      </c>
      <c r="O116" s="267" t="str">
        <f t="shared" si="110"/>
        <v/>
      </c>
      <c r="P116" s="267" t="str">
        <f t="shared" si="110"/>
        <v/>
      </c>
      <c r="Q116" s="267" t="str">
        <f t="shared" si="110"/>
        <v/>
      </c>
      <c r="R116" s="267" t="str">
        <f t="shared" si="110"/>
        <v/>
      </c>
      <c r="S116" s="267" t="str">
        <f t="shared" si="110"/>
        <v/>
      </c>
      <c r="T116" s="267" t="str">
        <f t="shared" si="110"/>
        <v/>
      </c>
      <c r="U116" s="267" t="str">
        <f t="shared" si="110"/>
        <v/>
      </c>
      <c r="V116" s="267" t="str">
        <f t="shared" si="110"/>
        <v/>
      </c>
    </row>
    <row r="117" ht="30.0" customHeight="1">
      <c r="A117" s="239">
        <v>111.0</v>
      </c>
      <c r="B117" s="239" t="s">
        <v>776</v>
      </c>
      <c r="C117" s="236" t="s">
        <v>770</v>
      </c>
      <c r="D117" s="236" t="s">
        <v>777</v>
      </c>
      <c r="E117" s="239" t="s">
        <v>200</v>
      </c>
      <c r="F117" s="239"/>
      <c r="G117" s="239"/>
      <c r="H117" s="266"/>
      <c r="I117" s="266"/>
      <c r="J117" s="239" t="s">
        <v>130</v>
      </c>
      <c r="K117" s="236" t="s">
        <v>775</v>
      </c>
      <c r="L117" s="267" t="str">
        <f t="shared" ref="L117:V117" si="111">IF(AND(L$6&lt;=$I117,L$6+6&gt;=$H117,$H117&lt;&gt;"",$I117&lt;&gt;""),1,"")</f>
        <v/>
      </c>
      <c r="M117" s="267" t="str">
        <f t="shared" si="111"/>
        <v/>
      </c>
      <c r="N117" s="267" t="str">
        <f t="shared" si="111"/>
        <v/>
      </c>
      <c r="O117" s="267" t="str">
        <f t="shared" si="111"/>
        <v/>
      </c>
      <c r="P117" s="267" t="str">
        <f t="shared" si="111"/>
        <v/>
      </c>
      <c r="Q117" s="267" t="str">
        <f t="shared" si="111"/>
        <v/>
      </c>
      <c r="R117" s="267" t="str">
        <f t="shared" si="111"/>
        <v/>
      </c>
      <c r="S117" s="267" t="str">
        <f t="shared" si="111"/>
        <v/>
      </c>
      <c r="T117" s="267" t="str">
        <f t="shared" si="111"/>
        <v/>
      </c>
      <c r="U117" s="267" t="str">
        <f t="shared" si="111"/>
        <v/>
      </c>
      <c r="V117" s="267" t="str">
        <f t="shared" si="111"/>
        <v/>
      </c>
    </row>
    <row r="118" ht="30.0" customHeight="1">
      <c r="A118" s="239">
        <v>112.0</v>
      </c>
      <c r="B118" s="239" t="s">
        <v>779</v>
      </c>
      <c r="C118" s="236" t="s">
        <v>770</v>
      </c>
      <c r="D118" s="236" t="s">
        <v>780</v>
      </c>
      <c r="E118" s="239" t="s">
        <v>200</v>
      </c>
      <c r="F118" s="239"/>
      <c r="G118" s="239"/>
      <c r="H118" s="266"/>
      <c r="I118" s="266"/>
      <c r="J118" s="239" t="s">
        <v>130</v>
      </c>
      <c r="K118" s="236" t="s">
        <v>775</v>
      </c>
      <c r="L118" s="267" t="str">
        <f t="shared" ref="L118:V118" si="112">IF(AND(L$6&lt;=$I118,L$6+6&gt;=$H118,$H118&lt;&gt;"",$I118&lt;&gt;""),1,"")</f>
        <v/>
      </c>
      <c r="M118" s="267" t="str">
        <f t="shared" si="112"/>
        <v/>
      </c>
      <c r="N118" s="267" t="str">
        <f t="shared" si="112"/>
        <v/>
      </c>
      <c r="O118" s="267" t="str">
        <f t="shared" si="112"/>
        <v/>
      </c>
      <c r="P118" s="267" t="str">
        <f t="shared" si="112"/>
        <v/>
      </c>
      <c r="Q118" s="267" t="str">
        <f t="shared" si="112"/>
        <v/>
      </c>
      <c r="R118" s="267" t="str">
        <f t="shared" si="112"/>
        <v/>
      </c>
      <c r="S118" s="267" t="str">
        <f t="shared" si="112"/>
        <v/>
      </c>
      <c r="T118" s="267" t="str">
        <f t="shared" si="112"/>
        <v/>
      </c>
      <c r="U118" s="267" t="str">
        <f t="shared" si="112"/>
        <v/>
      </c>
      <c r="V118" s="267" t="str">
        <f t="shared" si="112"/>
        <v/>
      </c>
    </row>
    <row r="119" ht="30.0" customHeight="1">
      <c r="A119" s="239">
        <v>113.0</v>
      </c>
      <c r="B119" s="239" t="s">
        <v>782</v>
      </c>
      <c r="C119" s="236" t="s">
        <v>770</v>
      </c>
      <c r="D119" s="236" t="s">
        <v>783</v>
      </c>
      <c r="E119" s="239" t="s">
        <v>200</v>
      </c>
      <c r="F119" s="239"/>
      <c r="G119" s="239"/>
      <c r="H119" s="266"/>
      <c r="I119" s="266"/>
      <c r="J119" s="239" t="s">
        <v>130</v>
      </c>
      <c r="K119" s="236" t="s">
        <v>775</v>
      </c>
      <c r="L119" s="267" t="str">
        <f t="shared" ref="L119:V119" si="113">IF(AND(L$6&lt;=$I119,L$6+6&gt;=$H119,$H119&lt;&gt;"",$I119&lt;&gt;""),1,"")</f>
        <v/>
      </c>
      <c r="M119" s="267" t="str">
        <f t="shared" si="113"/>
        <v/>
      </c>
      <c r="N119" s="267" t="str">
        <f t="shared" si="113"/>
        <v/>
      </c>
      <c r="O119" s="267" t="str">
        <f t="shared" si="113"/>
        <v/>
      </c>
      <c r="P119" s="267" t="str">
        <f t="shared" si="113"/>
        <v/>
      </c>
      <c r="Q119" s="267" t="str">
        <f t="shared" si="113"/>
        <v/>
      </c>
      <c r="R119" s="267" t="str">
        <f t="shared" si="113"/>
        <v/>
      </c>
      <c r="S119" s="267" t="str">
        <f t="shared" si="113"/>
        <v/>
      </c>
      <c r="T119" s="267" t="str">
        <f t="shared" si="113"/>
        <v/>
      </c>
      <c r="U119" s="267" t="str">
        <f t="shared" si="113"/>
        <v/>
      </c>
      <c r="V119" s="267" t="str">
        <f t="shared" si="113"/>
        <v/>
      </c>
    </row>
    <row r="120" ht="30.0" customHeight="1">
      <c r="A120" s="239">
        <v>114.0</v>
      </c>
      <c r="B120" s="239" t="s">
        <v>785</v>
      </c>
      <c r="C120" s="236" t="s">
        <v>786</v>
      </c>
      <c r="D120" s="236" t="s">
        <v>787</v>
      </c>
      <c r="E120" s="239" t="s">
        <v>200</v>
      </c>
      <c r="F120" s="239"/>
      <c r="G120" s="239"/>
      <c r="H120" s="266"/>
      <c r="I120" s="266"/>
      <c r="J120" s="239" t="s">
        <v>130</v>
      </c>
      <c r="K120" s="236" t="s">
        <v>790</v>
      </c>
      <c r="L120" s="267" t="str">
        <f t="shared" ref="L120:V120" si="114">IF(AND(L$6&lt;=$I120,L$6+6&gt;=$H120,$H120&lt;&gt;"",$I120&lt;&gt;""),1,"")</f>
        <v/>
      </c>
      <c r="M120" s="267" t="str">
        <f t="shared" si="114"/>
        <v/>
      </c>
      <c r="N120" s="267" t="str">
        <f t="shared" si="114"/>
        <v/>
      </c>
      <c r="O120" s="267" t="str">
        <f t="shared" si="114"/>
        <v/>
      </c>
      <c r="P120" s="267" t="str">
        <f t="shared" si="114"/>
        <v/>
      </c>
      <c r="Q120" s="267" t="str">
        <f t="shared" si="114"/>
        <v/>
      </c>
      <c r="R120" s="267" t="str">
        <f t="shared" si="114"/>
        <v/>
      </c>
      <c r="S120" s="267" t="str">
        <f t="shared" si="114"/>
        <v/>
      </c>
      <c r="T120" s="267" t="str">
        <f t="shared" si="114"/>
        <v/>
      </c>
      <c r="U120" s="267" t="str">
        <f t="shared" si="114"/>
        <v/>
      </c>
      <c r="V120" s="267" t="str">
        <f t="shared" si="114"/>
        <v/>
      </c>
    </row>
    <row r="121" ht="30.0" customHeight="1">
      <c r="A121" s="239">
        <v>115.0</v>
      </c>
      <c r="B121" s="239" t="s">
        <v>791</v>
      </c>
      <c r="C121" s="236" t="s">
        <v>786</v>
      </c>
      <c r="D121" s="236" t="s">
        <v>792</v>
      </c>
      <c r="E121" s="239" t="s">
        <v>200</v>
      </c>
      <c r="F121" s="239"/>
      <c r="G121" s="239"/>
      <c r="H121" s="266"/>
      <c r="I121" s="266"/>
      <c r="J121" s="239" t="s">
        <v>130</v>
      </c>
      <c r="K121" s="236" t="s">
        <v>790</v>
      </c>
      <c r="L121" s="267" t="str">
        <f t="shared" ref="L121:V121" si="115">IF(AND(L$6&lt;=$I121,L$6+6&gt;=$H121,$H121&lt;&gt;"",$I121&lt;&gt;""),1,"")</f>
        <v/>
      </c>
      <c r="M121" s="267" t="str">
        <f t="shared" si="115"/>
        <v/>
      </c>
      <c r="N121" s="267" t="str">
        <f t="shared" si="115"/>
        <v/>
      </c>
      <c r="O121" s="267" t="str">
        <f t="shared" si="115"/>
        <v/>
      </c>
      <c r="P121" s="267" t="str">
        <f t="shared" si="115"/>
        <v/>
      </c>
      <c r="Q121" s="267" t="str">
        <f t="shared" si="115"/>
        <v/>
      </c>
      <c r="R121" s="267" t="str">
        <f t="shared" si="115"/>
        <v/>
      </c>
      <c r="S121" s="267" t="str">
        <f t="shared" si="115"/>
        <v/>
      </c>
      <c r="T121" s="267" t="str">
        <f t="shared" si="115"/>
        <v/>
      </c>
      <c r="U121" s="267" t="str">
        <f t="shared" si="115"/>
        <v/>
      </c>
      <c r="V121" s="267" t="str">
        <f t="shared" si="115"/>
        <v/>
      </c>
    </row>
    <row r="122" ht="30.0" customHeight="1">
      <c r="A122" s="239">
        <v>116.0</v>
      </c>
      <c r="B122" s="239" t="s">
        <v>794</v>
      </c>
      <c r="C122" s="236" t="s">
        <v>786</v>
      </c>
      <c r="D122" s="236" t="s">
        <v>795</v>
      </c>
      <c r="E122" s="239" t="s">
        <v>200</v>
      </c>
      <c r="F122" s="239"/>
      <c r="G122" s="239"/>
      <c r="H122" s="266"/>
      <c r="I122" s="266"/>
      <c r="J122" s="239" t="s">
        <v>130</v>
      </c>
      <c r="K122" s="236" t="s">
        <v>790</v>
      </c>
      <c r="L122" s="267" t="str">
        <f t="shared" ref="L122:V122" si="116">IF(AND(L$6&lt;=$I122,L$6+6&gt;=$H122,$H122&lt;&gt;"",$I122&lt;&gt;""),1,"")</f>
        <v/>
      </c>
      <c r="M122" s="267" t="str">
        <f t="shared" si="116"/>
        <v/>
      </c>
      <c r="N122" s="267" t="str">
        <f t="shared" si="116"/>
        <v/>
      </c>
      <c r="O122" s="267" t="str">
        <f t="shared" si="116"/>
        <v/>
      </c>
      <c r="P122" s="267" t="str">
        <f t="shared" si="116"/>
        <v/>
      </c>
      <c r="Q122" s="267" t="str">
        <f t="shared" si="116"/>
        <v/>
      </c>
      <c r="R122" s="267" t="str">
        <f t="shared" si="116"/>
        <v/>
      </c>
      <c r="S122" s="267" t="str">
        <f t="shared" si="116"/>
        <v/>
      </c>
      <c r="T122" s="267" t="str">
        <f t="shared" si="116"/>
        <v/>
      </c>
      <c r="U122" s="267" t="str">
        <f t="shared" si="116"/>
        <v/>
      </c>
      <c r="V122" s="267" t="str">
        <f t="shared" si="116"/>
        <v/>
      </c>
    </row>
    <row r="123" ht="30.0" customHeight="1">
      <c r="A123" s="239">
        <v>117.0</v>
      </c>
      <c r="B123" s="239" t="s">
        <v>797</v>
      </c>
      <c r="C123" s="236" t="s">
        <v>786</v>
      </c>
      <c r="D123" s="236" t="s">
        <v>798</v>
      </c>
      <c r="E123" s="239" t="s">
        <v>200</v>
      </c>
      <c r="F123" s="239"/>
      <c r="G123" s="239"/>
      <c r="H123" s="266"/>
      <c r="I123" s="266"/>
      <c r="J123" s="239" t="s">
        <v>130</v>
      </c>
      <c r="K123" s="236" t="s">
        <v>790</v>
      </c>
      <c r="L123" s="267" t="str">
        <f t="shared" ref="L123:V123" si="117">IF(AND(L$6&lt;=$I123,L$6+6&gt;=$H123,$H123&lt;&gt;"",$I123&lt;&gt;""),1,"")</f>
        <v/>
      </c>
      <c r="M123" s="267" t="str">
        <f t="shared" si="117"/>
        <v/>
      </c>
      <c r="N123" s="267" t="str">
        <f t="shared" si="117"/>
        <v/>
      </c>
      <c r="O123" s="267" t="str">
        <f t="shared" si="117"/>
        <v/>
      </c>
      <c r="P123" s="267" t="str">
        <f t="shared" si="117"/>
        <v/>
      </c>
      <c r="Q123" s="267" t="str">
        <f t="shared" si="117"/>
        <v/>
      </c>
      <c r="R123" s="267" t="str">
        <f t="shared" si="117"/>
        <v/>
      </c>
      <c r="S123" s="267" t="str">
        <f t="shared" si="117"/>
        <v/>
      </c>
      <c r="T123" s="267" t="str">
        <f t="shared" si="117"/>
        <v/>
      </c>
      <c r="U123" s="267" t="str">
        <f t="shared" si="117"/>
        <v/>
      </c>
      <c r="V123" s="267" t="str">
        <f t="shared" si="117"/>
        <v/>
      </c>
    </row>
    <row r="124" ht="30.0" customHeight="1">
      <c r="A124" s="239">
        <v>118.0</v>
      </c>
      <c r="B124" s="239" t="s">
        <v>800</v>
      </c>
      <c r="C124" s="236" t="s">
        <v>201</v>
      </c>
      <c r="D124" s="236" t="s">
        <v>801</v>
      </c>
      <c r="E124" s="239" t="s">
        <v>201</v>
      </c>
      <c r="F124" s="239"/>
      <c r="G124" s="239"/>
      <c r="H124" s="266"/>
      <c r="I124" s="266"/>
      <c r="J124" s="239" t="s">
        <v>130</v>
      </c>
      <c r="K124" s="236" t="s">
        <v>804</v>
      </c>
      <c r="L124" s="267" t="str">
        <f t="shared" ref="L124:V124" si="118">IF(AND(L$6&lt;=$I124,L$6+6&gt;=$H124,$H124&lt;&gt;"",$I124&lt;&gt;""),1,"")</f>
        <v/>
      </c>
      <c r="M124" s="267" t="str">
        <f t="shared" si="118"/>
        <v/>
      </c>
      <c r="N124" s="267" t="str">
        <f t="shared" si="118"/>
        <v/>
      </c>
      <c r="O124" s="267" t="str">
        <f t="shared" si="118"/>
        <v/>
      </c>
      <c r="P124" s="267" t="str">
        <f t="shared" si="118"/>
        <v/>
      </c>
      <c r="Q124" s="267" t="str">
        <f t="shared" si="118"/>
        <v/>
      </c>
      <c r="R124" s="267" t="str">
        <f t="shared" si="118"/>
        <v/>
      </c>
      <c r="S124" s="267" t="str">
        <f t="shared" si="118"/>
        <v/>
      </c>
      <c r="T124" s="267" t="str">
        <f t="shared" si="118"/>
        <v/>
      </c>
      <c r="U124" s="267" t="str">
        <f t="shared" si="118"/>
        <v/>
      </c>
      <c r="V124" s="267" t="str">
        <f t="shared" si="118"/>
        <v/>
      </c>
    </row>
    <row r="125" ht="30.0" customHeight="1">
      <c r="A125" s="239">
        <v>119.0</v>
      </c>
      <c r="B125" s="239" t="s">
        <v>805</v>
      </c>
      <c r="C125" s="236" t="s">
        <v>201</v>
      </c>
      <c r="D125" s="236" t="s">
        <v>806</v>
      </c>
      <c r="E125" s="239" t="s">
        <v>201</v>
      </c>
      <c r="F125" s="239"/>
      <c r="G125" s="239"/>
      <c r="H125" s="266"/>
      <c r="I125" s="266"/>
      <c r="J125" s="239" t="s">
        <v>130</v>
      </c>
      <c r="K125" s="236" t="s">
        <v>804</v>
      </c>
      <c r="L125" s="267" t="str">
        <f t="shared" ref="L125:V125" si="119">IF(AND(L$6&lt;=$I125,L$6+6&gt;=$H125,$H125&lt;&gt;"",$I125&lt;&gt;""),1,"")</f>
        <v/>
      </c>
      <c r="M125" s="267" t="str">
        <f t="shared" si="119"/>
        <v/>
      </c>
      <c r="N125" s="267" t="str">
        <f t="shared" si="119"/>
        <v/>
      </c>
      <c r="O125" s="267" t="str">
        <f t="shared" si="119"/>
        <v/>
      </c>
      <c r="P125" s="267" t="str">
        <f t="shared" si="119"/>
        <v/>
      </c>
      <c r="Q125" s="267" t="str">
        <f t="shared" si="119"/>
        <v/>
      </c>
      <c r="R125" s="267" t="str">
        <f t="shared" si="119"/>
        <v/>
      </c>
      <c r="S125" s="267" t="str">
        <f t="shared" si="119"/>
        <v/>
      </c>
      <c r="T125" s="267" t="str">
        <f t="shared" si="119"/>
        <v/>
      </c>
      <c r="U125" s="267" t="str">
        <f t="shared" si="119"/>
        <v/>
      </c>
      <c r="V125" s="267" t="str">
        <f t="shared" si="119"/>
        <v/>
      </c>
    </row>
    <row r="126" ht="30.0" customHeight="1">
      <c r="A126" s="239">
        <v>120.0</v>
      </c>
      <c r="B126" s="239" t="s">
        <v>808</v>
      </c>
      <c r="C126" s="236" t="s">
        <v>201</v>
      </c>
      <c r="D126" s="236" t="s">
        <v>809</v>
      </c>
      <c r="E126" s="239" t="s">
        <v>201</v>
      </c>
      <c r="F126" s="239"/>
      <c r="G126" s="239"/>
      <c r="H126" s="266"/>
      <c r="I126" s="266"/>
      <c r="J126" s="239" t="s">
        <v>130</v>
      </c>
      <c r="K126" s="236" t="s">
        <v>812</v>
      </c>
      <c r="L126" s="267" t="str">
        <f t="shared" ref="L126:V126" si="120">IF(AND(L$6&lt;=$I126,L$6+6&gt;=$H126,$H126&lt;&gt;"",$I126&lt;&gt;""),1,"")</f>
        <v/>
      </c>
      <c r="M126" s="267" t="str">
        <f t="shared" si="120"/>
        <v/>
      </c>
      <c r="N126" s="267" t="str">
        <f t="shared" si="120"/>
        <v/>
      </c>
      <c r="O126" s="267" t="str">
        <f t="shared" si="120"/>
        <v/>
      </c>
      <c r="P126" s="267" t="str">
        <f t="shared" si="120"/>
        <v/>
      </c>
      <c r="Q126" s="267" t="str">
        <f t="shared" si="120"/>
        <v/>
      </c>
      <c r="R126" s="267" t="str">
        <f t="shared" si="120"/>
        <v/>
      </c>
      <c r="S126" s="267" t="str">
        <f t="shared" si="120"/>
        <v/>
      </c>
      <c r="T126" s="267" t="str">
        <f t="shared" si="120"/>
        <v/>
      </c>
      <c r="U126" s="267" t="str">
        <f t="shared" si="120"/>
        <v/>
      </c>
      <c r="V126" s="267" t="str">
        <f t="shared" si="120"/>
        <v/>
      </c>
    </row>
    <row r="127" ht="30.0" customHeight="1">
      <c r="A127" s="239">
        <v>121.0</v>
      </c>
      <c r="B127" s="239" t="s">
        <v>813</v>
      </c>
      <c r="C127" s="236" t="s">
        <v>201</v>
      </c>
      <c r="D127" s="236" t="s">
        <v>814</v>
      </c>
      <c r="E127" s="239" t="s">
        <v>201</v>
      </c>
      <c r="F127" s="239"/>
      <c r="G127" s="239"/>
      <c r="H127" s="266">
        <v>46283.0</v>
      </c>
      <c r="I127" s="266">
        <v>46283.0</v>
      </c>
      <c r="J127" s="239" t="s">
        <v>130</v>
      </c>
      <c r="K127" s="236" t="s">
        <v>817</v>
      </c>
      <c r="L127" s="267" t="str">
        <f t="shared" ref="L127:V127" si="121">IF(AND(L$6&lt;=$I127,L$6+6&gt;=$H127,$H127&lt;&gt;"",$I127&lt;&gt;""),1,"")</f>
        <v/>
      </c>
      <c r="M127" s="267" t="str">
        <f t="shared" si="121"/>
        <v/>
      </c>
      <c r="N127" s="267" t="str">
        <f t="shared" si="121"/>
        <v/>
      </c>
      <c r="O127" s="267" t="str">
        <f t="shared" si="121"/>
        <v/>
      </c>
      <c r="P127" s="267" t="str">
        <f t="shared" si="121"/>
        <v/>
      </c>
      <c r="Q127" s="267" t="str">
        <f t="shared" si="121"/>
        <v/>
      </c>
      <c r="R127" s="267">
        <f t="shared" si="121"/>
        <v>1</v>
      </c>
      <c r="S127" s="267" t="str">
        <f t="shared" si="121"/>
        <v/>
      </c>
      <c r="T127" s="267" t="str">
        <f t="shared" si="121"/>
        <v/>
      </c>
      <c r="U127" s="267" t="str">
        <f t="shared" si="121"/>
        <v/>
      </c>
      <c r="V127" s="267" t="str">
        <f t="shared" si="121"/>
        <v/>
      </c>
    </row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V1"/>
    <mergeCell ref="A2:V2"/>
    <mergeCell ref="A4:V4"/>
    <mergeCell ref="A5:K5"/>
    <mergeCell ref="L5:V5"/>
  </mergeCells>
  <conditionalFormatting sqref="A7:K127">
    <cfRule type="expression" dxfId="8" priority="1">
      <formula>$E7="外部依存"</formula>
    </cfRule>
  </conditionalFormatting>
  <conditionalFormatting sqref="A7:K127">
    <cfRule type="expression" dxfId="12" priority="2">
      <formula>$E7="マイルストーン"</formula>
    </cfRule>
  </conditionalFormatting>
  <conditionalFormatting sqref="A7:K127">
    <cfRule type="expression" dxfId="9" priority="3">
      <formula>$E7="条件付き"</formula>
    </cfRule>
  </conditionalFormatting>
  <conditionalFormatting sqref="A7:K127">
    <cfRule type="expression" dxfId="10" priority="4">
      <formula>$E7="対象範囲確認"</formula>
    </cfRule>
  </conditionalFormatting>
  <conditionalFormatting sqref="A7:K127">
    <cfRule type="expression" dxfId="11" priority="5">
      <formula>$E7="将来対応"</formula>
    </cfRule>
  </conditionalFormatting>
  <conditionalFormatting sqref="J7:J127">
    <cfRule type="expression" dxfId="13" priority="6">
      <formula>J7="準備中"</formula>
    </cfRule>
  </conditionalFormatting>
  <conditionalFormatting sqref="J7:J127">
    <cfRule type="expression" dxfId="6" priority="7">
      <formula>J7="進行中"</formula>
    </cfRule>
  </conditionalFormatting>
  <conditionalFormatting sqref="J7:J127">
    <cfRule type="expression" dxfId="7" priority="8">
      <formula>J7="完了"</formula>
    </cfRule>
  </conditionalFormatting>
  <conditionalFormatting sqref="L7:V127">
    <cfRule type="expression" dxfId="14" priority="9">
      <formula>AND(L7=1,$J7="準備中")</formula>
    </cfRule>
  </conditionalFormatting>
  <conditionalFormatting sqref="L7:V127">
    <cfRule type="expression" dxfId="15" priority="10">
      <formula>AND(L7=1,$J7="進行中")</formula>
    </cfRule>
  </conditionalFormatting>
  <conditionalFormatting sqref="L7:V127">
    <cfRule type="expression" dxfId="16" priority="11">
      <formula>AND(L7=1,$J7="完了")</formula>
    </cfRule>
  </conditionalFormatting>
  <conditionalFormatting sqref="L6:V6">
    <cfRule type="expression" dxfId="17" priority="12">
      <formula>OR(L$6=DATE(2026,8,10),L$6=DATE(2026,9,21),L$6=DATE(2026,10,12))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2.0"/>
    <col customWidth="1" min="2" max="2" width="40.0"/>
    <col customWidth="1" min="3" max="3" width="36.0"/>
    <col customWidth="1" min="4" max="4" width="38.0"/>
    <col customWidth="1" min="5" max="5" width="25.0"/>
    <col customWidth="1" min="6" max="6" width="18.0"/>
    <col customWidth="1" min="7" max="7" width="22.0"/>
    <col customWidth="1" min="8" max="8" width="32.0"/>
    <col customWidth="1" min="9" max="26" width="8.71"/>
  </cols>
  <sheetData>
    <row r="1" ht="33.75" customHeight="1">
      <c r="A1" s="215" t="s">
        <v>818</v>
      </c>
    </row>
    <row r="2" ht="37.5" customHeight="1">
      <c r="A2" s="268" t="s">
        <v>819</v>
      </c>
    </row>
    <row r="4" ht="33.75" customHeight="1">
      <c r="A4" s="269" t="s">
        <v>820</v>
      </c>
      <c r="B4" s="269" t="s">
        <v>343</v>
      </c>
    </row>
    <row r="5" ht="33.75" customHeight="1">
      <c r="A5" s="29" t="s">
        <v>821</v>
      </c>
      <c r="B5" s="30" t="s">
        <v>822</v>
      </c>
    </row>
    <row r="6" ht="33.75" customHeight="1">
      <c r="A6" s="29" t="s">
        <v>823</v>
      </c>
      <c r="B6" s="30" t="s">
        <v>824</v>
      </c>
    </row>
    <row r="7" ht="33.75" customHeight="1">
      <c r="A7" s="29" t="s">
        <v>825</v>
      </c>
      <c r="B7" s="30" t="s">
        <v>826</v>
      </c>
    </row>
    <row r="8" ht="33.75" customHeight="1">
      <c r="A8" s="29" t="s">
        <v>827</v>
      </c>
      <c r="B8" s="270" t="s">
        <v>828</v>
      </c>
    </row>
    <row r="9" ht="33.75" customHeight="1">
      <c r="A9" s="29" t="s">
        <v>97</v>
      </c>
      <c r="B9" s="30" t="s">
        <v>99</v>
      </c>
    </row>
    <row r="10" ht="33.75" customHeight="1">
      <c r="A10" s="29"/>
      <c r="B10" s="30"/>
    </row>
    <row r="11" ht="27.75" customHeight="1">
      <c r="A11" s="271" t="s">
        <v>829</v>
      </c>
      <c r="B11" s="271" t="s">
        <v>830</v>
      </c>
      <c r="C11" s="271" t="s">
        <v>831</v>
      </c>
      <c r="D11" s="271" t="s">
        <v>832</v>
      </c>
      <c r="E11" s="271" t="s">
        <v>833</v>
      </c>
      <c r="F11" s="271" t="s">
        <v>834</v>
      </c>
      <c r="G11" s="271" t="s">
        <v>82</v>
      </c>
      <c r="H11" s="271" t="s">
        <v>210</v>
      </c>
    </row>
    <row r="12" ht="51.75" customHeight="1">
      <c r="A12" s="272" t="s">
        <v>835</v>
      </c>
      <c r="B12" s="272" t="s">
        <v>836</v>
      </c>
      <c r="C12" s="272" t="s">
        <v>837</v>
      </c>
      <c r="D12" s="272" t="s">
        <v>76</v>
      </c>
      <c r="E12" s="272" t="s">
        <v>838</v>
      </c>
      <c r="F12" s="272" t="s">
        <v>839</v>
      </c>
      <c r="G12" s="272" t="s">
        <v>840</v>
      </c>
      <c r="H12" s="272" t="s">
        <v>841</v>
      </c>
    </row>
    <row r="13" ht="51.75" customHeight="1">
      <c r="A13" s="30" t="s">
        <v>842</v>
      </c>
      <c r="B13" s="30" t="s">
        <v>843</v>
      </c>
      <c r="C13" s="30" t="s">
        <v>844</v>
      </c>
      <c r="D13" s="30" t="s">
        <v>845</v>
      </c>
      <c r="E13" s="30" t="s">
        <v>846</v>
      </c>
      <c r="F13" s="30" t="s">
        <v>839</v>
      </c>
      <c r="G13" s="30" t="s">
        <v>840</v>
      </c>
      <c r="H13" s="30" t="s">
        <v>847</v>
      </c>
    </row>
    <row r="14" ht="51.75" customHeight="1">
      <c r="A14" s="30" t="s">
        <v>848</v>
      </c>
      <c r="B14" s="30" t="s">
        <v>203</v>
      </c>
      <c r="C14" s="30" t="s">
        <v>849</v>
      </c>
      <c r="D14" s="30" t="s">
        <v>850</v>
      </c>
      <c r="E14" s="30" t="s">
        <v>561</v>
      </c>
      <c r="F14" s="30" t="s">
        <v>851</v>
      </c>
      <c r="G14" s="30" t="s">
        <v>565</v>
      </c>
      <c r="H14" s="30" t="s">
        <v>852</v>
      </c>
    </row>
    <row r="15" ht="51.75" customHeight="1">
      <c r="A15" s="30" t="s">
        <v>853</v>
      </c>
      <c r="B15" s="30" t="s">
        <v>203</v>
      </c>
      <c r="C15" s="30" t="s">
        <v>849</v>
      </c>
      <c r="D15" s="30" t="s">
        <v>854</v>
      </c>
      <c r="E15" s="30" t="s">
        <v>855</v>
      </c>
      <c r="F15" s="30" t="s">
        <v>851</v>
      </c>
      <c r="G15" s="30" t="s">
        <v>565</v>
      </c>
      <c r="H15" s="30" t="s">
        <v>856</v>
      </c>
    </row>
    <row r="16" ht="51.75" customHeight="1">
      <c r="A16" s="30" t="s">
        <v>857</v>
      </c>
      <c r="B16" s="30" t="s">
        <v>858</v>
      </c>
      <c r="C16" s="30" t="s">
        <v>859</v>
      </c>
      <c r="D16" s="30" t="s">
        <v>860</v>
      </c>
      <c r="E16" s="30" t="s">
        <v>712</v>
      </c>
      <c r="F16" s="30" t="s">
        <v>861</v>
      </c>
      <c r="G16" s="30" t="s">
        <v>840</v>
      </c>
      <c r="H16" s="30" t="s">
        <v>862</v>
      </c>
    </row>
    <row r="17" ht="51.75" customHeight="1">
      <c r="A17" s="30" t="s">
        <v>89</v>
      </c>
      <c r="B17" s="30" t="s">
        <v>200</v>
      </c>
      <c r="C17" s="30" t="s">
        <v>863</v>
      </c>
      <c r="D17" s="30" t="s">
        <v>864</v>
      </c>
      <c r="E17" s="30" t="s">
        <v>865</v>
      </c>
      <c r="F17" s="30" t="s">
        <v>866</v>
      </c>
      <c r="G17" s="30" t="s">
        <v>789</v>
      </c>
      <c r="H17" s="30" t="s">
        <v>867</v>
      </c>
    </row>
    <row r="18" ht="51.75" customHeight="1">
      <c r="A18" s="30"/>
      <c r="B18" s="30"/>
      <c r="C18" s="30"/>
      <c r="D18" s="30"/>
      <c r="E18" s="30"/>
      <c r="F18" s="30"/>
      <c r="G18" s="30"/>
      <c r="H18" s="30"/>
    </row>
    <row r="19" ht="33.75" customHeight="1">
      <c r="A19" s="271" t="s">
        <v>868</v>
      </c>
      <c r="B19" s="271" t="s">
        <v>869</v>
      </c>
    </row>
    <row r="20" ht="33.75" customHeight="1">
      <c r="A20" s="252" t="s">
        <v>870</v>
      </c>
      <c r="B20" s="252" t="s">
        <v>871</v>
      </c>
    </row>
    <row r="21" ht="33.75" customHeight="1">
      <c r="A21" s="254" t="s">
        <v>872</v>
      </c>
      <c r="B21" s="30" t="s">
        <v>873</v>
      </c>
    </row>
    <row r="22" ht="33.75" customHeight="1">
      <c r="A22" s="254" t="s">
        <v>874</v>
      </c>
      <c r="B22" s="30" t="s">
        <v>875</v>
      </c>
    </row>
    <row r="23" ht="33.75" customHeight="1">
      <c r="A23" s="254" t="s">
        <v>876</v>
      </c>
      <c r="B23" s="30" t="s">
        <v>877</v>
      </c>
    </row>
    <row r="24" ht="33.75" customHeight="1">
      <c r="A24" s="254" t="s">
        <v>878</v>
      </c>
      <c r="B24" s="30" t="s">
        <v>879</v>
      </c>
    </row>
    <row r="25" ht="33.75" customHeight="1">
      <c r="A25" s="254" t="s">
        <v>354</v>
      </c>
      <c r="B25" s="30" t="s">
        <v>880</v>
      </c>
    </row>
    <row r="26" ht="33.75" customHeight="1">
      <c r="A26" s="254" t="s">
        <v>881</v>
      </c>
      <c r="B26" s="30" t="s">
        <v>882</v>
      </c>
    </row>
    <row r="27" ht="33.75" customHeight="1">
      <c r="A27" s="254" t="s">
        <v>883</v>
      </c>
      <c r="B27" s="30" t="s">
        <v>884</v>
      </c>
    </row>
    <row r="28" ht="33.75" customHeight="1">
      <c r="A28" s="254"/>
      <c r="B28" s="30"/>
    </row>
    <row r="29" ht="27.75" customHeight="1">
      <c r="A29" s="271" t="s">
        <v>885</v>
      </c>
      <c r="B29" s="271" t="s">
        <v>830</v>
      </c>
      <c r="C29" s="271" t="s">
        <v>831</v>
      </c>
      <c r="D29" s="271" t="s">
        <v>309</v>
      </c>
      <c r="E29" s="271" t="s">
        <v>886</v>
      </c>
      <c r="F29" s="271" t="s">
        <v>887</v>
      </c>
      <c r="G29" s="271" t="s">
        <v>199</v>
      </c>
      <c r="H29" s="271" t="s">
        <v>48</v>
      </c>
    </row>
    <row r="30" ht="43.5" customHeight="1">
      <c r="A30" s="269" t="s">
        <v>107</v>
      </c>
      <c r="B30" s="269" t="s">
        <v>840</v>
      </c>
      <c r="C30" s="269" t="s">
        <v>888</v>
      </c>
      <c r="D30" s="269" t="s">
        <v>889</v>
      </c>
      <c r="E30" s="269" t="s">
        <v>890</v>
      </c>
      <c r="F30" s="269" t="s">
        <v>891</v>
      </c>
      <c r="G30" s="269" t="s">
        <v>892</v>
      </c>
      <c r="H30" s="269" t="s">
        <v>893</v>
      </c>
    </row>
    <row r="31" ht="43.5" customHeight="1">
      <c r="A31" s="30" t="s">
        <v>894</v>
      </c>
      <c r="B31" s="30" t="s">
        <v>203</v>
      </c>
      <c r="C31" s="30" t="s">
        <v>895</v>
      </c>
      <c r="D31" s="30" t="s">
        <v>896</v>
      </c>
      <c r="E31" s="30" t="s">
        <v>897</v>
      </c>
      <c r="F31" s="30" t="s">
        <v>866</v>
      </c>
      <c r="G31" s="30" t="s">
        <v>898</v>
      </c>
      <c r="H31" s="30" t="s">
        <v>899</v>
      </c>
    </row>
    <row r="32" ht="43.5" customHeight="1">
      <c r="A32" s="30" t="s">
        <v>900</v>
      </c>
      <c r="B32" s="30" t="s">
        <v>901</v>
      </c>
      <c r="C32" s="30" t="s">
        <v>902</v>
      </c>
      <c r="D32" s="30" t="s">
        <v>903</v>
      </c>
      <c r="E32" s="30" t="s">
        <v>904</v>
      </c>
      <c r="F32" s="30" t="s">
        <v>905</v>
      </c>
      <c r="G32" s="30" t="s">
        <v>906</v>
      </c>
      <c r="H32" s="30" t="s">
        <v>907</v>
      </c>
    </row>
    <row r="33" ht="43.5" customHeight="1">
      <c r="A33" s="30" t="s">
        <v>908</v>
      </c>
      <c r="B33" s="30" t="s">
        <v>909</v>
      </c>
      <c r="C33" s="30" t="s">
        <v>910</v>
      </c>
      <c r="D33" s="30" t="s">
        <v>911</v>
      </c>
      <c r="E33" s="30" t="s">
        <v>912</v>
      </c>
      <c r="F33" s="30" t="s">
        <v>913</v>
      </c>
      <c r="G33" s="30" t="s">
        <v>914</v>
      </c>
      <c r="H33" s="30" t="s">
        <v>915</v>
      </c>
    </row>
    <row r="34" ht="43.5" customHeight="1">
      <c r="A34" s="30"/>
      <c r="B34" s="30"/>
      <c r="C34" s="30"/>
      <c r="D34" s="30"/>
      <c r="E34" s="30"/>
      <c r="F34" s="30"/>
      <c r="G34" s="30"/>
      <c r="H34" s="30"/>
    </row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0"/>
    <col customWidth="1" min="2" max="2" width="20.0"/>
    <col customWidth="1" min="3" max="3" width="22.0"/>
    <col customWidth="1" min="4" max="5" width="14.0"/>
    <col customWidth="1" min="6" max="6" width="32.0"/>
    <col customWidth="1" min="7" max="7" width="46.0"/>
    <col customWidth="1" min="8" max="8" width="18.0"/>
    <col customWidth="1" min="9" max="9" width="36.0"/>
    <col customWidth="1" min="10" max="26" width="8.71"/>
  </cols>
  <sheetData>
    <row r="1">
      <c r="A1" s="273" t="s">
        <v>916</v>
      </c>
    </row>
    <row r="2" ht="33.75" customHeight="1">
      <c r="A2" s="29" t="s">
        <v>917</v>
      </c>
    </row>
    <row r="4">
      <c r="A4" s="272" t="s">
        <v>418</v>
      </c>
      <c r="B4" s="272" t="s">
        <v>298</v>
      </c>
      <c r="C4" s="272" t="s">
        <v>918</v>
      </c>
      <c r="D4" s="272" t="s">
        <v>919</v>
      </c>
      <c r="E4" s="272" t="s">
        <v>881</v>
      </c>
      <c r="F4" s="272" t="s">
        <v>920</v>
      </c>
      <c r="G4" s="272" t="s">
        <v>921</v>
      </c>
      <c r="H4" s="272" t="s">
        <v>304</v>
      </c>
      <c r="I4" s="272" t="s">
        <v>922</v>
      </c>
    </row>
    <row r="5" ht="42.0" customHeight="1">
      <c r="A5" s="246">
        <v>1.0</v>
      </c>
      <c r="B5" s="246" t="s">
        <v>192</v>
      </c>
      <c r="C5" s="246" t="s">
        <v>923</v>
      </c>
      <c r="D5" s="247">
        <v>5.0</v>
      </c>
      <c r="E5" s="247">
        <v>5.0</v>
      </c>
      <c r="F5" s="246" t="s">
        <v>924</v>
      </c>
      <c r="G5" s="246" t="s">
        <v>925</v>
      </c>
      <c r="H5" s="246" t="s">
        <v>312</v>
      </c>
      <c r="I5" s="246" t="s">
        <v>926</v>
      </c>
    </row>
    <row r="6" ht="42.0" customHeight="1">
      <c r="A6" s="246">
        <v>2.0</v>
      </c>
      <c r="B6" s="246" t="s">
        <v>192</v>
      </c>
      <c r="C6" s="246" t="s">
        <v>927</v>
      </c>
      <c r="D6" s="247">
        <v>5.0</v>
      </c>
      <c r="E6" s="247">
        <v>5.0</v>
      </c>
      <c r="F6" s="246" t="s">
        <v>928</v>
      </c>
      <c r="G6" s="246" t="s">
        <v>929</v>
      </c>
      <c r="H6" s="246" t="s">
        <v>312</v>
      </c>
      <c r="I6" s="246" t="s">
        <v>930</v>
      </c>
    </row>
    <row r="7" ht="42.0" customHeight="1">
      <c r="A7" s="246">
        <v>3.0</v>
      </c>
      <c r="B7" s="246" t="s">
        <v>316</v>
      </c>
      <c r="C7" s="246" t="s">
        <v>931</v>
      </c>
      <c r="D7" s="247">
        <v>2.0</v>
      </c>
      <c r="E7" s="247">
        <v>2.0</v>
      </c>
      <c r="F7" s="246" t="s">
        <v>932</v>
      </c>
      <c r="G7" s="246" t="s">
        <v>933</v>
      </c>
      <c r="H7" s="246" t="s">
        <v>312</v>
      </c>
      <c r="I7" s="246" t="s">
        <v>934</v>
      </c>
    </row>
    <row r="8" ht="42.0" customHeight="1">
      <c r="A8" s="246">
        <v>4.0</v>
      </c>
      <c r="B8" s="246" t="s">
        <v>316</v>
      </c>
      <c r="C8" s="246" t="s">
        <v>935</v>
      </c>
      <c r="D8" s="247">
        <v>5.0</v>
      </c>
      <c r="E8" s="247">
        <v>5.0</v>
      </c>
      <c r="F8" s="246" t="s">
        <v>936</v>
      </c>
      <c r="G8" s="246" t="s">
        <v>937</v>
      </c>
      <c r="H8" s="246" t="s">
        <v>312</v>
      </c>
      <c r="I8" s="246" t="s">
        <v>938</v>
      </c>
    </row>
    <row r="9" ht="42.0" customHeight="1">
      <c r="A9" s="246">
        <v>5.0</v>
      </c>
      <c r="B9" s="246" t="s">
        <v>939</v>
      </c>
      <c r="C9" s="246" t="s">
        <v>940</v>
      </c>
      <c r="D9" s="247">
        <v>2.0</v>
      </c>
      <c r="E9" s="247">
        <v>2.0</v>
      </c>
      <c r="F9" s="246" t="s">
        <v>252</v>
      </c>
      <c r="G9" s="246" t="s">
        <v>941</v>
      </c>
      <c r="H9" s="246" t="s">
        <v>312</v>
      </c>
      <c r="I9" s="246" t="s">
        <v>942</v>
      </c>
    </row>
    <row r="10" ht="42.0" customHeight="1">
      <c r="A10" s="246">
        <v>6.0</v>
      </c>
      <c r="B10" s="246" t="s">
        <v>939</v>
      </c>
      <c r="C10" s="246" t="s">
        <v>943</v>
      </c>
      <c r="D10" s="247">
        <v>3.0</v>
      </c>
      <c r="E10" s="247">
        <v>3.0</v>
      </c>
      <c r="F10" s="246" t="s">
        <v>944</v>
      </c>
      <c r="G10" s="246" t="s">
        <v>945</v>
      </c>
      <c r="H10" s="246" t="s">
        <v>312</v>
      </c>
      <c r="I10" s="246" t="s">
        <v>946</v>
      </c>
    </row>
    <row r="11" ht="42.0" customHeight="1">
      <c r="A11" s="246">
        <v>7.0</v>
      </c>
      <c r="B11" s="246" t="s">
        <v>939</v>
      </c>
      <c r="C11" s="246" t="s">
        <v>947</v>
      </c>
      <c r="D11" s="247">
        <v>3.0</v>
      </c>
      <c r="E11" s="247">
        <v>3.0</v>
      </c>
      <c r="F11" s="246" t="s">
        <v>948</v>
      </c>
      <c r="G11" s="246" t="s">
        <v>949</v>
      </c>
      <c r="H11" s="246" t="s">
        <v>312</v>
      </c>
      <c r="I11" s="246" t="s">
        <v>950</v>
      </c>
    </row>
    <row r="12" ht="42.0" customHeight="1">
      <c r="A12" s="246">
        <v>8.0</v>
      </c>
      <c r="B12" s="246" t="s">
        <v>939</v>
      </c>
      <c r="C12" s="246" t="s">
        <v>951</v>
      </c>
      <c r="D12" s="247">
        <v>1.5</v>
      </c>
      <c r="E12" s="247">
        <v>1.5</v>
      </c>
      <c r="F12" s="246" t="s">
        <v>952</v>
      </c>
      <c r="G12" s="246" t="s">
        <v>953</v>
      </c>
      <c r="H12" s="246" t="s">
        <v>312</v>
      </c>
      <c r="I12" s="246" t="s">
        <v>954</v>
      </c>
    </row>
    <row r="13" ht="42.0" customHeight="1">
      <c r="A13" s="246">
        <v>9.0</v>
      </c>
      <c r="B13" s="246" t="s">
        <v>328</v>
      </c>
      <c r="C13" s="246" t="s">
        <v>943</v>
      </c>
      <c r="D13" s="247">
        <v>3.0</v>
      </c>
      <c r="E13" s="247">
        <v>3.0</v>
      </c>
      <c r="F13" s="246" t="s">
        <v>955</v>
      </c>
      <c r="G13" s="246" t="s">
        <v>956</v>
      </c>
      <c r="H13" s="246" t="s">
        <v>312</v>
      </c>
      <c r="I13" s="246" t="s">
        <v>957</v>
      </c>
    </row>
    <row r="14" ht="42.0" customHeight="1">
      <c r="A14" s="246">
        <v>10.0</v>
      </c>
      <c r="B14" s="246" t="s">
        <v>328</v>
      </c>
      <c r="C14" s="246" t="s">
        <v>958</v>
      </c>
      <c r="D14" s="247">
        <v>4.0</v>
      </c>
      <c r="E14" s="247">
        <v>4.0</v>
      </c>
      <c r="F14" s="246" t="s">
        <v>959</v>
      </c>
      <c r="G14" s="246" t="s">
        <v>960</v>
      </c>
      <c r="H14" s="246" t="s">
        <v>312</v>
      </c>
      <c r="I14" s="246" t="s">
        <v>961</v>
      </c>
    </row>
    <row r="15" ht="42.0" customHeight="1">
      <c r="A15" s="246">
        <v>11.0</v>
      </c>
      <c r="B15" s="246" t="s">
        <v>328</v>
      </c>
      <c r="C15" s="246" t="s">
        <v>962</v>
      </c>
      <c r="D15" s="247">
        <v>4.0</v>
      </c>
      <c r="E15" s="247">
        <v>4.0</v>
      </c>
      <c r="F15" s="246" t="s">
        <v>963</v>
      </c>
      <c r="G15" s="246" t="s">
        <v>964</v>
      </c>
      <c r="H15" s="246" t="s">
        <v>312</v>
      </c>
      <c r="I15" s="246" t="s">
        <v>965</v>
      </c>
    </row>
    <row r="16" ht="42.0" customHeight="1">
      <c r="A16" s="246">
        <v>12.0</v>
      </c>
      <c r="B16" s="246" t="s">
        <v>328</v>
      </c>
      <c r="C16" s="246" t="s">
        <v>951</v>
      </c>
      <c r="D16" s="247">
        <v>2.0</v>
      </c>
      <c r="E16" s="247">
        <v>2.0</v>
      </c>
      <c r="F16" s="246" t="s">
        <v>966</v>
      </c>
      <c r="G16" s="246" t="s">
        <v>967</v>
      </c>
      <c r="H16" s="246" t="s">
        <v>312</v>
      </c>
      <c r="I16" s="246" t="s">
        <v>961</v>
      </c>
    </row>
    <row r="17" ht="42.0" customHeight="1">
      <c r="A17" s="246">
        <v>13.0</v>
      </c>
      <c r="B17" s="246" t="s">
        <v>332</v>
      </c>
      <c r="C17" s="246" t="s">
        <v>968</v>
      </c>
      <c r="D17" s="247">
        <v>2.0</v>
      </c>
      <c r="E17" s="247">
        <v>2.0</v>
      </c>
      <c r="F17" s="246" t="s">
        <v>597</v>
      </c>
      <c r="G17" s="246" t="s">
        <v>969</v>
      </c>
      <c r="H17" s="246" t="s">
        <v>312</v>
      </c>
      <c r="I17" s="246" t="s">
        <v>844</v>
      </c>
    </row>
    <row r="18" ht="42.0" customHeight="1">
      <c r="A18" s="246">
        <v>14.0</v>
      </c>
      <c r="B18" s="246" t="s">
        <v>332</v>
      </c>
      <c r="C18" s="246" t="s">
        <v>970</v>
      </c>
      <c r="D18" s="247">
        <v>2.0</v>
      </c>
      <c r="E18" s="247">
        <v>2.0</v>
      </c>
      <c r="F18" s="246" t="s">
        <v>971</v>
      </c>
      <c r="G18" s="246" t="s">
        <v>972</v>
      </c>
      <c r="H18" s="246" t="s">
        <v>312</v>
      </c>
      <c r="I18" s="246" t="s">
        <v>954</v>
      </c>
    </row>
    <row r="19" ht="42.0" customHeight="1">
      <c r="A19" s="246">
        <v>15.0</v>
      </c>
      <c r="B19" s="246" t="s">
        <v>336</v>
      </c>
      <c r="C19" s="246" t="s">
        <v>973</v>
      </c>
      <c r="D19" s="247">
        <v>2.0</v>
      </c>
      <c r="E19" s="247">
        <v>0.0</v>
      </c>
      <c r="F19" s="246" t="s">
        <v>974</v>
      </c>
      <c r="G19" s="246" t="s">
        <v>975</v>
      </c>
      <c r="H19" s="246" t="s">
        <v>199</v>
      </c>
      <c r="I19" s="246" t="s">
        <v>976</v>
      </c>
    </row>
    <row r="20" ht="42.0" customHeight="1">
      <c r="A20" s="246">
        <v>16.0</v>
      </c>
      <c r="B20" s="246" t="s">
        <v>336</v>
      </c>
      <c r="C20" s="246" t="s">
        <v>977</v>
      </c>
      <c r="D20" s="247">
        <v>2.0</v>
      </c>
      <c r="E20" s="247">
        <v>0.0</v>
      </c>
      <c r="F20" s="246" t="s">
        <v>978</v>
      </c>
      <c r="G20" s="246" t="s">
        <v>979</v>
      </c>
      <c r="H20" s="246" t="s">
        <v>199</v>
      </c>
      <c r="I20" s="246" t="s">
        <v>976</v>
      </c>
    </row>
    <row r="21" ht="42.0" customHeight="1">
      <c r="A21" s="246">
        <v>17.0</v>
      </c>
      <c r="B21" s="246" t="s">
        <v>114</v>
      </c>
      <c r="C21" s="246" t="s">
        <v>980</v>
      </c>
      <c r="D21" s="247">
        <v>5.0</v>
      </c>
      <c r="E21" s="247">
        <v>5.0</v>
      </c>
      <c r="F21" s="246" t="s">
        <v>981</v>
      </c>
      <c r="G21" s="246" t="s">
        <v>982</v>
      </c>
      <c r="H21" s="246" t="s">
        <v>312</v>
      </c>
      <c r="I21" s="246" t="s">
        <v>983</v>
      </c>
    </row>
    <row r="22" ht="42.0" customHeight="1">
      <c r="A22" s="246">
        <v>18.0</v>
      </c>
      <c r="B22" s="246" t="s">
        <v>114</v>
      </c>
      <c r="C22" s="246" t="s">
        <v>984</v>
      </c>
      <c r="D22" s="247">
        <v>5.0</v>
      </c>
      <c r="E22" s="247">
        <v>5.0</v>
      </c>
      <c r="F22" s="246" t="s">
        <v>985</v>
      </c>
      <c r="G22" s="246" t="s">
        <v>986</v>
      </c>
      <c r="H22" s="246" t="s">
        <v>312</v>
      </c>
      <c r="I22" s="246" t="s">
        <v>987</v>
      </c>
    </row>
    <row r="23" ht="42.0" customHeight="1">
      <c r="A23" s="251" t="s">
        <v>339</v>
      </c>
      <c r="B23" s="246"/>
      <c r="C23" s="246"/>
      <c r="D23" s="247">
        <v>57.5</v>
      </c>
      <c r="E23" s="247">
        <v>53.5</v>
      </c>
      <c r="F23" s="246"/>
      <c r="G23" s="246"/>
      <c r="H23" s="246"/>
      <c r="I23" s="246" t="s">
        <v>988</v>
      </c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:I2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8.0"/>
    <col customWidth="1" min="2" max="2" width="28.0"/>
    <col customWidth="1" min="3" max="3" width="12.0"/>
    <col customWidth="1" min="4" max="4" width="34.0"/>
    <col customWidth="1" min="5" max="5" width="28.0"/>
    <col customWidth="1" min="6" max="6" width="16.0"/>
    <col customWidth="1" min="7" max="7" width="44.0"/>
    <col customWidth="1" min="8" max="8" width="30.0"/>
    <col customWidth="1" min="9" max="26" width="8.71"/>
  </cols>
  <sheetData>
    <row r="1">
      <c r="A1" s="273" t="s">
        <v>989</v>
      </c>
    </row>
    <row r="2" ht="39.75" customHeight="1">
      <c r="A2" s="274" t="s">
        <v>990</v>
      </c>
    </row>
    <row r="4">
      <c r="A4" s="269" t="s">
        <v>991</v>
      </c>
      <c r="B4" s="269" t="s">
        <v>992</v>
      </c>
      <c r="C4" s="269" t="s">
        <v>993</v>
      </c>
      <c r="D4" s="269" t="s">
        <v>994</v>
      </c>
      <c r="E4" s="269" t="s">
        <v>995</v>
      </c>
      <c r="F4" s="269" t="s">
        <v>996</v>
      </c>
      <c r="G4" s="269" t="s">
        <v>832</v>
      </c>
      <c r="H4" s="269" t="s">
        <v>997</v>
      </c>
    </row>
    <row r="5" ht="48.0" customHeight="1">
      <c r="A5" s="246" t="s">
        <v>192</v>
      </c>
      <c r="B5" s="246" t="s">
        <v>998</v>
      </c>
      <c r="C5" s="247">
        <v>2.0</v>
      </c>
      <c r="D5" s="246" t="s">
        <v>999</v>
      </c>
      <c r="E5" s="246" t="s">
        <v>1000</v>
      </c>
      <c r="F5" s="246" t="s">
        <v>1001</v>
      </c>
      <c r="G5" s="246" t="s">
        <v>1002</v>
      </c>
      <c r="H5" s="246" t="s">
        <v>1003</v>
      </c>
    </row>
    <row r="6" ht="48.0" customHeight="1">
      <c r="A6" s="246" t="s">
        <v>192</v>
      </c>
      <c r="B6" s="246" t="s">
        <v>303</v>
      </c>
      <c r="C6" s="247">
        <v>1.5</v>
      </c>
      <c r="D6" s="246" t="s">
        <v>1004</v>
      </c>
      <c r="E6" s="246" t="s">
        <v>1005</v>
      </c>
      <c r="F6" s="246" t="s">
        <v>1004</v>
      </c>
      <c r="G6" s="246" t="s">
        <v>1006</v>
      </c>
      <c r="H6" s="246" t="s">
        <v>1003</v>
      </c>
    </row>
    <row r="7" ht="48.0" customHeight="1">
      <c r="A7" s="246" t="s">
        <v>1007</v>
      </c>
      <c r="B7" s="246" t="s">
        <v>1008</v>
      </c>
      <c r="C7" s="247">
        <v>3.0</v>
      </c>
      <c r="D7" s="246" t="s">
        <v>321</v>
      </c>
      <c r="E7" s="246" t="s">
        <v>1009</v>
      </c>
      <c r="F7" s="246" t="s">
        <v>1001</v>
      </c>
      <c r="G7" s="246" t="s">
        <v>1010</v>
      </c>
      <c r="H7" s="246" t="s">
        <v>1003</v>
      </c>
    </row>
    <row r="8" ht="48.0" customHeight="1">
      <c r="A8" s="246" t="s">
        <v>1007</v>
      </c>
      <c r="B8" s="246" t="s">
        <v>1011</v>
      </c>
      <c r="C8" s="247">
        <v>1.5</v>
      </c>
      <c r="D8" s="246" t="s">
        <v>1004</v>
      </c>
      <c r="E8" s="246" t="s">
        <v>1012</v>
      </c>
      <c r="F8" s="246" t="s">
        <v>1013</v>
      </c>
      <c r="G8" s="246" t="s">
        <v>1014</v>
      </c>
      <c r="H8" s="246" t="s">
        <v>1015</v>
      </c>
    </row>
    <row r="9" ht="48.0" customHeight="1">
      <c r="A9" s="246" t="s">
        <v>1016</v>
      </c>
      <c r="B9" s="246" t="s">
        <v>1017</v>
      </c>
      <c r="C9" s="247">
        <v>1.5</v>
      </c>
      <c r="D9" s="246" t="s">
        <v>321</v>
      </c>
      <c r="E9" s="246" t="s">
        <v>1018</v>
      </c>
      <c r="F9" s="246" t="s">
        <v>1004</v>
      </c>
      <c r="G9" s="246" t="s">
        <v>1019</v>
      </c>
      <c r="H9" s="246" t="s">
        <v>1020</v>
      </c>
    </row>
    <row r="10" ht="48.0" customHeight="1">
      <c r="A10" s="246" t="s">
        <v>1021</v>
      </c>
      <c r="B10" s="246" t="s">
        <v>1022</v>
      </c>
      <c r="C10" s="247">
        <v>1.5</v>
      </c>
      <c r="D10" s="246" t="s">
        <v>1023</v>
      </c>
      <c r="E10" s="246" t="s">
        <v>1024</v>
      </c>
      <c r="F10" s="246" t="s">
        <v>1001</v>
      </c>
      <c r="G10" s="246" t="s">
        <v>1025</v>
      </c>
      <c r="H10" s="246" t="s">
        <v>1020</v>
      </c>
    </row>
    <row r="11" ht="48.0" customHeight="1">
      <c r="A11" s="246" t="s">
        <v>1026</v>
      </c>
      <c r="B11" s="246" t="s">
        <v>1027</v>
      </c>
      <c r="C11" s="247">
        <v>2.0</v>
      </c>
      <c r="D11" s="246" t="s">
        <v>1028</v>
      </c>
      <c r="E11" s="246" t="s">
        <v>1029</v>
      </c>
      <c r="F11" s="246" t="s">
        <v>1001</v>
      </c>
      <c r="G11" s="246" t="s">
        <v>1030</v>
      </c>
      <c r="H11" s="246" t="s">
        <v>1031</v>
      </c>
    </row>
    <row r="12" ht="48.0" customHeight="1">
      <c r="A12" s="246" t="s">
        <v>1032</v>
      </c>
      <c r="B12" s="246" t="s">
        <v>1033</v>
      </c>
      <c r="C12" s="247">
        <v>1.0</v>
      </c>
      <c r="D12" s="246" t="s">
        <v>1034</v>
      </c>
      <c r="E12" s="246" t="s">
        <v>1035</v>
      </c>
      <c r="F12" s="246" t="s">
        <v>1001</v>
      </c>
      <c r="G12" s="246" t="s">
        <v>1036</v>
      </c>
      <c r="H12" s="246" t="s">
        <v>1003</v>
      </c>
    </row>
    <row r="13" ht="48.0" customHeight="1">
      <c r="A13" s="246" t="s">
        <v>1037</v>
      </c>
      <c r="B13" s="246" t="s">
        <v>1038</v>
      </c>
      <c r="C13" s="247">
        <v>2.0</v>
      </c>
      <c r="D13" s="246" t="s">
        <v>1039</v>
      </c>
      <c r="E13" s="246" t="s">
        <v>1040</v>
      </c>
      <c r="F13" s="246" t="s">
        <v>1001</v>
      </c>
      <c r="G13" s="246" t="s">
        <v>1041</v>
      </c>
      <c r="H13" s="246" t="s">
        <v>1003</v>
      </c>
    </row>
    <row r="14" ht="48.0" customHeight="1">
      <c r="A14" s="246" t="s">
        <v>1042</v>
      </c>
      <c r="B14" s="246" t="s">
        <v>1043</v>
      </c>
      <c r="C14" s="247">
        <v>1.5</v>
      </c>
      <c r="D14" s="246" t="s">
        <v>1044</v>
      </c>
      <c r="E14" s="246" t="s">
        <v>1045</v>
      </c>
      <c r="F14" s="246" t="s">
        <v>1004</v>
      </c>
      <c r="G14" s="246" t="s">
        <v>1046</v>
      </c>
      <c r="H14" s="246" t="s">
        <v>1020</v>
      </c>
    </row>
    <row r="15" ht="48.0" customHeight="1">
      <c r="A15" s="246" t="s">
        <v>1042</v>
      </c>
      <c r="B15" s="246" t="s">
        <v>1047</v>
      </c>
      <c r="C15" s="247">
        <v>4.0</v>
      </c>
      <c r="D15" s="246" t="s">
        <v>1048</v>
      </c>
      <c r="E15" s="246" t="s">
        <v>1049</v>
      </c>
      <c r="F15" s="246" t="s">
        <v>1050</v>
      </c>
      <c r="G15" s="246" t="s">
        <v>1051</v>
      </c>
      <c r="H15" s="246" t="s">
        <v>1052</v>
      </c>
    </row>
    <row r="16" ht="48.0" customHeight="1">
      <c r="A16" s="246" t="s">
        <v>1042</v>
      </c>
      <c r="B16" s="246" t="s">
        <v>1053</v>
      </c>
      <c r="C16" s="247">
        <v>2.5</v>
      </c>
      <c r="D16" s="246" t="s">
        <v>199</v>
      </c>
      <c r="E16" s="246" t="s">
        <v>1054</v>
      </c>
      <c r="F16" s="246" t="s">
        <v>199</v>
      </c>
      <c r="G16" s="246" t="s">
        <v>1055</v>
      </c>
      <c r="H16" s="246" t="s">
        <v>1056</v>
      </c>
    </row>
    <row r="17" ht="48.0" customHeight="1">
      <c r="A17" s="246" t="s">
        <v>1057</v>
      </c>
      <c r="B17" s="246" t="s">
        <v>1058</v>
      </c>
      <c r="C17" s="247">
        <v>1.5</v>
      </c>
      <c r="D17" s="246" t="s">
        <v>200</v>
      </c>
      <c r="E17" s="246" t="s">
        <v>769</v>
      </c>
      <c r="F17" s="246" t="s">
        <v>1059</v>
      </c>
      <c r="G17" s="246" t="s">
        <v>1060</v>
      </c>
      <c r="H17" s="246" t="s">
        <v>1061</v>
      </c>
    </row>
    <row r="18" ht="48.0" customHeight="1">
      <c r="A18" s="246" t="s">
        <v>1062</v>
      </c>
      <c r="B18" s="246" t="s">
        <v>777</v>
      </c>
      <c r="C18" s="247">
        <v>3.0</v>
      </c>
      <c r="D18" s="246" t="s">
        <v>200</v>
      </c>
      <c r="E18" s="246" t="s">
        <v>776</v>
      </c>
      <c r="F18" s="246" t="s">
        <v>1059</v>
      </c>
      <c r="G18" s="246" t="s">
        <v>1063</v>
      </c>
      <c r="H18" s="246" t="s">
        <v>1061</v>
      </c>
    </row>
    <row r="19" ht="48.0" customHeight="1">
      <c r="A19" s="246" t="s">
        <v>1062</v>
      </c>
      <c r="B19" s="246" t="s">
        <v>780</v>
      </c>
      <c r="C19" s="247">
        <v>4.0</v>
      </c>
      <c r="D19" s="246" t="s">
        <v>200</v>
      </c>
      <c r="E19" s="246" t="s">
        <v>779</v>
      </c>
      <c r="F19" s="246" t="s">
        <v>1059</v>
      </c>
      <c r="G19" s="246" t="s">
        <v>1064</v>
      </c>
      <c r="H19" s="246" t="s">
        <v>1061</v>
      </c>
    </row>
    <row r="20" ht="48.0" customHeight="1">
      <c r="A20" s="246" t="s">
        <v>1062</v>
      </c>
      <c r="B20" s="246" t="s">
        <v>783</v>
      </c>
      <c r="C20" s="247">
        <v>3.0</v>
      </c>
      <c r="D20" s="246" t="s">
        <v>200</v>
      </c>
      <c r="E20" s="246" t="s">
        <v>782</v>
      </c>
      <c r="F20" s="246" t="s">
        <v>1059</v>
      </c>
      <c r="G20" s="246" t="s">
        <v>1065</v>
      </c>
      <c r="H20" s="246" t="s">
        <v>1061</v>
      </c>
    </row>
    <row r="21" ht="48.0" customHeight="1">
      <c r="A21" s="246" t="s">
        <v>1066</v>
      </c>
      <c r="B21" s="246" t="s">
        <v>89</v>
      </c>
      <c r="C21" s="247">
        <v>3.0</v>
      </c>
      <c r="D21" s="246" t="s">
        <v>1067</v>
      </c>
      <c r="E21" s="246" t="s">
        <v>1068</v>
      </c>
      <c r="F21" s="246" t="s">
        <v>1059</v>
      </c>
      <c r="G21" s="246" t="s">
        <v>1069</v>
      </c>
      <c r="H21" s="246" t="s">
        <v>1061</v>
      </c>
    </row>
    <row r="22" ht="48.0" customHeight="1">
      <c r="A22" s="246" t="s">
        <v>172</v>
      </c>
      <c r="B22" s="246" t="s">
        <v>569</v>
      </c>
      <c r="C22" s="247">
        <v>4.0</v>
      </c>
      <c r="D22" s="246" t="s">
        <v>1070</v>
      </c>
      <c r="E22" s="246" t="s">
        <v>1071</v>
      </c>
      <c r="F22" s="246" t="s">
        <v>1004</v>
      </c>
      <c r="G22" s="246" t="s">
        <v>1072</v>
      </c>
      <c r="H22" s="246" t="s">
        <v>1073</v>
      </c>
    </row>
    <row r="23" ht="48.0" customHeight="1">
      <c r="A23" s="246" t="s">
        <v>172</v>
      </c>
      <c r="B23" s="246" t="s">
        <v>334</v>
      </c>
      <c r="C23" s="247">
        <v>2.0</v>
      </c>
      <c r="D23" s="246" t="s">
        <v>1074</v>
      </c>
      <c r="E23" s="246" t="s">
        <v>1075</v>
      </c>
      <c r="F23" s="246" t="s">
        <v>1004</v>
      </c>
      <c r="G23" s="246" t="s">
        <v>1076</v>
      </c>
      <c r="H23" s="246" t="s">
        <v>1077</v>
      </c>
    </row>
    <row r="24" ht="48.0" customHeight="1">
      <c r="A24" s="246" t="s">
        <v>172</v>
      </c>
      <c r="B24" s="246" t="s">
        <v>1078</v>
      </c>
      <c r="C24" s="247">
        <v>1.0</v>
      </c>
      <c r="D24" s="246" t="s">
        <v>1004</v>
      </c>
      <c r="E24" s="246" t="s">
        <v>952</v>
      </c>
      <c r="F24" s="246" t="s">
        <v>1004</v>
      </c>
      <c r="G24" s="246" t="s">
        <v>326</v>
      </c>
      <c r="H24" s="246" t="s">
        <v>1079</v>
      </c>
    </row>
    <row r="25" ht="48.0" customHeight="1">
      <c r="A25" s="246" t="s">
        <v>1080</v>
      </c>
      <c r="B25" s="246" t="s">
        <v>1081</v>
      </c>
      <c r="C25" s="247">
        <v>1.5</v>
      </c>
      <c r="D25" s="246" t="s">
        <v>1082</v>
      </c>
      <c r="E25" s="246" t="s">
        <v>1083</v>
      </c>
      <c r="F25" s="246" t="s">
        <v>1084</v>
      </c>
      <c r="G25" s="246" t="s">
        <v>1085</v>
      </c>
      <c r="H25" s="246" t="s">
        <v>1003</v>
      </c>
    </row>
    <row r="26" ht="48.0" customHeight="1">
      <c r="A26" s="246" t="s">
        <v>894</v>
      </c>
      <c r="B26" s="246" t="s">
        <v>1086</v>
      </c>
      <c r="C26" s="247">
        <v>1.5</v>
      </c>
      <c r="D26" s="246" t="s">
        <v>849</v>
      </c>
      <c r="E26" s="246" t="s">
        <v>897</v>
      </c>
      <c r="F26" s="246" t="s">
        <v>199</v>
      </c>
      <c r="G26" s="246" t="s">
        <v>1087</v>
      </c>
      <c r="H26" s="246" t="s">
        <v>1088</v>
      </c>
    </row>
    <row r="27" ht="48.0" customHeight="1">
      <c r="A27" s="246" t="s">
        <v>1089</v>
      </c>
      <c r="B27" s="246" t="s">
        <v>114</v>
      </c>
      <c r="C27" s="247">
        <v>3.0</v>
      </c>
      <c r="D27" s="246" t="s">
        <v>1004</v>
      </c>
      <c r="E27" s="246" t="s">
        <v>981</v>
      </c>
      <c r="F27" s="246" t="s">
        <v>1004</v>
      </c>
      <c r="G27" s="246" t="s">
        <v>1090</v>
      </c>
      <c r="H27" s="246" t="s">
        <v>1091</v>
      </c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