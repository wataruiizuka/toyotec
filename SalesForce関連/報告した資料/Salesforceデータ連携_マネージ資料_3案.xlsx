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hidePivotFieldList="1"/>
  <mc:AlternateContent xmlns:mc="http://schemas.openxmlformats.org/markup-compatibility/2006">
    <mc:Choice Requires="x15">
      <x15ac:absPath xmlns:x15ac="http://schemas.microsoft.com/office/spreadsheetml/2010/11/ac" url="https://tatgroup.sharepoint.com/sites/TEC_U-SLIM879/Shared Documents/General/99_Work/06_Whizen/manage/モビリコ/"/>
    </mc:Choice>
  </mc:AlternateContent>
  <xr:revisionPtr revIDLastSave="1154" documentId="8_{1CF933E4-ACAD-4DBE-A140-CDA181FF6F01}" xr6:coauthVersionLast="47" xr6:coauthVersionMax="47" xr10:uidLastSave="{A1D7FE39-264C-43B8-9349-97C656582C88}"/>
  <bookViews>
    <workbookView xWindow="-120" yWindow="-120" windowWidth="29040" windowHeight="15720" xr2:uid="{00000000-000D-0000-FFFF-FFFF00000000}"/>
  </bookViews>
  <sheets>
    <sheet name="概算お見積り_案A" sheetId="11" r:id="rId1"/>
    <sheet name="概算お見積り_案B" sheetId="13" r:id="rId2"/>
    <sheet name="概算お見積り_案C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ITYrnSl+CgxA5h0fO/n0lF8fNdt/4yQCPRB4Gfpnip8="/>
    </ext>
  </extLst>
</workbook>
</file>

<file path=xl/calcChain.xml><?xml version="1.0" encoding="utf-8"?>
<calcChain xmlns="http://schemas.openxmlformats.org/spreadsheetml/2006/main">
  <c r="G5" i="13" l="1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E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K5" i="14"/>
  <c r="G5" i="14"/>
  <c r="G23" i="14" s="1"/>
  <c r="K4" i="14"/>
  <c r="E23" i="13"/>
  <c r="K5" i="13"/>
  <c r="G23" i="13"/>
  <c r="K4" i="13"/>
  <c r="G9" i="11"/>
  <c r="G5" i="11"/>
  <c r="G6" i="11"/>
  <c r="G7" i="11"/>
  <c r="G8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E23" i="11"/>
  <c r="G23" i="11"/>
  <c r="K5" i="11"/>
  <c r="K4" i="11"/>
</calcChain>
</file>

<file path=xl/sharedStrings.xml><?xml version="1.0" encoding="utf-8"?>
<sst xmlns="http://schemas.openxmlformats.org/spreadsheetml/2006/main" count="186" uniqueCount="43">
  <si>
    <t>Salesforceデータ連携案件 初期開発 概算お見積り</t>
  </si>
  <si>
    <t>単価情報</t>
  </si>
  <si>
    <t>費目情報</t>
  </si>
  <si>
    <t>コスト情報</t>
  </si>
  <si>
    <t>人月</t>
  </si>
  <si>
    <t>人日</t>
  </si>
  <si>
    <t>カテゴリ</t>
  </si>
  <si>
    <t>タスク</t>
  </si>
  <si>
    <t>単価</t>
  </si>
  <si>
    <t>工数</t>
  </si>
  <si>
    <t>単位</t>
  </si>
  <si>
    <t>小計（税抜き）</t>
  </si>
  <si>
    <t>管理</t>
  </si>
  <si>
    <t>要件定義</t>
  </si>
  <si>
    <t>調査</t>
  </si>
  <si>
    <t>一般</t>
  </si>
  <si>
    <t>定義書作成</t>
  </si>
  <si>
    <t>基本設計</t>
  </si>
  <si>
    <t>構成図作成</t>
  </si>
  <si>
    <t>方式設計</t>
  </si>
  <si>
    <t>セキュリティ</t>
  </si>
  <si>
    <t>詳細設計</t>
  </si>
  <si>
    <t>実装</t>
  </si>
  <si>
    <t>単体テスト</t>
  </si>
  <si>
    <t>ネットワーク</t>
  </si>
  <si>
    <t>疎通確認</t>
  </si>
  <si>
    <t>データソース</t>
  </si>
  <si>
    <t>NiFI for Salesforce連携開発（データ取得）</t>
  </si>
  <si>
    <t>NiFI for Salesforce連携開発（データ保存）</t>
  </si>
  <si>
    <t>結合テスト</t>
  </si>
  <si>
    <t>テスト設計</t>
  </si>
  <si>
    <t>テスト実施</t>
  </si>
  <si>
    <t>リリース対応</t>
  </si>
  <si>
    <t>設計</t>
  </si>
  <si>
    <t>実施</t>
  </si>
  <si>
    <t>プロジェクト管理</t>
  </si>
  <si>
    <t>PM</t>
  </si>
  <si>
    <t>※窓口対応・進行管理・ディレクション</t>
  </si>
  <si>
    <t>PL</t>
  </si>
  <si>
    <t>補足</t>
  </si>
  <si>
    <t>【案A：現行範囲を維持して効率化】
・現行の2販社対応と、要件定義からリリースまでの工程を原則維持する一般的な試算です。
・既存のNiFiフロー、Salesforce接続設定、ネットワーク経路、認証・セキュリティ機能、構成図、設計書、テストケース、リリース手順を再利用できることを前提としています。
・2販社の処理は可能な範囲で共通化し、個別開発、重複資料、重複テスト、PM・PLの重複管理を削減します。
・現行の85人日・6,500,000円から、71人日5,425,000円へ見直す一般的な試算です。削減幅は14人日・1,075,000円です。
・対象オブジェクト、対象項目、データ量、連携頻度、削除データの扱い、保存先、セキュリティ要件は未確定のため、要件確認後に再見積もりが必要です。
・既存資産を利用できない場合、2販社の構成が異なる場合、新規ネットワーク・認証・セキュリティ対応が必要な場合は追加工数となります。
・対象販社の追加や、本資料の範囲外となる作業は別途見積もりとし、納期は要件確定後に調整します。</t>
  </si>
  <si>
    <r>
      <rPr>
        <sz val="11"/>
        <color rgb="FF000000"/>
        <rFont val="Calibri"/>
      </rPr>
      <t>【案B：初回の対象範囲を限定】
・現行見積もりの全範囲を同じ条件で安く実施する案ではなく、初回の対象販社、Salesforceオブジェクト、取得項目、対象期間などを限定する一般的な試算です。
・削減方法として、</t>
    </r>
    <r>
      <rPr>
        <b/>
        <sz val="11"/>
        <color rgb="FF000000"/>
        <rFont val="Calibri"/>
      </rPr>
      <t>2販社のうち1販社を先行</t>
    </r>
    <r>
      <rPr>
        <sz val="11"/>
        <color rgb="FF000000"/>
        <rFont val="Calibri"/>
      </rPr>
      <t>する、または2販社とも対象としつつ主要オブジェクト
・必要項目だけに限定することを想定しています。 ・連携方式は日次1回の差分連携を基本とし、添付ファイル、複雑なデータ加工・集計、大量の過去データ移行、リアルタイム・高頻度連携は初回対象外とする想定です。
・既存のNiFi環境、接続設定、ネットワーク経路、認証・セキュリティ機能、設計資料、テストケース、リリース手順を利用できることを前提としています。
・現行の85人日・6,500,000円から、58人日・4,425,000円へ見直す一般的な試算です。削減幅は27人日・2,075,000円です。
・対象外とした販社、オブジェクト、項目、過去データ、添付ファイル、加工処理などを後から追加する場合は、設計・開発・テスト・リリースの追加費用が発生する可能性があります。
・対象オブジェクト、必須項目、データ量、更新・削除データの扱い、保存先、個人情報、セキュリティ要件は未確定のため、要件確認後に工数と金額の再計算が必要です。
・対象販社の追加や、本資料の範囲外となる作業は別途見積もりとし、納期は要件確定後に調整します。</t>
    </r>
  </si>
  <si>
    <t>【案C：第1段階のみを先行実施】
・現行見積もりと同じ完成範囲を安く実施する案ではなく、接続・取得・保存が可能かを確認するため、初回対応を最小限の範囲に限定する一般的な試算です。
・初回は1販社または限定環境、少数の主要Salesforceオブジェクト、必要最小限の項目、日次1回の連携、データ基盤への単純保存を想定しています。
・最低限必要な認証・セキュリティ対応、基本的な正常系・異常系テスト、限定範囲でのリリースは実施します。
・2販社目への展開、対象オブジェクト・項目の追加、大量の過去データ移行、添付ファイル、複雑なデータ加工・集計、高度な監視・通知、自動再実行、長期運用保守は後続対応とする想定です。
・既存のNiFi環境、接続設定、ネットワーク経路、認証・セキュリティ機能、設計資料、テストケース、リリース手順を利用できることを前提としています。
・現行の85人日・6,500,000円から、44人日・3,350,000円へ見直す一般的な試算です。削減幅は41人日・3,150,000円です。
・初回費用は抑えられますが、第1段階だけでは本格運用に必要な機能が不足する可能性があり、後続対応まで含めた総額が現行見積もりを下回るとは限りません。
・対象販社、対象オブジェクト、対象項目、データ量、連携方式、更新・削除データの扱い、保存先、セキュリティ要件、第1段階の完了条件は未確定のため、要件確認後に再見積もりが必要です。
・後続作業および本資料の範囲外となる作業は別途見積もりとし、納期は要件確定後に調整します。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</si>
</sst>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&quot;¥&quot;#,##0_);[Red]\(&quot;¥&quot;#,##0\)"/>
  </numFmts>
  <fonts count="9"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/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8" xfId="0" applyBorder="1"/>
    <xf numFmtId="0" fontId="0" fillId="0" borderId="51" xfId="0" applyBorder="1"/>
    <xf numFmtId="0" fontId="0" fillId="0" borderId="35" xfId="0" applyBorder="1"/>
    <xf numFmtId="0" fontId="0" fillId="0" borderId="19" xfId="0" applyBorder="1"/>
    <xf numFmtId="0" fontId="0" fillId="0" borderId="36" xfId="0" applyBorder="1"/>
    <xf numFmtId="0" fontId="0" fillId="0" borderId="52" xfId="0" applyBorder="1"/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4" fillId="0" borderId="1" xfId="0" applyFont="1" applyBorder="1"/>
    <xf numFmtId="41" fontId="0" fillId="0" borderId="22" xfId="0" applyNumberFormat="1" applyBorder="1" applyAlignment="1">
      <alignment vertical="center"/>
    </xf>
    <xf numFmtId="41" fontId="0" fillId="0" borderId="23" xfId="0" applyNumberFormat="1" applyBorder="1" applyAlignment="1">
      <alignment vertical="center"/>
    </xf>
    <xf numFmtId="41" fontId="0" fillId="0" borderId="29" xfId="0" applyNumberFormat="1" applyBorder="1" applyAlignment="1">
      <alignment vertical="center"/>
    </xf>
    <xf numFmtId="41" fontId="0" fillId="0" borderId="53" xfId="0" applyNumberFormat="1" applyBorder="1" applyAlignment="1">
      <alignment vertical="center"/>
    </xf>
    <xf numFmtId="41" fontId="0" fillId="0" borderId="25" xfId="0" applyNumberFormat="1" applyBorder="1" applyAlignment="1">
      <alignment vertical="center"/>
    </xf>
    <xf numFmtId="41" fontId="0" fillId="0" borderId="38" xfId="0" applyNumberFormat="1" applyBorder="1" applyAlignment="1">
      <alignment vertical="center"/>
    </xf>
    <xf numFmtId="0" fontId="0" fillId="0" borderId="41" xfId="0" applyBorder="1"/>
    <xf numFmtId="41" fontId="0" fillId="0" borderId="26" xfId="0" applyNumberFormat="1" applyBorder="1" applyAlignment="1">
      <alignment vertical="center"/>
    </xf>
    <xf numFmtId="0" fontId="0" fillId="0" borderId="11" xfId="0" applyBorder="1" applyAlignment="1">
      <alignment horizontal="right" vertical="center"/>
    </xf>
    <xf numFmtId="0" fontId="0" fillId="0" borderId="12" xfId="0" applyBorder="1" applyAlignment="1">
      <alignment horizontal="center" vertical="center"/>
    </xf>
    <xf numFmtId="41" fontId="0" fillId="0" borderId="27" xfId="0" applyNumberFormat="1" applyBorder="1" applyAlignment="1">
      <alignment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right"/>
    </xf>
    <xf numFmtId="176" fontId="4" fillId="2" borderId="1" xfId="0" applyNumberFormat="1" applyFont="1" applyFill="1" applyBorder="1" applyAlignment="1">
      <alignment horizontal="right" vertical="center"/>
    </xf>
    <xf numFmtId="0" fontId="3" fillId="0" borderId="1" xfId="0" applyFont="1" applyBorder="1"/>
    <xf numFmtId="0" fontId="5" fillId="0" borderId="0" xfId="0" quotePrefix="1" applyFont="1"/>
    <xf numFmtId="41" fontId="0" fillId="0" borderId="31" xfId="0" applyNumberFormat="1" applyBorder="1" applyAlignment="1">
      <alignment vertical="center"/>
    </xf>
    <xf numFmtId="41" fontId="0" fillId="0" borderId="60" xfId="0" applyNumberFormat="1" applyBorder="1" applyAlignment="1">
      <alignment vertical="center"/>
    </xf>
    <xf numFmtId="0" fontId="3" fillId="3" borderId="49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54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0" fillId="3" borderId="61" xfId="0" applyFill="1" applyBorder="1"/>
    <xf numFmtId="0" fontId="0" fillId="3" borderId="62" xfId="0" applyFill="1" applyBorder="1"/>
    <xf numFmtId="0" fontId="0" fillId="3" borderId="63" xfId="0" applyFill="1" applyBorder="1"/>
    <xf numFmtId="0" fontId="0" fillId="0" borderId="64" xfId="0" applyBorder="1"/>
    <xf numFmtId="176" fontId="0" fillId="0" borderId="41" xfId="0" applyNumberFormat="1" applyBorder="1"/>
    <xf numFmtId="176" fontId="0" fillId="0" borderId="65" xfId="0" applyNumberFormat="1" applyBorder="1"/>
    <xf numFmtId="176" fontId="0" fillId="0" borderId="37" xfId="0" applyNumberFormat="1" applyBorder="1"/>
    <xf numFmtId="176" fontId="0" fillId="0" borderId="66" xfId="0" applyNumberFormat="1" applyBorder="1"/>
    <xf numFmtId="0" fontId="0" fillId="0" borderId="11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3" xfId="0" applyBorder="1"/>
    <xf numFmtId="0" fontId="0" fillId="0" borderId="21" xfId="0" applyBorder="1"/>
    <xf numFmtId="0" fontId="0" fillId="0" borderId="33" xfId="0" applyBorder="1"/>
    <xf numFmtId="0" fontId="0" fillId="0" borderId="34" xfId="0" applyBorder="1"/>
    <xf numFmtId="0" fontId="0" fillId="0" borderId="24" xfId="0" applyBorder="1"/>
    <xf numFmtId="0" fontId="0" fillId="0" borderId="14" xfId="0" applyBorder="1"/>
    <xf numFmtId="41" fontId="0" fillId="0" borderId="32" xfId="0" applyNumberFormat="1" applyBorder="1" applyAlignment="1">
      <alignment vertical="center"/>
    </xf>
    <xf numFmtId="0" fontId="0" fillId="0" borderId="20" xfId="0" applyBorder="1" applyAlignment="1">
      <alignment wrapText="1"/>
    </xf>
    <xf numFmtId="0" fontId="0" fillId="0" borderId="30" xfId="0" applyBorder="1"/>
    <xf numFmtId="0" fontId="0" fillId="0" borderId="35" xfId="0" applyBorder="1" applyAlignment="1">
      <alignment vertical="top"/>
    </xf>
    <xf numFmtId="41" fontId="0" fillId="0" borderId="67" xfId="0" applyNumberFormat="1" applyBorder="1" applyAlignment="1">
      <alignment vertical="center"/>
    </xf>
    <xf numFmtId="0" fontId="0" fillId="0" borderId="51" xfId="0" applyBorder="1" applyAlignment="1">
      <alignment vertical="top"/>
    </xf>
    <xf numFmtId="176" fontId="0" fillId="0" borderId="1" xfId="0" applyNumberFormat="1" applyBorder="1"/>
    <xf numFmtId="0" fontId="0" fillId="0" borderId="68" xfId="0" applyBorder="1"/>
    <xf numFmtId="0" fontId="0" fillId="0" borderId="19" xfId="0" applyBorder="1" applyAlignment="1">
      <alignment wrapText="1"/>
    </xf>
    <xf numFmtId="0" fontId="3" fillId="3" borderId="46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55" xfId="0" applyBorder="1" applyAlignment="1">
      <alignment horizontal="left" vertical="top" wrapText="1"/>
    </xf>
    <xf numFmtId="0" fontId="0" fillId="0" borderId="56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57" xfId="0" applyBorder="1" applyAlignment="1">
      <alignment horizontal="left" vertical="top" wrapText="1"/>
    </xf>
    <xf numFmtId="0" fontId="0" fillId="0" borderId="58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59" xfId="0" applyBorder="1" applyAlignment="1">
      <alignment horizontal="left" vertical="top" wrapText="1"/>
    </xf>
    <xf numFmtId="0" fontId="3" fillId="3" borderId="45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</cellXfs>
  <cellStyles count="2">
    <cellStyle name="Hyperlink" xfId="1" xr:uid="{00000000-000B-0000-0000-000008000000}"/>
    <cellStyle name="標準" xfId="0" builtinId="0"/>
  </cellStyles>
  <dxfs count="0"/>
  <tableStyles count="0" defaultTableStyle="TableStyleMedium2" defaultPivotStyle="PivotStyleLight16"/>
  <colors>
    <mruColors>
      <color rgb="FFD9E2F3"/>
      <color rgb="FF6AA8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9" Type="http://schemas.openxmlformats.org/officeDocument/2006/relationships/customXml" Target="../customXml/item3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087DB-7209-41A7-8290-F6B8DDE59D8B}">
  <dimension ref="A2:P46"/>
  <sheetViews>
    <sheetView showGridLines="0" tabSelected="1" workbookViewId="0">
      <selection activeCell="G7" sqref="G7"/>
    </sheetView>
  </sheetViews>
  <sheetFormatPr defaultRowHeight="15"/>
  <cols>
    <col min="1" max="1" width="6.28515625" customWidth="1"/>
    <col min="2" max="2" width="40.7109375" customWidth="1"/>
    <col min="3" max="3" width="41.7109375" customWidth="1"/>
    <col min="4" max="4" width="17.7109375" customWidth="1"/>
    <col min="5" max="5" width="15.85546875" customWidth="1"/>
    <col min="6" max="6" width="11.85546875" customWidth="1"/>
    <col min="7" max="7" width="27" customWidth="1"/>
    <col min="10" max="10" width="12.140625" customWidth="1"/>
    <col min="11" max="11" width="12.85546875" bestFit="1" customWidth="1"/>
  </cols>
  <sheetData>
    <row r="2" spans="1:12" ht="27" customHeight="1">
      <c r="B2" s="19" t="s">
        <v>0</v>
      </c>
      <c r="C2" s="1"/>
      <c r="D2" s="1"/>
      <c r="E2" s="1"/>
      <c r="F2" s="1"/>
      <c r="G2" s="1"/>
      <c r="I2" s="1" t="s">
        <v>1</v>
      </c>
      <c r="J2" s="1"/>
      <c r="K2" s="1"/>
    </row>
    <row r="3" spans="1:12">
      <c r="A3" s="1"/>
      <c r="B3" s="81" t="s">
        <v>2</v>
      </c>
      <c r="C3" s="70"/>
      <c r="D3" s="69" t="s">
        <v>3</v>
      </c>
      <c r="E3" s="70"/>
      <c r="F3" s="70"/>
      <c r="G3" s="71"/>
      <c r="H3" s="1"/>
      <c r="I3" s="44"/>
      <c r="J3" s="45" t="s">
        <v>4</v>
      </c>
      <c r="K3" s="46" t="s">
        <v>5</v>
      </c>
    </row>
    <row r="4" spans="1:12">
      <c r="A4" s="1"/>
      <c r="B4" s="38" t="s">
        <v>6</v>
      </c>
      <c r="C4" s="39" t="s">
        <v>7</v>
      </c>
      <c r="D4" s="40" t="s">
        <v>8</v>
      </c>
      <c r="E4" s="41" t="s">
        <v>9</v>
      </c>
      <c r="F4" s="42" t="s">
        <v>10</v>
      </c>
      <c r="G4" s="43" t="s">
        <v>11</v>
      </c>
      <c r="H4" s="1"/>
      <c r="I4" s="47" t="s">
        <v>12</v>
      </c>
      <c r="J4" s="48">
        <v>1750000</v>
      </c>
      <c r="K4" s="49">
        <f>J4/20</f>
        <v>87500</v>
      </c>
      <c r="L4" s="1"/>
    </row>
    <row r="5" spans="1:12">
      <c r="A5" s="1"/>
      <c r="B5" s="67" t="s">
        <v>13</v>
      </c>
      <c r="C5" s="26" t="s">
        <v>14</v>
      </c>
      <c r="D5" s="20">
        <v>75000</v>
      </c>
      <c r="E5" s="52">
        <v>4</v>
      </c>
      <c r="F5" s="29" t="s">
        <v>5</v>
      </c>
      <c r="G5" s="21">
        <f>SUM(D5*E5)</f>
        <v>300000</v>
      </c>
      <c r="H5" s="1"/>
      <c r="I5" s="7" t="s">
        <v>15</v>
      </c>
      <c r="J5" s="50">
        <v>1500000</v>
      </c>
      <c r="K5" s="51">
        <f>J5/20</f>
        <v>75000</v>
      </c>
      <c r="L5" s="1"/>
    </row>
    <row r="6" spans="1:12">
      <c r="A6" s="1"/>
      <c r="B6" s="4"/>
      <c r="C6" s="3" t="s">
        <v>16</v>
      </c>
      <c r="D6" s="37">
        <v>75000</v>
      </c>
      <c r="E6" s="12">
        <v>4</v>
      </c>
      <c r="F6" s="10" t="s">
        <v>5</v>
      </c>
      <c r="G6" s="64">
        <f>SUM(D6*E6)</f>
        <v>300000</v>
      </c>
      <c r="H6" s="1"/>
      <c r="I6" s="1"/>
      <c r="J6" s="66"/>
      <c r="K6" s="66"/>
      <c r="L6" s="1"/>
    </row>
    <row r="7" spans="1:12">
      <c r="A7" s="1"/>
      <c r="B7" s="5" t="s">
        <v>17</v>
      </c>
      <c r="C7" s="26" t="s">
        <v>18</v>
      </c>
      <c r="D7" s="27">
        <v>75000</v>
      </c>
      <c r="E7" s="52">
        <v>4</v>
      </c>
      <c r="F7" s="29" t="s">
        <v>5</v>
      </c>
      <c r="G7" s="30">
        <f t="shared" ref="G7:G8" si="0">SUM(D7*E7)</f>
        <v>300000</v>
      </c>
      <c r="H7" s="1"/>
      <c r="L7" s="1"/>
    </row>
    <row r="8" spans="1:12">
      <c r="A8" s="1"/>
      <c r="B8" s="4"/>
      <c r="C8" s="54" t="s">
        <v>19</v>
      </c>
      <c r="D8" s="27">
        <v>75000</v>
      </c>
      <c r="E8" s="52">
        <v>4</v>
      </c>
      <c r="F8" s="29" t="s">
        <v>5</v>
      </c>
      <c r="G8" s="30">
        <f t="shared" si="0"/>
        <v>300000</v>
      </c>
      <c r="H8" s="1"/>
      <c r="L8" s="1"/>
    </row>
    <row r="9" spans="1:12">
      <c r="A9" s="1"/>
      <c r="B9" s="6" t="s">
        <v>20</v>
      </c>
      <c r="C9" s="55" t="s">
        <v>21</v>
      </c>
      <c r="D9" s="20">
        <v>75000</v>
      </c>
      <c r="E9" s="13">
        <v>4</v>
      </c>
      <c r="F9" s="9" t="s">
        <v>5</v>
      </c>
      <c r="G9" s="21">
        <f>SUM(D9*E9)</f>
        <v>300000</v>
      </c>
      <c r="H9" s="1"/>
    </row>
    <row r="10" spans="1:12">
      <c r="A10" s="1"/>
      <c r="B10" s="6"/>
      <c r="C10" s="56" t="s">
        <v>22</v>
      </c>
      <c r="D10" s="24">
        <v>75000</v>
      </c>
      <c r="E10" s="14">
        <v>7</v>
      </c>
      <c r="F10" s="15" t="s">
        <v>5</v>
      </c>
      <c r="G10" s="22">
        <f t="shared" ref="G10:G11" si="1">SUM(D10*E10)</f>
        <v>525000</v>
      </c>
      <c r="H10" s="1"/>
    </row>
    <row r="11" spans="1:12">
      <c r="A11" s="1"/>
      <c r="B11" s="6"/>
      <c r="C11" s="59" t="s">
        <v>23</v>
      </c>
      <c r="D11" s="36">
        <v>75000</v>
      </c>
      <c r="E11" s="16">
        <v>3</v>
      </c>
      <c r="F11" s="17" t="s">
        <v>5</v>
      </c>
      <c r="G11" s="60">
        <f t="shared" si="1"/>
        <v>225000</v>
      </c>
      <c r="H11" s="1"/>
    </row>
    <row r="12" spans="1:12" ht="16.5" customHeight="1">
      <c r="A12" s="1"/>
      <c r="B12" s="5" t="s">
        <v>24</v>
      </c>
      <c r="C12" s="61" t="s">
        <v>25</v>
      </c>
      <c r="D12" s="27">
        <v>75000</v>
      </c>
      <c r="E12" s="52">
        <v>2</v>
      </c>
      <c r="F12" s="29" t="s">
        <v>5</v>
      </c>
      <c r="G12" s="30">
        <f t="shared" ref="G12:G22" si="2">SUM(D12*E12)</f>
        <v>150000</v>
      </c>
      <c r="H12" s="1"/>
      <c r="L12" s="1"/>
    </row>
    <row r="13" spans="1:12">
      <c r="A13" s="1"/>
      <c r="B13" s="5" t="s">
        <v>26</v>
      </c>
      <c r="C13" s="55" t="s">
        <v>21</v>
      </c>
      <c r="D13" s="20">
        <v>75000</v>
      </c>
      <c r="E13" s="13">
        <v>4</v>
      </c>
      <c r="F13" s="9" t="s">
        <v>5</v>
      </c>
      <c r="G13" s="21">
        <f t="shared" si="2"/>
        <v>300000</v>
      </c>
      <c r="H13" s="1"/>
    </row>
    <row r="14" spans="1:12">
      <c r="A14" s="1"/>
      <c r="B14" s="6"/>
      <c r="C14" s="58" t="s">
        <v>27</v>
      </c>
      <c r="D14" s="24">
        <v>75000</v>
      </c>
      <c r="E14" s="14">
        <v>7</v>
      </c>
      <c r="F14" s="15" t="s">
        <v>5</v>
      </c>
      <c r="G14" s="22">
        <f t="shared" si="2"/>
        <v>525000</v>
      </c>
      <c r="H14" s="1"/>
    </row>
    <row r="15" spans="1:12">
      <c r="A15" s="1"/>
      <c r="B15" s="6"/>
      <c r="C15" s="57" t="s">
        <v>28</v>
      </c>
      <c r="D15" s="24">
        <v>75000</v>
      </c>
      <c r="E15" s="53">
        <v>7</v>
      </c>
      <c r="F15" s="15" t="s">
        <v>5</v>
      </c>
      <c r="G15" s="22">
        <f t="shared" si="2"/>
        <v>525000</v>
      </c>
      <c r="H15" s="1"/>
    </row>
    <row r="16" spans="1:12">
      <c r="A16" s="1"/>
      <c r="B16" s="4"/>
      <c r="C16" s="62" t="s">
        <v>23</v>
      </c>
      <c r="D16" s="36">
        <v>75000</v>
      </c>
      <c r="E16" s="16">
        <v>3</v>
      </c>
      <c r="F16" s="17" t="s">
        <v>5</v>
      </c>
      <c r="G16" s="22">
        <f t="shared" si="2"/>
        <v>225000</v>
      </c>
      <c r="H16" s="1"/>
    </row>
    <row r="17" spans="1:16">
      <c r="A17" s="1"/>
      <c r="B17" s="63" t="s">
        <v>29</v>
      </c>
      <c r="C17" s="2" t="s">
        <v>30</v>
      </c>
      <c r="D17" s="27">
        <v>75000</v>
      </c>
      <c r="E17" s="52">
        <v>2</v>
      </c>
      <c r="F17" s="9" t="s">
        <v>5</v>
      </c>
      <c r="G17" s="21">
        <f t="shared" si="2"/>
        <v>150000</v>
      </c>
      <c r="H17" s="1"/>
    </row>
    <row r="18" spans="1:16">
      <c r="A18" s="1"/>
      <c r="B18" s="65"/>
      <c r="C18" s="3" t="s">
        <v>31</v>
      </c>
      <c r="D18" s="37">
        <v>75000</v>
      </c>
      <c r="E18" s="12">
        <v>3</v>
      </c>
      <c r="F18" s="10" t="s">
        <v>5</v>
      </c>
      <c r="G18" s="64">
        <f t="shared" si="2"/>
        <v>225000</v>
      </c>
      <c r="H18" s="1"/>
    </row>
    <row r="19" spans="1:16">
      <c r="A19" s="1"/>
      <c r="B19" s="63" t="s">
        <v>32</v>
      </c>
      <c r="C19" s="26" t="s">
        <v>33</v>
      </c>
      <c r="D19" s="27">
        <v>75000</v>
      </c>
      <c r="E19" s="52">
        <v>2</v>
      </c>
      <c r="F19" s="29" t="s">
        <v>5</v>
      </c>
      <c r="G19" s="30">
        <f t="shared" si="2"/>
        <v>150000</v>
      </c>
      <c r="H19" s="1"/>
    </row>
    <row r="20" spans="1:16">
      <c r="A20" s="1"/>
      <c r="B20" s="65"/>
      <c r="C20" s="3" t="s">
        <v>34</v>
      </c>
      <c r="D20" s="37">
        <v>75000</v>
      </c>
      <c r="E20" s="12">
        <v>3</v>
      </c>
      <c r="F20" s="10" t="s">
        <v>5</v>
      </c>
      <c r="G20" s="64">
        <f t="shared" si="2"/>
        <v>225000</v>
      </c>
      <c r="H20" s="1"/>
    </row>
    <row r="21" spans="1:16" ht="16.5">
      <c r="A21" s="1"/>
      <c r="B21" s="68" t="s">
        <v>35</v>
      </c>
      <c r="C21" s="26" t="s">
        <v>36</v>
      </c>
      <c r="D21" s="27">
        <v>87500</v>
      </c>
      <c r="E21" s="28">
        <v>4</v>
      </c>
      <c r="F21" s="29" t="s">
        <v>5</v>
      </c>
      <c r="G21" s="30">
        <f t="shared" si="2"/>
        <v>350000</v>
      </c>
      <c r="H21" s="1"/>
    </row>
    <row r="22" spans="1:16">
      <c r="A22" s="1"/>
      <c r="B22" s="7" t="s">
        <v>37</v>
      </c>
      <c r="C22" s="8" t="s">
        <v>38</v>
      </c>
      <c r="D22" s="25">
        <v>87500</v>
      </c>
      <c r="E22" s="18">
        <v>4</v>
      </c>
      <c r="F22" s="11" t="s">
        <v>5</v>
      </c>
      <c r="G22" s="23">
        <f t="shared" si="2"/>
        <v>350000</v>
      </c>
      <c r="H22" s="1"/>
    </row>
    <row r="23" spans="1:16" ht="18.75">
      <c r="B23" s="1"/>
      <c r="C23" s="1"/>
      <c r="D23" s="1"/>
      <c r="E23" s="31">
        <f>SUM(E5:E22)</f>
        <v>71</v>
      </c>
      <c r="F23" s="32" t="s">
        <v>5</v>
      </c>
      <c r="G23" s="33">
        <f>SUM(G5:G22)</f>
        <v>5425000</v>
      </c>
      <c r="H23" s="35"/>
    </row>
    <row r="24" spans="1:16">
      <c r="B24" s="1"/>
      <c r="C24" s="1"/>
      <c r="D24" s="1"/>
      <c r="E24" s="1"/>
      <c r="F24" s="1"/>
      <c r="G24" s="1"/>
      <c r="H24" s="1"/>
      <c r="I24" s="1"/>
      <c r="J24" s="1"/>
    </row>
    <row r="25" spans="1:16">
      <c r="C25" s="34" t="s">
        <v>39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6" ht="15" customHeight="1">
      <c r="B26" s="1"/>
      <c r="C26" s="72" t="s">
        <v>40</v>
      </c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4"/>
      <c r="P26" s="1"/>
    </row>
    <row r="27" spans="1:16">
      <c r="B27" s="1"/>
      <c r="C27" s="75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7"/>
      <c r="P27" s="1"/>
    </row>
    <row r="28" spans="1:16">
      <c r="B28" s="1"/>
      <c r="C28" s="75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  <c r="P28" s="1"/>
    </row>
    <row r="29" spans="1:16">
      <c r="B29" s="1"/>
      <c r="C29" s="75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7"/>
      <c r="P29" s="1"/>
    </row>
    <row r="30" spans="1:16">
      <c r="B30" s="1"/>
      <c r="C30" s="75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7"/>
      <c r="P30" s="1"/>
    </row>
    <row r="31" spans="1:16">
      <c r="B31" s="1"/>
      <c r="C31" s="75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7"/>
      <c r="P31" s="1"/>
    </row>
    <row r="32" spans="1:16">
      <c r="B32" s="1"/>
      <c r="C32" s="75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7"/>
      <c r="P32" s="1"/>
    </row>
    <row r="33" spans="2:16">
      <c r="B33" s="1"/>
      <c r="C33" s="75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7"/>
      <c r="P33" s="1"/>
    </row>
    <row r="34" spans="2:16">
      <c r="B34" s="1"/>
      <c r="C34" s="75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7"/>
      <c r="P34" s="1"/>
    </row>
    <row r="35" spans="2:16">
      <c r="B35" s="1"/>
      <c r="C35" s="75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7"/>
      <c r="P35" s="1"/>
    </row>
    <row r="36" spans="2:16">
      <c r="B36" s="1"/>
      <c r="C36" s="75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7"/>
      <c r="P36" s="1"/>
    </row>
    <row r="37" spans="2:16">
      <c r="B37" s="1"/>
      <c r="C37" s="75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7"/>
      <c r="P37" s="1"/>
    </row>
    <row r="38" spans="2:16">
      <c r="B38" s="1"/>
      <c r="C38" s="75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7"/>
      <c r="P38" s="1"/>
    </row>
    <row r="39" spans="2:16">
      <c r="B39" s="1"/>
      <c r="C39" s="75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7"/>
      <c r="P39" s="1"/>
    </row>
    <row r="40" spans="2:16">
      <c r="B40" s="1"/>
      <c r="C40" s="75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7"/>
      <c r="P40" s="1"/>
    </row>
    <row r="41" spans="2:16">
      <c r="B41" s="1"/>
      <c r="C41" s="75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1"/>
    </row>
    <row r="42" spans="2:16">
      <c r="B42" s="1"/>
      <c r="C42" s="75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7"/>
      <c r="P42" s="1"/>
    </row>
    <row r="43" spans="2:16">
      <c r="B43" s="1"/>
      <c r="C43" s="75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1"/>
    </row>
    <row r="44" spans="2:16">
      <c r="B44" s="1"/>
      <c r="C44" s="75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1"/>
    </row>
    <row r="45" spans="2:16">
      <c r="B45" s="1"/>
      <c r="C45" s="78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80"/>
      <c r="P45" s="1"/>
    </row>
    <row r="46" spans="2:16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3">
    <mergeCell ref="D3:G3"/>
    <mergeCell ref="B3:C3"/>
    <mergeCell ref="C26:O45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27F14-1244-4D74-B3C8-020DD41EA619}">
  <dimension ref="A2:P46"/>
  <sheetViews>
    <sheetView showGridLines="0" workbookViewId="0">
      <selection activeCell="K15" sqref="K15"/>
    </sheetView>
  </sheetViews>
  <sheetFormatPr defaultRowHeight="15"/>
  <cols>
    <col min="1" max="1" width="6.28515625" customWidth="1"/>
    <col min="2" max="2" width="40.7109375" customWidth="1"/>
    <col min="3" max="3" width="41.7109375" customWidth="1"/>
    <col min="4" max="4" width="17.7109375" customWidth="1"/>
    <col min="5" max="5" width="15.85546875" customWidth="1"/>
    <col min="6" max="6" width="11.85546875" customWidth="1"/>
    <col min="7" max="7" width="27" customWidth="1"/>
    <col min="10" max="10" width="12.140625" customWidth="1"/>
    <col min="11" max="11" width="12.85546875" bestFit="1" customWidth="1"/>
  </cols>
  <sheetData>
    <row r="2" spans="1:12" ht="27" customHeight="1">
      <c r="B2" s="19" t="s">
        <v>0</v>
      </c>
      <c r="C2" s="1"/>
      <c r="D2" s="1"/>
      <c r="E2" s="1"/>
      <c r="F2" s="1"/>
      <c r="G2" s="1"/>
      <c r="I2" s="1" t="s">
        <v>1</v>
      </c>
      <c r="J2" s="1"/>
      <c r="K2" s="1"/>
    </row>
    <row r="3" spans="1:12">
      <c r="A3" s="1"/>
      <c r="B3" s="81" t="s">
        <v>2</v>
      </c>
      <c r="C3" s="70"/>
      <c r="D3" s="69" t="s">
        <v>3</v>
      </c>
      <c r="E3" s="70"/>
      <c r="F3" s="70"/>
      <c r="G3" s="71"/>
      <c r="H3" s="1"/>
      <c r="I3" s="44"/>
      <c r="J3" s="45" t="s">
        <v>4</v>
      </c>
      <c r="K3" s="46" t="s">
        <v>5</v>
      </c>
    </row>
    <row r="4" spans="1:12">
      <c r="A4" s="1"/>
      <c r="B4" s="38" t="s">
        <v>6</v>
      </c>
      <c r="C4" s="39" t="s">
        <v>7</v>
      </c>
      <c r="D4" s="40" t="s">
        <v>8</v>
      </c>
      <c r="E4" s="41" t="s">
        <v>9</v>
      </c>
      <c r="F4" s="42" t="s">
        <v>10</v>
      </c>
      <c r="G4" s="43" t="s">
        <v>11</v>
      </c>
      <c r="H4" s="1"/>
      <c r="I4" s="47" t="s">
        <v>12</v>
      </c>
      <c r="J4" s="48">
        <v>1750000</v>
      </c>
      <c r="K4" s="49">
        <f>J4/20</f>
        <v>87500</v>
      </c>
      <c r="L4" s="1"/>
    </row>
    <row r="5" spans="1:12">
      <c r="A5" s="1"/>
      <c r="B5" s="67" t="s">
        <v>13</v>
      </c>
      <c r="C5" s="26" t="s">
        <v>14</v>
      </c>
      <c r="D5" s="20">
        <v>75000</v>
      </c>
      <c r="E5" s="52">
        <v>3</v>
      </c>
      <c r="F5" s="29" t="s">
        <v>5</v>
      </c>
      <c r="G5" s="21">
        <f>SUM(D5*E5)</f>
        <v>225000</v>
      </c>
      <c r="H5" s="1"/>
      <c r="I5" s="7" t="s">
        <v>15</v>
      </c>
      <c r="J5" s="50">
        <v>1500000</v>
      </c>
      <c r="K5" s="51">
        <f>J5/20</f>
        <v>75000</v>
      </c>
      <c r="L5" s="1"/>
    </row>
    <row r="6" spans="1:12">
      <c r="A6" s="1"/>
      <c r="B6" s="4"/>
      <c r="C6" s="3" t="s">
        <v>16</v>
      </c>
      <c r="D6" s="37">
        <v>75000</v>
      </c>
      <c r="E6" s="12">
        <v>4</v>
      </c>
      <c r="F6" s="10" t="s">
        <v>5</v>
      </c>
      <c r="G6" s="64">
        <f>SUM(D6*E6)</f>
        <v>300000</v>
      </c>
      <c r="H6" s="1"/>
      <c r="I6" s="1"/>
      <c r="J6" s="66"/>
      <c r="K6" s="66"/>
      <c r="L6" s="1"/>
    </row>
    <row r="7" spans="1:12">
      <c r="A7" s="1"/>
      <c r="B7" s="5" t="s">
        <v>17</v>
      </c>
      <c r="C7" s="26" t="s">
        <v>18</v>
      </c>
      <c r="D7" s="27">
        <v>75000</v>
      </c>
      <c r="E7" s="52">
        <v>3</v>
      </c>
      <c r="F7" s="29" t="s">
        <v>5</v>
      </c>
      <c r="G7" s="30">
        <f t="shared" ref="G7:G8" si="0">SUM(D7*E7)</f>
        <v>225000</v>
      </c>
      <c r="H7" s="1"/>
      <c r="L7" s="1"/>
    </row>
    <row r="8" spans="1:12">
      <c r="A8" s="1"/>
      <c r="B8" s="4"/>
      <c r="C8" s="54" t="s">
        <v>19</v>
      </c>
      <c r="D8" s="27">
        <v>75000</v>
      </c>
      <c r="E8" s="52">
        <v>4</v>
      </c>
      <c r="F8" s="29" t="s">
        <v>5</v>
      </c>
      <c r="G8" s="30">
        <f t="shared" si="0"/>
        <v>300000</v>
      </c>
      <c r="H8" s="1"/>
      <c r="L8" s="1"/>
    </row>
    <row r="9" spans="1:12">
      <c r="A9" s="1"/>
      <c r="B9" s="6" t="s">
        <v>20</v>
      </c>
      <c r="C9" s="55" t="s">
        <v>21</v>
      </c>
      <c r="D9" s="20">
        <v>75000</v>
      </c>
      <c r="E9" s="13">
        <v>3</v>
      </c>
      <c r="F9" s="9" t="s">
        <v>5</v>
      </c>
      <c r="G9" s="21">
        <f>SUM(D9*E9)</f>
        <v>225000</v>
      </c>
      <c r="H9" s="1"/>
    </row>
    <row r="10" spans="1:12">
      <c r="A10" s="1"/>
      <c r="B10" s="6"/>
      <c r="C10" s="56" t="s">
        <v>22</v>
      </c>
      <c r="D10" s="24">
        <v>75000</v>
      </c>
      <c r="E10" s="14">
        <v>6</v>
      </c>
      <c r="F10" s="15" t="s">
        <v>5</v>
      </c>
      <c r="G10" s="22">
        <f t="shared" ref="G10:G22" si="1">SUM(D10*E10)</f>
        <v>450000</v>
      </c>
      <c r="H10" s="1"/>
    </row>
    <row r="11" spans="1:12">
      <c r="A11" s="1"/>
      <c r="B11" s="6"/>
      <c r="C11" s="59" t="s">
        <v>23</v>
      </c>
      <c r="D11" s="36">
        <v>75000</v>
      </c>
      <c r="E11" s="16">
        <v>3</v>
      </c>
      <c r="F11" s="17" t="s">
        <v>5</v>
      </c>
      <c r="G11" s="60">
        <f t="shared" si="1"/>
        <v>225000</v>
      </c>
      <c r="H11" s="1"/>
    </row>
    <row r="12" spans="1:12" ht="16.5" customHeight="1">
      <c r="A12" s="1"/>
      <c r="B12" s="5" t="s">
        <v>24</v>
      </c>
      <c r="C12" s="61" t="s">
        <v>25</v>
      </c>
      <c r="D12" s="27">
        <v>75000</v>
      </c>
      <c r="E12" s="52">
        <v>2</v>
      </c>
      <c r="F12" s="29" t="s">
        <v>5</v>
      </c>
      <c r="G12" s="30">
        <f t="shared" si="1"/>
        <v>150000</v>
      </c>
      <c r="H12" s="1"/>
      <c r="L12" s="1"/>
    </row>
    <row r="13" spans="1:12">
      <c r="A13" s="1"/>
      <c r="B13" s="5" t="s">
        <v>26</v>
      </c>
      <c r="C13" s="55" t="s">
        <v>21</v>
      </c>
      <c r="D13" s="20">
        <v>75000</v>
      </c>
      <c r="E13" s="13">
        <v>3</v>
      </c>
      <c r="F13" s="9" t="s">
        <v>5</v>
      </c>
      <c r="G13" s="21">
        <f t="shared" si="1"/>
        <v>225000</v>
      </c>
      <c r="H13" s="1"/>
    </row>
    <row r="14" spans="1:12">
      <c r="A14" s="1"/>
      <c r="B14" s="6"/>
      <c r="C14" s="58" t="s">
        <v>27</v>
      </c>
      <c r="D14" s="24">
        <v>75000</v>
      </c>
      <c r="E14" s="14">
        <v>5</v>
      </c>
      <c r="F14" s="15" t="s">
        <v>5</v>
      </c>
      <c r="G14" s="22">
        <f t="shared" si="1"/>
        <v>375000</v>
      </c>
      <c r="H14" s="1"/>
    </row>
    <row r="15" spans="1:12">
      <c r="A15" s="1"/>
      <c r="B15" s="6"/>
      <c r="C15" s="57" t="s">
        <v>28</v>
      </c>
      <c r="D15" s="24">
        <v>75000</v>
      </c>
      <c r="E15" s="53">
        <v>5</v>
      </c>
      <c r="F15" s="15" t="s">
        <v>5</v>
      </c>
      <c r="G15" s="22">
        <f t="shared" si="1"/>
        <v>375000</v>
      </c>
      <c r="H15" s="1"/>
    </row>
    <row r="16" spans="1:12">
      <c r="A16" s="1"/>
      <c r="B16" s="4"/>
      <c r="C16" s="62" t="s">
        <v>23</v>
      </c>
      <c r="D16" s="36">
        <v>75000</v>
      </c>
      <c r="E16" s="16">
        <v>3</v>
      </c>
      <c r="F16" s="17" t="s">
        <v>5</v>
      </c>
      <c r="G16" s="22">
        <f t="shared" si="1"/>
        <v>225000</v>
      </c>
      <c r="H16" s="1"/>
    </row>
    <row r="17" spans="1:16">
      <c r="A17" s="1"/>
      <c r="B17" s="63" t="s">
        <v>29</v>
      </c>
      <c r="C17" s="2" t="s">
        <v>30</v>
      </c>
      <c r="D17" s="27">
        <v>75000</v>
      </c>
      <c r="E17" s="52">
        <v>2</v>
      </c>
      <c r="F17" s="9" t="s">
        <v>5</v>
      </c>
      <c r="G17" s="21">
        <f t="shared" si="1"/>
        <v>150000</v>
      </c>
      <c r="H17" s="1"/>
    </row>
    <row r="18" spans="1:16">
      <c r="A18" s="1"/>
      <c r="B18" s="65"/>
      <c r="C18" s="3" t="s">
        <v>31</v>
      </c>
      <c r="D18" s="37">
        <v>75000</v>
      </c>
      <c r="E18" s="12">
        <v>2</v>
      </c>
      <c r="F18" s="10" t="s">
        <v>5</v>
      </c>
      <c r="G18" s="64">
        <f t="shared" si="1"/>
        <v>150000</v>
      </c>
      <c r="H18" s="1"/>
    </row>
    <row r="19" spans="1:16">
      <c r="A19" s="1"/>
      <c r="B19" s="63" t="s">
        <v>32</v>
      </c>
      <c r="C19" s="26" t="s">
        <v>33</v>
      </c>
      <c r="D19" s="27">
        <v>75000</v>
      </c>
      <c r="E19" s="52">
        <v>2</v>
      </c>
      <c r="F19" s="29" t="s">
        <v>5</v>
      </c>
      <c r="G19" s="30">
        <f t="shared" si="1"/>
        <v>150000</v>
      </c>
      <c r="H19" s="1"/>
    </row>
    <row r="20" spans="1:16">
      <c r="A20" s="1"/>
      <c r="B20" s="65"/>
      <c r="C20" s="3" t="s">
        <v>34</v>
      </c>
      <c r="D20" s="37">
        <v>75000</v>
      </c>
      <c r="E20" s="12">
        <v>2</v>
      </c>
      <c r="F20" s="10" t="s">
        <v>5</v>
      </c>
      <c r="G20" s="64">
        <f t="shared" si="1"/>
        <v>150000</v>
      </c>
      <c r="H20" s="1"/>
    </row>
    <row r="21" spans="1:16" ht="16.5">
      <c r="A21" s="1"/>
      <c r="B21" s="68" t="s">
        <v>35</v>
      </c>
      <c r="C21" s="26" t="s">
        <v>36</v>
      </c>
      <c r="D21" s="27">
        <v>87500</v>
      </c>
      <c r="E21" s="28">
        <v>3</v>
      </c>
      <c r="F21" s="29" t="s">
        <v>5</v>
      </c>
      <c r="G21" s="30">
        <f t="shared" si="1"/>
        <v>262500</v>
      </c>
      <c r="H21" s="1"/>
    </row>
    <row r="22" spans="1:16">
      <c r="A22" s="1"/>
      <c r="B22" s="7" t="s">
        <v>37</v>
      </c>
      <c r="C22" s="8" t="s">
        <v>38</v>
      </c>
      <c r="D22" s="25">
        <v>87500</v>
      </c>
      <c r="E22" s="18">
        <v>3</v>
      </c>
      <c r="F22" s="11" t="s">
        <v>5</v>
      </c>
      <c r="G22" s="23">
        <f t="shared" si="1"/>
        <v>262500</v>
      </c>
      <c r="H22" s="1"/>
    </row>
    <row r="23" spans="1:16" ht="18.75">
      <c r="B23" s="1"/>
      <c r="C23" s="1"/>
      <c r="D23" s="1"/>
      <c r="E23" s="31">
        <f>SUM(E5:E22)</f>
        <v>58</v>
      </c>
      <c r="F23" s="32" t="s">
        <v>5</v>
      </c>
      <c r="G23" s="33">
        <f>SUM(G5:G22)</f>
        <v>4425000</v>
      </c>
      <c r="H23" s="35"/>
    </row>
    <row r="24" spans="1:16">
      <c r="B24" s="1"/>
      <c r="C24" s="1"/>
      <c r="D24" s="1"/>
      <c r="E24" s="1"/>
      <c r="F24" s="1"/>
      <c r="G24" s="1"/>
      <c r="H24" s="1"/>
      <c r="I24" s="1"/>
      <c r="J24" s="1"/>
    </row>
    <row r="25" spans="1:16">
      <c r="C25" s="34" t="s">
        <v>39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6" ht="15" customHeight="1">
      <c r="B26" s="1"/>
      <c r="C26" s="83" t="s">
        <v>41</v>
      </c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4"/>
      <c r="P26" s="1"/>
    </row>
    <row r="27" spans="1:16">
      <c r="B27" s="1"/>
      <c r="C27" s="75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7"/>
      <c r="P27" s="1"/>
    </row>
    <row r="28" spans="1:16">
      <c r="B28" s="1"/>
      <c r="C28" s="75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  <c r="P28" s="1"/>
    </row>
    <row r="29" spans="1:16">
      <c r="B29" s="1"/>
      <c r="C29" s="75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7"/>
      <c r="P29" s="1"/>
    </row>
    <row r="30" spans="1:16">
      <c r="B30" s="1"/>
      <c r="C30" s="75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7"/>
      <c r="P30" s="1"/>
    </row>
    <row r="31" spans="1:16">
      <c r="B31" s="1"/>
      <c r="C31" s="75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7"/>
      <c r="P31" s="1"/>
    </row>
    <row r="32" spans="1:16">
      <c r="B32" s="1"/>
      <c r="C32" s="75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7"/>
      <c r="P32" s="1"/>
    </row>
    <row r="33" spans="2:16">
      <c r="B33" s="1"/>
      <c r="C33" s="75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7"/>
      <c r="P33" s="1"/>
    </row>
    <row r="34" spans="2:16">
      <c r="B34" s="1"/>
      <c r="C34" s="75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7"/>
      <c r="P34" s="1"/>
    </row>
    <row r="35" spans="2:16">
      <c r="B35" s="1"/>
      <c r="C35" s="75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7"/>
      <c r="P35" s="1"/>
    </row>
    <row r="36" spans="2:16">
      <c r="B36" s="1"/>
      <c r="C36" s="75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7"/>
      <c r="P36" s="1"/>
    </row>
    <row r="37" spans="2:16">
      <c r="B37" s="1"/>
      <c r="C37" s="75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7"/>
      <c r="P37" s="1"/>
    </row>
    <row r="38" spans="2:16">
      <c r="B38" s="1"/>
      <c r="C38" s="75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7"/>
      <c r="P38" s="1"/>
    </row>
    <row r="39" spans="2:16">
      <c r="B39" s="1"/>
      <c r="C39" s="75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7"/>
      <c r="P39" s="1"/>
    </row>
    <row r="40" spans="2:16">
      <c r="B40" s="1"/>
      <c r="C40" s="75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7"/>
      <c r="P40" s="1"/>
    </row>
    <row r="41" spans="2:16">
      <c r="B41" s="1"/>
      <c r="C41" s="75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1"/>
    </row>
    <row r="42" spans="2:16">
      <c r="B42" s="1"/>
      <c r="C42" s="75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7"/>
      <c r="P42" s="1"/>
    </row>
    <row r="43" spans="2:16">
      <c r="B43" s="1"/>
      <c r="C43" s="75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1"/>
    </row>
    <row r="44" spans="2:16">
      <c r="B44" s="1"/>
      <c r="C44" s="75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1"/>
    </row>
    <row r="45" spans="2:16">
      <c r="B45" s="1"/>
      <c r="C45" s="78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80"/>
      <c r="P45" s="1"/>
    </row>
    <row r="46" spans="2:16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3">
    <mergeCell ref="B3:C3"/>
    <mergeCell ref="D3:G3"/>
    <mergeCell ref="C26:O45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37BE-3E4E-4A87-90BF-CA5798A0ACC7}">
  <dimension ref="A2:P46"/>
  <sheetViews>
    <sheetView showGridLines="0" topLeftCell="A5" workbookViewId="0">
      <selection activeCell="K21" sqref="K21"/>
    </sheetView>
  </sheetViews>
  <sheetFormatPr defaultRowHeight="15"/>
  <cols>
    <col min="1" max="1" width="6.28515625" customWidth="1"/>
    <col min="2" max="2" width="40.7109375" customWidth="1"/>
    <col min="3" max="3" width="41.7109375" customWidth="1"/>
    <col min="4" max="4" width="17.7109375" customWidth="1"/>
    <col min="5" max="5" width="15.85546875" customWidth="1"/>
    <col min="6" max="6" width="11.85546875" customWidth="1"/>
    <col min="7" max="7" width="27" customWidth="1"/>
    <col min="10" max="10" width="12.140625" customWidth="1"/>
    <col min="11" max="11" width="12.85546875" bestFit="1" customWidth="1"/>
  </cols>
  <sheetData>
    <row r="2" spans="1:12" ht="27" customHeight="1">
      <c r="B2" s="19" t="s">
        <v>0</v>
      </c>
      <c r="C2" s="1"/>
      <c r="D2" s="1"/>
      <c r="E2" s="1"/>
      <c r="F2" s="1"/>
      <c r="G2" s="1"/>
      <c r="I2" s="1" t="s">
        <v>1</v>
      </c>
      <c r="J2" s="1"/>
      <c r="K2" s="1"/>
    </row>
    <row r="3" spans="1:12">
      <c r="A3" s="1"/>
      <c r="B3" s="81" t="s">
        <v>2</v>
      </c>
      <c r="C3" s="70"/>
      <c r="D3" s="69" t="s">
        <v>3</v>
      </c>
      <c r="E3" s="70"/>
      <c r="F3" s="70"/>
      <c r="G3" s="71"/>
      <c r="H3" s="1"/>
      <c r="I3" s="44"/>
      <c r="J3" s="45" t="s">
        <v>4</v>
      </c>
      <c r="K3" s="46" t="s">
        <v>5</v>
      </c>
    </row>
    <row r="4" spans="1:12">
      <c r="A4" s="1"/>
      <c r="B4" s="38" t="s">
        <v>6</v>
      </c>
      <c r="C4" s="39" t="s">
        <v>7</v>
      </c>
      <c r="D4" s="40" t="s">
        <v>8</v>
      </c>
      <c r="E4" s="41" t="s">
        <v>9</v>
      </c>
      <c r="F4" s="42" t="s">
        <v>10</v>
      </c>
      <c r="G4" s="43" t="s">
        <v>11</v>
      </c>
      <c r="H4" s="1"/>
      <c r="I4" s="47" t="s">
        <v>12</v>
      </c>
      <c r="J4" s="48">
        <v>1750000</v>
      </c>
      <c r="K4" s="49">
        <f>J4/20</f>
        <v>87500</v>
      </c>
      <c r="L4" s="1"/>
    </row>
    <row r="5" spans="1:12">
      <c r="A5" s="1"/>
      <c r="B5" s="67" t="s">
        <v>13</v>
      </c>
      <c r="C5" s="26" t="s">
        <v>14</v>
      </c>
      <c r="D5" s="20">
        <v>75000</v>
      </c>
      <c r="E5" s="52">
        <v>2</v>
      </c>
      <c r="F5" s="29" t="s">
        <v>5</v>
      </c>
      <c r="G5" s="21">
        <f>SUM(D5*E5)</f>
        <v>150000</v>
      </c>
      <c r="H5" s="1"/>
      <c r="I5" s="7" t="s">
        <v>15</v>
      </c>
      <c r="J5" s="50">
        <v>1500000</v>
      </c>
      <c r="K5" s="51">
        <f>J5/20</f>
        <v>75000</v>
      </c>
      <c r="L5" s="1"/>
    </row>
    <row r="6" spans="1:12">
      <c r="A6" s="1"/>
      <c r="B6" s="4"/>
      <c r="C6" s="3" t="s">
        <v>16</v>
      </c>
      <c r="D6" s="37">
        <v>75000</v>
      </c>
      <c r="E6" s="12">
        <v>3</v>
      </c>
      <c r="F6" s="10" t="s">
        <v>5</v>
      </c>
      <c r="G6" s="64">
        <f>SUM(D6*E6)</f>
        <v>225000</v>
      </c>
      <c r="H6" s="1"/>
      <c r="I6" s="1"/>
      <c r="J6" s="66"/>
      <c r="K6" s="66"/>
      <c r="L6" s="1"/>
    </row>
    <row r="7" spans="1:12">
      <c r="A7" s="1"/>
      <c r="B7" s="5" t="s">
        <v>17</v>
      </c>
      <c r="C7" s="26" t="s">
        <v>18</v>
      </c>
      <c r="D7" s="27">
        <v>75000</v>
      </c>
      <c r="E7" s="52">
        <v>2</v>
      </c>
      <c r="F7" s="29" t="s">
        <v>5</v>
      </c>
      <c r="G7" s="30">
        <f t="shared" ref="G7:G8" si="0">SUM(D7*E7)</f>
        <v>150000</v>
      </c>
      <c r="H7" s="1"/>
      <c r="L7" s="1"/>
    </row>
    <row r="8" spans="1:12">
      <c r="A8" s="1"/>
      <c r="B8" s="4"/>
      <c r="C8" s="54" t="s">
        <v>19</v>
      </c>
      <c r="D8" s="27">
        <v>75000</v>
      </c>
      <c r="E8" s="52">
        <v>3</v>
      </c>
      <c r="F8" s="29" t="s">
        <v>5</v>
      </c>
      <c r="G8" s="30">
        <f t="shared" si="0"/>
        <v>225000</v>
      </c>
      <c r="H8" s="1"/>
      <c r="L8" s="1"/>
    </row>
    <row r="9" spans="1:12">
      <c r="A9" s="1"/>
      <c r="B9" s="6" t="s">
        <v>20</v>
      </c>
      <c r="C9" s="55" t="s">
        <v>21</v>
      </c>
      <c r="D9" s="20">
        <v>75000</v>
      </c>
      <c r="E9" s="13">
        <v>3</v>
      </c>
      <c r="F9" s="9" t="s">
        <v>5</v>
      </c>
      <c r="G9" s="21">
        <f>SUM(D9*E9)</f>
        <v>225000</v>
      </c>
      <c r="H9" s="1"/>
    </row>
    <row r="10" spans="1:12">
      <c r="A10" s="1"/>
      <c r="B10" s="6"/>
      <c r="C10" s="56" t="s">
        <v>22</v>
      </c>
      <c r="D10" s="24">
        <v>75000</v>
      </c>
      <c r="E10" s="14">
        <v>5</v>
      </c>
      <c r="F10" s="15" t="s">
        <v>5</v>
      </c>
      <c r="G10" s="22">
        <f t="shared" ref="G10:G22" si="1">SUM(D10*E10)</f>
        <v>375000</v>
      </c>
      <c r="H10" s="1"/>
    </row>
    <row r="11" spans="1:12">
      <c r="A11" s="1"/>
      <c r="B11" s="6"/>
      <c r="C11" s="59" t="s">
        <v>23</v>
      </c>
      <c r="D11" s="36">
        <v>75000</v>
      </c>
      <c r="E11" s="16">
        <v>2</v>
      </c>
      <c r="F11" s="17" t="s">
        <v>5</v>
      </c>
      <c r="G11" s="60">
        <f t="shared" si="1"/>
        <v>150000</v>
      </c>
      <c r="H11" s="1"/>
    </row>
    <row r="12" spans="1:12" ht="16.5" customHeight="1">
      <c r="A12" s="1"/>
      <c r="B12" s="5" t="s">
        <v>24</v>
      </c>
      <c r="C12" s="61" t="s">
        <v>25</v>
      </c>
      <c r="D12" s="27">
        <v>75000</v>
      </c>
      <c r="E12" s="52">
        <v>2</v>
      </c>
      <c r="F12" s="29" t="s">
        <v>5</v>
      </c>
      <c r="G12" s="30">
        <f t="shared" si="1"/>
        <v>150000</v>
      </c>
      <c r="H12" s="1"/>
      <c r="L12" s="1"/>
    </row>
    <row r="13" spans="1:12">
      <c r="A13" s="1"/>
      <c r="B13" s="5" t="s">
        <v>26</v>
      </c>
      <c r="C13" s="55" t="s">
        <v>21</v>
      </c>
      <c r="D13" s="20">
        <v>75000</v>
      </c>
      <c r="E13" s="13">
        <v>2</v>
      </c>
      <c r="F13" s="9" t="s">
        <v>5</v>
      </c>
      <c r="G13" s="21">
        <f t="shared" si="1"/>
        <v>150000</v>
      </c>
      <c r="H13" s="1"/>
    </row>
    <row r="14" spans="1:12">
      <c r="A14" s="1"/>
      <c r="B14" s="6"/>
      <c r="C14" s="58" t="s">
        <v>27</v>
      </c>
      <c r="D14" s="24">
        <v>75000</v>
      </c>
      <c r="E14" s="14">
        <v>4</v>
      </c>
      <c r="F14" s="15" t="s">
        <v>5</v>
      </c>
      <c r="G14" s="22">
        <f t="shared" si="1"/>
        <v>300000</v>
      </c>
      <c r="H14" s="1"/>
    </row>
    <row r="15" spans="1:12">
      <c r="A15" s="1"/>
      <c r="B15" s="6"/>
      <c r="C15" s="57" t="s">
        <v>28</v>
      </c>
      <c r="D15" s="24">
        <v>75000</v>
      </c>
      <c r="E15" s="53">
        <v>4</v>
      </c>
      <c r="F15" s="15" t="s">
        <v>5</v>
      </c>
      <c r="G15" s="22">
        <f t="shared" si="1"/>
        <v>300000</v>
      </c>
      <c r="H15" s="1"/>
    </row>
    <row r="16" spans="1:12">
      <c r="A16" s="1"/>
      <c r="B16" s="4"/>
      <c r="C16" s="62" t="s">
        <v>23</v>
      </c>
      <c r="D16" s="36">
        <v>75000</v>
      </c>
      <c r="E16" s="16">
        <v>2</v>
      </c>
      <c r="F16" s="17" t="s">
        <v>5</v>
      </c>
      <c r="G16" s="22">
        <f t="shared" si="1"/>
        <v>150000</v>
      </c>
      <c r="H16" s="1"/>
    </row>
    <row r="17" spans="1:16">
      <c r="A17" s="1"/>
      <c r="B17" s="63" t="s">
        <v>29</v>
      </c>
      <c r="C17" s="2" t="s">
        <v>30</v>
      </c>
      <c r="D17" s="27">
        <v>75000</v>
      </c>
      <c r="E17" s="52">
        <v>1</v>
      </c>
      <c r="F17" s="9" t="s">
        <v>5</v>
      </c>
      <c r="G17" s="21">
        <f t="shared" si="1"/>
        <v>75000</v>
      </c>
      <c r="H17" s="1"/>
    </row>
    <row r="18" spans="1:16">
      <c r="A18" s="1"/>
      <c r="B18" s="65"/>
      <c r="C18" s="3" t="s">
        <v>31</v>
      </c>
      <c r="D18" s="37">
        <v>75000</v>
      </c>
      <c r="E18" s="12">
        <v>2</v>
      </c>
      <c r="F18" s="10" t="s">
        <v>5</v>
      </c>
      <c r="G18" s="64">
        <f t="shared" si="1"/>
        <v>150000</v>
      </c>
      <c r="H18" s="1"/>
    </row>
    <row r="19" spans="1:16">
      <c r="A19" s="1"/>
      <c r="B19" s="63" t="s">
        <v>32</v>
      </c>
      <c r="C19" s="26" t="s">
        <v>33</v>
      </c>
      <c r="D19" s="27">
        <v>75000</v>
      </c>
      <c r="E19" s="52">
        <v>1</v>
      </c>
      <c r="F19" s="29" t="s">
        <v>5</v>
      </c>
      <c r="G19" s="30">
        <f t="shared" si="1"/>
        <v>75000</v>
      </c>
      <c r="H19" s="1"/>
    </row>
    <row r="20" spans="1:16">
      <c r="A20" s="1"/>
      <c r="B20" s="65"/>
      <c r="C20" s="3" t="s">
        <v>34</v>
      </c>
      <c r="D20" s="37">
        <v>75000</v>
      </c>
      <c r="E20" s="12">
        <v>2</v>
      </c>
      <c r="F20" s="10" t="s">
        <v>5</v>
      </c>
      <c r="G20" s="64">
        <f t="shared" si="1"/>
        <v>150000</v>
      </c>
      <c r="H20" s="1"/>
    </row>
    <row r="21" spans="1:16" ht="16.5">
      <c r="A21" s="1"/>
      <c r="B21" s="68" t="s">
        <v>35</v>
      </c>
      <c r="C21" s="26" t="s">
        <v>36</v>
      </c>
      <c r="D21" s="27">
        <v>87500</v>
      </c>
      <c r="E21" s="28">
        <v>2</v>
      </c>
      <c r="F21" s="29" t="s">
        <v>5</v>
      </c>
      <c r="G21" s="30">
        <f t="shared" si="1"/>
        <v>175000</v>
      </c>
      <c r="H21" s="1"/>
    </row>
    <row r="22" spans="1:16">
      <c r="A22" s="1"/>
      <c r="B22" s="7" t="s">
        <v>37</v>
      </c>
      <c r="C22" s="8" t="s">
        <v>38</v>
      </c>
      <c r="D22" s="25">
        <v>87500</v>
      </c>
      <c r="E22" s="18">
        <v>2</v>
      </c>
      <c r="F22" s="11" t="s">
        <v>5</v>
      </c>
      <c r="G22" s="23">
        <f t="shared" si="1"/>
        <v>175000</v>
      </c>
      <c r="H22" s="1"/>
    </row>
    <row r="23" spans="1:16" ht="18.75">
      <c r="B23" s="1"/>
      <c r="C23" s="1"/>
      <c r="D23" s="1"/>
      <c r="E23" s="31">
        <f>SUM(E5:E22)</f>
        <v>44</v>
      </c>
      <c r="F23" s="32" t="s">
        <v>5</v>
      </c>
      <c r="G23" s="33">
        <f>SUM(G5:G22)</f>
        <v>3350000</v>
      </c>
      <c r="H23" s="35"/>
    </row>
    <row r="24" spans="1:16">
      <c r="B24" s="1"/>
      <c r="C24" s="1"/>
      <c r="D24" s="1"/>
      <c r="E24" s="1"/>
      <c r="F24" s="1"/>
      <c r="G24" s="1"/>
      <c r="H24" s="1"/>
      <c r="I24" s="1"/>
      <c r="J24" s="1"/>
    </row>
    <row r="25" spans="1:16">
      <c r="C25" s="34" t="s">
        <v>39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6" ht="15" customHeight="1">
      <c r="B26" s="1"/>
      <c r="C26" s="82" t="s">
        <v>42</v>
      </c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4"/>
      <c r="P26" s="1"/>
    </row>
    <row r="27" spans="1:16">
      <c r="B27" s="1"/>
      <c r="C27" s="75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7"/>
      <c r="P27" s="1"/>
    </row>
    <row r="28" spans="1:16">
      <c r="B28" s="1"/>
      <c r="C28" s="75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  <c r="P28" s="1"/>
    </row>
    <row r="29" spans="1:16">
      <c r="B29" s="1"/>
      <c r="C29" s="75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7"/>
      <c r="P29" s="1"/>
    </row>
    <row r="30" spans="1:16">
      <c r="B30" s="1"/>
      <c r="C30" s="75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7"/>
      <c r="P30" s="1"/>
    </row>
    <row r="31" spans="1:16">
      <c r="B31" s="1"/>
      <c r="C31" s="75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7"/>
      <c r="P31" s="1"/>
    </row>
    <row r="32" spans="1:16">
      <c r="B32" s="1"/>
      <c r="C32" s="75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7"/>
      <c r="P32" s="1"/>
    </row>
    <row r="33" spans="2:16">
      <c r="B33" s="1"/>
      <c r="C33" s="75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7"/>
      <c r="P33" s="1"/>
    </row>
    <row r="34" spans="2:16">
      <c r="B34" s="1"/>
      <c r="C34" s="75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7"/>
      <c r="P34" s="1"/>
    </row>
    <row r="35" spans="2:16">
      <c r="B35" s="1"/>
      <c r="C35" s="75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7"/>
      <c r="P35" s="1"/>
    </row>
    <row r="36" spans="2:16">
      <c r="B36" s="1"/>
      <c r="C36" s="75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7"/>
      <c r="P36" s="1"/>
    </row>
    <row r="37" spans="2:16">
      <c r="B37" s="1"/>
      <c r="C37" s="75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7"/>
      <c r="P37" s="1"/>
    </row>
    <row r="38" spans="2:16">
      <c r="B38" s="1"/>
      <c r="C38" s="75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7"/>
      <c r="P38" s="1"/>
    </row>
    <row r="39" spans="2:16">
      <c r="B39" s="1"/>
      <c r="C39" s="75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7"/>
      <c r="P39" s="1"/>
    </row>
    <row r="40" spans="2:16">
      <c r="B40" s="1"/>
      <c r="C40" s="75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7"/>
      <c r="P40" s="1"/>
    </row>
    <row r="41" spans="2:16">
      <c r="B41" s="1"/>
      <c r="C41" s="75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1"/>
    </row>
    <row r="42" spans="2:16">
      <c r="B42" s="1"/>
      <c r="C42" s="75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7"/>
      <c r="P42" s="1"/>
    </row>
    <row r="43" spans="2:16">
      <c r="B43" s="1"/>
      <c r="C43" s="75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1"/>
    </row>
    <row r="44" spans="2:16">
      <c r="B44" s="1"/>
      <c r="C44" s="75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1"/>
    </row>
    <row r="45" spans="2:16">
      <c r="B45" s="1"/>
      <c r="C45" s="78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80"/>
      <c r="P45" s="1"/>
    </row>
    <row r="46" spans="2:16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3">
    <mergeCell ref="B3:C3"/>
    <mergeCell ref="D3:G3"/>
    <mergeCell ref="C26:O45"/>
  </mergeCells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8cc7__x6599__x8aac__x660e_ xmlns="879ce5c7-7ac0-470a-8fb0-80b8dfe33f1c" xsi:nil="true"/>
    <CONTENTS xmlns="879ce5c7-7ac0-470a-8fb0-80b8dfe33f1c" xsi:nil="true"/>
    <lcf76f155ced4ddcb4097134ff3c332f xmlns="879ce5c7-7ac0-470a-8fb0-80b8dfe33f1c">
      <Terms xmlns="http://schemas.microsoft.com/office/infopath/2007/PartnerControls"/>
    </lcf76f155ced4ddcb4097134ff3c332f>
    <TaxCatchAll xmlns="00dc9add-bb5d-4974-938e-6de906df225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23F1E4B07BBC341A8F6905F09A2526F" ma:contentTypeVersion="17" ma:contentTypeDescription="新しいドキュメントを作成します。" ma:contentTypeScope="" ma:versionID="1437aaece15ac943c27d84c7bd287707">
  <xsd:schema xmlns:xsd="http://www.w3.org/2001/XMLSchema" xmlns:xs="http://www.w3.org/2001/XMLSchema" xmlns:p="http://schemas.microsoft.com/office/2006/metadata/properties" xmlns:ns2="879ce5c7-7ac0-470a-8fb0-80b8dfe33f1c" xmlns:ns3="00dc9add-bb5d-4974-938e-6de906df2254" targetNamespace="http://schemas.microsoft.com/office/2006/metadata/properties" ma:root="true" ma:fieldsID="a41d73b5ccc80413fe00e27c354e6c45" ns2:_="" ns3:_="">
    <xsd:import namespace="879ce5c7-7ac0-470a-8fb0-80b8dfe33f1c"/>
    <xsd:import namespace="00dc9add-bb5d-4974-938e-6de906df22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CONTENTS" minOccurs="0"/>
                <xsd:element ref="ns2:_x8cc7__x6599__x8aac__x660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ce5c7-7ac0-470a-8fb0-80b8dfe33f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def91d17-8bee-472f-b8e3-30905430c6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NTENTS" ma:index="22" nillable="true" ma:displayName="CONTENTS" ma:format="Dropdown" ma:internalName="CONTENTS">
      <xsd:simpleType>
        <xsd:restriction base="dms:Text">
          <xsd:maxLength value="255"/>
        </xsd:restriction>
      </xsd:simpleType>
    </xsd:element>
    <xsd:element name="_x8cc7__x6599__x8aac__x660e_" ma:index="23" nillable="true" ma:displayName="資料説明" ma:format="Dropdown" ma:internalName="_x8cc7__x6599__x8aac__x660e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dc9add-bb5d-4974-938e-6de906df225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5f91764-4324-4dd1-9de8-4bb0ffe7790b}" ma:internalName="TaxCatchAll" ma:showField="CatchAllData" ma:web="00dc9add-bb5d-4974-938e-6de906df22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C78D29-AEA0-4087-BB43-789168F44837}"/>
</file>

<file path=customXml/itemProps2.xml><?xml version="1.0" encoding="utf-8"?>
<ds:datastoreItem xmlns:ds="http://schemas.openxmlformats.org/officeDocument/2006/customXml" ds:itemID="{BC575628-7ECE-4306-8941-D22ABDCEBDD0}"/>
</file>

<file path=customXml/itemProps3.xml><?xml version="1.0" encoding="utf-8"?>
<ds:datastoreItem xmlns:ds="http://schemas.openxmlformats.org/officeDocument/2006/customXml" ds:itemID="{7B048BCE-80CE-41CB-8F4A-37E70C71D8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飯塚　亘</cp:lastModifiedBy>
  <cp:revision/>
  <dcterms:created xsi:type="dcterms:W3CDTF">2026-03-26T09:13:12Z</dcterms:created>
  <dcterms:modified xsi:type="dcterms:W3CDTF">2026-07-24T05:40:21Z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0x010100D23F1E4B07BBC341A8F6905F09A2526F</vt:lpwstr>
  </property>
  <property fmtid="{D5CDD505-2E9C-101B-9397-08002B2CF9AE}" pid="3" name="MediaServiceImageTags">
    <vt:lpwstr/>
  </property>
</Properties>
</file>