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27f13a079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課題管理表" sheetId="1" r:id="R4ffb8a20c226416b"/>
    <x:sheet xmlns:r="http://schemas.openxmlformats.org/officeDocument/2006/relationships" name="課題サマリー" sheetId="2" r:id="R22f3d1864b47491d"/>
    <x:sheet xmlns:r="http://schemas.openxmlformats.org/officeDocument/2006/relationships" name="入力ルール・マスタ" sheetId="3" r:id="Rdd07a764ec8d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&quot;日&quot;"/>
  </x:numFmts>
  <x:fonts count="16">
    <x:font>
      <x:sz val="11"/>
      <x:name val="Carlito"/>
    </x:font>
    <x:font>
      <x:b/>
      <x:sz val="16"/>
      <x:color rgb="FFFFFFFF"/>
      <x:name val="Aptos"/>
    </x:font>
    <x:font>
      <x:i/>
      <x:sz val="10"/>
      <x:color rgb="FF1F1F1F"/>
      <x:name val="Aptos"/>
    </x:font>
    <x:font>
      <x:sz val="9"/>
      <x:color rgb="FF595959"/>
      <x:name val="Aptos"/>
    </x:font>
    <x:font>
      <x:b/>
      <x:sz val="9"/>
      <x:color rgb="FFFFFFFF"/>
      <x:name val="Aptos"/>
    </x:font>
    <x:font>
      <x:sz val="9"/>
      <x:color rgb="FF1F1F1F"/>
      <x:name val="Aptos"/>
    </x:font>
    <x:font>
      <x:b/>
      <x:sz val="12"/>
      <x:color rgb="FF1F4E78"/>
      <x:name val="Aptos"/>
    </x:font>
    <x:font>
      <x:b/>
      <x:sz val="12"/>
      <x:color rgb="FF7F6000"/>
      <x:name val="Aptos"/>
    </x:font>
    <x:font>
      <x:b/>
      <x:sz val="12"/>
      <x:color rgb="FF9C0006"/>
      <x:name val="Aptos"/>
    </x:font>
    <x:font>
      <x:b/>
      <x:sz val="12"/>
      <x:color rgb="FF595959"/>
      <x:name val="Aptos"/>
    </x:font>
    <x:font>
      <x:b/>
      <x:sz val="10"/>
      <x:color rgb="FFFFFFFF"/>
      <x:name val="Aptos"/>
    </x:font>
    <x:font>
      <x:b/>
      <x:sz val="9"/>
      <x:color rgb="FF1F1F1F"/>
      <x:name val="Aptos"/>
    </x:font>
    <x:font>
      <x:b/>
      <x:sz val="10"/>
      <x:color rgb="FF1F1F1F"/>
      <x:name val="Aptos"/>
    </x:font>
    <x:font>
      <x:b/>
      <x:sz val="10"/>
      <x:color rgb="FF9C5700"/>
      <x:name val="Aptos"/>
    </x:font>
    <x:font>
      <x:b/>
      <x:sz val="9"/>
      <x:color rgb="FF7F6000"/>
      <x:name val="Aptos"/>
    </x:font>
    <x:font>
      <x:b/>
      <x:sz val="9"/>
      <x:color rgb="FF9C5700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5B9BD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D7D31"/>
      </x:patternFill>
    </x:fill>
    <x:fill>
      <x:patternFill patternType="solid">
        <x:fgColor rgb="FFFCE4D6"/>
      </x:patternFill>
    </x:fill>
  </x:fills>
  <x:borders count="5">
    <x:border/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top"/>
    </x:xf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horizontal="center" vertical="top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center" vertical="top"/>
    </x:xf>
    <x:xf numFmtId="201" fontId="5" fillId="0" borderId="1" xfId="0" applyNumberFormat="1" applyFont="1" applyFill="1" applyBorder="1"/>
    <x:xf numFmtId="201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201" fontId="5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201" fontId="5" fillId="4" borderId="1" xfId="0" applyNumberFormat="1" applyFont="1" applyFill="1" applyBorder="1"/>
    <x:xf numFmtId="0" fontId="5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 vertical="center"/>
    </x:xf>
    <x:xf numFmtId="0" fontId="13" fillId="11" borderId="0" xfId="0" applyNumberFormat="1" applyFont="1" applyFill="1" applyBorder="1" applyAlignment="1">
      <x:alignment horizontal="left" vertical="center"/>
    </x:xf>
    <x:xf numFmtId="0" fontId="13" fillId="11" borderId="2" xfId="0" applyNumberFormat="1" applyFont="1" applyFill="1" applyBorder="1" applyAlignment="1">
      <x:alignment horizontal="left" vertical="center"/>
    </x:xf>
    <x:xf numFmtId="0" fontId="13" fillId="11" borderId="3" xfId="0" applyNumberFormat="1" applyFont="1" applyFill="1" applyBorder="1" applyAlignment="1">
      <x:alignment horizontal="left" vertical="center"/>
    </x:xf>
    <x:xf numFmtId="0" fontId="13" fillId="11" borderId="4" xfId="0" applyNumberFormat="1" applyFont="1" applyFill="1" applyBorder="1" applyAlignment="1">
      <x:alignment horizontal="left" vertical="center"/>
    </x:xf>
    <x:xf numFmtId="0" fontId="13" fillId="11" borderId="2" xfId="0" applyNumberFormat="1" applyFont="1" applyFill="1" applyBorder="1" applyAlignment="1">
      <x:alignment horizontal="left" vertical="center" wrapText="1"/>
    </x:xf>
    <x:xf numFmtId="0" fontId="13" fillId="11" borderId="3" xfId="0" applyNumberFormat="1" applyFont="1" applyFill="1" applyBorder="1" applyAlignment="1">
      <x:alignment horizontal="left" vertical="center" wrapText="1"/>
    </x:xf>
    <x:xf numFmtId="0" fontId="13" fillId="11" borderId="4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2" xfId="0" applyNumberFormat="1" applyFont="1" applyFill="1" applyBorder="1"/>
    <x:xf numFmtId="0" fontId="13" fillId="11" borderId="3" xfId="0" applyNumberFormat="1" applyFont="1" applyFill="1" applyBorder="1"/>
    <x:xf numFmtId="0" fontId="13" fillId="11" borderId="4" xfId="0" applyNumberFormat="1" applyFont="1" applyFill="1" applyBorder="1"/>
    <x:xf numFmtId="0" fontId="13" fillId="11" borderId="2" xfId="0" applyNumberFormat="1" applyFont="1" applyFill="1" applyBorder="1" applyAlignment="1">
      <x:alignment wrapText="1"/>
    </x:xf>
    <x:xf numFmtId="0" fontId="13" fillId="11" borderId="3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wrapText="1"/>
    </x:xf>
    <x:xf numFmtId="0" fontId="13" fillId="11" borderId="2" xfId="0" applyNumberFormat="1" applyFont="1" applyFill="1" applyBorder="1" applyAlignment="1">
      <x:alignment horizontal="left" wrapText="1"/>
    </x:xf>
    <x:xf numFmtId="0" fontId="13" fillId="11" borderId="3" xfId="0" applyNumberFormat="1" applyFont="1" applyFill="1" applyBorder="1" applyAlignment="1">
      <x:alignment horizontal="left" wrapText="1"/>
    </x:xf>
    <x:xf numFmtId="0" fontId="13" fillId="11" borderId="4" xfId="0" applyNumberFormat="1" applyFont="1" applyFill="1" applyBorder="1" applyAlignment="1">
      <x:alignment horizontal="left" wrapText="1"/>
    </x:xf>
    <x:xf numFmtId="0" fontId="5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/>
    <x:xf numFmtId="0" fontId="15" fillId="11" borderId="2" xfId="0" applyNumberFormat="1" applyFont="1" applyFill="1" applyBorder="1"/>
    <x:xf numFmtId="0" fontId="15" fillId="11" borderId="3" xfId="0" applyNumberFormat="1" applyFont="1" applyFill="1" applyBorder="1"/>
    <x:xf numFmtId="0" fontId="15" fillId="11" borderId="4" xfId="0" applyNumberFormat="1" applyFont="1" applyFill="1" applyBorder="1"/>
    <x:xf numFmtId="0" fontId="15" fillId="11" borderId="2" xfId="0" applyNumberFormat="1" applyFont="1" applyFill="1" applyBorder="1" applyAlignment="1">
      <x:alignment wrapText="1"/>
    </x:xf>
    <x:xf numFmtId="0" fontId="15" fillId="11" borderId="3" xfId="0" applyNumberFormat="1" applyFont="1" applyFill="1" applyBorder="1" applyAlignment="1">
      <x:alignment wrapText="1"/>
    </x:xf>
    <x:xf numFmtId="0" fontId="15" fillId="11" borderId="4" xfId="0" applyNumberFormat="1" applyFont="1" applyFill="1" applyBorder="1" applyAlignment="1">
      <x:alignment wrapText="1"/>
    </x:xf>
    <x:xf numFmtId="0" fontId="15" fillId="11" borderId="2" xfId="0" applyNumberFormat="1" applyFont="1" applyFill="1" applyBorder="1" applyAlignment="1">
      <x:alignment horizontal="left" wrapText="1"/>
    </x:xf>
    <x:xf numFmtId="0" fontId="15" fillId="11" borderId="3" xfId="0" applyNumberFormat="1" applyFont="1" applyFill="1" applyBorder="1" applyAlignment="1">
      <x:alignment horizontal="left" wrapText="1"/>
    </x:xf>
    <x:xf numFmtId="0" fontId="15" fillId="11" borderId="4" xfId="0" applyNumberFormat="1" applyFont="1" applyFill="1" applyBorder="1" applyAlignment="1">
      <x:alignment horizontal="left" wrapText="1"/>
    </x:xf>
    <x:xf numFmtId="0" fontId="15" fillId="11" borderId="2" xfId="0" applyNumberFormat="1" applyFont="1" applyFill="1" applyBorder="1" applyAlignment="1">
      <x:alignment horizontal="left" vertical="center" wrapText="1"/>
    </x:xf>
    <x:xf numFmtId="0" fontId="15" fillId="11" borderId="3" xfId="0" applyNumberFormat="1" applyFont="1" applyFill="1" applyBorder="1" applyAlignment="1">
      <x:alignment horizontal="left" vertical="center" wrapText="1"/>
    </x:xf>
    <x:xf numFmtId="0" fontId="15" fillId="11" borderId="4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horizontal="center"/>
    </x:xf>
    <x:xf numFmtId="0" fontId="15" fillId="13" borderId="0" xfId="0" applyNumberFormat="1" applyFont="1" applyFill="1" applyBorder="1" applyAlignment="1">
      <x:alignment horizontal="center" vertical="center"/>
    </x:xf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D9D9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c6644a8714279" /><Relationship Type="http://schemas.openxmlformats.org/officeDocument/2006/relationships/theme" Target="/xl/theme/theme1.xml" Id="Rfed028f5b84047ce" /><Relationship Type="http://schemas.openxmlformats.org/officeDocument/2006/relationships/sharedStrings" Target="/xl/sharedStrings.xml" Id="Rda2734acc57d4b65" /><Relationship Type="http://schemas.openxmlformats.org/officeDocument/2006/relationships/worksheet" Target="/xl/worksheets/sheet1.xml" Id="R4ffb8a20c226416b" /><Relationship Type="http://schemas.openxmlformats.org/officeDocument/2006/relationships/worksheet" Target="/xl/worksheets/sheet2.xml" Id="R22f3d1864b47491d" /><Relationship Type="http://schemas.openxmlformats.org/officeDocument/2006/relationships/worksheet" Target="/xl/worksheets/sheet3.xml" Id="Rdd07a764ec8d4983" /></Relationships>
</file>

<file path=xl/tables/table1.xml><?xml version="1.0" encoding="utf-8"?>
<x:table xmlns:x="http://schemas.openxmlformats.org/spreadsheetml/2006/main" id="1" name="IssueManagementTable" displayName="IssueManagementTable" ref="A5:X29" headerRowCount="1">
  <x:tableColumns count="24">
    <x:tableColumn id="1" name="管理ID"/>
    <x:tableColumn id="2" name="区分"/>
    <x:tableColumn id="3" name="優先度"/>
    <x:tableColumn id="4" name="ステータス"/>
    <x:tableColumn id="5" name="課題タイトル"/>
    <x:tableColumn id="6" name="課題・確認内容"/>
    <x:tableColumn id="7" name="プロジェクトへの影響"/>
    <x:tableColumn id="8" name="対応方針・次回アクション"/>
    <x:tableColumn id="9" name="関連WBS ID"/>
    <x:tableColumn id="10" name="関連工程"/>
    <x:tableColumn id="11" name="主担当チーム"/>
    <x:tableColumn id="12" name="主担当者"/>
    <x:tableColumn id="13" name="確認・依頼先"/>
    <x:tableColumn id="14" name="起票日"/>
    <x:tableColumn id="15" name="対応期限"/>
    <x:tableColumn id="16" name="残日数"/>
    <x:tableColumn id="17" name="期限判定"/>
    <x:tableColumn id="18" name="最終更新日"/>
    <x:tableColumn id="19" name="結論・対応結果"/>
    <x:tableColumn id="20" name="完了日"/>
    <x:tableColumn id="21" name="関連URL"/>
    <x:tableColumn id="22" name="統合前抽出ID"/>
    <x:tableColumn id="23" name="背景・原因"/>
    <x:tableColumn id="24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11d10d8574ff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36" hidden="0" customWidth="1"/>
    <x:col min="6" max="6" width="48" hidden="0" customWidth="1"/>
    <x:col min="7" max="7" width="44" hidden="0" customWidth="1"/>
    <x:col min="8" max="8" width="46" hidden="0" customWidth="1"/>
    <x:col min="9" max="9" width="27" hidden="0" customWidth="1"/>
    <x:col min="10" max="10" width="24" hidden="0" customWidth="1"/>
    <x:col min="11" max="11" width="18" hidden="0" customWidth="1"/>
    <x:col min="12" max="12" width="16" hidden="0" customWidth="1"/>
    <x:col min="13" max="13" width="22" hidden="0" customWidth="1"/>
    <x:col min="14" max="14" width="12" hidden="0" customWidth="1"/>
    <x:col min="15" max="15" width="12" hidden="0" customWidth="1"/>
    <x:col min="16" max="16" width="10" hidden="0" customWidth="1"/>
    <x:col min="17" max="17" width="13" hidden="0" customWidth="1"/>
    <x:col min="18" max="18" width="12" hidden="0" customWidth="1"/>
    <x:col min="19" max="19" width="48" hidden="0" customWidth="1"/>
    <x:col min="20" max="20" width="12" hidden="0" customWidth="1"/>
    <x:col min="21" max="21" width="25" hidden="0" customWidth="1"/>
    <x:col min="22" max="22" width="24" hidden="0" customWidth="1"/>
    <x:col min="23" max="23" width="40" hidden="0" customWidth="1"/>
    <x:col min="24" max="24" width="34" hidden="0" customWidth="1"/>
  </x:cols>
  <x:sheetData>
    <x:row r="1" ht="34" customHeight="1">
      <x:c r="A1" s="5" t="str">
        <x:v>Salesforceデータ連携 課題管理表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2" customHeight="1">
      <x:c r="A2" s="14" t="str">
        <x:v>WBSを基に抽出・統合した24件の初期案です。提出後に関係者確認・合意を行い、正式な管理項目、担当、期限、優先度を確定します。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</x:row>
    <x:row r="3" ht="48" customHeight="1">
      <x:c r="A3" s="146" t="str">
        <x:v>【提出時の重要注意】本表の24件は、作成済みWBSから抽出・整理した初期案です。各項目の妥当性・必要性は関係者への確認と合意が必要です。また、主担当チーム・主担当者・確認依頼先・優先度・対応期限は、現時点で情報が不足しているため未確定です。確認結果により、項目の追加・統合・削除・区分変更・担当変更を行う可能性があります。</x:v>
      </x:c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  <x:c r="Q3" s="147"/>
      <x:c r="R3" s="147"/>
      <x:c r="S3" s="147"/>
      <x:c r="T3" s="147"/>
      <x:c r="U3" s="147"/>
      <x:c r="V3" s="147"/>
      <x:c r="W3" s="147"/>
      <x:c r="X3" s="148"/>
    </x:row>
    <x:row r="5" ht="38" customHeight="1">
      <x:c r="A5" s="32" t="str">
        <x:v>管理ID</x:v>
      </x:c>
      <x:c r="B5" s="32" t="str">
        <x:v>区分</x:v>
      </x:c>
      <x:c r="C5" s="32" t="str">
        <x:v>優先度</x:v>
      </x:c>
      <x:c r="D5" s="32" t="str">
        <x:v>ステータス</x:v>
      </x:c>
      <x:c r="E5" s="32" t="str">
        <x:v>課題タイトル</x:v>
      </x:c>
      <x:c r="F5" s="32" t="str">
        <x:v>課題・確認内容</x:v>
      </x:c>
      <x:c r="G5" s="32" t="str">
        <x:v>プロジェクトへの影響</x:v>
      </x:c>
      <x:c r="H5" s="32" t="str">
        <x:v>対応方針・次回アクション</x:v>
      </x:c>
      <x:c r="I5" s="32" t="str">
        <x:v>関連WBS ID</x:v>
      </x:c>
      <x:c r="J5" s="32" t="str">
        <x:v>関連工程</x:v>
      </x:c>
      <x:c r="K5" s="32" t="str">
        <x:v>主担当チーム</x:v>
      </x:c>
      <x:c r="L5" s="32" t="str">
        <x:v>主担当者</x:v>
      </x:c>
      <x:c r="M5" s="32" t="str">
        <x:v>確認・依頼先</x:v>
      </x:c>
      <x:c r="N5" s="32" t="str">
        <x:v>起票日</x:v>
      </x:c>
      <x:c r="O5" s="32" t="str">
        <x:v>対応期限</x:v>
      </x:c>
      <x:c r="P5" s="32" t="str">
        <x:v>残日数</x:v>
      </x:c>
      <x:c r="Q5" s="32" t="str">
        <x:v>期限判定</x:v>
      </x:c>
      <x:c r="R5" s="32" t="str">
        <x:v>最終更新日</x:v>
      </x:c>
      <x:c r="S5" s="32" t="str">
        <x:v>結論・対応結果</x:v>
      </x:c>
      <x:c r="T5" s="32" t="str">
        <x:v>完了日</x:v>
      </x:c>
      <x:c r="U5" s="32" t="str">
        <x:v>関連URL</x:v>
      </x:c>
      <x:c r="V5" s="32" t="str">
        <x:v>統合前抽出ID</x:v>
      </x:c>
      <x:c r="W5" s="32" t="str">
        <x:v>背景・原因</x:v>
      </x:c>
      <x:c r="X5" s="32" t="str">
        <x:v>備考</x:v>
      </x:c>
    </x:row>
    <x:row r="6" ht="62" customHeight="1">
      <x:c r="A6" s="44" t="str">
        <x:v>SFDC-001</x:v>
      </x:c>
      <x:c r="B6" s="44" t="str">
        <x:v>依存事項</x:v>
      </x:c>
      <x:c r="C6" s="44" t="str">
        <x:v>未評価</x:v>
      </x:c>
      <x:c r="D6" s="44" t="str">
        <x:v>未着手</x:v>
      </x:c>
      <x:c r="E6" s="42" t="str">
        <x:v>Salesforce検証環境・接続情報の準備と接続確認</x:v>
      </x:c>
      <x:c r="F6" s="42" t="str">
        <x:v>Salesforce Sandbox、接続ユーザー、認証情報の準備状況と、NiFiから対象Objectへ接続・取得できるかを確認する必要がある。</x:v>
      </x:c>
      <x:c r="G6" s="42" t="str">
        <x:v>準備または接続確認が完了しない場合、Salesforceデータ調査、接続設定、開発、単体試験を開始できない。</x:v>
      </x:c>
      <x:c r="H6" s="42" t="str">
        <x:v>対象Sandbox、Org、接続ユーザー、認証方式、利用可能日、対象Objectの参照権限を確認し、NiFiからサンプル取得を実施する。</x:v>
      </x:c>
      <x:c r="I6" s="42" t="str">
        <x:v>EXT-01、EXT-03、CON-01～CON-04</x:v>
      </x:c>
      <x:c r="J6" s="46" t="str">
        <x:v>Salesforce接続設定</x:v>
      </x:c>
      <x:c r="K6" s="46"/>
      <x:c r="L6" s="46"/>
      <x:c r="M6" s="46"/>
      <x:c r="N6" s="48" t="n">
        <x:v>46237</x:v>
      </x:c>
      <x:c r="O6" s="48"/>
      <x:c r="P6" s="58" t="str">
        <x:f>IF($A6="","",IF(OR($D6="解決",$D6="取消"),"",IF($O6="","",$O6-TODAY())))</x:f>
      </x:c>
      <x:c r="Q6" s="59" t="str">
        <x:f>IF($A6="","",IF(OR($D6="解決",$D6="取消"),"完了",IF($O6="","期限未設定",IF($P6&lt;0,"期限超過",IF($P6=0,"本日期限",IF($P6&lt;=3,"期限接近","期限内"))))))</x:f>
        <x:v>期限未設定</x:v>
      </x:c>
      <x:c r="R6" s="48" t="n">
        <x:v>46237</x:v>
      </x:c>
      <x:c r="S6" s="42"/>
      <x:c r="T6" s="52"/>
      <x:c r="U6" s="42"/>
      <x:c r="V6" s="42" t="str">
        <x:v>EC-001、EC-003、EC-039</x:v>
      </x:c>
      <x:c r="W6" s="42" t="str">
        <x:v>検証環境への接続は後続の調査・開発・試験の着手条件だが、作成時点のWBSでは準備完了状況を確認できない。</x:v>
      </x:c>
      <x:c r="X6" s="42" t="str">
        <x:v>検証環境を対象とする。号口環境はSFDC-021で別管理。</x:v>
      </x:c>
    </x:row>
    <x:row r="7" ht="62" customHeight="1">
      <x:c r="A7" s="44" t="str">
        <x:v>SFDC-002</x:v>
      </x:c>
      <x:c r="B7" s="44" t="str">
        <x:v>依存事項</x:v>
      </x:c>
      <x:c r="C7" s="44" t="str">
        <x:v>未評価</x:v>
      </x:c>
      <x:c r="D7" s="44" t="str">
        <x:v>未着手</x:v>
      </x:c>
      <x:c r="E7" s="42" t="str">
        <x:v>TMCセキュリティ・個人情報要件の提示</x:v>
      </x:c>
      <x:c r="F7" s="42" t="str">
        <x:v>認証、権限、暗号化、個人情報、ログ、データ保持に関するTMC側の要件を設計前に確認する必要がある。</x:v>
      </x:c>
      <x:c r="G7" s="42" t="str">
        <x:v>要件が不明な場合、セキュリティ設計、ネットワーク設計、号口利用条件を確定できない。</x:v>
      </x:c>
      <x:c r="H7" s="42" t="str">
        <x:v>必要な要件項目を一覧化し、提示元、提示形式、提示期限を確認する。</x:v>
      </x:c>
      <x:c r="I7" s="42" t="str">
        <x:v>EXT-02、SEC-01～SEC-06</x:v>
      </x:c>
      <x:c r="J7" s="46" t="str">
        <x:v>セキュリティ設計</x:v>
      </x:c>
      <x:c r="K7" s="46"/>
      <x:c r="L7" s="46"/>
      <x:c r="M7" s="46"/>
      <x:c r="N7" s="48" t="n">
        <x:v>46237</x:v>
      </x:c>
      <x:c r="O7" s="48"/>
      <x:c r="P7" s="58" t="str">
        <x:f>IF($A7="","",IF(OR($D7="解決",$D7="取消"),"",IF($O7="","",$O7-TODAY())))</x:f>
      </x:c>
      <x:c r="Q7" s="59" t="str">
        <x:f>IF($A7="","",IF(OR($D7="解決",$D7="取消"),"完了",IF($O7="","期限未設定",IF($P7&lt;0,"期限超過",IF($P7=0,"本日期限",IF($P7&lt;=3,"期限接近","期限内"))))))</x:f>
        <x:v>期限未設定</x:v>
      </x:c>
      <x:c r="R7" s="48" t="n">
        <x:v>46237</x:v>
      </x:c>
      <x:c r="S7" s="42"/>
      <x:c r="T7" s="52"/>
      <x:c r="U7" s="42"/>
      <x:c r="V7" s="42" t="str">
        <x:v>EC-002</x:v>
      </x:c>
      <x:c r="W7" s="42" t="str">
        <x:v>TMC側から提示される条件は、開発チーム内部では決められない設計入力である。</x:v>
      </x:c>
      <x:c r="X7" s="42" t="str">
        <x:v>要件の未提示を断定していない。提示状況の確認から開始する。</x:v>
      </x:c>
    </x:row>
    <x:row r="8" ht="62" customHeight="1">
      <x:c r="A8" s="44" t="str">
        <x:v>SFDC-003</x:v>
      </x:c>
      <x:c r="B8" s="44" t="str">
        <x:v>決定事項候補</x:v>
      </x:c>
      <x:c r="C8" s="44" t="str">
        <x:v>未評価</x:v>
      </x:c>
      <x:c r="D8" s="44" t="str">
        <x:v>未着手</x:v>
      </x:c>
      <x:c r="E8" s="42" t="str">
        <x:v>対象販社・環境・Org・利用者の確定</x:v>
      </x:c>
      <x:c r="F8" s="42" t="str">
        <x:v>第一リリースで対象とする販社、検証・号口環境、Salesforce Org、データ利用者を正式に確定する必要がある。</x:v>
      </x:c>
      <x:c r="G8" s="42" t="str">
        <x:v>対象が変わる場合、権限、接続先、データ調査、開発、試験、見積工数、日程が変わる。</x:v>
      </x:c>
      <x:c r="H8" s="42" t="str">
        <x:v>販社・環境・Org・利用者の対応表を作成し、関係者の承認を得る。</x:v>
      </x:c>
      <x:c r="I8" s="42" t="str">
        <x:v>EXT-04、REQ-02</x:v>
      </x:c>
      <x:c r="J8" s="46" t="str">
        <x:v>要件定義</x:v>
      </x:c>
      <x:c r="K8" s="46"/>
      <x:c r="L8" s="46"/>
      <x:c r="M8" s="46"/>
      <x:c r="N8" s="48" t="n">
        <x:v>46237</x:v>
      </x:c>
      <x:c r="O8" s="48"/>
      <x:c r="P8" s="58" t="str">
        <x:f>IF($A8="","",IF(OR($D8="解決",$D8="取消"),"",IF($O8="","",$O8-TODAY())))</x:f>
      </x:c>
      <x:c r="Q8" s="59" t="str">
        <x:f>IF($A8="","",IF(OR($D8="解決",$D8="取消"),"完了",IF($O8="","期限未設定",IF($P8&lt;0,"期限超過",IF($P8=0,"本日期限",IF($P8&lt;=3,"期限接近","期限内"))))))</x:f>
        <x:v>期限未設定</x:v>
      </x:c>
      <x:c r="R8" s="48" t="n">
        <x:v>46237</x:v>
      </x:c>
      <x:c r="S8" s="42"/>
      <x:c r="T8" s="52"/>
      <x:c r="U8" s="42"/>
      <x:c r="V8" s="42" t="str">
        <x:v>EC-004、EC-014</x:v>
      </x:c>
      <x:c r="W8" s="42" t="str">
        <x:v>WBSは2販社・検証環境・号口環境を基準としているが、正式確定情報ではなく仮前提を含む。</x:v>
      </x:c>
      <x:c r="X8" s="42" t="str">
        <x:v>対象数が変わる場合はSFDC-009の工数・日程も再評価する。</x:v>
      </x:c>
    </x:row>
    <x:row r="9" ht="62" customHeight="1">
      <x:c r="A9" s="44" t="str">
        <x:v>SFDC-004</x:v>
      </x:c>
      <x:c r="B9" s="44" t="str">
        <x:v>決定事項候補</x:v>
      </x:c>
      <x:c r="C9" s="44" t="str">
        <x:v>未評価</x:v>
      </x:c>
      <x:c r="D9" s="44" t="str">
        <x:v>未着手</x:v>
      </x:c>
      <x:c r="E9" s="42" t="str">
        <x:v>業務ユースケースと第一リリース範囲の確定</x:v>
      </x:c>
      <x:c r="F9" s="42" t="str">
        <x:v>第一リリースで実現する利用目的、対象データ、対象外、条件付き作業、後続対応の境界を決める必要がある。</x:v>
      </x:c>
      <x:c r="G9" s="42" t="str">
        <x:v>範囲が曖昧な場合、必要データ、成果物、完了条件、見積対象について認識差が発生する。</x:v>
      </x:c>
      <x:c r="H9" s="42" t="str">
        <x:v>業務ユースケース、対象・対象外、条件付き、後続リリース事項を一覧化して合意する。</x:v>
      </x:c>
      <x:c r="I9" s="42" t="str">
        <x:v>REQ-01、REQ-04、PM-06</x:v>
      </x:c>
      <x:c r="J9" s="46" t="str">
        <x:v>要件定義</x:v>
      </x:c>
      <x:c r="K9" s="46"/>
      <x:c r="L9" s="46"/>
      <x:c r="M9" s="46"/>
      <x:c r="N9" s="48" t="n">
        <x:v>46237</x:v>
      </x:c>
      <x:c r="O9" s="48"/>
      <x:c r="P9" s="58" t="str">
        <x:f>IF($A9="","",IF(OR($D9="解決",$D9="取消"),"",IF($O9="","",$O9-TODAY())))</x:f>
      </x:c>
      <x:c r="Q9" s="59" t="str">
        <x:f>IF($A9="","",IF(OR($D9="解決",$D9="取消"),"完了",IF($O9="","期限未設定",IF($P9&lt;0,"期限超過",IF($P9=0,"本日期限",IF($P9&lt;=3,"期限接近","期限内"))))))</x:f>
        <x:v>期限未設定</x:v>
      </x:c>
      <x:c r="R9" s="48" t="n">
        <x:v>46237</x:v>
      </x:c>
      <x:c r="S9" s="42"/>
      <x:c r="T9" s="52"/>
      <x:c r="U9" s="42"/>
      <x:c r="V9" s="42" t="str">
        <x:v>EC-013、EC-016</x:v>
      </x:c>
      <x:c r="W9" s="42" t="str">
        <x:v>WBSには通常作業、条件付き作業、対象範囲確認、将来対応が混在している。</x:v>
      </x:c>
      <x:c r="X9" s="42" t="str">
        <x:v>追加範囲はSFDC-023、SFDC-024と連携して管理する。</x:v>
      </x:c>
    </x:row>
    <x:row r="10" ht="62" customHeight="1">
      <x:c r="A10" s="44" t="str">
        <x:v>SFDC-005</x:v>
      </x:c>
      <x:c r="B10" s="44" t="str">
        <x:v>決定事項候補</x:v>
      </x:c>
      <x:c r="C10" s="44" t="str">
        <x:v>未評価</x:v>
      </x:c>
      <x:c r="D10" s="44" t="str">
        <x:v>未着手</x:v>
      </x:c>
      <x:c r="E10" s="42" t="str">
        <x:v>E2E構成・連携方式・保存先・責務分界の決定</x:v>
      </x:c>
      <x:c r="F10" s="42" t="str">
        <x:v>Salesforceからデータ利用先までの構成、NiFi等の連携方式、保存先、保存形式、各システム・チームの責務を決める必要がある。</x:v>
      </x:c>
      <x:c r="G10" s="42" t="str">
        <x:v>未決定の場合、IF設計、テーブル設計、取得・保存開発、試験、障害時の対応主体を具体化できない。</x:v>
      </x:c>
      <x:c r="H10" s="42" t="str">
        <x:v>構成案と選択肢を整理し、採用方式、保存先、環境別構成、責務分界を承認する。</x:v>
      </x:c>
      <x:c r="I10" s="42" t="str">
        <x:v>EXT-05、ARC-01～ARC-02、DAT-01～DAT-03、DEV-02</x:v>
      </x:c>
      <x:c r="J10" s="46" t="str">
        <x:v>複数工程</x:v>
      </x:c>
      <x:c r="K10" s="46"/>
      <x:c r="L10" s="46"/>
      <x:c r="M10" s="46"/>
      <x:c r="N10" s="48" t="n">
        <x:v>46237</x:v>
      </x:c>
      <x:c r="O10" s="48"/>
      <x:c r="P10" s="58" t="str">
        <x:f>IF($A10="","",IF(OR($D10="解決",$D10="取消"),"",IF($O10="","",$O10-TODAY())))</x:f>
      </x:c>
      <x:c r="Q10" s="59" t="str">
        <x:f>IF($A10="","",IF(OR($D10="解決",$D10="取消"),"完了",IF($O10="","期限未設定",IF($P10&lt;0,"期限超過",IF($P10=0,"本日期限",IF($P10&lt;=3,"期限接近","期限内"))))))</x:f>
        <x:v>期限未設定</x:v>
      </x:c>
      <x:c r="R10" s="48" t="n">
        <x:v>46237</x:v>
      </x:c>
      <x:c r="S10" s="42"/>
      <x:c r="T10" s="52"/>
      <x:c r="U10" s="42"/>
      <x:c r="V10" s="42" t="str">
        <x:v>EC-005、EC-022、EC-037</x:v>
      </x:c>
      <x:c r="W10" s="42" t="str">
        <x:v>WBSの基準案はNiFiだが、保存先やデータ加工範囲には未確定部分がある。</x:v>
      </x:c>
      <x:c r="X10" s="42" t="str">
        <x:v>ADLS・Cloudera・Power BIの採否はSFDC-023と整合させる。</x:v>
      </x:c>
    </x:row>
    <x:row r="11" ht="62" customHeight="1">
      <x:c r="A11" s="44" t="str">
        <x:v>SFDC-006</x:v>
      </x:c>
      <x:c r="B11" s="44" t="str">
        <x:v>決定事項候補</x:v>
      </x:c>
      <x:c r="C11" s="44" t="str">
        <x:v>未評価</x:v>
      </x:c>
      <x:c r="D11" s="44" t="str">
        <x:v>未着手</x:v>
      </x:c>
      <x:c r="E11" s="42" t="str">
        <x:v>要件確定・開発着手判定基準の決定</x:v>
      </x:c>
      <x:c r="F11" s="42" t="str">
        <x:v>開発開始前に必要な成果物、未決事項の許容範囲、承認者、判定方法を決める必要がある。</x:v>
      </x:c>
      <x:c r="G11" s="42" t="str">
        <x:v>着手条件が曖昧な場合、未確定事項を残したまま開発へ進み、手戻りが発生する可能性がある。</x:v>
      </x:c>
      <x:c r="H11" s="42" t="str">
        <x:v>着手判定チェックリスト、判定日、承認者、条件付き承認時の残課題管理方法を定める。</x:v>
      </x:c>
      <x:c r="I11" s="42" t="str">
        <x:v>EXT-06、REQ-01～REQ-05</x:v>
      </x:c>
      <x:c r="J11" s="46" t="str">
        <x:v>外部依存・着手条件</x:v>
      </x:c>
      <x:c r="K11" s="46"/>
      <x:c r="L11" s="46"/>
      <x:c r="M11" s="46"/>
      <x:c r="N11" s="48" t="n">
        <x:v>46237</x:v>
      </x:c>
      <x:c r="O11" s="48"/>
      <x:c r="P11" s="58" t="str">
        <x:f>IF($A11="","",IF(OR($D11="解決",$D11="取消"),"",IF($O11="","",$O11-TODAY())))</x:f>
      </x:c>
      <x:c r="Q11" s="59" t="str">
        <x:f>IF($A11="","",IF(OR($D11="解決",$D11="取消"),"完了",IF($O11="","期限未設定",IF($P11&lt;0,"期限超過",IF($P11=0,"本日期限",IF($P11&lt;=3,"期限接近","期限内"))))))</x:f>
        <x:v>期限未設定</x:v>
      </x:c>
      <x:c r="R11" s="48" t="n">
        <x:v>46237</x:v>
      </x:c>
      <x:c r="S11" s="42"/>
      <x:c r="T11" s="52"/>
      <x:c r="U11" s="42"/>
      <x:c r="V11" s="42" t="str">
        <x:v>EC-006</x:v>
      </x:c>
      <x:c r="W11" s="42" t="str">
        <x:v>WBSでは要件確定後に開発へ進む構成だが、判定基準は未設定である。</x:v>
      </x:c>
      <x:c r="X11" s="42" t="str">
        <x:v>マイルストーンM1に対応する管理項目。</x:v>
      </x:c>
    </x:row>
    <x:row r="12" ht="62" customHeight="1">
      <x:c r="A12" s="44" t="str">
        <x:v>SFDC-007</x:v>
      </x:c>
      <x:c r="B12" s="44" t="str">
        <x:v>課題</x:v>
      </x:c>
      <x:c r="C12" s="44" t="str">
        <x:v>未評価</x:v>
      </x:c>
      <x:c r="D12" s="44" t="str">
        <x:v>未着手</x:v>
      </x:c>
      <x:c r="E12" s="42" t="str">
        <x:v>WBSタスクの主担当チーム・担当者の設定</x:v>
      </x:c>
      <x:c r="F12" s="42" t="str">
        <x:v>実施対象タスクの多くで、主担当チームまたは主担当者が設定されていない。</x:v>
      </x:c>
      <x:c r="G12" s="42" t="str">
        <x:v>作業依頼先、進捗確認先、完了責任が不明確となり、予定日に作業を開始できない可能性がある。</x:v>
      </x:c>
      <x:c r="H12" s="42" t="str">
        <x:v>実施対象タスクごとに主担当チーム、主担当者、必要に応じレビュー担当を割り当てる。</x:v>
      </x:c>
      <x:c r="I12" s="42" t="str">
        <x:v>WBS全体（I列・J列）</x:v>
      </x:c>
      <x:c r="J12" s="46" t="str">
        <x:v>プロジェクト管理</x:v>
      </x:c>
      <x:c r="K12" s="46"/>
      <x:c r="L12" s="46"/>
      <x:c r="M12" s="46"/>
      <x:c r="N12" s="48" t="n">
        <x:v>46237</x:v>
      </x:c>
      <x:c r="O12" s="48"/>
      <x:c r="P12" s="58" t="str">
        <x:f>IF($A12="","",IF(OR($D12="解決",$D12="取消"),"",IF($O12="","",$O12-TODAY())))</x:f>
      </x:c>
      <x:c r="Q12" s="59" t="str">
        <x:f>IF($A12="","",IF(OR($D12="解決",$D12="取消"),"完了",IF($O12="","期限未設定",IF($P12&lt;0,"期限超過",IF($P12=0,"本日期限",IF($P12&lt;=3,"期限接近","期限内"))))))</x:f>
        <x:v>期限未設定</x:v>
      </x:c>
      <x:c r="R12" s="48" t="n">
        <x:v>46237</x:v>
      </x:c>
      <x:c r="S12" s="42"/>
      <x:c r="T12" s="52"/>
      <x:c r="U12" s="42"/>
      <x:c r="V12" s="42" t="str">
        <x:v>EC-007、EC-008</x:v>
      </x:c>
      <x:c r="W12" s="42" t="str">
        <x:v>根拠のない担当割当を避けるため、WBS作成時は未確定の担当情報を空欄としている。</x:v>
      </x:c>
      <x:c r="X12" s="42" t="str">
        <x:v>担当者の負荷確認はSFDC-009と併せて実施する。</x:v>
      </x:c>
    </x:row>
    <x:row r="13" ht="62" customHeight="1">
      <x:c r="A13" s="44" t="str">
        <x:v>SFDC-008</x:v>
      </x:c>
      <x:c r="B13" s="44" t="str">
        <x:v>課題</x:v>
      </x:c>
      <x:c r="C13" s="44" t="str">
        <x:v>未評価</x:v>
      </x:c>
      <x:c r="D13" s="44" t="str">
        <x:v>未着手</x:v>
      </x:c>
      <x:c r="E13" s="42" t="str">
        <x:v>WBS・作業チケット・閲覧用シートの管理方法</x:v>
      </x:c>
      <x:c r="F13" s="42" t="str">
        <x:v>正式な管理元、作業チケットの作成単位、関連URL、閲覧用シートの更新方法を統一する必要がある。</x:v>
      </x:c>
      <x:c r="G13" s="42" t="str">
        <x:v>資料ごとに内容が異なる、作業証跡を追跡できない、会議で古い情報を参照する可能性がある。</x:v>
      </x:c>
      <x:c r="H13" s="42" t="str">
        <x:v>正式管理元、更新担当、更新タイミング、チケット単位、成果物・Evidenceの保存場所を決める。</x:v>
      </x:c>
      <x:c r="I13" s="42" t="str">
        <x:v>PM-01、PM-04、WBS全体（K列）</x:v>
      </x:c>
      <x:c r="J13" s="46" t="str">
        <x:v>プロジェクト管理</x:v>
      </x:c>
      <x:c r="K13" s="46"/>
      <x:c r="L13" s="46"/>
      <x:c r="M13" s="46"/>
      <x:c r="N13" s="48" t="n">
        <x:v>46237</x:v>
      </x:c>
      <x:c r="O13" s="48"/>
      <x:c r="P13" s="58" t="str">
        <x:f>IF($A13="","",IF(OR($D13="解決",$D13="取消"),"",IF($O13="","",$O13-TODAY())))</x:f>
      </x:c>
      <x:c r="Q13" s="59" t="str">
        <x:f>IF($A13="","",IF(OR($D13="解決",$D13="取消"),"完了",IF($O13="","期限未設定",IF($P13&lt;0,"期限超過",IF($P13=0,"本日期限",IF($P13&lt;=3,"期限接近","期限内"))))))</x:f>
        <x:v>期限未設定</x:v>
      </x:c>
      <x:c r="R13" s="48" t="n">
        <x:v>46237</x:v>
      </x:c>
      <x:c r="S13" s="42"/>
      <x:c r="T13" s="52"/>
      <x:c r="U13" s="42"/>
      <x:c r="V13" s="42" t="str">
        <x:v>EC-009、EC-012</x:v>
      </x:c>
      <x:c r="W13" s="42" t="str">
        <x:v>WBS_閲覧用は見やすさを優先したシートであり、WBS_テンプレと完全自動同期ではない。</x:v>
      </x:c>
      <x:c r="X13" s="42" t="str">
        <x:v>決定後、WBS利用ガイドへ運用ルールを反映する。</x:v>
      </x:c>
    </x:row>
    <x:row r="14" ht="62" customHeight="1">
      <x:c r="A14" s="44" t="str">
        <x:v>SFDC-009</x:v>
      </x:c>
      <x:c r="B14" s="44" t="str">
        <x:v>課題</x:v>
      </x:c>
      <x:c r="C14" s="44" t="str">
        <x:v>未評価</x:v>
      </x:c>
      <x:c r="D14" s="44" t="str">
        <x:v>未着手</x:v>
      </x:c>
      <x:c r="E14" s="42" t="str">
        <x:v>見積工数配賦と正式スケジュールの確定</x:v>
      </x:c>
      <x:c r="F14" s="42" t="str">
        <x:v>精緻化見積69人日を小項目・担当者へ配賦し、実行可能な正式日程を確定する必要がある。</x:v>
      </x:c>
      <x:c r="G14" s="42" t="str">
        <x:v>負荷集中、工数超過、並行実施できない作業の重複、仮日程との乖離を事前に確認できない。</x:v>
      </x:c>
      <x:c r="H14" s="42" t="str">
        <x:v>対象範囲と担当体制を確定後、工程別69人日を小項目へ配賦し、依存関係を踏まえて日程を再計画する。</x:v>
      </x:c>
      <x:c r="I14" s="42" t="str">
        <x:v>PM-01、実施対象タスク全般</x:v>
      </x:c>
      <x:c r="J14" s="46" t="str">
        <x:v>プロジェクト管理</x:v>
      </x:c>
      <x:c r="K14" s="46"/>
      <x:c r="L14" s="46"/>
      <x:c r="M14" s="46"/>
      <x:c r="N14" s="48" t="n">
        <x:v>46237</x:v>
      </x:c>
      <x:c r="O14" s="48"/>
      <x:c r="P14" s="58" t="str">
        <x:f>IF($A14="","",IF(OR($D14="解決",$D14="取消"),"",IF($O14="","",$O14-TODAY())))</x:f>
      </x:c>
      <x:c r="Q14" s="59" t="str">
        <x:f>IF($A14="","",IF(OR($D14="解決",$D14="取消"),"完了",IF($O14="","期限未設定",IF($P14&lt;0,"期限超過",IF($P14=0,"本日期限",IF($P14&lt;=3,"期限接近","期限内"))))))</x:f>
        <x:v>期限未設定</x:v>
      </x:c>
      <x:c r="R14" s="48" t="n">
        <x:v>46237</x:v>
      </x:c>
      <x:c r="S14" s="42"/>
      <x:c r="T14" s="52"/>
      <x:c r="U14" s="42"/>
      <x:c r="V14" s="42" t="str">
        <x:v>EC-010、EC-011</x:v>
      </x:c>
      <x:c r="W14" s="42" t="str">
        <x:v>WBSの日程は2026年8月3日から10月16日までの仮計画で、小項目別工数は未配賦である。</x:v>
      </x:c>
      <x:c r="X14" s="42" t="str">
        <x:v>51.5人日、57.5人日、69人日は対象範囲が異なるため合算しない。</x:v>
      </x:c>
    </x:row>
    <x:row r="15" ht="62" customHeight="1">
      <x:c r="A15" s="44" t="str">
        <x:v>SFDC-010</x:v>
      </x:c>
      <x:c r="B15" s="44" t="str">
        <x:v>決定事項候補</x:v>
      </x:c>
      <x:c r="C15" s="44" t="str">
        <x:v>未評価</x:v>
      </x:c>
      <x:c r="D15" s="44" t="str">
        <x:v>未着手</x:v>
      </x:c>
      <x:c r="E15" s="42" t="str">
        <x:v>データ鮮度・更新頻度・保持期間・処理時間目標の決定</x:v>
      </x:c>
      <x:c r="F15" s="42" t="str">
        <x:v>連携頻度、実行時刻、反映期限、許容遅延、保持期間、E2E処理時間の目標を決める必要がある。</x:v>
      </x:c>
      <x:c r="G15" s="42" t="str">
        <x:v>目標がない場合、処理方式、監視条件、容量、テスト合否を決められない。</x:v>
      </x:c>
      <x:c r="H15" s="42" t="str">
        <x:v>業務利用時刻と運用条件を確認し、測定可能な非機能目標として文書化する。</x:v>
      </x:c>
      <x:c r="I15" s="42" t="str">
        <x:v>REQ-03、ARC-04、IT-05</x:v>
      </x:c>
      <x:c r="J15" s="46" t="str">
        <x:v>全体・非機能設計</x:v>
      </x:c>
      <x:c r="K15" s="46"/>
      <x:c r="L15" s="46"/>
      <x:c r="M15" s="46"/>
      <x:c r="N15" s="48" t="n">
        <x:v>46237</x:v>
      </x:c>
      <x:c r="O15" s="48"/>
      <x:c r="P15" s="58" t="str">
        <x:f>IF($A15="","",IF(OR($D15="解決",$D15="取消"),"",IF($O15="","",$O15-TODAY())))</x:f>
      </x:c>
      <x:c r="Q15" s="59" t="str">
        <x:f>IF($A15="","",IF(OR($D15="解決",$D15="取消"),"完了",IF($O15="","期限未設定",IF($P15&lt;0,"期限超過",IF($P15=0,"本日期限",IF($P15&lt;=3,"期限接近","期限内"))))))</x:f>
        <x:v>期限未設定</x:v>
      </x:c>
      <x:c r="R15" s="48" t="n">
        <x:v>46237</x:v>
      </x:c>
      <x:c r="S15" s="42"/>
      <x:c r="T15" s="52"/>
      <x:c r="U15" s="42"/>
      <x:c r="V15" s="42" t="str">
        <x:v>EC-015、EC-024</x:v>
      </x:c>
      <x:c r="W15" s="42" t="str">
        <x:v>WBSでは鮮度・頻度・保持期間・処理時間を設計・試験するが、具体値は未設定である。</x:v>
      </x:c>
      <x:c r="X15" s="42" t="str">
        <x:v>テスト合否基準はSFDC-020へ反映する。</x:v>
      </x:c>
    </x:row>
    <x:row r="16" ht="62" customHeight="1">
      <x:c r="A16" s="44" t="str">
        <x:v>SFDC-011</x:v>
      </x:c>
      <x:c r="B16" s="44" t="str">
        <x:v>確認事項</x:v>
      </x:c>
      <x:c r="C16" s="44" t="str">
        <x:v>未評価</x:v>
      </x:c>
      <x:c r="D16" s="44" t="str">
        <x:v>未着手</x:v>
      </x:c>
      <x:c r="E16" s="42" t="str">
        <x:v>対象データ構造・件数・更新特性・API制約の調査</x:v>
      </x:c>
      <x:c r="F16" s="42" t="str">
        <x:v>対象Object・Field、キー・参照関係、件数、増加量、更新頻度、API上限、ページングを調査する必要がある。</x:v>
      </x:c>
      <x:c r="G16" s="42" t="str">
        <x:v>取得方式、共通化、処理時間、保存容量、開発・試験工数の妥当性を判断できない。</x:v>
      </x:c>
      <x:c r="H16" s="42" t="str">
        <x:v>2販社のObject・Field・データ量・API条件を同一フォーマットで調査し、差異を一覧化する。</x:v>
      </x:c>
      <x:c r="I16" s="42" t="str">
        <x:v>SFD-01～SFD-03、IF-02</x:v>
      </x:c>
      <x:c r="J16" s="46" t="str">
        <x:v>Salesforceデータ調査</x:v>
      </x:c>
      <x:c r="K16" s="46"/>
      <x:c r="L16" s="46"/>
      <x:c r="M16" s="46"/>
      <x:c r="N16" s="48" t="n">
        <x:v>46237</x:v>
      </x:c>
      <x:c r="O16" s="48"/>
      <x:c r="P16" s="58" t="str">
        <x:f>IF($A16="","",IF(OR($D16="解決",$D16="取消"),"",IF($O16="","",$O16-TODAY())))</x:f>
      </x:c>
      <x:c r="Q16" s="59" t="str">
        <x:f>IF($A16="","",IF(OR($D16="解決",$D16="取消"),"完了",IF($O16="","期限未設定",IF($P16&lt;0,"期限超過",IF($P16=0,"本日期限",IF($P16&lt;=3,"期限接近","期限内"))))))</x:f>
        <x:v>期限未設定</x:v>
      </x:c>
      <x:c r="R16" s="48" t="n">
        <x:v>46237</x:v>
      </x:c>
      <x:c r="S16" s="42"/>
      <x:c r="T16" s="52"/>
      <x:c r="U16" s="42"/>
      <x:c r="V16" s="42" t="str">
        <x:v>EC-017、EC-018、EC-019、EC-033</x:v>
      </x:c>
      <x:c r="W16" s="42" t="str">
        <x:v>取得方式や見積の精度は、Salesforceデータの実際の構造・量・更新特性に依存する。</x:v>
      </x:c>
      <x:c r="X16" s="42" t="str">
        <x:v>調査結果はSFDC-012、SFDC-014、SFDC-019の判断材料となる。</x:v>
      </x:c>
    </x:row>
    <x:row r="17" ht="62" customHeight="1">
      <x:c r="A17" s="44" t="str">
        <x:v>SFDC-012</x:v>
      </x:c>
      <x:c r="B17" s="44" t="str">
        <x:v>決定事項候補</x:v>
      </x:c>
      <x:c r="C17" s="44" t="str">
        <x:v>未評価</x:v>
      </x:c>
      <x:c r="D17" s="44" t="str">
        <x:v>未着手</x:v>
      </x:c>
      <x:c r="E17" s="42" t="str">
        <x:v>Full／Incremental・Watermark・Overlap方式の決定</x:v>
      </x:c>
      <x:c r="F17" s="42" t="str">
        <x:v>Objectごとの全件・差分取得、初回Full Load、増分項目、Watermark更新条件、Overlap期間を決める必要がある。</x:v>
      </x:c>
      <x:c r="G17" s="42" t="str">
        <x:v>方式が不適切な場合、データの取りこぼし、重複、API制限超過、処理時間増加につながる。</x:v>
      </x:c>
      <x:c r="H17" s="42" t="str">
        <x:v>SFDC-011の調査結果を基に、Object別取得方式と異常終了時のWatermark・再取得ルールを決める。</x:v>
      </x:c>
      <x:c r="I17" s="42" t="str">
        <x:v>SFD-04、IF-01～IF-03、OPT-01～OPT-06</x:v>
      </x:c>
      <x:c r="J17" s="46" t="str">
        <x:v>データ連携・IF設計</x:v>
      </x:c>
      <x:c r="K17" s="46"/>
      <x:c r="L17" s="46"/>
      <x:c r="M17" s="46"/>
      <x:c r="N17" s="48" t="n">
        <x:v>46237</x:v>
      </x:c>
      <x:c r="O17" s="48"/>
      <x:c r="P17" s="58" t="str">
        <x:f>IF($A17="","",IF(OR($D17="解決",$D17="取消"),"",IF($O17="","",$O17-TODAY())))</x:f>
      </x:c>
      <x:c r="Q17" s="59" t="str">
        <x:f>IF($A17="","",IF(OR($D17="解決",$D17="取消"),"完了",IF($O17="","期限未設定",IF($P17&lt;0,"期限超過",IF($P17=0,"本日期限",IF($P17&lt;=3,"期限接近","期限内"))))))</x:f>
        <x:v>期限未設定</x:v>
      </x:c>
      <x:c r="R17" s="48" t="n">
        <x:v>46237</x:v>
      </x:c>
      <x:c r="S17" s="42"/>
      <x:c r="T17" s="52"/>
      <x:c r="U17" s="42"/>
      <x:c r="V17" s="42" t="str">
        <x:v>EC-020、EC-032、EC-048</x:v>
      </x:c>
      <x:c r="W17" s="42" t="str">
        <x:v>WBSでは差分・Watermark関連を条件付き作業として分離しており、採用可否が未決定である。</x:v>
      </x:c>
      <x:c r="X17" s="42" t="str">
        <x:v>削除データはSFDC-013で別管理する。</x:v>
      </x:c>
    </x:row>
    <x:row r="18" ht="62" customHeight="1">
      <x:c r="A18" s="44" t="str">
        <x:v>SFDC-013</x:v>
      </x:c>
      <x:c r="B18" s="44" t="str">
        <x:v>決定事項候補</x:v>
      </x:c>
      <x:c r="C18" s="44" t="str">
        <x:v>未評価</x:v>
      </x:c>
      <x:c r="D18" s="44" t="str">
        <x:v>未着手</x:v>
      </x:c>
      <x:c r="E18" s="42" t="str">
        <x:v>削除データ・個人情報・機密項目の取扱方針</x:v>
      </x:c>
      <x:c r="F18" s="42" t="str">
        <x:v>削除データを連携対象とするか、個人情報・機密項目をどのように取得・保存・制御するかを決める必要がある。</x:v>
      </x:c>
      <x:c r="G18" s="42" t="str">
        <x:v>削除未反映、不要データ保持、過剰権限、機密情報の不適切な利用につながる可能性がある。</x:v>
      </x:c>
      <x:c r="H18" s="42" t="str">
        <x:v>対象項目と削除要件を確認し、取得方法、保存先表現、権限、保持・廃棄、マスキング要否を決める。</x:v>
      </x:c>
      <x:c r="I18" s="42" t="str">
        <x:v>SFD-05、SEC-04、OPT-07～OPT-09</x:v>
      </x:c>
      <x:c r="J18" s="46" t="str">
        <x:v>セキュリティ設計</x:v>
      </x:c>
      <x:c r="K18" s="46"/>
      <x:c r="L18" s="46"/>
      <x:c r="M18" s="46"/>
      <x:c r="N18" s="48" t="n">
        <x:v>46237</x:v>
      </x:c>
      <x:c r="O18" s="48"/>
      <x:c r="P18" s="58" t="str">
        <x:f>IF($A18="","",IF(OR($D18="解決",$D18="取消"),"",IF($O18="","",$O18-TODAY())))</x:f>
      </x:c>
      <x:c r="Q18" s="59" t="str">
        <x:f>IF($A18="","",IF(OR($D18="解決",$D18="取消"),"完了",IF($O18="","期限未設定",IF($P18&lt;0,"期限超過",IF($P18=0,"本日期限",IF($P18&lt;=3,"期限接近","期限内"))))))</x:f>
        <x:v>期限未設定</x:v>
      </x:c>
      <x:c r="R18" s="48" t="n">
        <x:v>46237</x:v>
      </x:c>
      <x:c r="S18" s="42"/>
      <x:c r="T18" s="52"/>
      <x:c r="U18" s="42"/>
      <x:c r="V18" s="42" t="str">
        <x:v>EC-021、EC-049</x:v>
      </x:c>
      <x:c r="W18" s="42" t="str">
        <x:v>削除・個人情報・機密項目は、通常の更新データとは異なる設計と統制が必要である。</x:v>
      </x:c>
      <x:c r="X18" s="42" t="str">
        <x:v>TMC要件はSFDC-002、権限設計はSFDC-017と整合させる。</x:v>
      </x:c>
    </x:row>
    <x:row r="19" ht="62" customHeight="1">
      <x:c r="A19" s="44" t="str">
        <x:v>SFDC-014</x:v>
      </x:c>
      <x:c r="B19" s="44" t="str">
        <x:v>リスク</x:v>
      </x:c>
      <x:c r="C19" s="44" t="str">
        <x:v>未評価</x:v>
      </x:c>
      <x:c r="D19" s="44" t="str">
        <x:v>未着手</x:v>
      </x:c>
      <x:c r="E19" s="42" t="str">
        <x:v>2販社共通化と追加販社展開方式の成立性</x:v>
      </x:c>
      <x:c r="F19" s="42" t="str">
        <x:v>2販社のObject構造、Field、認証、固有処理の差により、NiFi共通フローの設定展開が成立しない可能性がある。</x:v>
      </x:c>
      <x:c r="G19" s="42" t="str">
        <x:v>販社別の個別開発、試験増加、追加販社展開工数の増大、保守複雑化につながる。</x:v>
      </x:c>
      <x:c r="H19" s="42" t="str">
        <x:v>SFDC-011の調査結果から共通・固有差分を整理し、設定外部化で吸収できる範囲を検証する。</x:v>
      </x:c>
      <x:c r="I19" s="42" t="str">
        <x:v>ARC-03、DEV-06～DEV-08、FUT-03～FUT-04</x:v>
      </x:c>
      <x:c r="J19" s="46" t="str">
        <x:v>データ取得・保存開発</x:v>
      </x:c>
      <x:c r="K19" s="46"/>
      <x:c r="L19" s="46"/>
      <x:c r="M19" s="46"/>
      <x:c r="N19" s="48" t="n">
        <x:v>46237</x:v>
      </x:c>
      <x:c r="O19" s="48"/>
      <x:c r="P19" s="58" t="str">
        <x:f>IF($A19="","",IF(OR($D19="解決",$D19="取消"),"",IF($O19="","",$O19-TODAY())))</x:f>
      </x:c>
      <x:c r="Q19" s="59" t="str">
        <x:f>IF($A19="","",IF(OR($D19="解決",$D19="取消"),"完了",IF($O19="","期限未設定",IF($P19&lt;0,"期限超過",IF($P19=0,"本日期限",IF($P19&lt;=3,"期限接近","期限内"))))))</x:f>
        <x:v>期限未設定</x:v>
      </x:c>
      <x:c r="R19" s="48" t="n">
        <x:v>46237</x:v>
      </x:c>
      <x:c r="S19" s="42"/>
      <x:c r="T19" s="52"/>
      <x:c r="U19" s="42"/>
      <x:c r="V19" s="42" t="str">
        <x:v>EC-023、EC-040、EC-055</x:v>
      </x:c>
      <x:c r="W19" s="42" t="str">
        <x:v>WBSは共通フローを2販社へ展開し、将来の追加販社へ標準化する考え方を含む。</x:v>
      </x:c>
      <x:c r="X19" s="42" t="str">
        <x:v>具体的に共通化できない差異が確認された場合は「課題」へ変更する。</x:v>
      </x:c>
    </x:row>
    <x:row r="20" ht="62" customHeight="1">
      <x:c r="A20" s="44" t="str">
        <x:v>SFDC-015</x:v>
      </x:c>
      <x:c r="B20" s="44" t="str">
        <x:v>リスク</x:v>
      </x:c>
      <x:c r="C20" s="44" t="str">
        <x:v>未評価</x:v>
      </x:c>
      <x:c r="D20" s="44" t="str">
        <x:v>未着手</x:v>
      </x:c>
      <x:c r="E20" s="42" t="str">
        <x:v>Retry・再実行・障害復旧・冪等性の設計</x:v>
      </x:c>
      <x:c r="F20" s="42" t="str">
        <x:v>障害時のRetry、再開位置、再実行単位、重複判定、エラーデータ処理が不十分となる可能性がある。</x:v>
      </x:c>
      <x:c r="G20" s="42" t="str">
        <x:v>再実行時のデータ重複・欠落、復旧時間の長期化、手動修正の増加につながる。</x:v>
      </x:c>
      <x:c r="H20" s="42" t="str">
        <x:v>失敗パターンを整理し、Retry回数、再開位置、冪等キー、手動再実行、整合性確認方法を設計・試験する。</x:v>
      </x:c>
      <x:c r="I20" s="42" t="str">
        <x:v>ARC-05、IF-03、DEV-05、IT-04</x:v>
      </x:c>
      <x:c r="J20" s="46" t="str">
        <x:v>全体・非機能設計</x:v>
      </x:c>
      <x:c r="K20" s="46"/>
      <x:c r="L20" s="46"/>
      <x:c r="M20" s="46"/>
      <x:c r="N20" s="48" t="n">
        <x:v>46237</x:v>
      </x:c>
      <x:c r="O20" s="48"/>
      <x:c r="P20" s="58" t="str">
        <x:f>IF($A20="","",IF(OR($D20="解決",$D20="取消"),"",IF($O20="","",$O20-TODAY())))</x:f>
      </x:c>
      <x:c r="Q20" s="59" t="str">
        <x:f>IF($A20="","",IF(OR($D20="解決",$D20="取消"),"完了",IF($O20="","期限未設定",IF($P20&lt;0,"期限超過",IF($P20=0,"本日期限",IF($P20&lt;=3,"期限接近","期限内"))))))</x:f>
        <x:v>期限未設定</x:v>
      </x:c>
      <x:c r="R20" s="48" t="n">
        <x:v>46237</x:v>
      </x:c>
      <x:c r="S20" s="42"/>
      <x:c r="T20" s="52"/>
      <x:c r="U20" s="42"/>
      <x:c r="V20" s="42" t="str">
        <x:v>EC-025、EC-034</x:v>
      </x:c>
      <x:c r="W20" s="42" t="str">
        <x:v>Salesforce取得と保存処理は再実行される可能性があり、重複防止と復旧を一体で設計する必要がある。</x:v>
      </x:c>
      <x:c r="X20" s="42" t="str">
        <x:v>実際の重複・欠落が確認された場合は「課題」へ変更する。</x:v>
      </x:c>
    </x:row>
    <x:row r="21" ht="62" customHeight="1">
      <x:c r="A21" s="44" t="str">
        <x:v>SFDC-016</x:v>
      </x:c>
      <x:c r="B21" s="44" t="str">
        <x:v>決定事項候補</x:v>
      </x:c>
      <x:c r="C21" s="44" t="str">
        <x:v>未評価</x:v>
      </x:c>
      <x:c r="D21" s="44" t="str">
        <x:v>未着手</x:v>
      </x:c>
      <x:c r="E21" s="42" t="str">
        <x:v>監視・通知・処理履歴・エスカレーション体制</x:v>
      </x:c>
      <x:c r="F21" s="42" t="str">
        <x:v>監視対象、異常判定、通知先、実行履歴、一次切り分け、関係チームへの連絡経路を決める必要がある。</x:v>
      </x:c>
      <x:c r="G21" s="42" t="str">
        <x:v>障害検知の遅れ、原因追跡不能、連絡漏れ、復旧対応の長期化につながる。</x:v>
      </x:c>
      <x:c r="H21" s="42" t="str">
        <x:v>監視項目と判定基準を整理し、通知・一次対応・エスカレーションの役割分担を決める。</x:v>
      </x:c>
      <x:c r="I21" s="42" t="str">
        <x:v>ARC-06、OPS-01～OPS-06</x:v>
      </x:c>
      <x:c r="J21" s="46" t="str">
        <x:v>運用・障害対応設計</x:v>
      </x:c>
      <x:c r="K21" s="46"/>
      <x:c r="L21" s="46"/>
      <x:c r="M21" s="46"/>
      <x:c r="N21" s="48" t="n">
        <x:v>46237</x:v>
      </x:c>
      <x:c r="O21" s="48"/>
      <x:c r="P21" s="58" t="str">
        <x:f>IF($A21="","",IF(OR($D21="解決",$D21="取消"),"",IF($O21="","",$O21-TODAY())))</x:f>
      </x:c>
      <x:c r="Q21" s="59" t="str">
        <x:f>IF($A21="","",IF(OR($D21="解決",$D21="取消"),"完了",IF($O21="","期限未設定",IF($P21&lt;0,"期限超過",IF($P21=0,"本日期限",IF($P21&lt;=3,"期限接近","期限内"))))))</x:f>
        <x:v>期限未設定</x:v>
      </x:c>
      <x:c r="R21" s="48" t="n">
        <x:v>46237</x:v>
      </x:c>
      <x:c r="S21" s="42"/>
      <x:c r="T21" s="52"/>
      <x:c r="U21" s="42"/>
      <x:c r="V21" s="42" t="str">
        <x:v>EC-026、EC-044</x:v>
      </x:c>
      <x:c r="W21" s="42" t="str">
        <x:v>監視機能だけでは運用できず、通知後に誰が何を確認するかまで定義する必要がある。</x:v>
      </x:c>
      <x:c r="X21" s="42" t="str">
        <x:v>既存の監視・エスカレーション運用がある場合は流用可否を確認する。</x:v>
      </x:c>
    </x:row>
    <x:row r="22" ht="62" customHeight="1">
      <x:c r="A22" s="44" t="str">
        <x:v>SFDC-017</x:v>
      </x:c>
      <x:c r="B22" s="44" t="str">
        <x:v>決定事項候補</x:v>
      </x:c>
      <x:c r="C22" s="44" t="str">
        <x:v>未評価</x:v>
      </x:c>
      <x:c r="D22" s="44" t="str">
        <x:v>未着手</x:v>
      </x:c>
      <x:c r="E22" s="42" t="str">
        <x:v>認証・権限・Secret・監査ログのセキュリティ設計</x:v>
      </x:c>
      <x:c r="F22" s="42" t="str">
        <x:v>Salesforce認証方式、最小権限、Credential・Secret保管、更新方法、監査ログ・アクセスログを決める必要がある。</x:v>
      </x:c>
      <x:c r="G22" s="42" t="str">
        <x:v>不正アクセス、過剰権限、認証情報の漏えい、監査不能、本番利用条件の未達につながる。</x:v>
      </x:c>
      <x:c r="H22" s="42" t="str">
        <x:v>SFDC-002の要件を基に、認証方式、権限、Secretライフサイクル、ログ取得・保存条件を設計する。</x:v>
      </x:c>
      <x:c r="I22" s="42" t="str">
        <x:v>SEC-01～SEC-06、CON-01、ST-01～ST-03</x:v>
      </x:c>
      <x:c r="J22" s="46" t="str">
        <x:v>セキュリティ設計</x:v>
      </x:c>
      <x:c r="K22" s="46"/>
      <x:c r="L22" s="46"/>
      <x:c r="M22" s="46"/>
      <x:c r="N22" s="48" t="n">
        <x:v>46237</x:v>
      </x:c>
      <x:c r="O22" s="48"/>
      <x:c r="P22" s="58" t="str">
        <x:f>IF($A22="","",IF(OR($D22="解決",$D22="取消"),"",IF($O22="","",$O22-TODAY())))</x:f>
      </x:c>
      <x:c r="Q22" s="59" t="str">
        <x:f>IF($A22="","",IF(OR($D22="解決",$D22="取消"),"完了",IF($O22="","期限未設定",IF($P22&lt;0,"期限超過",IF($P22=0,"本日期限",IF($P22&lt;=3,"期限接近","期限内"))))))</x:f>
        <x:v>期限未設定</x:v>
      </x:c>
      <x:c r="R22" s="48" t="n">
        <x:v>46237</x:v>
      </x:c>
      <x:c r="S22" s="42"/>
      <x:c r="T22" s="52"/>
      <x:c r="U22" s="42"/>
      <x:c r="V22" s="42" t="str">
        <x:v>EC-027、EC-028、EC-029</x:v>
      </x:c>
      <x:c r="W22" s="42" t="str">
        <x:v>認証、権限、Secret、監査ログは相互に関連する接続セキュリティの基本設計である。</x:v>
      </x:c>
      <x:c r="X22" s="42" t="str">
        <x:v>個人情報・機密項目はSFDC-013と整合させる。</x:v>
      </x:c>
    </x:row>
    <x:row r="23" ht="62" customHeight="1">
      <x:c r="A23" s="44" t="str">
        <x:v>SFDC-018</x:v>
      </x:c>
      <x:c r="B23" s="44" t="str">
        <x:v>決定事項候補</x:v>
      </x:c>
      <x:c r="C23" s="44" t="str">
        <x:v>未評価</x:v>
      </x:c>
      <x:c r="D23" s="44" t="str">
        <x:v>未着手</x:v>
      </x:c>
      <x:c r="E23" s="42" t="str">
        <x:v>Public／Private接続・Firewall・NW試験条件の決定</x:v>
      </x:c>
      <x:c r="F23" s="42" t="str">
        <x:v>接続方式、IP、Port、Protocol、Firewall、DNS、Private接続要否、申請先、疎通試験範囲を決める必要がある。</x:v>
      </x:c>
      <x:c r="G23" s="42" t="str">
        <x:v>ネットワーク申請・設定の遅延、接続不能、追加費用、試験開始日の変更につながる可能性がある。</x:v>
      </x:c>
      <x:c r="H23" s="42" t="str">
        <x:v>現行経路とセキュリティ条件を確認し、方式別の申請・設定・試験リードタイムを比較して決定する。</x:v>
      </x:c>
      <x:c r="I23" s="42" t="str">
        <x:v>NW-01～NW-07、ST-04～ST-06、OPT-10～OPT-11</x:v>
      </x:c>
      <x:c r="J23" s="46" t="str">
        <x:v>ネットワーク設計</x:v>
      </x:c>
      <x:c r="K23" s="46"/>
      <x:c r="L23" s="46"/>
      <x:c r="M23" s="46"/>
      <x:c r="N23" s="48" t="n">
        <x:v>46237</x:v>
      </x:c>
      <x:c r="O23" s="48"/>
      <x:c r="P23" s="58" t="str">
        <x:f>IF($A23="","",IF(OR($D23="解決",$D23="取消"),"",IF($O23="","",$O23-TODAY())))</x:f>
      </x:c>
      <x:c r="Q23" s="59" t="str">
        <x:f>IF($A23="","",IF(OR($D23="解決",$D23="取消"),"完了",IF($O23="","期限未設定",IF($P23&lt;0,"期限超過",IF($P23=0,"本日期限",IF($P23&lt;=3,"期限接近","期限内"))))))</x:f>
        <x:v>期限未設定</x:v>
      </x:c>
      <x:c r="R23" s="48" t="n">
        <x:v>46237</x:v>
      </x:c>
      <x:c r="S23" s="42"/>
      <x:c r="T23" s="52"/>
      <x:c r="U23" s="42"/>
      <x:c r="V23" s="42" t="str">
        <x:v>EC-030、EC-031、EC-043、EC-050</x:v>
      </x:c>
      <x:c r="W23" s="42" t="str">
        <x:v>Public／Privateの選択により、必要なネットワーク設定と試験条件が変わる。</x:v>
      </x:c>
      <x:c r="X23" s="42" t="str">
        <x:v>追加設定が不要と確認できた場合も、確認結果を結論欄へ残す。</x:v>
      </x:c>
    </x:row>
    <x:row r="24" ht="62" customHeight="1">
      <x:c r="A24" s="44" t="str">
        <x:v>SFDC-019</x:v>
      </x:c>
      <x:c r="B24" s="44" t="str">
        <x:v>確認事項</x:v>
      </x:c>
      <x:c r="C24" s="44" t="str">
        <x:v>未評価</x:v>
      </x:c>
      <x:c r="D24" s="44" t="str">
        <x:v>未着手</x:v>
      </x:c>
      <x:c r="E24" s="42" t="str">
        <x:v>データマッピング・変換ルール・販社識別キーの設計</x:v>
      </x:c>
      <x:c r="F24" s="42" t="str">
        <x:v>Salesforce項目と保存先項目の対応、型変換、NULL、コード値、販社識別子、レコードキーを整理する必要がある。</x:v>
      </x:c>
      <x:c r="G24" s="42" t="str">
        <x:v>誤った項目対応、型不整合、販社間のデータ混在、重複判定誤りにつながる。</x:v>
      </x:c>
      <x:c r="H24" s="42" t="str">
        <x:v>SFDC-011とSFDC-005の結果を基に、マッピング表、変換ルール、キー設計を作成・レビューする。</x:v>
      </x:c>
      <x:c r="I24" s="42" t="str">
        <x:v>IF-04～IF-05、IF-07、DAT-01～DAT-03、UT-04～UT-05</x:v>
      </x:c>
      <x:c r="J24" s="46" t="str">
        <x:v>データ保存・テーブル設計</x:v>
      </x:c>
      <x:c r="K24" s="46"/>
      <x:c r="L24" s="46"/>
      <x:c r="M24" s="46"/>
      <x:c r="N24" s="48" t="n">
        <x:v>46237</x:v>
      </x:c>
      <x:c r="O24" s="48"/>
      <x:c r="P24" s="58" t="str">
        <x:f>IF($A24="","",IF(OR($D24="解決",$D24="取消"),"",IF($O24="","",$O24-TODAY())))</x:f>
      </x:c>
      <x:c r="Q24" s="59" t="str">
        <x:f>IF($A24="","",IF(OR($D24="解決",$D24="取消"),"完了",IF($O24="","期限未設定",IF($P24&lt;0,"期限超過",IF($P24=0,"本日期限",IF($P24&lt;=3,"期限接近","期限内"))))))</x:f>
        <x:v>期限未設定</x:v>
      </x:c>
      <x:c r="R24" s="48" t="n">
        <x:v>46237</x:v>
      </x:c>
      <x:c r="S24" s="42"/>
      <x:c r="T24" s="52"/>
      <x:c r="U24" s="42"/>
      <x:c r="V24" s="42" t="str">
        <x:v>EC-035、EC-036、EC-038</x:v>
      </x:c>
      <x:c r="W24" s="42" t="str">
        <x:v>Salesforceデータを2販社分まとめて保存するため、項目対応と識別方法を明確にする必要がある。</x:v>
      </x:c>
      <x:c r="X24" s="42" t="str">
        <x:v>保存先が未確定の場合は、論理項目レベルから整理する。</x:v>
      </x:c>
    </x:row>
    <x:row r="25" ht="62" customHeight="1">
      <x:c r="A25" s="44" t="str">
        <x:v>SFDC-020</x:v>
      </x:c>
      <x:c r="B25" s="44" t="str">
        <x:v>確認事項</x:v>
      </x:c>
      <x:c r="C25" s="44" t="str">
        <x:v>未評価</x:v>
      </x:c>
      <x:c r="D25" s="44" t="str">
        <x:v>未着手</x:v>
      </x:c>
      <x:c r="E25" s="42" t="str">
        <x:v>テスト合否基準・テストデータ・Evidence管理方法</x:v>
      </x:c>
      <x:c r="F25" s="42" t="str">
        <x:v>単体・結合・E2E試験の期待値、許容差、テストデータ、比較元、Evidence形式・保存場所を決める必要がある。</x:v>
      </x:c>
      <x:c r="G25" s="42" t="str">
        <x:v>試験結果の客観的な合否判定ができず、レビュー・リリース判定に必要な証跡が不足する。</x:v>
      </x:c>
      <x:c r="H25" s="42" t="str">
        <x:v>要件・非機能目標・設計書から試験観点を整理し、比較方法とEvidenceテンプレートを決める。</x:v>
      </x:c>
      <x:c r="I25" s="42" t="str">
        <x:v>UT-01～UT-06、IT-01～IT-06</x:v>
      </x:c>
      <x:c r="J25" s="46" t="str">
        <x:v>単体試験</x:v>
      </x:c>
      <x:c r="K25" s="46"/>
      <x:c r="L25" s="46"/>
      <x:c r="M25" s="46"/>
      <x:c r="N25" s="48" t="n">
        <x:v>46237</x:v>
      </x:c>
      <x:c r="O25" s="48"/>
      <x:c r="P25" s="58" t="str">
        <x:f>IF($A25="","",IF(OR($D25="解決",$D25="取消"),"",IF($O25="","",$O25-TODAY())))</x:f>
      </x:c>
      <x:c r="Q25" s="59" t="str">
        <x:f>IF($A25="","",IF(OR($D25="解決",$D25="取消"),"完了",IF($O25="","期限未設定",IF($P25&lt;0,"期限超過",IF($P25=0,"本日期限",IF($P25&lt;=3,"期限接近","期限内"))))))</x:f>
        <x:v>期限未設定</x:v>
      </x:c>
      <x:c r="R25" s="48" t="n">
        <x:v>46237</x:v>
      </x:c>
      <x:c r="S25" s="42"/>
      <x:c r="T25" s="52"/>
      <x:c r="U25" s="42"/>
      <x:c r="V25" s="42" t="str">
        <x:v>EC-041、EC-042</x:v>
      </x:c>
      <x:c r="W25" s="42" t="str">
        <x:v>WBSには試験仕様・実施・Evidence整理があるが、具体的な合否基準と証跡形式は未設定である。</x:v>
      </x:c>
      <x:c r="X25" s="42" t="str">
        <x:v>セキュリティ・NW試験条件はSFDC-018と連携する。</x:v>
      </x:c>
    </x:row>
    <x:row r="26" ht="62" customHeight="1">
      <x:c r="A26" s="44" t="str">
        <x:v>SFDC-021</x:v>
      </x:c>
      <x:c r="B26" s="44" t="str">
        <x:v>依存事項</x:v>
      </x:c>
      <x:c r="C26" s="44" t="str">
        <x:v>未評価</x:v>
      </x:c>
      <x:c r="D26" s="44" t="str">
        <x:v>未着手</x:v>
      </x:c>
      <x:c r="E26" s="42" t="str">
        <x:v>号口環境のCredential・権限・接続準備</x:v>
      </x:c>
      <x:c r="F26" s="42" t="str">
        <x:v>号口Salesforce Org、本番接続ユーザー、認証情報、対象Object権限、NiFi・ネットワーク設定を準備する必要がある。</x:v>
      </x:c>
      <x:c r="G26" s="42" t="str">
        <x:v>号口環境への接続、本番反映、初回取得、リリース確認を実施できない。</x:v>
      </x:c>
      <x:c r="H26" s="42" t="str">
        <x:v>検証環境との差分を整理し、本番利用承認、秘密情報の受渡し、接続試験の期限を確認する。</x:v>
      </x:c>
      <x:c r="I26" s="42" t="str">
        <x:v>REL-03～REL-04</x:v>
      </x:c>
      <x:c r="J26" s="46" t="str">
        <x:v>本番移行・リリース</x:v>
      </x:c>
      <x:c r="K26" s="46"/>
      <x:c r="L26" s="46"/>
      <x:c r="M26" s="46"/>
      <x:c r="N26" s="48" t="n">
        <x:v>46237</x:v>
      </x:c>
      <x:c r="O26" s="48"/>
      <x:c r="P26" s="58" t="str">
        <x:f>IF($A26="","",IF(OR($D26="解決",$D26="取消"),"",IF($O26="","",$O26-TODAY())))</x:f>
      </x:c>
      <x:c r="Q26" s="59" t="str">
        <x:f>IF($A26="","",IF(OR($D26="解決",$D26="取消"),"完了",IF($O26="","期限未設定",IF($P26&lt;0,"期限超過",IF($P26=0,"本日期限",IF($P26&lt;=3,"期限接近","期限内"))))))</x:f>
        <x:v>期限未設定</x:v>
      </x:c>
      <x:c r="R26" s="48" t="n">
        <x:v>46237</x:v>
      </x:c>
      <x:c r="S26" s="42"/>
      <x:c r="T26" s="52"/>
      <x:c r="U26" s="42"/>
      <x:c r="V26" s="42" t="str">
        <x:v>EC-045</x:v>
      </x:c>
      <x:c r="W26" s="42" t="str">
        <x:v>号口環境は検証環境と認証情報、権限、ネットワーク、承認条件が異なる可能性がある。</x:v>
      </x:c>
      <x:c r="X26" s="42" t="str">
        <x:v>検証環境はSFDC-001で別管理する。</x:v>
      </x:c>
    </x:row>
    <x:row r="27" ht="62" customHeight="1">
      <x:c r="A27" s="44" t="str">
        <x:v>SFDC-022</x:v>
      </x:c>
      <x:c r="B27" s="44" t="str">
        <x:v>決定事項候補</x:v>
      </x:c>
      <x:c r="C27" s="44" t="str">
        <x:v>未評価</x:v>
      </x:c>
      <x:c r="D27" s="44" t="str">
        <x:v>未着手</x:v>
      </x:c>
      <x:c r="E27" s="42" t="str">
        <x:v>本番移行・切り戻し・初回取得・初期監視方法</x:v>
      </x:c>
      <x:c r="F27" s="42" t="str">
        <x:v>本番移行手順、担当、切り戻し条件、初回取得、定期実行開始、初期監視、完了判定を決める必要がある。</x:v>
      </x:c>
      <x:c r="G27" s="42" t="str">
        <x:v>本番障害時に復旧できない、初回データ不整合を見逃す、リリース可否を判断できない可能性がある。</x:v>
      </x:c>
      <x:c r="H27" s="42" t="str">
        <x:v>移行・確認・切り戻し・初期監視を一つのリリース計画として作成し、承認者と判定条件を設定する。</x:v>
      </x:c>
      <x:c r="I27" s="42" t="str">
        <x:v>REL-01～REL-09</x:v>
      </x:c>
      <x:c r="J27" s="46" t="str">
        <x:v>本番移行・リリース</x:v>
      </x:c>
      <x:c r="K27" s="46"/>
      <x:c r="L27" s="46"/>
      <x:c r="M27" s="46"/>
      <x:c r="N27" s="48" t="n">
        <x:v>46237</x:v>
      </x:c>
      <x:c r="O27" s="48"/>
      <x:c r="P27" s="58" t="str">
        <x:f>IF($A27="","",IF(OR($D27="解決",$D27="取消"),"",IF($O27="","",$O27-TODAY())))</x:f>
      </x:c>
      <x:c r="Q27" s="59" t="str">
        <x:f>IF($A27="","",IF(OR($D27="解決",$D27="取消"),"完了",IF($O27="","期限未設定",IF($P27&lt;0,"期限超過",IF($P27=0,"本日期限",IF($P27&lt;=3,"期限接近","期限内"))))))</x:f>
        <x:v>期限未設定</x:v>
      </x:c>
      <x:c r="R27" s="48" t="n">
        <x:v>46237</x:v>
      </x:c>
      <x:c r="S27" s="42"/>
      <x:c r="T27" s="52"/>
      <x:c r="U27" s="42"/>
      <x:c r="V27" s="42" t="str">
        <x:v>EC-046、EC-047</x:v>
      </x:c>
      <x:c r="W27" s="42" t="str">
        <x:v>本番反映から初期監視までを連続した作業として計画し、問題時の復旧を事前に定める必要がある。</x:v>
      </x:c>
      <x:c r="X27" s="42" t="str">
        <x:v>初回Full Loadの採否はSFDC-012と整合させる。</x:v>
      </x:c>
    </x:row>
    <x:row r="28" ht="62" customHeight="1">
      <x:c r="A28" s="44" t="str">
        <x:v>SFDC-023</x:v>
      </x:c>
      <x:c r="B28" s="44" t="str">
        <x:v>変更要求候補</x:v>
      </x:c>
      <x:c r="C28" s="44" t="str">
        <x:v>未評価</x:v>
      </x:c>
      <x:c r="D28" s="44" t="str">
        <x:v>未着手</x:v>
      </x:c>
      <x:c r="E28" s="42" t="str">
        <x:v>ADLS・Cloudera・Power BIを第一リリースへ含めるか</x:v>
      </x:c>
      <x:c r="F28" s="42" t="str">
        <x:v>ADLS Landing／Raw、Bronze・Silver・Gold、Power BI接続・モデル・レポートを第一リリースへ含めるか確認する必要がある。</x:v>
      </x:c>
      <x:c r="G28" s="42" t="str">
        <x:v>採用する場合、設計・開発・試験・運用範囲と工数・スケジュールが増加し、69人日見積の再確認が必要となる。</x:v>
      </x:c>
      <x:c r="H28" s="42" t="str">
        <x:v>必要性、利用目的、既存見積との重複、追加工数、追加日程を整理してスコープ判断を行う。</x:v>
      </x:c>
      <x:c r="I28" s="42" t="str">
        <x:v>SCP-01～SCP-08</x:v>
      </x:c>
      <x:c r="J28" s="46" t="str">
        <x:v>対象範囲確認</x:v>
      </x:c>
      <x:c r="K28" s="46"/>
      <x:c r="L28" s="46"/>
      <x:c r="M28" s="46"/>
      <x:c r="N28" s="48" t="n">
        <x:v>46237</x:v>
      </x:c>
      <x:c r="O28" s="48"/>
      <x:c r="P28" s="58" t="str">
        <x:f>IF($A28="","",IF(OR($D28="解決",$D28="取消"),"",IF($O28="","",$O28-TODAY())))</x:f>
      </x:c>
      <x:c r="Q28" s="59" t="str">
        <x:f>IF($A28="","",IF(OR($D28="解決",$D28="取消"),"完了",IF($O28="","期限未設定",IF($P28&lt;0,"期限超過",IF($P28=0,"本日期限",IF($P28&lt;=3,"期限接近","期限内"))))))</x:f>
        <x:v>期限未設定</x:v>
      </x:c>
      <x:c r="R28" s="48" t="n">
        <x:v>46237</x:v>
      </x:c>
      <x:c r="S28" s="42"/>
      <x:c r="T28" s="52"/>
      <x:c r="U28" s="42"/>
      <x:c r="V28" s="42" t="str">
        <x:v>EC-051、EC-052、EC-053</x:v>
      </x:c>
      <x:c r="W28" s="42" t="str">
        <x:v>セレス案には含まれる一方、NiFiを基準とする精緻化見積69人日には明記されていない。</x:v>
      </x:c>
      <x:c r="X28" s="42" t="str">
        <x:v>正式な追加要望が発生した時点で変更要求として再分類する。</x:v>
      </x:c>
    </x:row>
    <x:row r="29" ht="62" customHeight="1">
      <x:c r="A29" s="44" t="str">
        <x:v>SFDC-024</x:v>
      </x:c>
      <x:c r="B29" s="44" t="str">
        <x:v>変更要求候補</x:v>
      </x:c>
      <x:c r="C29" s="44" t="str">
        <x:v>未評価</x:v>
      </x:c>
      <x:c r="D29" s="44" t="str">
        <x:v>未着手</x:v>
      </x:c>
      <x:c r="E29" s="42" t="str">
        <x:v>CDC・Streamingを第一リリースへ含めるか</x:v>
      </x:c>
      <x:c r="F29" s="42" t="str">
        <x:v>CDC・Streamingを方針整理のみとするか、第一リリースで実装・検証まで行うか確認する必要がある。</x:v>
      </x:c>
      <x:c r="G29" s="42" t="str">
        <x:v>採用する場合、Salesforce側機能、受信方式、データ基盤処理、監視、試験、工数、日程が変わる。</x:v>
      </x:c>
      <x:c r="H29" s="42" t="str">
        <x:v>バッチ連携との関係、実現目的、対象データ、利用機能、追加検証・運用を整理してスコープ判断を行う。</x:v>
      </x:c>
      <x:c r="I29" s="42" t="str">
        <x:v>FUT-01～FUT-02</x:v>
      </x:c>
      <x:c r="J29" s="46" t="str">
        <x:v>将来対応</x:v>
      </x:c>
      <x:c r="K29" s="46"/>
      <x:c r="L29" s="46"/>
      <x:c r="M29" s="46"/>
      <x:c r="N29" s="48" t="n">
        <x:v>46237</x:v>
      </x:c>
      <x:c r="O29" s="48"/>
      <x:c r="P29" s="58" t="str">
        <x:f>IF($A29="","",IF(OR($D29="解決",$D29="取消"),"",IF($O29="","",$O29-TODAY())))</x:f>
      </x:c>
      <x:c r="Q29" s="59" t="str">
        <x:f>IF($A29="","",IF(OR($D29="解決",$D29="取消"),"完了",IF($O29="","期限未設定",IF($P29&lt;0,"期限超過",IF($P29=0,"本日期限",IF($P29&lt;=3,"期限接近","期限内"))))))</x:f>
        <x:v>期限未設定</x:v>
      </x:c>
      <x:c r="R29" s="48" t="n">
        <x:v>46237</x:v>
      </x:c>
      <x:c r="S29" s="42"/>
      <x:c r="T29" s="52"/>
      <x:c r="U29" s="42"/>
      <x:c r="V29" s="42" t="str">
        <x:v>EC-054</x:v>
      </x:c>
      <x:c r="W29" s="42" t="str">
        <x:v>現在のWBSではCDC・Streamingは将来拡張の方針整理で、第一リリースの実装対象としていない。</x:v>
      </x:c>
      <x:c r="X29" s="42" t="str">
        <x:v>正式な実装要望が発生した時点で変更要求として再分類する。</x:v>
      </x:c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49"/>
      <x:c r="O30" s="49"/>
      <x:c r="P30" s="60" t="str">
        <x:f>IF($A30="","",IF(OR($D30="解決",$D30="取消"),"",IF($O30="","",$O30-TODAY())))</x:f>
      </x:c>
      <x:c r="Q30" s="61" t="str">
        <x:f>IF($A30="","",IF(OR($D30="解決",$D30="取消"),"完了",IF($O30="","期限未設定",IF($P30&lt;0,"期限超過",IF($P30=0,"本日期限",IF($P30&lt;=3,"期限接近","期限内"))))))</x:f>
      </x:c>
      <x:c r="R30" s="49"/>
      <x:c r="S30" s="38"/>
      <x:c r="T30" s="49"/>
      <x:c r="U30" s="38"/>
      <x:c r="V30" s="38"/>
      <x:c r="W30" s="38"/>
      <x:c r="X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49"/>
      <x:c r="O31" s="49"/>
      <x:c r="P31" s="60" t="str">
        <x:f>IF($A31="","",IF(OR($D31="解決",$D31="取消"),"",IF($O31="","",$O31-TODAY())))</x:f>
      </x:c>
      <x:c r="Q31" s="61" t="str">
        <x:f>IF($A31="","",IF(OR($D31="解決",$D31="取消"),"完了",IF($O31="","期限未設定",IF($P31&lt;0,"期限超過",IF($P31=0,"本日期限",IF($P31&lt;=3,"期限接近","期限内"))))))</x:f>
      </x:c>
      <x:c r="R31" s="49"/>
      <x:c r="S31" s="38"/>
      <x:c r="T31" s="49"/>
      <x:c r="U31" s="38"/>
      <x:c r="V31" s="38"/>
      <x:c r="W31" s="38"/>
      <x:c r="X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49"/>
      <x:c r="O32" s="49"/>
      <x:c r="P32" s="60" t="str">
        <x:f>IF($A32="","",IF(OR($D32="解決",$D32="取消"),"",IF($O32="","",$O32-TODAY())))</x:f>
      </x:c>
      <x:c r="Q32" s="61" t="str">
        <x:f>IF($A32="","",IF(OR($D32="解決",$D32="取消"),"完了",IF($O32="","期限未設定",IF($P32&lt;0,"期限超過",IF($P32=0,"本日期限",IF($P32&lt;=3,"期限接近","期限内"))))))</x:f>
      </x:c>
      <x:c r="R32" s="49"/>
      <x:c r="S32" s="38"/>
      <x:c r="T32" s="49"/>
      <x:c r="U32" s="38"/>
      <x:c r="V32" s="38"/>
      <x:c r="W32" s="38"/>
      <x:c r="X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49"/>
      <x:c r="O33" s="49"/>
      <x:c r="P33" s="60" t="str">
        <x:f>IF($A33="","",IF(OR($D33="解決",$D33="取消"),"",IF($O33="","",$O33-TODAY())))</x:f>
      </x:c>
      <x:c r="Q33" s="61" t="str">
        <x:f>IF($A33="","",IF(OR($D33="解決",$D33="取消"),"完了",IF($O33="","期限未設定",IF($P33&lt;0,"期限超過",IF($P33=0,"本日期限",IF($P33&lt;=3,"期限接近","期限内"))))))</x:f>
      </x:c>
      <x:c r="R33" s="49"/>
      <x:c r="S33" s="38"/>
      <x:c r="T33" s="49"/>
      <x:c r="U33" s="38"/>
      <x:c r="V33" s="38"/>
      <x:c r="W33" s="38"/>
      <x:c r="X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49"/>
      <x:c r="O34" s="49"/>
      <x:c r="P34" s="60" t="str">
        <x:f>IF($A34="","",IF(OR($D34="解決",$D34="取消"),"",IF($O34="","",$O34-TODAY())))</x:f>
      </x:c>
      <x:c r="Q34" s="61" t="str">
        <x:f>IF($A34="","",IF(OR($D34="解決",$D34="取消"),"完了",IF($O34="","期限未設定",IF($P34&lt;0,"期限超過",IF($P34=0,"本日期限",IF($P34&lt;=3,"期限接近","期限内"))))))</x:f>
      </x:c>
      <x:c r="R34" s="49"/>
      <x:c r="S34" s="38"/>
      <x:c r="T34" s="49"/>
      <x:c r="U34" s="38"/>
      <x:c r="V34" s="38"/>
      <x:c r="W34" s="38"/>
      <x:c r="X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49"/>
      <x:c r="O35" s="49"/>
      <x:c r="P35" s="60" t="str">
        <x:f>IF($A35="","",IF(OR($D35="解決",$D35="取消"),"",IF($O35="","",$O35-TODAY())))</x:f>
      </x:c>
      <x:c r="Q35" s="61" t="str">
        <x:f>IF($A35="","",IF(OR($D35="解決",$D35="取消"),"完了",IF($O35="","期限未設定",IF($P35&lt;0,"期限超過",IF($P35=0,"本日期限",IF($P35&lt;=3,"期限接近","期限内"))))))</x:f>
      </x:c>
      <x:c r="R35" s="49"/>
      <x:c r="S35" s="38"/>
      <x:c r="T35" s="49"/>
      <x:c r="U35" s="38"/>
      <x:c r="V35" s="38"/>
      <x:c r="W35" s="38"/>
      <x:c r="X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49"/>
      <x:c r="O36" s="49"/>
      <x:c r="P36" s="60" t="str">
        <x:f>IF($A36="","",IF(OR($D36="解決",$D36="取消"),"",IF($O36="","",$O36-TODAY())))</x:f>
      </x:c>
      <x:c r="Q36" s="61" t="str">
        <x:f>IF($A36="","",IF(OR($D36="解決",$D36="取消"),"完了",IF($O36="","期限未設定",IF($P36&lt;0,"期限超過",IF($P36=0,"本日期限",IF($P36&lt;=3,"期限接近","期限内"))))))</x:f>
      </x:c>
      <x:c r="R36" s="49"/>
      <x:c r="S36" s="38"/>
      <x:c r="T36" s="49"/>
      <x:c r="U36" s="38"/>
      <x:c r="V36" s="38"/>
      <x:c r="W36" s="38"/>
      <x:c r="X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49"/>
      <x:c r="O37" s="49"/>
      <x:c r="P37" s="60" t="str">
        <x:f>IF($A37="","",IF(OR($D37="解決",$D37="取消"),"",IF($O37="","",$O37-TODAY())))</x:f>
      </x:c>
      <x:c r="Q37" s="61" t="str">
        <x:f>IF($A37="","",IF(OR($D37="解決",$D37="取消"),"完了",IF($O37="","期限未設定",IF($P37&lt;0,"期限超過",IF($P37=0,"本日期限",IF($P37&lt;=3,"期限接近","期限内"))))))</x:f>
      </x:c>
      <x:c r="R37" s="49"/>
      <x:c r="S37" s="38"/>
      <x:c r="T37" s="49"/>
      <x:c r="U37" s="38"/>
      <x:c r="V37" s="38"/>
      <x:c r="W37" s="38"/>
      <x:c r="X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49"/>
      <x:c r="O38" s="49"/>
      <x:c r="P38" s="60" t="str">
        <x:f>IF($A38="","",IF(OR($D38="解決",$D38="取消"),"",IF($O38="","",$O38-TODAY())))</x:f>
      </x:c>
      <x:c r="Q38" s="61" t="str">
        <x:f>IF($A38="","",IF(OR($D38="解決",$D38="取消"),"完了",IF($O38="","期限未設定",IF($P38&lt;0,"期限超過",IF($P38=0,"本日期限",IF($P38&lt;=3,"期限接近","期限内"))))))</x:f>
      </x:c>
      <x:c r="R38" s="49"/>
      <x:c r="S38" s="38"/>
      <x:c r="T38" s="49"/>
      <x:c r="U38" s="38"/>
      <x:c r="V38" s="38"/>
      <x:c r="W38" s="38"/>
      <x:c r="X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49"/>
      <x:c r="O39" s="49"/>
      <x:c r="P39" s="60" t="str">
        <x:f>IF($A39="","",IF(OR($D39="解決",$D39="取消"),"",IF($O39="","",$O39-TODAY())))</x:f>
      </x:c>
      <x:c r="Q39" s="61" t="str">
        <x:f>IF($A39="","",IF(OR($D39="解決",$D39="取消"),"完了",IF($O39="","期限未設定",IF($P39&lt;0,"期限超過",IF($P39=0,"本日期限",IF($P39&lt;=3,"期限接近","期限内"))))))</x:f>
      </x:c>
      <x:c r="R39" s="49"/>
      <x:c r="S39" s="38"/>
      <x:c r="T39" s="49"/>
      <x:c r="U39" s="38"/>
      <x:c r="V39" s="38"/>
      <x:c r="W39" s="38"/>
      <x:c r="X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49"/>
      <x:c r="O40" s="49"/>
      <x:c r="P40" s="60" t="str">
        <x:f>IF($A40="","",IF(OR($D40="解決",$D40="取消"),"",IF($O40="","",$O40-TODAY())))</x:f>
      </x:c>
      <x:c r="Q40" s="61" t="str">
        <x:f>IF($A40="","",IF(OR($D40="解決",$D40="取消"),"完了",IF($O40="","期限未設定",IF($P40&lt;0,"期限超過",IF($P40=0,"本日期限",IF($P40&lt;=3,"期限接近","期限内"))))))</x:f>
      </x:c>
      <x:c r="R40" s="49"/>
      <x:c r="S40" s="38"/>
      <x:c r="T40" s="49"/>
      <x:c r="U40" s="38"/>
      <x:c r="V40" s="38"/>
      <x:c r="W40" s="38"/>
      <x:c r="X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49"/>
      <x:c r="O41" s="49"/>
      <x:c r="P41" s="60" t="str">
        <x:f>IF($A41="","",IF(OR($D41="解決",$D41="取消"),"",IF($O41="","",$O41-TODAY())))</x:f>
      </x:c>
      <x:c r="Q41" s="61" t="str">
        <x:f>IF($A41="","",IF(OR($D41="解決",$D41="取消"),"完了",IF($O41="","期限未設定",IF($P41&lt;0,"期限超過",IF($P41=0,"本日期限",IF($P41&lt;=3,"期限接近","期限内"))))))</x:f>
      </x:c>
      <x:c r="R41" s="49"/>
      <x:c r="S41" s="38"/>
      <x:c r="T41" s="49"/>
      <x:c r="U41" s="38"/>
      <x:c r="V41" s="38"/>
      <x:c r="W41" s="38"/>
      <x:c r="X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49"/>
      <x:c r="O42" s="49"/>
      <x:c r="P42" s="60" t="str">
        <x:f>IF($A42="","",IF(OR($D42="解決",$D42="取消"),"",IF($O42="","",$O42-TODAY())))</x:f>
      </x:c>
      <x:c r="Q42" s="61" t="str">
        <x:f>IF($A42="","",IF(OR($D42="解決",$D42="取消"),"完了",IF($O42="","期限未設定",IF($P42&lt;0,"期限超過",IF($P42=0,"本日期限",IF($P42&lt;=3,"期限接近","期限内"))))))</x:f>
      </x:c>
      <x:c r="R42" s="49"/>
      <x:c r="S42" s="38"/>
      <x:c r="T42" s="49"/>
      <x:c r="U42" s="38"/>
      <x:c r="V42" s="38"/>
      <x:c r="W42" s="38"/>
      <x:c r="X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49"/>
      <x:c r="O43" s="49"/>
      <x:c r="P43" s="60" t="str">
        <x:f>IF($A43="","",IF(OR($D43="解決",$D43="取消"),"",IF($O43="","",$O43-TODAY())))</x:f>
      </x:c>
      <x:c r="Q43" s="61" t="str">
        <x:f>IF($A43="","",IF(OR($D43="解決",$D43="取消"),"完了",IF($O43="","期限未設定",IF($P43&lt;0,"期限超過",IF($P43=0,"本日期限",IF($P43&lt;=3,"期限接近","期限内"))))))</x:f>
      </x:c>
      <x:c r="R43" s="49"/>
      <x:c r="S43" s="38"/>
      <x:c r="T43" s="49"/>
      <x:c r="U43" s="38"/>
      <x:c r="V43" s="38"/>
      <x:c r="W43" s="38"/>
      <x:c r="X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49"/>
      <x:c r="O44" s="49"/>
      <x:c r="P44" s="60" t="str">
        <x:f>IF($A44="","",IF(OR($D44="解決",$D44="取消"),"",IF($O44="","",$O44-TODAY())))</x:f>
      </x:c>
      <x:c r="Q44" s="61" t="str">
        <x:f>IF($A44="","",IF(OR($D44="解決",$D44="取消"),"完了",IF($O44="","期限未設定",IF($P44&lt;0,"期限超過",IF($P44=0,"本日期限",IF($P44&lt;=3,"期限接近","期限内"))))))</x:f>
      </x:c>
      <x:c r="R44" s="49"/>
      <x:c r="S44" s="38"/>
      <x:c r="T44" s="49"/>
      <x:c r="U44" s="38"/>
      <x:c r="V44" s="38"/>
      <x:c r="W44" s="38"/>
      <x:c r="X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49"/>
      <x:c r="O45" s="49"/>
      <x:c r="P45" s="60" t="str">
        <x:f>IF($A45="","",IF(OR($D45="解決",$D45="取消"),"",IF($O45="","",$O45-TODAY())))</x:f>
      </x:c>
      <x:c r="Q45" s="61" t="str">
        <x:f>IF($A45="","",IF(OR($D45="解決",$D45="取消"),"完了",IF($O45="","期限未設定",IF($P45&lt;0,"期限超過",IF($P45=0,"本日期限",IF($P45&lt;=3,"期限接近","期限内"))))))</x:f>
      </x:c>
      <x:c r="R45" s="49"/>
      <x:c r="S45" s="38"/>
      <x:c r="T45" s="49"/>
      <x:c r="U45" s="38"/>
      <x:c r="V45" s="38"/>
      <x:c r="W45" s="38"/>
      <x:c r="X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49"/>
      <x:c r="O46" s="49"/>
      <x:c r="P46" s="60" t="str">
        <x:f>IF($A46="","",IF(OR($D46="解決",$D46="取消"),"",IF($O46="","",$O46-TODAY())))</x:f>
      </x:c>
      <x:c r="Q46" s="61" t="str">
        <x:f>IF($A46="","",IF(OR($D46="解決",$D46="取消"),"完了",IF($O46="","期限未設定",IF($P46&lt;0,"期限超過",IF($P46=0,"本日期限",IF($P46&lt;=3,"期限接近","期限内"))))))</x:f>
      </x:c>
      <x:c r="R46" s="49"/>
      <x:c r="S46" s="38"/>
      <x:c r="T46" s="49"/>
      <x:c r="U46" s="38"/>
      <x:c r="V46" s="38"/>
      <x:c r="W46" s="38"/>
      <x:c r="X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49"/>
      <x:c r="O47" s="49"/>
      <x:c r="P47" s="60" t="str">
        <x:f>IF($A47="","",IF(OR($D47="解決",$D47="取消"),"",IF($O47="","",$O47-TODAY())))</x:f>
      </x:c>
      <x:c r="Q47" s="61" t="str">
        <x:f>IF($A47="","",IF(OR($D47="解決",$D47="取消"),"完了",IF($O47="","期限未設定",IF($P47&lt;0,"期限超過",IF($P47=0,"本日期限",IF($P47&lt;=3,"期限接近","期限内"))))))</x:f>
      </x:c>
      <x:c r="R47" s="49"/>
      <x:c r="S47" s="38"/>
      <x:c r="T47" s="49"/>
      <x:c r="U47" s="38"/>
      <x:c r="V47" s="38"/>
      <x:c r="W47" s="38"/>
      <x:c r="X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49"/>
      <x:c r="O48" s="49"/>
      <x:c r="P48" s="60" t="str">
        <x:f>IF($A48="","",IF(OR($D48="解決",$D48="取消"),"",IF($O48="","",$O48-TODAY())))</x:f>
      </x:c>
      <x:c r="Q48" s="61" t="str">
        <x:f>IF($A48="","",IF(OR($D48="解決",$D48="取消"),"完了",IF($O48="","期限未設定",IF($P48&lt;0,"期限超過",IF($P48=0,"本日期限",IF($P48&lt;=3,"期限接近","期限内"))))))</x:f>
      </x:c>
      <x:c r="R48" s="49"/>
      <x:c r="S48" s="38"/>
      <x:c r="T48" s="49"/>
      <x:c r="U48" s="38"/>
      <x:c r="V48" s="38"/>
      <x:c r="W48" s="38"/>
      <x:c r="X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49"/>
      <x:c r="O49" s="49"/>
      <x:c r="P49" s="60" t="str">
        <x:f>IF($A49="","",IF(OR($D49="解決",$D49="取消"),"",IF($O49="","",$O49-TODAY())))</x:f>
      </x:c>
      <x:c r="Q49" s="61" t="str">
        <x:f>IF($A49="","",IF(OR($D49="解決",$D49="取消"),"完了",IF($O49="","期限未設定",IF($P49&lt;0,"期限超過",IF($P49=0,"本日期限",IF($P49&lt;=3,"期限接近","期限内"))))))</x:f>
      </x:c>
      <x:c r="R49" s="49"/>
      <x:c r="S49" s="38"/>
      <x:c r="T49" s="49"/>
      <x:c r="U49" s="38"/>
      <x:c r="V49" s="38"/>
      <x:c r="W49" s="38"/>
      <x:c r="X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49"/>
      <x:c r="O50" s="49"/>
      <x:c r="P50" s="60" t="str">
        <x:f>IF($A50="","",IF(OR($D50="解決",$D50="取消"),"",IF($O50="","",$O50-TODAY())))</x:f>
      </x:c>
      <x:c r="Q50" s="61" t="str">
        <x:f>IF($A50="","",IF(OR($D50="解決",$D50="取消"),"完了",IF($O50="","期限未設定",IF($P50&lt;0,"期限超過",IF($P50=0,"本日期限",IF($P50&lt;=3,"期限接近","期限内"))))))</x:f>
      </x:c>
      <x:c r="R50" s="49"/>
      <x:c r="S50" s="38"/>
      <x:c r="T50" s="49"/>
      <x:c r="U50" s="38"/>
      <x:c r="V50" s="38"/>
      <x:c r="W50" s="38"/>
      <x:c r="X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49"/>
      <x:c r="O51" s="49"/>
      <x:c r="P51" s="60" t="str">
        <x:f>IF($A51="","",IF(OR($D51="解決",$D51="取消"),"",IF($O51="","",$O51-TODAY())))</x:f>
      </x:c>
      <x:c r="Q51" s="61" t="str">
        <x:f>IF($A51="","",IF(OR($D51="解決",$D51="取消"),"完了",IF($O51="","期限未設定",IF($P51&lt;0,"期限超過",IF($P51=0,"本日期限",IF($P51&lt;=3,"期限接近","期限内"))))))</x:f>
      </x:c>
      <x:c r="R51" s="49"/>
      <x:c r="S51" s="38"/>
      <x:c r="T51" s="49"/>
      <x:c r="U51" s="38"/>
      <x:c r="V51" s="38"/>
      <x:c r="W51" s="38"/>
      <x:c r="X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49"/>
      <x:c r="O52" s="49"/>
      <x:c r="P52" s="60" t="str">
        <x:f>IF($A52="","",IF(OR($D52="解決",$D52="取消"),"",IF($O52="","",$O52-TODAY())))</x:f>
      </x:c>
      <x:c r="Q52" s="61" t="str">
        <x:f>IF($A52="","",IF(OR($D52="解決",$D52="取消"),"完了",IF($O52="","期限未設定",IF($P52&lt;0,"期限超過",IF($P52=0,"本日期限",IF($P52&lt;=3,"期限接近","期限内"))))))</x:f>
      </x:c>
      <x:c r="R52" s="49"/>
      <x:c r="S52" s="38"/>
      <x:c r="T52" s="49"/>
      <x:c r="U52" s="38"/>
      <x:c r="V52" s="38"/>
      <x:c r="W52" s="38"/>
      <x:c r="X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49"/>
      <x:c r="O53" s="49"/>
      <x:c r="P53" s="60" t="str">
        <x:f>IF($A53="","",IF(OR($D53="解決",$D53="取消"),"",IF($O53="","",$O53-TODAY())))</x:f>
      </x:c>
      <x:c r="Q53" s="61" t="str">
        <x:f>IF($A53="","",IF(OR($D53="解決",$D53="取消"),"完了",IF($O53="","期限未設定",IF($P53&lt;0,"期限超過",IF($P53=0,"本日期限",IF($P53&lt;=3,"期限接近","期限内"))))))</x:f>
      </x:c>
      <x:c r="R53" s="49"/>
      <x:c r="S53" s="38"/>
      <x:c r="T53" s="49"/>
      <x:c r="U53" s="38"/>
      <x:c r="V53" s="38"/>
      <x:c r="W53" s="38"/>
      <x:c r="X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49"/>
      <x:c r="O54" s="49"/>
      <x:c r="P54" s="60" t="str">
        <x:f>IF($A54="","",IF(OR($D54="解決",$D54="取消"),"",IF($O54="","",$O54-TODAY())))</x:f>
      </x:c>
      <x:c r="Q54" s="61" t="str">
        <x:f>IF($A54="","",IF(OR($D54="解決",$D54="取消"),"完了",IF($O54="","期限未設定",IF($P54&lt;0,"期限超過",IF($P54=0,"本日期限",IF($P54&lt;=3,"期限接近","期限内"))))))</x:f>
      </x:c>
      <x:c r="R54" s="49"/>
      <x:c r="S54" s="38"/>
      <x:c r="T54" s="49"/>
      <x:c r="U54" s="38"/>
      <x:c r="V54" s="38"/>
      <x:c r="W54" s="38"/>
      <x:c r="X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49"/>
      <x:c r="O55" s="49"/>
      <x:c r="P55" s="60" t="str">
        <x:f>IF($A55="","",IF(OR($D55="解決",$D55="取消"),"",IF($O55="","",$O55-TODAY())))</x:f>
      </x:c>
      <x:c r="Q55" s="61" t="str">
        <x:f>IF($A55="","",IF(OR($D55="解決",$D55="取消"),"完了",IF($O55="","期限未設定",IF($P55&lt;0,"期限超過",IF($P55=0,"本日期限",IF($P55&lt;=3,"期限接近","期限内"))))))</x:f>
      </x:c>
      <x:c r="R55" s="49"/>
      <x:c r="S55" s="38"/>
      <x:c r="T55" s="49"/>
      <x:c r="U55" s="38"/>
      <x:c r="V55" s="38"/>
      <x:c r="W55" s="38"/>
      <x:c r="X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49"/>
      <x:c r="O56" s="49"/>
      <x:c r="P56" s="60" t="str">
        <x:f>IF($A56="","",IF(OR($D56="解決",$D56="取消"),"",IF($O56="","",$O56-TODAY())))</x:f>
      </x:c>
      <x:c r="Q56" s="61" t="str">
        <x:f>IF($A56="","",IF(OR($D56="解決",$D56="取消"),"完了",IF($O56="","期限未設定",IF($P56&lt;0,"期限超過",IF($P56=0,"本日期限",IF($P56&lt;=3,"期限接近","期限内"))))))</x:f>
      </x:c>
      <x:c r="R56" s="49"/>
      <x:c r="S56" s="38"/>
      <x:c r="T56" s="49"/>
      <x:c r="U56" s="38"/>
      <x:c r="V56" s="38"/>
      <x:c r="W56" s="38"/>
      <x:c r="X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49"/>
      <x:c r="O57" s="49"/>
      <x:c r="P57" s="60" t="str">
        <x:f>IF($A57="","",IF(OR($D57="解決",$D57="取消"),"",IF($O57="","",$O57-TODAY())))</x:f>
      </x:c>
      <x:c r="Q57" s="61" t="str">
        <x:f>IF($A57="","",IF(OR($D57="解決",$D57="取消"),"完了",IF($O57="","期限未設定",IF($P57&lt;0,"期限超過",IF($P57=0,"本日期限",IF($P57&lt;=3,"期限接近","期限内"))))))</x:f>
      </x:c>
      <x:c r="R57" s="49"/>
      <x:c r="S57" s="38"/>
      <x:c r="T57" s="49"/>
      <x:c r="U57" s="38"/>
      <x:c r="V57" s="38"/>
      <x:c r="W57" s="38"/>
      <x:c r="X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49"/>
      <x:c r="O58" s="49"/>
      <x:c r="P58" s="60" t="str">
        <x:f>IF($A58="","",IF(OR($D58="解決",$D58="取消"),"",IF($O58="","",$O58-TODAY())))</x:f>
      </x:c>
      <x:c r="Q58" s="61" t="str">
        <x:f>IF($A58="","",IF(OR($D58="解決",$D58="取消"),"完了",IF($O58="","期限未設定",IF($P58&lt;0,"期限超過",IF($P58=0,"本日期限",IF($P58&lt;=3,"期限接近","期限内"))))))</x:f>
      </x:c>
      <x:c r="R58" s="49"/>
      <x:c r="S58" s="38"/>
      <x:c r="T58" s="49"/>
      <x:c r="U58" s="38"/>
      <x:c r="V58" s="38"/>
      <x:c r="W58" s="38"/>
      <x:c r="X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49"/>
      <x:c r="O59" s="49"/>
      <x:c r="P59" s="60" t="str">
        <x:f>IF($A59="","",IF(OR($D59="解決",$D59="取消"),"",IF($O59="","",$O59-TODAY())))</x:f>
      </x:c>
      <x:c r="Q59" s="61" t="str">
        <x:f>IF($A59="","",IF(OR($D59="解決",$D59="取消"),"完了",IF($O59="","期限未設定",IF($P59&lt;0,"期限超過",IF($P59=0,"本日期限",IF($P59&lt;=3,"期限接近","期限内"))))))</x:f>
      </x:c>
      <x:c r="R59" s="49"/>
      <x:c r="S59" s="38"/>
      <x:c r="T59" s="49"/>
      <x:c r="U59" s="38"/>
      <x:c r="V59" s="38"/>
      <x:c r="W59" s="38"/>
      <x:c r="X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49"/>
      <x:c r="O60" s="49"/>
      <x:c r="P60" s="60" t="str">
        <x:f>IF($A60="","",IF(OR($D60="解決",$D60="取消"),"",IF($O60="","",$O60-TODAY())))</x:f>
      </x:c>
      <x:c r="Q60" s="61" t="str">
        <x:f>IF($A60="","",IF(OR($D60="解決",$D60="取消"),"完了",IF($O60="","期限未設定",IF($P60&lt;0,"期限超過",IF($P60=0,"本日期限",IF($P60&lt;=3,"期限接近","期限内"))))))</x:f>
      </x:c>
      <x:c r="R60" s="49"/>
      <x:c r="S60" s="38"/>
      <x:c r="T60" s="49"/>
      <x:c r="U60" s="38"/>
      <x:c r="V60" s="38"/>
      <x:c r="W60" s="38"/>
      <x:c r="X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49"/>
      <x:c r="O61" s="49"/>
      <x:c r="P61" s="60" t="str">
        <x:f>IF($A61="","",IF(OR($D61="解決",$D61="取消"),"",IF($O61="","",$O61-TODAY())))</x:f>
      </x:c>
      <x:c r="Q61" s="61" t="str">
        <x:f>IF($A61="","",IF(OR($D61="解決",$D61="取消"),"完了",IF($O61="","期限未設定",IF($P61&lt;0,"期限超過",IF($P61=0,"本日期限",IF($P61&lt;=3,"期限接近","期限内"))))))</x:f>
      </x:c>
      <x:c r="R61" s="49"/>
      <x:c r="S61" s="38"/>
      <x:c r="T61" s="49"/>
      <x:c r="U61" s="38"/>
      <x:c r="V61" s="38"/>
      <x:c r="W61" s="38"/>
      <x:c r="X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49"/>
      <x:c r="O62" s="49"/>
      <x:c r="P62" s="60" t="str">
        <x:f>IF($A62="","",IF(OR($D62="解決",$D62="取消"),"",IF($O62="","",$O62-TODAY())))</x:f>
      </x:c>
      <x:c r="Q62" s="61" t="str">
        <x:f>IF($A62="","",IF(OR($D62="解決",$D62="取消"),"完了",IF($O62="","期限未設定",IF($P62&lt;0,"期限超過",IF($P62=0,"本日期限",IF($P62&lt;=3,"期限接近","期限内"))))))</x:f>
      </x:c>
      <x:c r="R62" s="49"/>
      <x:c r="S62" s="38"/>
      <x:c r="T62" s="49"/>
      <x:c r="U62" s="38"/>
      <x:c r="V62" s="38"/>
      <x:c r="W62" s="38"/>
      <x:c r="X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49"/>
      <x:c r="O63" s="49"/>
      <x:c r="P63" s="60" t="str">
        <x:f>IF($A63="","",IF(OR($D63="解決",$D63="取消"),"",IF($O63="","",$O63-TODAY())))</x:f>
      </x:c>
      <x:c r="Q63" s="61" t="str">
        <x:f>IF($A63="","",IF(OR($D63="解決",$D63="取消"),"完了",IF($O63="","期限未設定",IF($P63&lt;0,"期限超過",IF($P63=0,"本日期限",IF($P63&lt;=3,"期限接近","期限内"))))))</x:f>
      </x:c>
      <x:c r="R63" s="49"/>
      <x:c r="S63" s="38"/>
      <x:c r="T63" s="49"/>
      <x:c r="U63" s="38"/>
      <x:c r="V63" s="38"/>
      <x:c r="W63" s="38"/>
      <x:c r="X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49"/>
      <x:c r="O64" s="49"/>
      <x:c r="P64" s="60" t="str">
        <x:f>IF($A64="","",IF(OR($D64="解決",$D64="取消"),"",IF($O64="","",$O64-TODAY())))</x:f>
      </x:c>
      <x:c r="Q64" s="61" t="str">
        <x:f>IF($A64="","",IF(OR($D64="解決",$D64="取消"),"完了",IF($O64="","期限未設定",IF($P64&lt;0,"期限超過",IF($P64=0,"本日期限",IF($P64&lt;=3,"期限接近","期限内"))))))</x:f>
      </x:c>
      <x:c r="R64" s="49"/>
      <x:c r="S64" s="38"/>
      <x:c r="T64" s="49"/>
      <x:c r="U64" s="38"/>
      <x:c r="V64" s="38"/>
      <x:c r="W64" s="38"/>
      <x:c r="X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49"/>
      <x:c r="O65" s="49"/>
      <x:c r="P65" s="60" t="str">
        <x:f>IF($A65="","",IF(OR($D65="解決",$D65="取消"),"",IF($O65="","",$O65-TODAY())))</x:f>
      </x:c>
      <x:c r="Q65" s="61" t="str">
        <x:f>IF($A65="","",IF(OR($D65="解決",$D65="取消"),"完了",IF($O65="","期限未設定",IF($P65&lt;0,"期限超過",IF($P65=0,"本日期限",IF($P65&lt;=3,"期限接近","期限内"))))))</x:f>
      </x:c>
      <x:c r="R65" s="49"/>
      <x:c r="S65" s="38"/>
      <x:c r="T65" s="49"/>
      <x:c r="U65" s="38"/>
      <x:c r="V65" s="38"/>
      <x:c r="W65" s="38"/>
      <x:c r="X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49"/>
      <x:c r="O66" s="49"/>
      <x:c r="P66" s="60" t="str">
        <x:f>IF($A66="","",IF(OR($D66="解決",$D66="取消"),"",IF($O66="","",$O66-TODAY())))</x:f>
      </x:c>
      <x:c r="Q66" s="61" t="str">
        <x:f>IF($A66="","",IF(OR($D66="解決",$D66="取消"),"完了",IF($O66="","期限未設定",IF($P66&lt;0,"期限超過",IF($P66=0,"本日期限",IF($P66&lt;=3,"期限接近","期限内"))))))</x:f>
      </x:c>
      <x:c r="R66" s="49"/>
      <x:c r="S66" s="38"/>
      <x:c r="T66" s="49"/>
      <x:c r="U66" s="38"/>
      <x:c r="V66" s="38"/>
      <x:c r="W66" s="38"/>
      <x:c r="X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49"/>
      <x:c r="O67" s="49"/>
      <x:c r="P67" s="60" t="str">
        <x:f>IF($A67="","",IF(OR($D67="解決",$D67="取消"),"",IF($O67="","",$O67-TODAY())))</x:f>
      </x:c>
      <x:c r="Q67" s="61" t="str">
        <x:f>IF($A67="","",IF(OR($D67="解決",$D67="取消"),"完了",IF($O67="","期限未設定",IF($P67&lt;0,"期限超過",IF($P67=0,"本日期限",IF($P67&lt;=3,"期限接近","期限内"))))))</x:f>
      </x:c>
      <x:c r="R67" s="49"/>
      <x:c r="S67" s="38"/>
      <x:c r="T67" s="49"/>
      <x:c r="U67" s="38"/>
      <x:c r="V67" s="38"/>
      <x:c r="W67" s="38"/>
      <x:c r="X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49"/>
      <x:c r="O68" s="49"/>
      <x:c r="P68" s="60" t="str">
        <x:f>IF($A68="","",IF(OR($D68="解決",$D68="取消"),"",IF($O68="","",$O68-TODAY())))</x:f>
      </x:c>
      <x:c r="Q68" s="61" t="str">
        <x:f>IF($A68="","",IF(OR($D68="解決",$D68="取消"),"完了",IF($O68="","期限未設定",IF($P68&lt;0,"期限超過",IF($P68=0,"本日期限",IF($P68&lt;=3,"期限接近","期限内"))))))</x:f>
      </x:c>
      <x:c r="R68" s="49"/>
      <x:c r="S68" s="38"/>
      <x:c r="T68" s="49"/>
      <x:c r="U68" s="38"/>
      <x:c r="V68" s="38"/>
      <x:c r="W68" s="38"/>
      <x:c r="X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49"/>
      <x:c r="O69" s="49"/>
      <x:c r="P69" s="60" t="str">
        <x:f>IF($A69="","",IF(OR($D69="解決",$D69="取消"),"",IF($O69="","",$O69-TODAY())))</x:f>
      </x:c>
      <x:c r="Q69" s="61" t="str">
        <x:f>IF($A69="","",IF(OR($D69="解決",$D69="取消"),"完了",IF($O69="","期限未設定",IF($P69&lt;0,"期限超過",IF($P69=0,"本日期限",IF($P69&lt;=3,"期限接近","期限内"))))))</x:f>
      </x:c>
      <x:c r="R69" s="49"/>
      <x:c r="S69" s="38"/>
      <x:c r="T69" s="49"/>
      <x:c r="U69" s="38"/>
      <x:c r="V69" s="38"/>
      <x:c r="W69" s="38"/>
      <x:c r="X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49"/>
      <x:c r="O70" s="49"/>
      <x:c r="P70" s="60" t="str">
        <x:f>IF($A70="","",IF(OR($D70="解決",$D70="取消"),"",IF($O70="","",$O70-TODAY())))</x:f>
      </x:c>
      <x:c r="Q70" s="61" t="str">
        <x:f>IF($A70="","",IF(OR($D70="解決",$D70="取消"),"完了",IF($O70="","期限未設定",IF($P70&lt;0,"期限超過",IF($P70=0,"本日期限",IF($P70&lt;=3,"期限接近","期限内"))))))</x:f>
      </x:c>
      <x:c r="R70" s="49"/>
      <x:c r="S70" s="38"/>
      <x:c r="T70" s="49"/>
      <x:c r="U70" s="38"/>
      <x:c r="V70" s="38"/>
      <x:c r="W70" s="38"/>
      <x:c r="X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49"/>
      <x:c r="O71" s="49"/>
      <x:c r="P71" s="60" t="str">
        <x:f>IF($A71="","",IF(OR($D71="解決",$D71="取消"),"",IF($O71="","",$O71-TODAY())))</x:f>
      </x:c>
      <x:c r="Q71" s="61" t="str">
        <x:f>IF($A71="","",IF(OR($D71="解決",$D71="取消"),"完了",IF($O71="","期限未設定",IF($P71&lt;0,"期限超過",IF($P71=0,"本日期限",IF($P71&lt;=3,"期限接近","期限内"))))))</x:f>
      </x:c>
      <x:c r="R71" s="49"/>
      <x:c r="S71" s="38"/>
      <x:c r="T71" s="49"/>
      <x:c r="U71" s="38"/>
      <x:c r="V71" s="38"/>
      <x:c r="W71" s="38"/>
      <x:c r="X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49"/>
      <x:c r="O72" s="49"/>
      <x:c r="P72" s="60" t="str">
        <x:f>IF($A72="","",IF(OR($D72="解決",$D72="取消"),"",IF($O72="","",$O72-TODAY())))</x:f>
      </x:c>
      <x:c r="Q72" s="61" t="str">
        <x:f>IF($A72="","",IF(OR($D72="解決",$D72="取消"),"完了",IF($O72="","期限未設定",IF($P72&lt;0,"期限超過",IF($P72=0,"本日期限",IF($P72&lt;=3,"期限接近","期限内"))))))</x:f>
      </x:c>
      <x:c r="R72" s="49"/>
      <x:c r="S72" s="38"/>
      <x:c r="T72" s="49"/>
      <x:c r="U72" s="38"/>
      <x:c r="V72" s="38"/>
      <x:c r="W72" s="38"/>
      <x:c r="X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49"/>
      <x:c r="O73" s="49"/>
      <x:c r="P73" s="60" t="str">
        <x:f>IF($A73="","",IF(OR($D73="解決",$D73="取消"),"",IF($O73="","",$O73-TODAY())))</x:f>
      </x:c>
      <x:c r="Q73" s="61" t="str">
        <x:f>IF($A73="","",IF(OR($D73="解決",$D73="取消"),"完了",IF($O73="","期限未設定",IF($P73&lt;0,"期限超過",IF($P73=0,"本日期限",IF($P73&lt;=3,"期限接近","期限内"))))))</x:f>
      </x:c>
      <x:c r="R73" s="49"/>
      <x:c r="S73" s="38"/>
      <x:c r="T73" s="49"/>
      <x:c r="U73" s="38"/>
      <x:c r="V73" s="38"/>
      <x:c r="W73" s="38"/>
      <x:c r="X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49"/>
      <x:c r="O74" s="49"/>
      <x:c r="P74" s="60" t="str">
        <x:f>IF($A74="","",IF(OR($D74="解決",$D74="取消"),"",IF($O74="","",$O74-TODAY())))</x:f>
      </x:c>
      <x:c r="Q74" s="61" t="str">
        <x:f>IF($A74="","",IF(OR($D74="解決",$D74="取消"),"完了",IF($O74="","期限未設定",IF($P74&lt;0,"期限超過",IF($P74=0,"本日期限",IF($P74&lt;=3,"期限接近","期限内"))))))</x:f>
      </x:c>
      <x:c r="R74" s="49"/>
      <x:c r="S74" s="38"/>
      <x:c r="T74" s="49"/>
      <x:c r="U74" s="38"/>
      <x:c r="V74" s="38"/>
      <x:c r="W74" s="38"/>
      <x:c r="X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49"/>
      <x:c r="O75" s="49"/>
      <x:c r="P75" s="60" t="str">
        <x:f>IF($A75="","",IF(OR($D75="解決",$D75="取消"),"",IF($O75="","",$O75-TODAY())))</x:f>
      </x:c>
      <x:c r="Q75" s="61" t="str">
        <x:f>IF($A75="","",IF(OR($D75="解決",$D75="取消"),"完了",IF($O75="","期限未設定",IF($P75&lt;0,"期限超過",IF($P75=0,"本日期限",IF($P75&lt;=3,"期限接近","期限内"))))))</x:f>
      </x:c>
      <x:c r="R75" s="49"/>
      <x:c r="S75" s="38"/>
      <x:c r="T75" s="49"/>
      <x:c r="U75" s="38"/>
      <x:c r="V75" s="38"/>
      <x:c r="W75" s="38"/>
      <x:c r="X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49"/>
      <x:c r="O76" s="49"/>
      <x:c r="P76" s="60" t="str">
        <x:f>IF($A76="","",IF(OR($D76="解決",$D76="取消"),"",IF($O76="","",$O76-TODAY())))</x:f>
      </x:c>
      <x:c r="Q76" s="61" t="str">
        <x:f>IF($A76="","",IF(OR($D76="解決",$D76="取消"),"完了",IF($O76="","期限未設定",IF($P76&lt;0,"期限超過",IF($P76=0,"本日期限",IF($P76&lt;=3,"期限接近","期限内"))))))</x:f>
      </x:c>
      <x:c r="R76" s="49"/>
      <x:c r="S76" s="38"/>
      <x:c r="T76" s="49"/>
      <x:c r="U76" s="38"/>
      <x:c r="V76" s="38"/>
      <x:c r="W76" s="38"/>
      <x:c r="X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49"/>
      <x:c r="O77" s="49"/>
      <x:c r="P77" s="60" t="str">
        <x:f>IF($A77="","",IF(OR($D77="解決",$D77="取消"),"",IF($O77="","",$O77-TODAY())))</x:f>
      </x:c>
      <x:c r="Q77" s="61" t="str">
        <x:f>IF($A77="","",IF(OR($D77="解決",$D77="取消"),"完了",IF($O77="","期限未設定",IF($P77&lt;0,"期限超過",IF($P77=0,"本日期限",IF($P77&lt;=3,"期限接近","期限内"))))))</x:f>
      </x:c>
      <x:c r="R77" s="49"/>
      <x:c r="S77" s="38"/>
      <x:c r="T77" s="49"/>
      <x:c r="U77" s="38"/>
      <x:c r="V77" s="38"/>
      <x:c r="W77" s="38"/>
      <x:c r="X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49"/>
      <x:c r="O78" s="49"/>
      <x:c r="P78" s="60" t="str">
        <x:f>IF($A78="","",IF(OR($D78="解決",$D78="取消"),"",IF($O78="","",$O78-TODAY())))</x:f>
      </x:c>
      <x:c r="Q78" s="61" t="str">
        <x:f>IF($A78="","",IF(OR($D78="解決",$D78="取消"),"完了",IF($O78="","期限未設定",IF($P78&lt;0,"期限超過",IF($P78=0,"本日期限",IF($P78&lt;=3,"期限接近","期限内"))))))</x:f>
      </x:c>
      <x:c r="R78" s="49"/>
      <x:c r="S78" s="38"/>
      <x:c r="T78" s="49"/>
      <x:c r="U78" s="38"/>
      <x:c r="V78" s="38"/>
      <x:c r="W78" s="38"/>
      <x:c r="X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49"/>
      <x:c r="O79" s="49"/>
      <x:c r="P79" s="60" t="str">
        <x:f>IF($A79="","",IF(OR($D79="解決",$D79="取消"),"",IF($O79="","",$O79-TODAY())))</x:f>
      </x:c>
      <x:c r="Q79" s="61" t="str">
        <x:f>IF($A79="","",IF(OR($D79="解決",$D79="取消"),"完了",IF($O79="","期限未設定",IF($P79&lt;0,"期限超過",IF($P79=0,"本日期限",IF($P79&lt;=3,"期限接近","期限内"))))))</x:f>
      </x:c>
      <x:c r="R79" s="49"/>
      <x:c r="S79" s="38"/>
      <x:c r="T79" s="49"/>
      <x:c r="U79" s="38"/>
      <x:c r="V79" s="38"/>
      <x:c r="W79" s="38"/>
      <x:c r="X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49"/>
      <x:c r="O80" s="49"/>
      <x:c r="P80" s="60" t="str">
        <x:f>IF($A80="","",IF(OR($D80="解決",$D80="取消"),"",IF($O80="","",$O80-TODAY())))</x:f>
      </x:c>
      <x:c r="Q80" s="61" t="str">
        <x:f>IF($A80="","",IF(OR($D80="解決",$D80="取消"),"完了",IF($O80="","期限未設定",IF($P80&lt;0,"期限超過",IF($P80=0,"本日期限",IF($P80&lt;=3,"期限接近","期限内"))))))</x:f>
      </x:c>
      <x:c r="R80" s="49"/>
      <x:c r="S80" s="38"/>
      <x:c r="T80" s="49"/>
      <x:c r="U80" s="38"/>
      <x:c r="V80" s="38"/>
      <x:c r="W80" s="38"/>
      <x:c r="X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49"/>
      <x:c r="O81" s="49"/>
      <x:c r="P81" s="60" t="str">
        <x:f>IF($A81="","",IF(OR($D81="解決",$D81="取消"),"",IF($O81="","",$O81-TODAY())))</x:f>
      </x:c>
      <x:c r="Q81" s="61" t="str">
        <x:f>IF($A81="","",IF(OR($D81="解決",$D81="取消"),"完了",IF($O81="","期限未設定",IF($P81&lt;0,"期限超過",IF($P81=0,"本日期限",IF($P81&lt;=3,"期限接近","期限内"))))))</x:f>
      </x:c>
      <x:c r="R81" s="49"/>
      <x:c r="S81" s="38"/>
      <x:c r="T81" s="49"/>
      <x:c r="U81" s="38"/>
      <x:c r="V81" s="38"/>
      <x:c r="W81" s="38"/>
      <x:c r="X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49"/>
      <x:c r="O82" s="49"/>
      <x:c r="P82" s="60" t="str">
        <x:f>IF($A82="","",IF(OR($D82="解決",$D82="取消"),"",IF($O82="","",$O82-TODAY())))</x:f>
      </x:c>
      <x:c r="Q82" s="61" t="str">
        <x:f>IF($A82="","",IF(OR($D82="解決",$D82="取消"),"完了",IF($O82="","期限未設定",IF($P82&lt;0,"期限超過",IF($P82=0,"本日期限",IF($P82&lt;=3,"期限接近","期限内"))))))</x:f>
      </x:c>
      <x:c r="R82" s="49"/>
      <x:c r="S82" s="38"/>
      <x:c r="T82" s="49"/>
      <x:c r="U82" s="38"/>
      <x:c r="V82" s="38"/>
      <x:c r="W82" s="38"/>
      <x:c r="X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49"/>
      <x:c r="O83" s="49"/>
      <x:c r="P83" s="60" t="str">
        <x:f>IF($A83="","",IF(OR($D83="解決",$D83="取消"),"",IF($O83="","",$O83-TODAY())))</x:f>
      </x:c>
      <x:c r="Q83" s="61" t="str">
        <x:f>IF($A83="","",IF(OR($D83="解決",$D83="取消"),"完了",IF($O83="","期限未設定",IF($P83&lt;0,"期限超過",IF($P83=0,"本日期限",IF($P83&lt;=3,"期限接近","期限内"))))))</x:f>
      </x:c>
      <x:c r="R83" s="49"/>
      <x:c r="S83" s="38"/>
      <x:c r="T83" s="49"/>
      <x:c r="U83" s="38"/>
      <x:c r="V83" s="38"/>
      <x:c r="W83" s="38"/>
      <x:c r="X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49"/>
      <x:c r="O84" s="49"/>
      <x:c r="P84" s="60" t="str">
        <x:f>IF($A84="","",IF(OR($D84="解決",$D84="取消"),"",IF($O84="","",$O84-TODAY())))</x:f>
      </x:c>
      <x:c r="Q84" s="61" t="str">
        <x:f>IF($A84="","",IF(OR($D84="解決",$D84="取消"),"完了",IF($O84="","期限未設定",IF($P84&lt;0,"期限超過",IF($P84=0,"本日期限",IF($P84&lt;=3,"期限接近","期限内"))))))</x:f>
      </x:c>
      <x:c r="R84" s="49"/>
      <x:c r="S84" s="38"/>
      <x:c r="T84" s="49"/>
      <x:c r="U84" s="38"/>
      <x:c r="V84" s="38"/>
      <x:c r="W84" s="38"/>
      <x:c r="X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49"/>
      <x:c r="O85" s="49"/>
      <x:c r="P85" s="60" t="str">
        <x:f>IF($A85="","",IF(OR($D85="解決",$D85="取消"),"",IF($O85="","",$O85-TODAY())))</x:f>
      </x:c>
      <x:c r="Q85" s="61" t="str">
        <x:f>IF($A85="","",IF(OR($D85="解決",$D85="取消"),"完了",IF($O85="","期限未設定",IF($P85&lt;0,"期限超過",IF($P85=0,"本日期限",IF($P85&lt;=3,"期限接近","期限内"))))))</x:f>
      </x:c>
      <x:c r="R85" s="49"/>
      <x:c r="S85" s="38"/>
      <x:c r="T85" s="49"/>
      <x:c r="U85" s="38"/>
      <x:c r="V85" s="38"/>
      <x:c r="W85" s="38"/>
      <x:c r="X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49"/>
      <x:c r="O86" s="49"/>
      <x:c r="P86" s="60" t="str">
        <x:f>IF($A86="","",IF(OR($D86="解決",$D86="取消"),"",IF($O86="","",$O86-TODAY())))</x:f>
      </x:c>
      <x:c r="Q86" s="61" t="str">
        <x:f>IF($A86="","",IF(OR($D86="解決",$D86="取消"),"完了",IF($O86="","期限未設定",IF($P86&lt;0,"期限超過",IF($P86=0,"本日期限",IF($P86&lt;=3,"期限接近","期限内"))))))</x:f>
      </x:c>
      <x:c r="R86" s="49"/>
      <x:c r="S86" s="38"/>
      <x:c r="T86" s="49"/>
      <x:c r="U86" s="38"/>
      <x:c r="V86" s="38"/>
      <x:c r="W86" s="38"/>
      <x:c r="X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49"/>
      <x:c r="O87" s="49"/>
      <x:c r="P87" s="60" t="str">
        <x:f>IF($A87="","",IF(OR($D87="解決",$D87="取消"),"",IF($O87="","",$O87-TODAY())))</x:f>
      </x:c>
      <x:c r="Q87" s="61" t="str">
        <x:f>IF($A87="","",IF(OR($D87="解決",$D87="取消"),"完了",IF($O87="","期限未設定",IF($P87&lt;0,"期限超過",IF($P87=0,"本日期限",IF($P87&lt;=3,"期限接近","期限内"))))))</x:f>
      </x:c>
      <x:c r="R87" s="49"/>
      <x:c r="S87" s="38"/>
      <x:c r="T87" s="49"/>
      <x:c r="U87" s="38"/>
      <x:c r="V87" s="38"/>
      <x:c r="W87" s="38"/>
      <x:c r="X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49"/>
      <x:c r="O88" s="49"/>
      <x:c r="P88" s="60" t="str">
        <x:f>IF($A88="","",IF(OR($D88="解決",$D88="取消"),"",IF($O88="","",$O88-TODAY())))</x:f>
      </x:c>
      <x:c r="Q88" s="61" t="str">
        <x:f>IF($A88="","",IF(OR($D88="解決",$D88="取消"),"完了",IF($O88="","期限未設定",IF($P88&lt;0,"期限超過",IF($P88=0,"本日期限",IF($P88&lt;=3,"期限接近","期限内"))))))</x:f>
      </x:c>
      <x:c r="R88" s="49"/>
      <x:c r="S88" s="38"/>
      <x:c r="T88" s="49"/>
      <x:c r="U88" s="38"/>
      <x:c r="V88" s="38"/>
      <x:c r="W88" s="38"/>
      <x:c r="X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49"/>
      <x:c r="O89" s="49"/>
      <x:c r="P89" s="60" t="str">
        <x:f>IF($A89="","",IF(OR($D89="解決",$D89="取消"),"",IF($O89="","",$O89-TODAY())))</x:f>
      </x:c>
      <x:c r="Q89" s="61" t="str">
        <x:f>IF($A89="","",IF(OR($D89="解決",$D89="取消"),"完了",IF($O89="","期限未設定",IF($P89&lt;0,"期限超過",IF($P89=0,"本日期限",IF($P89&lt;=3,"期限接近","期限内"))))))</x:f>
      </x:c>
      <x:c r="R89" s="49"/>
      <x:c r="S89" s="38"/>
      <x:c r="T89" s="49"/>
      <x:c r="U89" s="38"/>
      <x:c r="V89" s="38"/>
      <x:c r="W89" s="38"/>
      <x:c r="X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49"/>
      <x:c r="O90" s="49"/>
      <x:c r="P90" s="60" t="str">
        <x:f>IF($A90="","",IF(OR($D90="解決",$D90="取消"),"",IF($O90="","",$O90-TODAY())))</x:f>
      </x:c>
      <x:c r="Q90" s="61" t="str">
        <x:f>IF($A90="","",IF(OR($D90="解決",$D90="取消"),"完了",IF($O90="","期限未設定",IF($P90&lt;0,"期限超過",IF($P90=0,"本日期限",IF($P90&lt;=3,"期限接近","期限内"))))))</x:f>
      </x:c>
      <x:c r="R90" s="49"/>
      <x:c r="S90" s="38"/>
      <x:c r="T90" s="49"/>
      <x:c r="U90" s="38"/>
      <x:c r="V90" s="38"/>
      <x:c r="W90" s="38"/>
      <x:c r="X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49"/>
      <x:c r="O91" s="49"/>
      <x:c r="P91" s="60" t="str">
        <x:f>IF($A91="","",IF(OR($D91="解決",$D91="取消"),"",IF($O91="","",$O91-TODAY())))</x:f>
      </x:c>
      <x:c r="Q91" s="61" t="str">
        <x:f>IF($A91="","",IF(OR($D91="解決",$D91="取消"),"完了",IF($O91="","期限未設定",IF($P91&lt;0,"期限超過",IF($P91=0,"本日期限",IF($P91&lt;=3,"期限接近","期限内"))))))</x:f>
      </x:c>
      <x:c r="R91" s="49"/>
      <x:c r="S91" s="38"/>
      <x:c r="T91" s="49"/>
      <x:c r="U91" s="38"/>
      <x:c r="V91" s="38"/>
      <x:c r="W91" s="38"/>
      <x:c r="X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49"/>
      <x:c r="O92" s="49"/>
      <x:c r="P92" s="60" t="str">
        <x:f>IF($A92="","",IF(OR($D92="解決",$D92="取消"),"",IF($O92="","",$O92-TODAY())))</x:f>
      </x:c>
      <x:c r="Q92" s="61" t="str">
        <x:f>IF($A92="","",IF(OR($D92="解決",$D92="取消"),"完了",IF($O92="","期限未設定",IF($P92&lt;0,"期限超過",IF($P92=0,"本日期限",IF($P92&lt;=3,"期限接近","期限内"))))))</x:f>
      </x:c>
      <x:c r="R92" s="49"/>
      <x:c r="S92" s="38"/>
      <x:c r="T92" s="49"/>
      <x:c r="U92" s="38"/>
      <x:c r="V92" s="38"/>
      <x:c r="W92" s="38"/>
      <x:c r="X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49"/>
      <x:c r="O93" s="49"/>
      <x:c r="P93" s="60" t="str">
        <x:f>IF($A93="","",IF(OR($D93="解決",$D93="取消"),"",IF($O93="","",$O93-TODAY())))</x:f>
      </x:c>
      <x:c r="Q93" s="61" t="str">
        <x:f>IF($A93="","",IF(OR($D93="解決",$D93="取消"),"完了",IF($O93="","期限未設定",IF($P93&lt;0,"期限超過",IF($P93=0,"本日期限",IF($P93&lt;=3,"期限接近","期限内"))))))</x:f>
      </x:c>
      <x:c r="R93" s="49"/>
      <x:c r="S93" s="38"/>
      <x:c r="T93" s="49"/>
      <x:c r="U93" s="38"/>
      <x:c r="V93" s="38"/>
      <x:c r="W93" s="38"/>
      <x:c r="X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49"/>
      <x:c r="O94" s="49"/>
      <x:c r="P94" s="60" t="str">
        <x:f>IF($A94="","",IF(OR($D94="解決",$D94="取消"),"",IF($O94="","",$O94-TODAY())))</x:f>
      </x:c>
      <x:c r="Q94" s="61" t="str">
        <x:f>IF($A94="","",IF(OR($D94="解決",$D94="取消"),"完了",IF($O94="","期限未設定",IF($P94&lt;0,"期限超過",IF($P94=0,"本日期限",IF($P94&lt;=3,"期限接近","期限内"))))))</x:f>
      </x:c>
      <x:c r="R94" s="49"/>
      <x:c r="S94" s="38"/>
      <x:c r="T94" s="49"/>
      <x:c r="U94" s="38"/>
      <x:c r="V94" s="38"/>
      <x:c r="W94" s="38"/>
      <x:c r="X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49"/>
      <x:c r="O95" s="49"/>
      <x:c r="P95" s="60" t="str">
        <x:f>IF($A95="","",IF(OR($D95="解決",$D95="取消"),"",IF($O95="","",$O95-TODAY())))</x:f>
      </x:c>
      <x:c r="Q95" s="61" t="str">
        <x:f>IF($A95="","",IF(OR($D95="解決",$D95="取消"),"完了",IF($O95="","期限未設定",IF($P95&lt;0,"期限超過",IF($P95=0,"本日期限",IF($P95&lt;=3,"期限接近","期限内"))))))</x:f>
      </x:c>
      <x:c r="R95" s="49"/>
      <x:c r="S95" s="38"/>
      <x:c r="T95" s="49"/>
      <x:c r="U95" s="38"/>
      <x:c r="V95" s="38"/>
      <x:c r="W95" s="38"/>
      <x:c r="X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49"/>
      <x:c r="O96" s="49"/>
      <x:c r="P96" s="60" t="str">
        <x:f>IF($A96="","",IF(OR($D96="解決",$D96="取消"),"",IF($O96="","",$O96-TODAY())))</x:f>
      </x:c>
      <x:c r="Q96" s="61" t="str">
        <x:f>IF($A96="","",IF(OR($D96="解決",$D96="取消"),"完了",IF($O96="","期限未設定",IF($P96&lt;0,"期限超過",IF($P96=0,"本日期限",IF($P96&lt;=3,"期限接近","期限内"))))))</x:f>
      </x:c>
      <x:c r="R96" s="49"/>
      <x:c r="S96" s="38"/>
      <x:c r="T96" s="49"/>
      <x:c r="U96" s="38"/>
      <x:c r="V96" s="38"/>
      <x:c r="W96" s="38"/>
      <x:c r="X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49"/>
      <x:c r="O97" s="49"/>
      <x:c r="P97" s="60" t="str">
        <x:f>IF($A97="","",IF(OR($D97="解決",$D97="取消"),"",IF($O97="","",$O97-TODAY())))</x:f>
      </x:c>
      <x:c r="Q97" s="61" t="str">
        <x:f>IF($A97="","",IF(OR($D97="解決",$D97="取消"),"完了",IF($O97="","期限未設定",IF($P97&lt;0,"期限超過",IF($P97=0,"本日期限",IF($P97&lt;=3,"期限接近","期限内"))))))</x:f>
      </x:c>
      <x:c r="R97" s="49"/>
      <x:c r="S97" s="38"/>
      <x:c r="T97" s="49"/>
      <x:c r="U97" s="38"/>
      <x:c r="V97" s="38"/>
      <x:c r="W97" s="38"/>
      <x:c r="X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49"/>
      <x:c r="O98" s="49"/>
      <x:c r="P98" s="60" t="str">
        <x:f>IF($A98="","",IF(OR($D98="解決",$D98="取消"),"",IF($O98="","",$O98-TODAY())))</x:f>
      </x:c>
      <x:c r="Q98" s="61" t="str">
        <x:f>IF($A98="","",IF(OR($D98="解決",$D98="取消"),"完了",IF($O98="","期限未設定",IF($P98&lt;0,"期限超過",IF($P98=0,"本日期限",IF($P98&lt;=3,"期限接近","期限内"))))))</x:f>
      </x:c>
      <x:c r="R98" s="49"/>
      <x:c r="S98" s="38"/>
      <x:c r="T98" s="49"/>
      <x:c r="U98" s="38"/>
      <x:c r="V98" s="38"/>
      <x:c r="W98" s="38"/>
      <x:c r="X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49"/>
      <x:c r="O99" s="49"/>
      <x:c r="P99" s="60" t="str">
        <x:f>IF($A99="","",IF(OR($D99="解決",$D99="取消"),"",IF($O99="","",$O99-TODAY())))</x:f>
      </x:c>
      <x:c r="Q99" s="61" t="str">
        <x:f>IF($A99="","",IF(OR($D99="解決",$D99="取消"),"完了",IF($O99="","期限未設定",IF($P99&lt;0,"期限超過",IF($P99=0,"本日期限",IF($P99&lt;=3,"期限接近","期限内"))))))</x:f>
      </x:c>
      <x:c r="R99" s="49"/>
      <x:c r="S99" s="38"/>
      <x:c r="T99" s="49"/>
      <x:c r="U99" s="38"/>
      <x:c r="V99" s="38"/>
      <x:c r="W99" s="38"/>
      <x:c r="X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49"/>
      <x:c r="O100" s="49"/>
      <x:c r="P100" s="60" t="str">
        <x:f>IF($A100="","",IF(OR($D100="解決",$D100="取消"),"",IF($O100="","",$O100-TODAY())))</x:f>
      </x:c>
      <x:c r="Q100" s="61" t="str">
        <x:f>IF($A100="","",IF(OR($D100="解決",$D100="取消"),"完了",IF($O100="","期限未設定",IF($P100&lt;0,"期限超過",IF($P100=0,"本日期限",IF($P100&lt;=3,"期限接近","期限内"))))))</x:f>
      </x:c>
      <x:c r="R100" s="49"/>
      <x:c r="S100" s="38"/>
      <x:c r="T100" s="49"/>
      <x:c r="U100" s="38"/>
      <x:c r="V100" s="38"/>
      <x:c r="W100" s="38"/>
      <x:c r="X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49"/>
      <x:c r="O101" s="49"/>
      <x:c r="P101" s="60" t="str">
        <x:f>IF($A101="","",IF(OR($D101="解決",$D101="取消"),"",IF($O101="","",$O101-TODAY())))</x:f>
      </x:c>
      <x:c r="Q101" s="61" t="str">
        <x:f>IF($A101="","",IF(OR($D101="解決",$D101="取消"),"完了",IF($O101="","期限未設定",IF($P101&lt;0,"期限超過",IF($P101=0,"本日期限",IF($P101&lt;=3,"期限接近","期限内"))))))</x:f>
      </x:c>
      <x:c r="R101" s="49"/>
      <x:c r="S101" s="38"/>
      <x:c r="T101" s="49"/>
      <x:c r="U101" s="38"/>
      <x:c r="V101" s="38"/>
      <x:c r="W101" s="38"/>
      <x:c r="X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49"/>
      <x:c r="O102" s="49"/>
      <x:c r="P102" s="60" t="str">
        <x:f>IF($A102="","",IF(OR($D102="解決",$D102="取消"),"",IF($O102="","",$O102-TODAY())))</x:f>
      </x:c>
      <x:c r="Q102" s="61" t="str">
        <x:f>IF($A102="","",IF(OR($D102="解決",$D102="取消"),"完了",IF($O102="","期限未設定",IF($P102&lt;0,"期限超過",IF($P102=0,"本日期限",IF($P102&lt;=3,"期限接近","期限内"))))))</x:f>
      </x:c>
      <x:c r="R102" s="49"/>
      <x:c r="S102" s="38"/>
      <x:c r="T102" s="49"/>
      <x:c r="U102" s="38"/>
      <x:c r="V102" s="38"/>
      <x:c r="W102" s="38"/>
      <x:c r="X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49"/>
      <x:c r="O103" s="49"/>
      <x:c r="P103" s="60" t="str">
        <x:f>IF($A103="","",IF(OR($D103="解決",$D103="取消"),"",IF($O103="","",$O103-TODAY())))</x:f>
      </x:c>
      <x:c r="Q103" s="61" t="str">
        <x:f>IF($A103="","",IF(OR($D103="解決",$D103="取消"),"完了",IF($O103="","期限未設定",IF($P103&lt;0,"期限超過",IF($P103=0,"本日期限",IF($P103&lt;=3,"期限接近","期限内"))))))</x:f>
      </x:c>
      <x:c r="R103" s="49"/>
      <x:c r="S103" s="38"/>
      <x:c r="T103" s="49"/>
      <x:c r="U103" s="38"/>
      <x:c r="V103" s="38"/>
      <x:c r="W103" s="38"/>
      <x:c r="X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49"/>
      <x:c r="O104" s="49"/>
      <x:c r="P104" s="60" t="str">
        <x:f>IF($A104="","",IF(OR($D104="解決",$D104="取消"),"",IF($O104="","",$O104-TODAY())))</x:f>
      </x:c>
      <x:c r="Q104" s="61" t="str">
        <x:f>IF($A104="","",IF(OR($D104="解決",$D104="取消"),"完了",IF($O104="","期限未設定",IF($P104&lt;0,"期限超過",IF($P104=0,"本日期限",IF($P104&lt;=3,"期限接近","期限内"))))))</x:f>
      </x:c>
      <x:c r="R104" s="49"/>
      <x:c r="S104" s="38"/>
      <x:c r="T104" s="49"/>
      <x:c r="U104" s="38"/>
      <x:c r="V104" s="38"/>
      <x:c r="W104" s="38"/>
      <x:c r="X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49"/>
      <x:c r="O105" s="49"/>
      <x:c r="P105" s="60" t="str">
        <x:f>IF($A105="","",IF(OR($D105="解決",$D105="取消"),"",IF($O105="","",$O105-TODAY())))</x:f>
      </x:c>
      <x:c r="Q105" s="61" t="str">
        <x:f>IF($A105="","",IF(OR($D105="解決",$D105="取消"),"完了",IF($O105="","期限未設定",IF($P105&lt;0,"期限超過",IF($P105=0,"本日期限",IF($P105&lt;=3,"期限接近","期限内"))))))</x:f>
      </x:c>
      <x:c r="R105" s="49"/>
      <x:c r="S105" s="38"/>
      <x:c r="T105" s="49"/>
      <x:c r="U105" s="38"/>
      <x:c r="V105" s="38"/>
      <x:c r="W105" s="38"/>
      <x:c r="X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49"/>
      <x:c r="O106" s="49"/>
      <x:c r="P106" s="60" t="str">
        <x:f>IF($A106="","",IF(OR($D106="解決",$D106="取消"),"",IF($O106="","",$O106-TODAY())))</x:f>
      </x:c>
      <x:c r="Q106" s="61" t="str">
        <x:f>IF($A106="","",IF(OR($D106="解決",$D106="取消"),"完了",IF($O106="","期限未設定",IF($P106&lt;0,"期限超過",IF($P106=0,"本日期限",IF($P106&lt;=3,"期限接近","期限内"))))))</x:f>
      </x:c>
      <x:c r="R106" s="49"/>
      <x:c r="S106" s="38"/>
      <x:c r="T106" s="49"/>
      <x:c r="U106" s="38"/>
      <x:c r="V106" s="38"/>
      <x:c r="W106" s="38"/>
      <x:c r="X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49"/>
      <x:c r="O107" s="49"/>
      <x:c r="P107" s="60" t="str">
        <x:f>IF($A107="","",IF(OR($D107="解決",$D107="取消"),"",IF($O107="","",$O107-TODAY())))</x:f>
      </x:c>
      <x:c r="Q107" s="61" t="str">
        <x:f>IF($A107="","",IF(OR($D107="解決",$D107="取消"),"完了",IF($O107="","期限未設定",IF($P107&lt;0,"期限超過",IF($P107=0,"本日期限",IF($P107&lt;=3,"期限接近","期限内"))))))</x:f>
      </x:c>
      <x:c r="R107" s="49"/>
      <x:c r="S107" s="38"/>
      <x:c r="T107" s="49"/>
      <x:c r="U107" s="38"/>
      <x:c r="V107" s="38"/>
      <x:c r="W107" s="38"/>
      <x:c r="X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49"/>
      <x:c r="O108" s="49"/>
      <x:c r="P108" s="60" t="str">
        <x:f>IF($A108="","",IF(OR($D108="解決",$D108="取消"),"",IF($O108="","",$O108-TODAY())))</x:f>
      </x:c>
      <x:c r="Q108" s="61" t="str">
        <x:f>IF($A108="","",IF(OR($D108="解決",$D108="取消"),"完了",IF($O108="","期限未設定",IF($P108&lt;0,"期限超過",IF($P108=0,"本日期限",IF($P108&lt;=3,"期限接近","期限内"))))))</x:f>
      </x:c>
      <x:c r="R108" s="49"/>
      <x:c r="S108" s="38"/>
      <x:c r="T108" s="49"/>
      <x:c r="U108" s="38"/>
      <x:c r="V108" s="38"/>
      <x:c r="W108" s="38"/>
      <x:c r="X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49"/>
      <x:c r="O109" s="49"/>
      <x:c r="P109" s="60" t="str">
        <x:f>IF($A109="","",IF(OR($D109="解決",$D109="取消"),"",IF($O109="","",$O109-TODAY())))</x:f>
      </x:c>
      <x:c r="Q109" s="61" t="str">
        <x:f>IF($A109="","",IF(OR($D109="解決",$D109="取消"),"完了",IF($O109="","期限未設定",IF($P109&lt;0,"期限超過",IF($P109=0,"本日期限",IF($P109&lt;=3,"期限接近","期限内"))))))</x:f>
      </x:c>
      <x:c r="R109" s="49"/>
      <x:c r="S109" s="38"/>
      <x:c r="T109" s="49"/>
      <x:c r="U109" s="38"/>
      <x:c r="V109" s="38"/>
      <x:c r="W109" s="38"/>
      <x:c r="X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49"/>
      <x:c r="O110" s="49"/>
      <x:c r="P110" s="60" t="str">
        <x:f>IF($A110="","",IF(OR($D110="解決",$D110="取消"),"",IF($O110="","",$O110-TODAY())))</x:f>
      </x:c>
      <x:c r="Q110" s="61" t="str">
        <x:f>IF($A110="","",IF(OR($D110="解決",$D110="取消"),"完了",IF($O110="","期限未設定",IF($P110&lt;0,"期限超過",IF($P110=0,"本日期限",IF($P110&lt;=3,"期限接近","期限内"))))))</x:f>
      </x:c>
      <x:c r="R110" s="49"/>
      <x:c r="S110" s="38"/>
      <x:c r="T110" s="49"/>
      <x:c r="U110" s="38"/>
      <x:c r="V110" s="38"/>
      <x:c r="W110" s="38"/>
      <x:c r="X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49"/>
      <x:c r="O111" s="49"/>
      <x:c r="P111" s="60" t="str">
        <x:f>IF($A111="","",IF(OR($D111="解決",$D111="取消"),"",IF($O111="","",$O111-TODAY())))</x:f>
      </x:c>
      <x:c r="Q111" s="61" t="str">
        <x:f>IF($A111="","",IF(OR($D111="解決",$D111="取消"),"完了",IF($O111="","期限未設定",IF($P111&lt;0,"期限超過",IF($P111=0,"本日期限",IF($P111&lt;=3,"期限接近","期限内"))))))</x:f>
      </x:c>
      <x:c r="R111" s="49"/>
      <x:c r="S111" s="38"/>
      <x:c r="T111" s="49"/>
      <x:c r="U111" s="38"/>
      <x:c r="V111" s="38"/>
      <x:c r="W111" s="38"/>
      <x:c r="X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49"/>
      <x:c r="O112" s="49"/>
      <x:c r="P112" s="60" t="str">
        <x:f>IF($A112="","",IF(OR($D112="解決",$D112="取消"),"",IF($O112="","",$O112-TODAY())))</x:f>
      </x:c>
      <x:c r="Q112" s="61" t="str">
        <x:f>IF($A112="","",IF(OR($D112="解決",$D112="取消"),"完了",IF($O112="","期限未設定",IF($P112&lt;0,"期限超過",IF($P112=0,"本日期限",IF($P112&lt;=3,"期限接近","期限内"))))))</x:f>
      </x:c>
      <x:c r="R112" s="49"/>
      <x:c r="S112" s="38"/>
      <x:c r="T112" s="49"/>
      <x:c r="U112" s="38"/>
      <x:c r="V112" s="38"/>
      <x:c r="W112" s="38"/>
      <x:c r="X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49"/>
      <x:c r="O113" s="49"/>
      <x:c r="P113" s="60" t="str">
        <x:f>IF($A113="","",IF(OR($D113="解決",$D113="取消"),"",IF($O113="","",$O113-TODAY())))</x:f>
      </x:c>
      <x:c r="Q113" s="61" t="str">
        <x:f>IF($A113="","",IF(OR($D113="解決",$D113="取消"),"完了",IF($O113="","期限未設定",IF($P113&lt;0,"期限超過",IF($P113=0,"本日期限",IF($P113&lt;=3,"期限接近","期限内"))))))</x:f>
      </x:c>
      <x:c r="R113" s="49"/>
      <x:c r="S113" s="38"/>
      <x:c r="T113" s="49"/>
      <x:c r="U113" s="38"/>
      <x:c r="V113" s="38"/>
      <x:c r="W113" s="38"/>
      <x:c r="X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49"/>
      <x:c r="O114" s="49"/>
      <x:c r="P114" s="60" t="str">
        <x:f>IF($A114="","",IF(OR($D114="解決",$D114="取消"),"",IF($O114="","",$O114-TODAY())))</x:f>
      </x:c>
      <x:c r="Q114" s="61" t="str">
        <x:f>IF($A114="","",IF(OR($D114="解決",$D114="取消"),"完了",IF($O114="","期限未設定",IF($P114&lt;0,"期限超過",IF($P114=0,"本日期限",IF($P114&lt;=3,"期限接近","期限内"))))))</x:f>
      </x:c>
      <x:c r="R114" s="49"/>
      <x:c r="S114" s="38"/>
      <x:c r="T114" s="49"/>
      <x:c r="U114" s="38"/>
      <x:c r="V114" s="38"/>
      <x:c r="W114" s="38"/>
      <x:c r="X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49"/>
      <x:c r="O115" s="49"/>
      <x:c r="P115" s="60" t="str">
        <x:f>IF($A115="","",IF(OR($D115="解決",$D115="取消"),"",IF($O115="","",$O115-TODAY())))</x:f>
      </x:c>
      <x:c r="Q115" s="61" t="str">
        <x:f>IF($A115="","",IF(OR($D115="解決",$D115="取消"),"完了",IF($O115="","期限未設定",IF($P115&lt;0,"期限超過",IF($P115=0,"本日期限",IF($P115&lt;=3,"期限接近","期限内"))))))</x:f>
      </x:c>
      <x:c r="R115" s="49"/>
      <x:c r="S115" s="38"/>
      <x:c r="T115" s="49"/>
      <x:c r="U115" s="38"/>
      <x:c r="V115" s="38"/>
      <x:c r="W115" s="38"/>
      <x:c r="X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49"/>
      <x:c r="O116" s="49"/>
      <x:c r="P116" s="60" t="str">
        <x:f>IF($A116="","",IF(OR($D116="解決",$D116="取消"),"",IF($O116="","",$O116-TODAY())))</x:f>
      </x:c>
      <x:c r="Q116" s="61" t="str">
        <x:f>IF($A116="","",IF(OR($D116="解決",$D116="取消"),"完了",IF($O116="","期限未設定",IF($P116&lt;0,"期限超過",IF($P116=0,"本日期限",IF($P116&lt;=3,"期限接近","期限内"))))))</x:f>
      </x:c>
      <x:c r="R116" s="49"/>
      <x:c r="S116" s="38"/>
      <x:c r="T116" s="49"/>
      <x:c r="U116" s="38"/>
      <x:c r="V116" s="38"/>
      <x:c r="W116" s="38"/>
      <x:c r="X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49"/>
      <x:c r="O117" s="49"/>
      <x:c r="P117" s="60" t="str">
        <x:f>IF($A117="","",IF(OR($D117="解決",$D117="取消"),"",IF($O117="","",$O117-TODAY())))</x:f>
      </x:c>
      <x:c r="Q117" s="61" t="str">
        <x:f>IF($A117="","",IF(OR($D117="解決",$D117="取消"),"完了",IF($O117="","期限未設定",IF($P117&lt;0,"期限超過",IF($P117=0,"本日期限",IF($P117&lt;=3,"期限接近","期限内"))))))</x:f>
      </x:c>
      <x:c r="R117" s="49"/>
      <x:c r="S117" s="38"/>
      <x:c r="T117" s="49"/>
      <x:c r="U117" s="38"/>
      <x:c r="V117" s="38"/>
      <x:c r="W117" s="38"/>
      <x:c r="X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49"/>
      <x:c r="O118" s="49"/>
      <x:c r="P118" s="60" t="str">
        <x:f>IF($A118="","",IF(OR($D118="解決",$D118="取消"),"",IF($O118="","",$O118-TODAY())))</x:f>
      </x:c>
      <x:c r="Q118" s="61" t="str">
        <x:f>IF($A118="","",IF(OR($D118="解決",$D118="取消"),"完了",IF($O118="","期限未設定",IF($P118&lt;0,"期限超過",IF($P118=0,"本日期限",IF($P118&lt;=3,"期限接近","期限内"))))))</x:f>
      </x:c>
      <x:c r="R118" s="49"/>
      <x:c r="S118" s="38"/>
      <x:c r="T118" s="49"/>
      <x:c r="U118" s="38"/>
      <x:c r="V118" s="38"/>
      <x:c r="W118" s="38"/>
      <x:c r="X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49"/>
      <x:c r="O119" s="49"/>
      <x:c r="P119" s="60" t="str">
        <x:f>IF($A119="","",IF(OR($D119="解決",$D119="取消"),"",IF($O119="","",$O119-TODAY())))</x:f>
      </x:c>
      <x:c r="Q119" s="61" t="str">
        <x:f>IF($A119="","",IF(OR($D119="解決",$D119="取消"),"完了",IF($O119="","期限未設定",IF($P119&lt;0,"期限超過",IF($P119=0,"本日期限",IF($P119&lt;=3,"期限接近","期限内"))))))</x:f>
      </x:c>
      <x:c r="R119" s="49"/>
      <x:c r="S119" s="38"/>
      <x:c r="T119" s="49"/>
      <x:c r="U119" s="38"/>
      <x:c r="V119" s="38"/>
      <x:c r="W119" s="38"/>
      <x:c r="X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49"/>
      <x:c r="O120" s="49"/>
      <x:c r="P120" s="60" t="str">
        <x:f>IF($A120="","",IF(OR($D120="解決",$D120="取消"),"",IF($O120="","",$O120-TODAY())))</x:f>
      </x:c>
      <x:c r="Q120" s="61" t="str">
        <x:f>IF($A120="","",IF(OR($D120="解決",$D120="取消"),"完了",IF($O120="","期限未設定",IF($P120&lt;0,"期限超過",IF($P120=0,"本日期限",IF($P120&lt;=3,"期限接近","期限内"))))))</x:f>
      </x:c>
      <x:c r="R120" s="49"/>
      <x:c r="S120" s="38"/>
      <x:c r="T120" s="49"/>
      <x:c r="U120" s="38"/>
      <x:c r="V120" s="38"/>
      <x:c r="W120" s="38"/>
      <x:c r="X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49"/>
      <x:c r="O121" s="49"/>
      <x:c r="P121" s="60" t="str">
        <x:f>IF($A121="","",IF(OR($D121="解決",$D121="取消"),"",IF($O121="","",$O121-TODAY())))</x:f>
      </x:c>
      <x:c r="Q121" s="61" t="str">
        <x:f>IF($A121="","",IF(OR($D121="解決",$D121="取消"),"完了",IF($O121="","期限未設定",IF($P121&lt;0,"期限超過",IF($P121=0,"本日期限",IF($P121&lt;=3,"期限接近","期限内"))))))</x:f>
      </x:c>
      <x:c r="R121" s="49"/>
      <x:c r="S121" s="38"/>
      <x:c r="T121" s="49"/>
      <x:c r="U121" s="38"/>
      <x:c r="V121" s="38"/>
      <x:c r="W121" s="38"/>
      <x:c r="X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49"/>
      <x:c r="O122" s="49"/>
      <x:c r="P122" s="60" t="str">
        <x:f>IF($A122="","",IF(OR($D122="解決",$D122="取消"),"",IF($O122="","",$O122-TODAY())))</x:f>
      </x:c>
      <x:c r="Q122" s="61" t="str">
        <x:f>IF($A122="","",IF(OR($D122="解決",$D122="取消"),"完了",IF($O122="","期限未設定",IF($P122&lt;0,"期限超過",IF($P122=0,"本日期限",IF($P122&lt;=3,"期限接近","期限内"))))))</x:f>
      </x:c>
      <x:c r="R122" s="49"/>
      <x:c r="S122" s="38"/>
      <x:c r="T122" s="49"/>
      <x:c r="U122" s="38"/>
      <x:c r="V122" s="38"/>
      <x:c r="W122" s="38"/>
      <x:c r="X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49"/>
      <x:c r="O123" s="49"/>
      <x:c r="P123" s="60" t="str">
        <x:f>IF($A123="","",IF(OR($D123="解決",$D123="取消"),"",IF($O123="","",$O123-TODAY())))</x:f>
      </x:c>
      <x:c r="Q123" s="61" t="str">
        <x:f>IF($A123="","",IF(OR($D123="解決",$D123="取消"),"完了",IF($O123="","期限未設定",IF($P123&lt;0,"期限超過",IF($P123=0,"本日期限",IF($P123&lt;=3,"期限接近","期限内"))))))</x:f>
      </x:c>
      <x:c r="R123" s="49"/>
      <x:c r="S123" s="38"/>
      <x:c r="T123" s="49"/>
      <x:c r="U123" s="38"/>
      <x:c r="V123" s="38"/>
      <x:c r="W123" s="38"/>
      <x:c r="X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49"/>
      <x:c r="O124" s="49"/>
      <x:c r="P124" s="60" t="str">
        <x:f>IF($A124="","",IF(OR($D124="解決",$D124="取消"),"",IF($O124="","",$O124-TODAY())))</x:f>
      </x:c>
      <x:c r="Q124" s="61" t="str">
        <x:f>IF($A124="","",IF(OR($D124="解決",$D124="取消"),"完了",IF($O124="","期限未設定",IF($P124&lt;0,"期限超過",IF($P124=0,"本日期限",IF($P124&lt;=3,"期限接近","期限内"))))))</x:f>
      </x:c>
      <x:c r="R124" s="49"/>
      <x:c r="S124" s="38"/>
      <x:c r="T124" s="49"/>
      <x:c r="U124" s="38"/>
      <x:c r="V124" s="38"/>
      <x:c r="W124" s="38"/>
      <x:c r="X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49"/>
      <x:c r="O125" s="49"/>
      <x:c r="P125" s="60" t="str">
        <x:f>IF($A125="","",IF(OR($D125="解決",$D125="取消"),"",IF($O125="","",$O125-TODAY())))</x:f>
      </x:c>
      <x:c r="Q125" s="61" t="str">
        <x:f>IF($A125="","",IF(OR($D125="解決",$D125="取消"),"完了",IF($O125="","期限未設定",IF($P125&lt;0,"期限超過",IF($P125=0,"本日期限",IF($P125&lt;=3,"期限接近","期限内"))))))</x:f>
      </x:c>
      <x:c r="R125" s="49"/>
      <x:c r="S125" s="38"/>
      <x:c r="T125" s="49"/>
      <x:c r="U125" s="38"/>
      <x:c r="V125" s="38"/>
      <x:c r="W125" s="38"/>
      <x:c r="X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49"/>
      <x:c r="O126" s="49"/>
      <x:c r="P126" s="60" t="str">
        <x:f>IF($A126="","",IF(OR($D126="解決",$D126="取消"),"",IF($O126="","",$O126-TODAY())))</x:f>
      </x:c>
      <x:c r="Q126" s="61" t="str">
        <x:f>IF($A126="","",IF(OR($D126="解決",$D126="取消"),"完了",IF($O126="","期限未設定",IF($P126&lt;0,"期限超過",IF($P126=0,"本日期限",IF($P126&lt;=3,"期限接近","期限内"))))))</x:f>
      </x:c>
      <x:c r="R126" s="49"/>
      <x:c r="S126" s="38"/>
      <x:c r="T126" s="49"/>
      <x:c r="U126" s="38"/>
      <x:c r="V126" s="38"/>
      <x:c r="W126" s="38"/>
      <x:c r="X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49"/>
      <x:c r="O127" s="49"/>
      <x:c r="P127" s="60" t="str">
        <x:f>IF($A127="","",IF(OR($D127="解決",$D127="取消"),"",IF($O127="","",$O127-TODAY())))</x:f>
      </x:c>
      <x:c r="Q127" s="61" t="str">
        <x:f>IF($A127="","",IF(OR($D127="解決",$D127="取消"),"完了",IF($O127="","期限未設定",IF($P127&lt;0,"期限超過",IF($P127=0,"本日期限",IF($P127&lt;=3,"期限接近","期限内"))))))</x:f>
      </x:c>
      <x:c r="R127" s="49"/>
      <x:c r="S127" s="38"/>
      <x:c r="T127" s="49"/>
      <x:c r="U127" s="38"/>
      <x:c r="V127" s="38"/>
      <x:c r="W127" s="38"/>
      <x:c r="X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49"/>
      <x:c r="O128" s="49"/>
      <x:c r="P128" s="60" t="str">
        <x:f>IF($A128="","",IF(OR($D128="解決",$D128="取消"),"",IF($O128="","",$O128-TODAY())))</x:f>
      </x:c>
      <x:c r="Q128" s="61" t="str">
        <x:f>IF($A128="","",IF(OR($D128="解決",$D128="取消"),"完了",IF($O128="","期限未設定",IF($P128&lt;0,"期限超過",IF($P128=0,"本日期限",IF($P128&lt;=3,"期限接近","期限内"))))))</x:f>
      </x:c>
      <x:c r="R128" s="49"/>
      <x:c r="S128" s="38"/>
      <x:c r="T128" s="49"/>
      <x:c r="U128" s="38"/>
      <x:c r="V128" s="38"/>
      <x:c r="W128" s="38"/>
      <x:c r="X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49"/>
      <x:c r="O129" s="49"/>
      <x:c r="P129" s="60" t="str">
        <x:f>IF($A129="","",IF(OR($D129="解決",$D129="取消"),"",IF($O129="","",$O129-TODAY())))</x:f>
      </x:c>
      <x:c r="Q129" s="61" t="str">
        <x:f>IF($A129="","",IF(OR($D129="解決",$D129="取消"),"完了",IF($O129="","期限未設定",IF($P129&lt;0,"期限超過",IF($P129=0,"本日期限",IF($P129&lt;=3,"期限接近","期限内"))))))</x:f>
      </x:c>
      <x:c r="R129" s="49"/>
      <x:c r="S129" s="38"/>
      <x:c r="T129" s="49"/>
      <x:c r="U129" s="38"/>
      <x:c r="V129" s="38"/>
      <x:c r="W129" s="38"/>
      <x:c r="X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49"/>
      <x:c r="O130" s="49"/>
      <x:c r="P130" s="60" t="str">
        <x:f>IF($A130="","",IF(OR($D130="解決",$D130="取消"),"",IF($O130="","",$O130-TODAY())))</x:f>
      </x:c>
      <x:c r="Q130" s="61" t="str">
        <x:f>IF($A130="","",IF(OR($D130="解決",$D130="取消"),"完了",IF($O130="","期限未設定",IF($P130&lt;0,"期限超過",IF($P130=0,"本日期限",IF($P130&lt;=3,"期限接近","期限内"))))))</x:f>
      </x:c>
      <x:c r="R130" s="49"/>
      <x:c r="S130" s="38"/>
      <x:c r="T130" s="49"/>
      <x:c r="U130" s="38"/>
      <x:c r="V130" s="38"/>
      <x:c r="W130" s="38"/>
      <x:c r="X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49"/>
      <x:c r="O131" s="49"/>
      <x:c r="P131" s="60" t="str">
        <x:f>IF($A131="","",IF(OR($D131="解決",$D131="取消"),"",IF($O131="","",$O131-TODAY())))</x:f>
      </x:c>
      <x:c r="Q131" s="61" t="str">
        <x:f>IF($A131="","",IF(OR($D131="解決",$D131="取消"),"完了",IF($O131="","期限未設定",IF($P131&lt;0,"期限超過",IF($P131=0,"本日期限",IF($P131&lt;=3,"期限接近","期限内"))))))</x:f>
      </x:c>
      <x:c r="R131" s="49"/>
      <x:c r="S131" s="38"/>
      <x:c r="T131" s="49"/>
      <x:c r="U131" s="38"/>
      <x:c r="V131" s="38"/>
      <x:c r="W131" s="38"/>
      <x:c r="X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49"/>
      <x:c r="O132" s="49"/>
      <x:c r="P132" s="60" t="str">
        <x:f>IF($A132="","",IF(OR($D132="解決",$D132="取消"),"",IF($O132="","",$O132-TODAY())))</x:f>
      </x:c>
      <x:c r="Q132" s="61" t="str">
        <x:f>IF($A132="","",IF(OR($D132="解決",$D132="取消"),"完了",IF($O132="","期限未設定",IF($P132&lt;0,"期限超過",IF($P132=0,"本日期限",IF($P132&lt;=3,"期限接近","期限内"))))))</x:f>
      </x:c>
      <x:c r="R132" s="49"/>
      <x:c r="S132" s="38"/>
      <x:c r="T132" s="49"/>
      <x:c r="U132" s="38"/>
      <x:c r="V132" s="38"/>
      <x:c r="W132" s="38"/>
      <x:c r="X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49"/>
      <x:c r="O133" s="49"/>
      <x:c r="P133" s="60" t="str">
        <x:f>IF($A133="","",IF(OR($D133="解決",$D133="取消"),"",IF($O133="","",$O133-TODAY())))</x:f>
      </x:c>
      <x:c r="Q133" s="61" t="str">
        <x:f>IF($A133="","",IF(OR($D133="解決",$D133="取消"),"完了",IF($O133="","期限未設定",IF($P133&lt;0,"期限超過",IF($P133=0,"本日期限",IF($P133&lt;=3,"期限接近","期限内"))))))</x:f>
      </x:c>
      <x:c r="R133" s="49"/>
      <x:c r="S133" s="38"/>
      <x:c r="T133" s="49"/>
      <x:c r="U133" s="38"/>
      <x:c r="V133" s="38"/>
      <x:c r="W133" s="38"/>
      <x:c r="X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49"/>
      <x:c r="O134" s="49"/>
      <x:c r="P134" s="60" t="str">
        <x:f>IF($A134="","",IF(OR($D134="解決",$D134="取消"),"",IF($O134="","",$O134-TODAY())))</x:f>
      </x:c>
      <x:c r="Q134" s="61" t="str">
        <x:f>IF($A134="","",IF(OR($D134="解決",$D134="取消"),"完了",IF($O134="","期限未設定",IF($P134&lt;0,"期限超過",IF($P134=0,"本日期限",IF($P134&lt;=3,"期限接近","期限内"))))))</x:f>
      </x:c>
      <x:c r="R134" s="49"/>
      <x:c r="S134" s="38"/>
      <x:c r="T134" s="49"/>
      <x:c r="U134" s="38"/>
      <x:c r="V134" s="38"/>
      <x:c r="W134" s="38"/>
      <x:c r="X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49"/>
      <x:c r="O135" s="49"/>
      <x:c r="P135" s="60" t="str">
        <x:f>IF($A135="","",IF(OR($D135="解決",$D135="取消"),"",IF($O135="","",$O135-TODAY())))</x:f>
      </x:c>
      <x:c r="Q135" s="61" t="str">
        <x:f>IF($A135="","",IF(OR($D135="解決",$D135="取消"),"完了",IF($O135="","期限未設定",IF($P135&lt;0,"期限超過",IF($P135=0,"本日期限",IF($P135&lt;=3,"期限接近","期限内"))))))</x:f>
      </x:c>
      <x:c r="R135" s="49"/>
      <x:c r="S135" s="38"/>
      <x:c r="T135" s="49"/>
      <x:c r="U135" s="38"/>
      <x:c r="V135" s="38"/>
      <x:c r="W135" s="38"/>
      <x:c r="X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49"/>
      <x:c r="O136" s="49"/>
      <x:c r="P136" s="60" t="str">
        <x:f>IF($A136="","",IF(OR($D136="解決",$D136="取消"),"",IF($O136="","",$O136-TODAY())))</x:f>
      </x:c>
      <x:c r="Q136" s="61" t="str">
        <x:f>IF($A136="","",IF(OR($D136="解決",$D136="取消"),"完了",IF($O136="","期限未設定",IF($P136&lt;0,"期限超過",IF($P136=0,"本日期限",IF($P136&lt;=3,"期限接近","期限内"))))))</x:f>
      </x:c>
      <x:c r="R136" s="49"/>
      <x:c r="S136" s="38"/>
      <x:c r="T136" s="49"/>
      <x:c r="U136" s="38"/>
      <x:c r="V136" s="38"/>
      <x:c r="W136" s="38"/>
      <x:c r="X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49"/>
      <x:c r="O137" s="49"/>
      <x:c r="P137" s="60" t="str">
        <x:f>IF($A137="","",IF(OR($D137="解決",$D137="取消"),"",IF($O137="","",$O137-TODAY())))</x:f>
      </x:c>
      <x:c r="Q137" s="61" t="str">
        <x:f>IF($A137="","",IF(OR($D137="解決",$D137="取消"),"完了",IF($O137="","期限未設定",IF($P137&lt;0,"期限超過",IF($P137=0,"本日期限",IF($P137&lt;=3,"期限接近","期限内"))))))</x:f>
      </x:c>
      <x:c r="R137" s="49"/>
      <x:c r="S137" s="38"/>
      <x:c r="T137" s="49"/>
      <x:c r="U137" s="38"/>
      <x:c r="V137" s="38"/>
      <x:c r="W137" s="38"/>
      <x:c r="X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49"/>
      <x:c r="O138" s="49"/>
      <x:c r="P138" s="60" t="str">
        <x:f>IF($A138="","",IF(OR($D138="解決",$D138="取消"),"",IF($O138="","",$O138-TODAY())))</x:f>
      </x:c>
      <x:c r="Q138" s="61" t="str">
        <x:f>IF($A138="","",IF(OR($D138="解決",$D138="取消"),"完了",IF($O138="","期限未設定",IF($P138&lt;0,"期限超過",IF($P138=0,"本日期限",IF($P138&lt;=3,"期限接近","期限内"))))))</x:f>
      </x:c>
      <x:c r="R138" s="49"/>
      <x:c r="S138" s="38"/>
      <x:c r="T138" s="49"/>
      <x:c r="U138" s="38"/>
      <x:c r="V138" s="38"/>
      <x:c r="W138" s="38"/>
      <x:c r="X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49"/>
      <x:c r="O139" s="49"/>
      <x:c r="P139" s="60" t="str">
        <x:f>IF($A139="","",IF(OR($D139="解決",$D139="取消"),"",IF($O139="","",$O139-TODAY())))</x:f>
      </x:c>
      <x:c r="Q139" s="61" t="str">
        <x:f>IF($A139="","",IF(OR($D139="解決",$D139="取消"),"完了",IF($O139="","期限未設定",IF($P139&lt;0,"期限超過",IF($P139=0,"本日期限",IF($P139&lt;=3,"期限接近","期限内"))))))</x:f>
      </x:c>
      <x:c r="R139" s="49"/>
      <x:c r="S139" s="38"/>
      <x:c r="T139" s="49"/>
      <x:c r="U139" s="38"/>
      <x:c r="V139" s="38"/>
      <x:c r="W139" s="38"/>
      <x:c r="X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49"/>
      <x:c r="O140" s="49"/>
      <x:c r="P140" s="60" t="str">
        <x:f>IF($A140="","",IF(OR($D140="解決",$D140="取消"),"",IF($O140="","",$O140-TODAY())))</x:f>
      </x:c>
      <x:c r="Q140" s="61" t="str">
        <x:f>IF($A140="","",IF(OR($D140="解決",$D140="取消"),"完了",IF($O140="","期限未設定",IF($P140&lt;0,"期限超過",IF($P140=0,"本日期限",IF($P140&lt;=3,"期限接近","期限内"))))))</x:f>
      </x:c>
      <x:c r="R140" s="49"/>
      <x:c r="S140" s="38"/>
      <x:c r="T140" s="49"/>
      <x:c r="U140" s="38"/>
      <x:c r="V140" s="38"/>
      <x:c r="W140" s="38"/>
      <x:c r="X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49"/>
      <x:c r="O141" s="49"/>
      <x:c r="P141" s="60" t="str">
        <x:f>IF($A141="","",IF(OR($D141="解決",$D141="取消"),"",IF($O141="","",$O141-TODAY())))</x:f>
      </x:c>
      <x:c r="Q141" s="61" t="str">
        <x:f>IF($A141="","",IF(OR($D141="解決",$D141="取消"),"完了",IF($O141="","期限未設定",IF($P141&lt;0,"期限超過",IF($P141=0,"本日期限",IF($P141&lt;=3,"期限接近","期限内"))))))</x:f>
      </x:c>
      <x:c r="R141" s="49"/>
      <x:c r="S141" s="38"/>
      <x:c r="T141" s="49"/>
      <x:c r="U141" s="38"/>
      <x:c r="V141" s="38"/>
      <x:c r="W141" s="38"/>
      <x:c r="X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49"/>
      <x:c r="O142" s="49"/>
      <x:c r="P142" s="60" t="str">
        <x:f>IF($A142="","",IF(OR($D142="解決",$D142="取消"),"",IF($O142="","",$O142-TODAY())))</x:f>
      </x:c>
      <x:c r="Q142" s="61" t="str">
        <x:f>IF($A142="","",IF(OR($D142="解決",$D142="取消"),"完了",IF($O142="","期限未設定",IF($P142&lt;0,"期限超過",IF($P142=0,"本日期限",IF($P142&lt;=3,"期限接近","期限内"))))))</x:f>
      </x:c>
      <x:c r="R142" s="49"/>
      <x:c r="S142" s="38"/>
      <x:c r="T142" s="49"/>
      <x:c r="U142" s="38"/>
      <x:c r="V142" s="38"/>
      <x:c r="W142" s="38"/>
      <x:c r="X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49"/>
      <x:c r="O143" s="49"/>
      <x:c r="P143" s="60" t="str">
        <x:f>IF($A143="","",IF(OR($D143="解決",$D143="取消"),"",IF($O143="","",$O143-TODAY())))</x:f>
      </x:c>
      <x:c r="Q143" s="61" t="str">
        <x:f>IF($A143="","",IF(OR($D143="解決",$D143="取消"),"完了",IF($O143="","期限未設定",IF($P143&lt;0,"期限超過",IF($P143=0,"本日期限",IF($P143&lt;=3,"期限接近","期限内"))))))</x:f>
      </x:c>
      <x:c r="R143" s="49"/>
      <x:c r="S143" s="38"/>
      <x:c r="T143" s="49"/>
      <x:c r="U143" s="38"/>
      <x:c r="V143" s="38"/>
      <x:c r="W143" s="38"/>
      <x:c r="X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49"/>
      <x:c r="O144" s="49"/>
      <x:c r="P144" s="60" t="str">
        <x:f>IF($A144="","",IF(OR($D144="解決",$D144="取消"),"",IF($O144="","",$O144-TODAY())))</x:f>
      </x:c>
      <x:c r="Q144" s="61" t="str">
        <x:f>IF($A144="","",IF(OR($D144="解決",$D144="取消"),"完了",IF($O144="","期限未設定",IF($P144&lt;0,"期限超過",IF($P144=0,"本日期限",IF($P144&lt;=3,"期限接近","期限内"))))))</x:f>
      </x:c>
      <x:c r="R144" s="49"/>
      <x:c r="S144" s="38"/>
      <x:c r="T144" s="49"/>
      <x:c r="U144" s="38"/>
      <x:c r="V144" s="38"/>
      <x:c r="W144" s="38"/>
      <x:c r="X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49"/>
      <x:c r="O145" s="49"/>
      <x:c r="P145" s="60" t="str">
        <x:f>IF($A145="","",IF(OR($D145="解決",$D145="取消"),"",IF($O145="","",$O145-TODAY())))</x:f>
      </x:c>
      <x:c r="Q145" s="61" t="str">
        <x:f>IF($A145="","",IF(OR($D145="解決",$D145="取消"),"完了",IF($O145="","期限未設定",IF($P145&lt;0,"期限超過",IF($P145=0,"本日期限",IF($P145&lt;=3,"期限接近","期限内"))))))</x:f>
      </x:c>
      <x:c r="R145" s="49"/>
      <x:c r="S145" s="38"/>
      <x:c r="T145" s="49"/>
      <x:c r="U145" s="38"/>
      <x:c r="V145" s="38"/>
      <x:c r="W145" s="38"/>
      <x:c r="X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49"/>
      <x:c r="O146" s="49"/>
      <x:c r="P146" s="60" t="str">
        <x:f>IF($A146="","",IF(OR($D146="解決",$D146="取消"),"",IF($O146="","",$O146-TODAY())))</x:f>
      </x:c>
      <x:c r="Q146" s="61" t="str">
        <x:f>IF($A146="","",IF(OR($D146="解決",$D146="取消"),"完了",IF($O146="","期限未設定",IF($P146&lt;0,"期限超過",IF($P146=0,"本日期限",IF($P146&lt;=3,"期限接近","期限内"))))))</x:f>
      </x:c>
      <x:c r="R146" s="49"/>
      <x:c r="S146" s="38"/>
      <x:c r="T146" s="49"/>
      <x:c r="U146" s="38"/>
      <x:c r="V146" s="38"/>
      <x:c r="W146" s="38"/>
      <x:c r="X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49"/>
      <x:c r="O147" s="49"/>
      <x:c r="P147" s="60" t="str">
        <x:f>IF($A147="","",IF(OR($D147="解決",$D147="取消"),"",IF($O147="","",$O147-TODAY())))</x:f>
      </x:c>
      <x:c r="Q147" s="61" t="str">
        <x:f>IF($A147="","",IF(OR($D147="解決",$D147="取消"),"完了",IF($O147="","期限未設定",IF($P147&lt;0,"期限超過",IF($P147=0,"本日期限",IF($P147&lt;=3,"期限接近","期限内"))))))</x:f>
      </x:c>
      <x:c r="R147" s="49"/>
      <x:c r="S147" s="38"/>
      <x:c r="T147" s="49"/>
      <x:c r="U147" s="38"/>
      <x:c r="V147" s="38"/>
      <x:c r="W147" s="38"/>
      <x:c r="X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49"/>
      <x:c r="O148" s="49"/>
      <x:c r="P148" s="60" t="str">
        <x:f>IF($A148="","",IF(OR($D148="解決",$D148="取消"),"",IF($O148="","",$O148-TODAY())))</x:f>
      </x:c>
      <x:c r="Q148" s="61" t="str">
        <x:f>IF($A148="","",IF(OR($D148="解決",$D148="取消"),"完了",IF($O148="","期限未設定",IF($P148&lt;0,"期限超過",IF($P148=0,"本日期限",IF($P148&lt;=3,"期限接近","期限内"))))))</x:f>
      </x:c>
      <x:c r="R148" s="49"/>
      <x:c r="S148" s="38"/>
      <x:c r="T148" s="49"/>
      <x:c r="U148" s="38"/>
      <x:c r="V148" s="38"/>
      <x:c r="W148" s="38"/>
      <x:c r="X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49"/>
      <x:c r="O149" s="49"/>
      <x:c r="P149" s="60" t="str">
        <x:f>IF($A149="","",IF(OR($D149="解決",$D149="取消"),"",IF($O149="","",$O149-TODAY())))</x:f>
      </x:c>
      <x:c r="Q149" s="61" t="str">
        <x:f>IF($A149="","",IF(OR($D149="解決",$D149="取消"),"完了",IF($O149="","期限未設定",IF($P149&lt;0,"期限超過",IF($P149=0,"本日期限",IF($P149&lt;=3,"期限接近","期限内"))))))</x:f>
      </x:c>
      <x:c r="R149" s="49"/>
      <x:c r="S149" s="38"/>
      <x:c r="T149" s="49"/>
      <x:c r="U149" s="38"/>
      <x:c r="V149" s="38"/>
      <x:c r="W149" s="38"/>
      <x:c r="X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49"/>
      <x:c r="O150" s="49"/>
      <x:c r="P150" s="60" t="str">
        <x:f>IF($A150="","",IF(OR($D150="解決",$D150="取消"),"",IF($O150="","",$O150-TODAY())))</x:f>
      </x:c>
      <x:c r="Q150" s="61" t="str">
        <x:f>IF($A150="","",IF(OR($D150="解決",$D150="取消"),"完了",IF($O150="","期限未設定",IF($P150&lt;0,"期限超過",IF($P150=0,"本日期限",IF($P150&lt;=3,"期限接近","期限内"))))))</x:f>
      </x:c>
      <x:c r="R150" s="49"/>
      <x:c r="S150" s="38"/>
      <x:c r="T150" s="49"/>
      <x:c r="U150" s="38"/>
      <x:c r="V150" s="38"/>
      <x:c r="W150" s="38"/>
      <x:c r="X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49"/>
      <x:c r="O151" s="49"/>
      <x:c r="P151" s="60" t="str">
        <x:f>IF($A151="","",IF(OR($D151="解決",$D151="取消"),"",IF($O151="","",$O151-TODAY())))</x:f>
      </x:c>
      <x:c r="Q151" s="61" t="str">
        <x:f>IF($A151="","",IF(OR($D151="解決",$D151="取消"),"完了",IF($O151="","期限未設定",IF($P151&lt;0,"期限超過",IF($P151=0,"本日期限",IF($P151&lt;=3,"期限接近","期限内"))))))</x:f>
      </x:c>
      <x:c r="R151" s="49"/>
      <x:c r="S151" s="38"/>
      <x:c r="T151" s="49"/>
      <x:c r="U151" s="38"/>
      <x:c r="V151" s="38"/>
      <x:c r="W151" s="38"/>
      <x:c r="X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49"/>
      <x:c r="O152" s="49"/>
      <x:c r="P152" s="60" t="str">
        <x:f>IF($A152="","",IF(OR($D152="解決",$D152="取消"),"",IF($O152="","",$O152-TODAY())))</x:f>
      </x:c>
      <x:c r="Q152" s="61" t="str">
        <x:f>IF($A152="","",IF(OR($D152="解決",$D152="取消"),"完了",IF($O152="","期限未設定",IF($P152&lt;0,"期限超過",IF($P152=0,"本日期限",IF($P152&lt;=3,"期限接近","期限内"))))))</x:f>
      </x:c>
      <x:c r="R152" s="49"/>
      <x:c r="S152" s="38"/>
      <x:c r="T152" s="49"/>
      <x:c r="U152" s="38"/>
      <x:c r="V152" s="38"/>
      <x:c r="W152" s="38"/>
      <x:c r="X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49"/>
      <x:c r="O153" s="49"/>
      <x:c r="P153" s="60" t="str">
        <x:f>IF($A153="","",IF(OR($D153="解決",$D153="取消"),"",IF($O153="","",$O153-TODAY())))</x:f>
      </x:c>
      <x:c r="Q153" s="61" t="str">
        <x:f>IF($A153="","",IF(OR($D153="解決",$D153="取消"),"完了",IF($O153="","期限未設定",IF($P153&lt;0,"期限超過",IF($P153=0,"本日期限",IF($P153&lt;=3,"期限接近","期限内"))))))</x:f>
      </x:c>
      <x:c r="R153" s="49"/>
      <x:c r="S153" s="38"/>
      <x:c r="T153" s="49"/>
      <x:c r="U153" s="38"/>
      <x:c r="V153" s="38"/>
      <x:c r="W153" s="38"/>
      <x:c r="X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49"/>
      <x:c r="O154" s="49"/>
      <x:c r="P154" s="60" t="str">
        <x:f>IF($A154="","",IF(OR($D154="解決",$D154="取消"),"",IF($O154="","",$O154-TODAY())))</x:f>
      </x:c>
      <x:c r="Q154" s="61" t="str">
        <x:f>IF($A154="","",IF(OR($D154="解決",$D154="取消"),"完了",IF($O154="","期限未設定",IF($P154&lt;0,"期限超過",IF($P154=0,"本日期限",IF($P154&lt;=3,"期限接近","期限内"))))))</x:f>
      </x:c>
      <x:c r="R154" s="49"/>
      <x:c r="S154" s="38"/>
      <x:c r="T154" s="49"/>
      <x:c r="U154" s="38"/>
      <x:c r="V154" s="38"/>
      <x:c r="W154" s="38"/>
      <x:c r="X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49"/>
      <x:c r="O155" s="49"/>
      <x:c r="P155" s="60" t="str">
        <x:f>IF($A155="","",IF(OR($D155="解決",$D155="取消"),"",IF($O155="","",$O155-TODAY())))</x:f>
      </x:c>
      <x:c r="Q155" s="61" t="str">
        <x:f>IF($A155="","",IF(OR($D155="解決",$D155="取消"),"完了",IF($O155="","期限未設定",IF($P155&lt;0,"期限超過",IF($P155=0,"本日期限",IF($P155&lt;=3,"期限接近","期限内"))))))</x:f>
      </x:c>
      <x:c r="R155" s="49"/>
      <x:c r="S155" s="38"/>
      <x:c r="T155" s="49"/>
      <x:c r="U155" s="38"/>
      <x:c r="V155" s="38"/>
      <x:c r="W155" s="38"/>
      <x:c r="X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49"/>
      <x:c r="O156" s="49"/>
      <x:c r="P156" s="60" t="str">
        <x:f>IF($A156="","",IF(OR($D156="解決",$D156="取消"),"",IF($O156="","",$O156-TODAY())))</x:f>
      </x:c>
      <x:c r="Q156" s="61" t="str">
        <x:f>IF($A156="","",IF(OR($D156="解決",$D156="取消"),"完了",IF($O156="","期限未設定",IF($P156&lt;0,"期限超過",IF($P156=0,"本日期限",IF($P156&lt;=3,"期限接近","期限内"))))))</x:f>
      </x:c>
      <x:c r="R156" s="49"/>
      <x:c r="S156" s="38"/>
      <x:c r="T156" s="49"/>
      <x:c r="U156" s="38"/>
      <x:c r="V156" s="38"/>
      <x:c r="W156" s="38"/>
      <x:c r="X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49"/>
      <x:c r="O157" s="49"/>
      <x:c r="P157" s="60" t="str">
        <x:f>IF($A157="","",IF(OR($D157="解決",$D157="取消"),"",IF($O157="","",$O157-TODAY())))</x:f>
      </x:c>
      <x:c r="Q157" s="61" t="str">
        <x:f>IF($A157="","",IF(OR($D157="解決",$D157="取消"),"完了",IF($O157="","期限未設定",IF($P157&lt;0,"期限超過",IF($P157=0,"本日期限",IF($P157&lt;=3,"期限接近","期限内"))))))</x:f>
      </x:c>
      <x:c r="R157" s="49"/>
      <x:c r="S157" s="38"/>
      <x:c r="T157" s="49"/>
      <x:c r="U157" s="38"/>
      <x:c r="V157" s="38"/>
      <x:c r="W157" s="38"/>
      <x:c r="X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49"/>
      <x:c r="O158" s="49"/>
      <x:c r="P158" s="60" t="str">
        <x:f>IF($A158="","",IF(OR($D158="解決",$D158="取消"),"",IF($O158="","",$O158-TODAY())))</x:f>
      </x:c>
      <x:c r="Q158" s="61" t="str">
        <x:f>IF($A158="","",IF(OR($D158="解決",$D158="取消"),"完了",IF($O158="","期限未設定",IF($P158&lt;0,"期限超過",IF($P158=0,"本日期限",IF($P158&lt;=3,"期限接近","期限内"))))))</x:f>
      </x:c>
      <x:c r="R158" s="49"/>
      <x:c r="S158" s="38"/>
      <x:c r="T158" s="49"/>
      <x:c r="U158" s="38"/>
      <x:c r="V158" s="38"/>
      <x:c r="W158" s="38"/>
      <x:c r="X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49"/>
      <x:c r="O159" s="49"/>
      <x:c r="P159" s="60" t="str">
        <x:f>IF($A159="","",IF(OR($D159="解決",$D159="取消"),"",IF($O159="","",$O159-TODAY())))</x:f>
      </x:c>
      <x:c r="Q159" s="61" t="str">
        <x:f>IF($A159="","",IF(OR($D159="解決",$D159="取消"),"完了",IF($O159="","期限未設定",IF($P159&lt;0,"期限超過",IF($P159=0,"本日期限",IF($P159&lt;=3,"期限接近","期限内"))))))</x:f>
      </x:c>
      <x:c r="R159" s="49"/>
      <x:c r="S159" s="38"/>
      <x:c r="T159" s="49"/>
      <x:c r="U159" s="38"/>
      <x:c r="V159" s="38"/>
      <x:c r="W159" s="38"/>
      <x:c r="X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49"/>
      <x:c r="O160" s="49"/>
      <x:c r="P160" s="60" t="str">
        <x:f>IF($A160="","",IF(OR($D160="解決",$D160="取消"),"",IF($O160="","",$O160-TODAY())))</x:f>
      </x:c>
      <x:c r="Q160" s="61" t="str">
        <x:f>IF($A160="","",IF(OR($D160="解決",$D160="取消"),"完了",IF($O160="","期限未設定",IF($P160&lt;0,"期限超過",IF($P160=0,"本日期限",IF($P160&lt;=3,"期限接近","期限内"))))))</x:f>
      </x:c>
      <x:c r="R160" s="49"/>
      <x:c r="S160" s="38"/>
      <x:c r="T160" s="49"/>
      <x:c r="U160" s="38"/>
      <x:c r="V160" s="38"/>
      <x:c r="W160" s="38"/>
      <x:c r="X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49"/>
      <x:c r="O161" s="49"/>
      <x:c r="P161" s="60" t="str">
        <x:f>IF($A161="","",IF(OR($D161="解決",$D161="取消"),"",IF($O161="","",$O161-TODAY())))</x:f>
      </x:c>
      <x:c r="Q161" s="61" t="str">
        <x:f>IF($A161="","",IF(OR($D161="解決",$D161="取消"),"完了",IF($O161="","期限未設定",IF($P161&lt;0,"期限超過",IF($P161=0,"本日期限",IF($P161&lt;=3,"期限接近","期限内"))))))</x:f>
      </x:c>
      <x:c r="R161" s="49"/>
      <x:c r="S161" s="38"/>
      <x:c r="T161" s="49"/>
      <x:c r="U161" s="38"/>
      <x:c r="V161" s="38"/>
      <x:c r="W161" s="38"/>
      <x:c r="X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49"/>
      <x:c r="O162" s="49"/>
      <x:c r="P162" s="60" t="str">
        <x:f>IF($A162="","",IF(OR($D162="解決",$D162="取消"),"",IF($O162="","",$O162-TODAY())))</x:f>
      </x:c>
      <x:c r="Q162" s="61" t="str">
        <x:f>IF($A162="","",IF(OR($D162="解決",$D162="取消"),"完了",IF($O162="","期限未設定",IF($P162&lt;0,"期限超過",IF($P162=0,"本日期限",IF($P162&lt;=3,"期限接近","期限内"))))))</x:f>
      </x:c>
      <x:c r="R162" s="49"/>
      <x:c r="S162" s="38"/>
      <x:c r="T162" s="49"/>
      <x:c r="U162" s="38"/>
      <x:c r="V162" s="38"/>
      <x:c r="W162" s="38"/>
      <x:c r="X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49"/>
      <x:c r="O163" s="49"/>
      <x:c r="P163" s="60" t="str">
        <x:f>IF($A163="","",IF(OR($D163="解決",$D163="取消"),"",IF($O163="","",$O163-TODAY())))</x:f>
      </x:c>
      <x:c r="Q163" s="61" t="str">
        <x:f>IF($A163="","",IF(OR($D163="解決",$D163="取消"),"完了",IF($O163="","期限未設定",IF($P163&lt;0,"期限超過",IF($P163=0,"本日期限",IF($P163&lt;=3,"期限接近","期限内"))))))</x:f>
      </x:c>
      <x:c r="R163" s="49"/>
      <x:c r="S163" s="38"/>
      <x:c r="T163" s="49"/>
      <x:c r="U163" s="38"/>
      <x:c r="V163" s="38"/>
      <x:c r="W163" s="38"/>
      <x:c r="X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49"/>
      <x:c r="O164" s="49"/>
      <x:c r="P164" s="60" t="str">
        <x:f>IF($A164="","",IF(OR($D164="解決",$D164="取消"),"",IF($O164="","",$O164-TODAY())))</x:f>
      </x:c>
      <x:c r="Q164" s="61" t="str">
        <x:f>IF($A164="","",IF(OR($D164="解決",$D164="取消"),"完了",IF($O164="","期限未設定",IF($P164&lt;0,"期限超過",IF($P164=0,"本日期限",IF($P164&lt;=3,"期限接近","期限内"))))))</x:f>
      </x:c>
      <x:c r="R164" s="49"/>
      <x:c r="S164" s="38"/>
      <x:c r="T164" s="49"/>
      <x:c r="U164" s="38"/>
      <x:c r="V164" s="38"/>
      <x:c r="W164" s="38"/>
      <x:c r="X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49"/>
      <x:c r="O165" s="49"/>
      <x:c r="P165" s="60" t="str">
        <x:f>IF($A165="","",IF(OR($D165="解決",$D165="取消"),"",IF($O165="","",$O165-TODAY())))</x:f>
      </x:c>
      <x:c r="Q165" s="61" t="str">
        <x:f>IF($A165="","",IF(OR($D165="解決",$D165="取消"),"完了",IF($O165="","期限未設定",IF($P165&lt;0,"期限超過",IF($P165=0,"本日期限",IF($P165&lt;=3,"期限接近","期限内"))))))</x:f>
      </x:c>
      <x:c r="R165" s="49"/>
      <x:c r="S165" s="38"/>
      <x:c r="T165" s="49"/>
      <x:c r="U165" s="38"/>
      <x:c r="V165" s="38"/>
      <x:c r="W165" s="38"/>
      <x:c r="X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49"/>
      <x:c r="O166" s="49"/>
      <x:c r="P166" s="60" t="str">
        <x:f>IF($A166="","",IF(OR($D166="解決",$D166="取消"),"",IF($O166="","",$O166-TODAY())))</x:f>
      </x:c>
      <x:c r="Q166" s="61" t="str">
        <x:f>IF($A166="","",IF(OR($D166="解決",$D166="取消"),"完了",IF($O166="","期限未設定",IF($P166&lt;0,"期限超過",IF($P166=0,"本日期限",IF($P166&lt;=3,"期限接近","期限内"))))))</x:f>
      </x:c>
      <x:c r="R166" s="49"/>
      <x:c r="S166" s="38"/>
      <x:c r="T166" s="49"/>
      <x:c r="U166" s="38"/>
      <x:c r="V166" s="38"/>
      <x:c r="W166" s="38"/>
      <x:c r="X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49"/>
      <x:c r="O167" s="49"/>
      <x:c r="P167" s="60" t="str">
        <x:f>IF($A167="","",IF(OR($D167="解決",$D167="取消"),"",IF($O167="","",$O167-TODAY())))</x:f>
      </x:c>
      <x:c r="Q167" s="61" t="str">
        <x:f>IF($A167="","",IF(OR($D167="解決",$D167="取消"),"完了",IF($O167="","期限未設定",IF($P167&lt;0,"期限超過",IF($P167=0,"本日期限",IF($P167&lt;=3,"期限接近","期限内"))))))</x:f>
      </x:c>
      <x:c r="R167" s="49"/>
      <x:c r="S167" s="38"/>
      <x:c r="T167" s="49"/>
      <x:c r="U167" s="38"/>
      <x:c r="V167" s="38"/>
      <x:c r="W167" s="38"/>
      <x:c r="X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49"/>
      <x:c r="O168" s="49"/>
      <x:c r="P168" s="60" t="str">
        <x:f>IF($A168="","",IF(OR($D168="解決",$D168="取消"),"",IF($O168="","",$O168-TODAY())))</x:f>
      </x:c>
      <x:c r="Q168" s="61" t="str">
        <x:f>IF($A168="","",IF(OR($D168="解決",$D168="取消"),"完了",IF($O168="","期限未設定",IF($P168&lt;0,"期限超過",IF($P168=0,"本日期限",IF($P168&lt;=3,"期限接近","期限内"))))))</x:f>
      </x:c>
      <x:c r="R168" s="49"/>
      <x:c r="S168" s="38"/>
      <x:c r="T168" s="49"/>
      <x:c r="U168" s="38"/>
      <x:c r="V168" s="38"/>
      <x:c r="W168" s="38"/>
      <x:c r="X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49"/>
      <x:c r="O169" s="49"/>
      <x:c r="P169" s="60" t="str">
        <x:f>IF($A169="","",IF(OR($D169="解決",$D169="取消"),"",IF($O169="","",$O169-TODAY())))</x:f>
      </x:c>
      <x:c r="Q169" s="61" t="str">
        <x:f>IF($A169="","",IF(OR($D169="解決",$D169="取消"),"完了",IF($O169="","期限未設定",IF($P169&lt;0,"期限超過",IF($P169=0,"本日期限",IF($P169&lt;=3,"期限接近","期限内"))))))</x:f>
      </x:c>
      <x:c r="R169" s="49"/>
      <x:c r="S169" s="38"/>
      <x:c r="T169" s="49"/>
      <x:c r="U169" s="38"/>
      <x:c r="V169" s="38"/>
      <x:c r="W169" s="38"/>
      <x:c r="X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49"/>
      <x:c r="O170" s="49"/>
      <x:c r="P170" s="60" t="str">
        <x:f>IF($A170="","",IF(OR($D170="解決",$D170="取消"),"",IF($O170="","",$O170-TODAY())))</x:f>
      </x:c>
      <x:c r="Q170" s="61" t="str">
        <x:f>IF($A170="","",IF(OR($D170="解決",$D170="取消"),"完了",IF($O170="","期限未設定",IF($P170&lt;0,"期限超過",IF($P170=0,"本日期限",IF($P170&lt;=3,"期限接近","期限内"))))))</x:f>
      </x:c>
      <x:c r="R170" s="49"/>
      <x:c r="S170" s="38"/>
      <x:c r="T170" s="49"/>
      <x:c r="U170" s="38"/>
      <x:c r="V170" s="38"/>
      <x:c r="W170" s="38"/>
      <x:c r="X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49"/>
      <x:c r="O171" s="49"/>
      <x:c r="P171" s="60" t="str">
        <x:f>IF($A171="","",IF(OR($D171="解決",$D171="取消"),"",IF($O171="","",$O171-TODAY())))</x:f>
      </x:c>
      <x:c r="Q171" s="61" t="str">
        <x:f>IF($A171="","",IF(OR($D171="解決",$D171="取消"),"完了",IF($O171="","期限未設定",IF($P171&lt;0,"期限超過",IF($P171=0,"本日期限",IF($P171&lt;=3,"期限接近","期限内"))))))</x:f>
      </x:c>
      <x:c r="R171" s="49"/>
      <x:c r="S171" s="38"/>
      <x:c r="T171" s="49"/>
      <x:c r="U171" s="38"/>
      <x:c r="V171" s="38"/>
      <x:c r="W171" s="38"/>
      <x:c r="X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49"/>
      <x:c r="O172" s="49"/>
      <x:c r="P172" s="60" t="str">
        <x:f>IF($A172="","",IF(OR($D172="解決",$D172="取消"),"",IF($O172="","",$O172-TODAY())))</x:f>
      </x:c>
      <x:c r="Q172" s="61" t="str">
        <x:f>IF($A172="","",IF(OR($D172="解決",$D172="取消"),"完了",IF($O172="","期限未設定",IF($P172&lt;0,"期限超過",IF($P172=0,"本日期限",IF($P172&lt;=3,"期限接近","期限内"))))))</x:f>
      </x:c>
      <x:c r="R172" s="49"/>
      <x:c r="S172" s="38"/>
      <x:c r="T172" s="49"/>
      <x:c r="U172" s="38"/>
      <x:c r="V172" s="38"/>
      <x:c r="W172" s="38"/>
      <x:c r="X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49"/>
      <x:c r="O173" s="49"/>
      <x:c r="P173" s="60" t="str">
        <x:f>IF($A173="","",IF(OR($D173="解決",$D173="取消"),"",IF($O173="","",$O173-TODAY())))</x:f>
      </x:c>
      <x:c r="Q173" s="61" t="str">
        <x:f>IF($A173="","",IF(OR($D173="解決",$D173="取消"),"完了",IF($O173="","期限未設定",IF($P173&lt;0,"期限超過",IF($P173=0,"本日期限",IF($P173&lt;=3,"期限接近","期限内"))))))</x:f>
      </x:c>
      <x:c r="R173" s="49"/>
      <x:c r="S173" s="38"/>
      <x:c r="T173" s="49"/>
      <x:c r="U173" s="38"/>
      <x:c r="V173" s="38"/>
      <x:c r="W173" s="38"/>
      <x:c r="X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49"/>
      <x:c r="O174" s="49"/>
      <x:c r="P174" s="60" t="str">
        <x:f>IF($A174="","",IF(OR($D174="解決",$D174="取消"),"",IF($O174="","",$O174-TODAY())))</x:f>
      </x:c>
      <x:c r="Q174" s="61" t="str">
        <x:f>IF($A174="","",IF(OR($D174="解決",$D174="取消"),"完了",IF($O174="","期限未設定",IF($P174&lt;0,"期限超過",IF($P174=0,"本日期限",IF($P174&lt;=3,"期限接近","期限内"))))))</x:f>
      </x:c>
      <x:c r="R174" s="49"/>
      <x:c r="S174" s="38"/>
      <x:c r="T174" s="49"/>
      <x:c r="U174" s="38"/>
      <x:c r="V174" s="38"/>
      <x:c r="W174" s="38"/>
      <x:c r="X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49"/>
      <x:c r="O175" s="49"/>
      <x:c r="P175" s="60" t="str">
        <x:f>IF($A175="","",IF(OR($D175="解決",$D175="取消"),"",IF($O175="","",$O175-TODAY())))</x:f>
      </x:c>
      <x:c r="Q175" s="61" t="str">
        <x:f>IF($A175="","",IF(OR($D175="解決",$D175="取消"),"完了",IF($O175="","期限未設定",IF($P175&lt;0,"期限超過",IF($P175=0,"本日期限",IF($P175&lt;=3,"期限接近","期限内"))))))</x:f>
      </x:c>
      <x:c r="R175" s="49"/>
      <x:c r="S175" s="38"/>
      <x:c r="T175" s="49"/>
      <x:c r="U175" s="38"/>
      <x:c r="V175" s="38"/>
      <x:c r="W175" s="38"/>
      <x:c r="X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49"/>
      <x:c r="O176" s="49"/>
      <x:c r="P176" s="60" t="str">
        <x:f>IF($A176="","",IF(OR($D176="解決",$D176="取消"),"",IF($O176="","",$O176-TODAY())))</x:f>
      </x:c>
      <x:c r="Q176" s="61" t="str">
        <x:f>IF($A176="","",IF(OR($D176="解決",$D176="取消"),"完了",IF($O176="","期限未設定",IF($P176&lt;0,"期限超過",IF($P176=0,"本日期限",IF($P176&lt;=3,"期限接近","期限内"))))))</x:f>
      </x:c>
      <x:c r="R176" s="49"/>
      <x:c r="S176" s="38"/>
      <x:c r="T176" s="49"/>
      <x:c r="U176" s="38"/>
      <x:c r="V176" s="38"/>
      <x:c r="W176" s="38"/>
      <x:c r="X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49"/>
      <x:c r="O177" s="49"/>
      <x:c r="P177" s="60" t="str">
        <x:f>IF($A177="","",IF(OR($D177="解決",$D177="取消"),"",IF($O177="","",$O177-TODAY())))</x:f>
      </x:c>
      <x:c r="Q177" s="61" t="str">
        <x:f>IF($A177="","",IF(OR($D177="解決",$D177="取消"),"完了",IF($O177="","期限未設定",IF($P177&lt;0,"期限超過",IF($P177=0,"本日期限",IF($P177&lt;=3,"期限接近","期限内"))))))</x:f>
      </x:c>
      <x:c r="R177" s="49"/>
      <x:c r="S177" s="38"/>
      <x:c r="T177" s="49"/>
      <x:c r="U177" s="38"/>
      <x:c r="V177" s="38"/>
      <x:c r="W177" s="38"/>
      <x:c r="X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49"/>
      <x:c r="O178" s="49"/>
      <x:c r="P178" s="60" t="str">
        <x:f>IF($A178="","",IF(OR($D178="解決",$D178="取消"),"",IF($O178="","",$O178-TODAY())))</x:f>
      </x:c>
      <x:c r="Q178" s="61" t="str">
        <x:f>IF($A178="","",IF(OR($D178="解決",$D178="取消"),"完了",IF($O178="","期限未設定",IF($P178&lt;0,"期限超過",IF($P178=0,"本日期限",IF($P178&lt;=3,"期限接近","期限内"))))))</x:f>
      </x:c>
      <x:c r="R178" s="49"/>
      <x:c r="S178" s="38"/>
      <x:c r="T178" s="49"/>
      <x:c r="U178" s="38"/>
      <x:c r="V178" s="38"/>
      <x:c r="W178" s="38"/>
      <x:c r="X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49"/>
      <x:c r="O179" s="49"/>
      <x:c r="P179" s="60" t="str">
        <x:f>IF($A179="","",IF(OR($D179="解決",$D179="取消"),"",IF($O179="","",$O179-TODAY())))</x:f>
      </x:c>
      <x:c r="Q179" s="61" t="str">
        <x:f>IF($A179="","",IF(OR($D179="解決",$D179="取消"),"完了",IF($O179="","期限未設定",IF($P179&lt;0,"期限超過",IF($P179=0,"本日期限",IF($P179&lt;=3,"期限接近","期限内"))))))</x:f>
      </x:c>
      <x:c r="R179" s="49"/>
      <x:c r="S179" s="38"/>
      <x:c r="T179" s="49"/>
      <x:c r="U179" s="38"/>
      <x:c r="V179" s="38"/>
      <x:c r="W179" s="38"/>
      <x:c r="X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49"/>
      <x:c r="O180" s="49"/>
      <x:c r="P180" s="60" t="str">
        <x:f>IF($A180="","",IF(OR($D180="解決",$D180="取消"),"",IF($O180="","",$O180-TODAY())))</x:f>
      </x:c>
      <x:c r="Q180" s="61" t="str">
        <x:f>IF($A180="","",IF(OR($D180="解決",$D180="取消"),"完了",IF($O180="","期限未設定",IF($P180&lt;0,"期限超過",IF($P180=0,"本日期限",IF($P180&lt;=3,"期限接近","期限内"))))))</x:f>
      </x:c>
      <x:c r="R180" s="49"/>
      <x:c r="S180" s="38"/>
      <x:c r="T180" s="49"/>
      <x:c r="U180" s="38"/>
      <x:c r="V180" s="38"/>
      <x:c r="W180" s="38"/>
      <x:c r="X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49"/>
      <x:c r="O181" s="49"/>
      <x:c r="P181" s="60" t="str">
        <x:f>IF($A181="","",IF(OR($D181="解決",$D181="取消"),"",IF($O181="","",$O181-TODAY())))</x:f>
      </x:c>
      <x:c r="Q181" s="61" t="str">
        <x:f>IF($A181="","",IF(OR($D181="解決",$D181="取消"),"完了",IF($O181="","期限未設定",IF($P181&lt;0,"期限超過",IF($P181=0,"本日期限",IF($P181&lt;=3,"期限接近","期限内"))))))</x:f>
      </x:c>
      <x:c r="R181" s="49"/>
      <x:c r="S181" s="38"/>
      <x:c r="T181" s="49"/>
      <x:c r="U181" s="38"/>
      <x:c r="V181" s="38"/>
      <x:c r="W181" s="38"/>
      <x:c r="X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49"/>
      <x:c r="O182" s="49"/>
      <x:c r="P182" s="60" t="str">
        <x:f>IF($A182="","",IF(OR($D182="解決",$D182="取消"),"",IF($O182="","",$O182-TODAY())))</x:f>
      </x:c>
      <x:c r="Q182" s="61" t="str">
        <x:f>IF($A182="","",IF(OR($D182="解決",$D182="取消"),"完了",IF($O182="","期限未設定",IF($P182&lt;0,"期限超過",IF($P182=0,"本日期限",IF($P182&lt;=3,"期限接近","期限内"))))))</x:f>
      </x:c>
      <x:c r="R182" s="49"/>
      <x:c r="S182" s="38"/>
      <x:c r="T182" s="49"/>
      <x:c r="U182" s="38"/>
      <x:c r="V182" s="38"/>
      <x:c r="W182" s="38"/>
      <x:c r="X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49"/>
      <x:c r="O183" s="49"/>
      <x:c r="P183" s="60" t="str">
        <x:f>IF($A183="","",IF(OR($D183="解決",$D183="取消"),"",IF($O183="","",$O183-TODAY())))</x:f>
      </x:c>
      <x:c r="Q183" s="61" t="str">
        <x:f>IF($A183="","",IF(OR($D183="解決",$D183="取消"),"完了",IF($O183="","期限未設定",IF($P183&lt;0,"期限超過",IF($P183=0,"本日期限",IF($P183&lt;=3,"期限接近","期限内"))))))</x:f>
      </x:c>
      <x:c r="R183" s="49"/>
      <x:c r="S183" s="38"/>
      <x:c r="T183" s="49"/>
      <x:c r="U183" s="38"/>
      <x:c r="V183" s="38"/>
      <x:c r="W183" s="38"/>
      <x:c r="X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49"/>
      <x:c r="O184" s="49"/>
      <x:c r="P184" s="60" t="str">
        <x:f>IF($A184="","",IF(OR($D184="解決",$D184="取消"),"",IF($O184="","",$O184-TODAY())))</x:f>
      </x:c>
      <x:c r="Q184" s="61" t="str">
        <x:f>IF($A184="","",IF(OR($D184="解決",$D184="取消"),"完了",IF($O184="","期限未設定",IF($P184&lt;0,"期限超過",IF($P184=0,"本日期限",IF($P184&lt;=3,"期限接近","期限内"))))))</x:f>
      </x:c>
      <x:c r="R184" s="49"/>
      <x:c r="S184" s="38"/>
      <x:c r="T184" s="49"/>
      <x:c r="U184" s="38"/>
      <x:c r="V184" s="38"/>
      <x:c r="W184" s="38"/>
      <x:c r="X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49"/>
      <x:c r="O185" s="49"/>
      <x:c r="P185" s="60" t="str">
        <x:f>IF($A185="","",IF(OR($D185="解決",$D185="取消"),"",IF($O185="","",$O185-TODAY())))</x:f>
      </x:c>
      <x:c r="Q185" s="61" t="str">
        <x:f>IF($A185="","",IF(OR($D185="解決",$D185="取消"),"完了",IF($O185="","期限未設定",IF($P185&lt;0,"期限超過",IF($P185=0,"本日期限",IF($P185&lt;=3,"期限接近","期限内"))))))</x:f>
      </x:c>
      <x:c r="R185" s="49"/>
      <x:c r="S185" s="38"/>
      <x:c r="T185" s="49"/>
      <x:c r="U185" s="38"/>
      <x:c r="V185" s="38"/>
      <x:c r="W185" s="38"/>
      <x:c r="X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49"/>
      <x:c r="O186" s="49"/>
      <x:c r="P186" s="60" t="str">
        <x:f>IF($A186="","",IF(OR($D186="解決",$D186="取消"),"",IF($O186="","",$O186-TODAY())))</x:f>
      </x:c>
      <x:c r="Q186" s="61" t="str">
        <x:f>IF($A186="","",IF(OR($D186="解決",$D186="取消"),"完了",IF($O186="","期限未設定",IF($P186&lt;0,"期限超過",IF($P186=0,"本日期限",IF($P186&lt;=3,"期限接近","期限内"))))))</x:f>
      </x:c>
      <x:c r="R186" s="49"/>
      <x:c r="S186" s="38"/>
      <x:c r="T186" s="49"/>
      <x:c r="U186" s="38"/>
      <x:c r="V186" s="38"/>
      <x:c r="W186" s="38"/>
      <x:c r="X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49"/>
      <x:c r="O187" s="49"/>
      <x:c r="P187" s="60" t="str">
        <x:f>IF($A187="","",IF(OR($D187="解決",$D187="取消"),"",IF($O187="","",$O187-TODAY())))</x:f>
      </x:c>
      <x:c r="Q187" s="61" t="str">
        <x:f>IF($A187="","",IF(OR($D187="解決",$D187="取消"),"完了",IF($O187="","期限未設定",IF($P187&lt;0,"期限超過",IF($P187=0,"本日期限",IF($P187&lt;=3,"期限接近","期限内"))))))</x:f>
      </x:c>
      <x:c r="R187" s="49"/>
      <x:c r="S187" s="38"/>
      <x:c r="T187" s="49"/>
      <x:c r="U187" s="38"/>
      <x:c r="V187" s="38"/>
      <x:c r="W187" s="38"/>
      <x:c r="X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49"/>
      <x:c r="O188" s="49"/>
      <x:c r="P188" s="60" t="str">
        <x:f>IF($A188="","",IF(OR($D188="解決",$D188="取消"),"",IF($O188="","",$O188-TODAY())))</x:f>
      </x:c>
      <x:c r="Q188" s="61" t="str">
        <x:f>IF($A188="","",IF(OR($D188="解決",$D188="取消"),"完了",IF($O188="","期限未設定",IF($P188&lt;0,"期限超過",IF($P188=0,"本日期限",IF($P188&lt;=3,"期限接近","期限内"))))))</x:f>
      </x:c>
      <x:c r="R188" s="49"/>
      <x:c r="S188" s="38"/>
      <x:c r="T188" s="49"/>
      <x:c r="U188" s="38"/>
      <x:c r="V188" s="38"/>
      <x:c r="W188" s="38"/>
      <x:c r="X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49"/>
      <x:c r="O189" s="49"/>
      <x:c r="P189" s="60" t="str">
        <x:f>IF($A189="","",IF(OR($D189="解決",$D189="取消"),"",IF($O189="","",$O189-TODAY())))</x:f>
      </x:c>
      <x:c r="Q189" s="61" t="str">
        <x:f>IF($A189="","",IF(OR($D189="解決",$D189="取消"),"完了",IF($O189="","期限未設定",IF($P189&lt;0,"期限超過",IF($P189=0,"本日期限",IF($P189&lt;=3,"期限接近","期限内"))))))</x:f>
      </x:c>
      <x:c r="R189" s="49"/>
      <x:c r="S189" s="38"/>
      <x:c r="T189" s="49"/>
      <x:c r="U189" s="38"/>
      <x:c r="V189" s="38"/>
      <x:c r="W189" s="38"/>
      <x:c r="X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49"/>
      <x:c r="O190" s="49"/>
      <x:c r="P190" s="60" t="str">
        <x:f>IF($A190="","",IF(OR($D190="解決",$D190="取消"),"",IF($O190="","",$O190-TODAY())))</x:f>
      </x:c>
      <x:c r="Q190" s="61" t="str">
        <x:f>IF($A190="","",IF(OR($D190="解決",$D190="取消"),"完了",IF($O190="","期限未設定",IF($P190&lt;0,"期限超過",IF($P190=0,"本日期限",IF($P190&lt;=3,"期限接近","期限内"))))))</x:f>
      </x:c>
      <x:c r="R190" s="49"/>
      <x:c r="S190" s="38"/>
      <x:c r="T190" s="49"/>
      <x:c r="U190" s="38"/>
      <x:c r="V190" s="38"/>
      <x:c r="W190" s="38"/>
      <x:c r="X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49"/>
      <x:c r="O191" s="49"/>
      <x:c r="P191" s="60" t="str">
        <x:f>IF($A191="","",IF(OR($D191="解決",$D191="取消"),"",IF($O191="","",$O191-TODAY())))</x:f>
      </x:c>
      <x:c r="Q191" s="61" t="str">
        <x:f>IF($A191="","",IF(OR($D191="解決",$D191="取消"),"完了",IF($O191="","期限未設定",IF($P191&lt;0,"期限超過",IF($P191=0,"本日期限",IF($P191&lt;=3,"期限接近","期限内"))))))</x:f>
      </x:c>
      <x:c r="R191" s="49"/>
      <x:c r="S191" s="38"/>
      <x:c r="T191" s="49"/>
      <x:c r="U191" s="38"/>
      <x:c r="V191" s="38"/>
      <x:c r="W191" s="38"/>
      <x:c r="X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49"/>
      <x:c r="O192" s="49"/>
      <x:c r="P192" s="60" t="str">
        <x:f>IF($A192="","",IF(OR($D192="解決",$D192="取消"),"",IF($O192="","",$O192-TODAY())))</x:f>
      </x:c>
      <x:c r="Q192" s="61" t="str">
        <x:f>IF($A192="","",IF(OR($D192="解決",$D192="取消"),"完了",IF($O192="","期限未設定",IF($P192&lt;0,"期限超過",IF($P192=0,"本日期限",IF($P192&lt;=3,"期限接近","期限内"))))))</x:f>
      </x:c>
      <x:c r="R192" s="49"/>
      <x:c r="S192" s="38"/>
      <x:c r="T192" s="49"/>
      <x:c r="U192" s="38"/>
      <x:c r="V192" s="38"/>
      <x:c r="W192" s="38"/>
      <x:c r="X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49"/>
      <x:c r="O193" s="49"/>
      <x:c r="P193" s="60" t="str">
        <x:f>IF($A193="","",IF(OR($D193="解決",$D193="取消"),"",IF($O193="","",$O193-TODAY())))</x:f>
      </x:c>
      <x:c r="Q193" s="61" t="str">
        <x:f>IF($A193="","",IF(OR($D193="解決",$D193="取消"),"完了",IF($O193="","期限未設定",IF($P193&lt;0,"期限超過",IF($P193=0,"本日期限",IF($P193&lt;=3,"期限接近","期限内"))))))</x:f>
      </x:c>
      <x:c r="R193" s="49"/>
      <x:c r="S193" s="38"/>
      <x:c r="T193" s="49"/>
      <x:c r="U193" s="38"/>
      <x:c r="V193" s="38"/>
      <x:c r="W193" s="38"/>
      <x:c r="X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49"/>
      <x:c r="O194" s="49"/>
      <x:c r="P194" s="60" t="str">
        <x:f>IF($A194="","",IF(OR($D194="解決",$D194="取消"),"",IF($O194="","",$O194-TODAY())))</x:f>
      </x:c>
      <x:c r="Q194" s="61" t="str">
        <x:f>IF($A194="","",IF(OR($D194="解決",$D194="取消"),"完了",IF($O194="","期限未設定",IF($P194&lt;0,"期限超過",IF($P194=0,"本日期限",IF($P194&lt;=3,"期限接近","期限内"))))))</x:f>
      </x:c>
      <x:c r="R194" s="49"/>
      <x:c r="S194" s="38"/>
      <x:c r="T194" s="49"/>
      <x:c r="U194" s="38"/>
      <x:c r="V194" s="38"/>
      <x:c r="W194" s="38"/>
      <x:c r="X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49"/>
      <x:c r="O195" s="49"/>
      <x:c r="P195" s="60" t="str">
        <x:f>IF($A195="","",IF(OR($D195="解決",$D195="取消"),"",IF($O195="","",$O195-TODAY())))</x:f>
      </x:c>
      <x:c r="Q195" s="61" t="str">
        <x:f>IF($A195="","",IF(OR($D195="解決",$D195="取消"),"完了",IF($O195="","期限未設定",IF($P195&lt;0,"期限超過",IF($P195=0,"本日期限",IF($P195&lt;=3,"期限接近","期限内"))))))</x:f>
      </x:c>
      <x:c r="R195" s="49"/>
      <x:c r="S195" s="38"/>
      <x:c r="T195" s="49"/>
      <x:c r="U195" s="38"/>
      <x:c r="V195" s="38"/>
      <x:c r="W195" s="38"/>
      <x:c r="X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49"/>
      <x:c r="O196" s="49"/>
      <x:c r="P196" s="60" t="str">
        <x:f>IF($A196="","",IF(OR($D196="解決",$D196="取消"),"",IF($O196="","",$O196-TODAY())))</x:f>
      </x:c>
      <x:c r="Q196" s="61" t="str">
        <x:f>IF($A196="","",IF(OR($D196="解決",$D196="取消"),"完了",IF($O196="","期限未設定",IF($P196&lt;0,"期限超過",IF($P196=0,"本日期限",IF($P196&lt;=3,"期限接近","期限内"))))))</x:f>
      </x:c>
      <x:c r="R196" s="49"/>
      <x:c r="S196" s="38"/>
      <x:c r="T196" s="49"/>
      <x:c r="U196" s="38"/>
      <x:c r="V196" s="38"/>
      <x:c r="W196" s="38"/>
      <x:c r="X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49"/>
      <x:c r="O197" s="49"/>
      <x:c r="P197" s="60" t="str">
        <x:f>IF($A197="","",IF(OR($D197="解決",$D197="取消"),"",IF($O197="","",$O197-TODAY())))</x:f>
      </x:c>
      <x:c r="Q197" s="61" t="str">
        <x:f>IF($A197="","",IF(OR($D197="解決",$D197="取消"),"完了",IF($O197="","期限未設定",IF($P197&lt;0,"期限超過",IF($P197=0,"本日期限",IF($P197&lt;=3,"期限接近","期限内"))))))</x:f>
      </x:c>
      <x:c r="R197" s="49"/>
      <x:c r="S197" s="38"/>
      <x:c r="T197" s="49"/>
      <x:c r="U197" s="38"/>
      <x:c r="V197" s="38"/>
      <x:c r="W197" s="38"/>
      <x:c r="X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49"/>
      <x:c r="O198" s="49"/>
      <x:c r="P198" s="60" t="str">
        <x:f>IF($A198="","",IF(OR($D198="解決",$D198="取消"),"",IF($O198="","",$O198-TODAY())))</x:f>
      </x:c>
      <x:c r="Q198" s="61" t="str">
        <x:f>IF($A198="","",IF(OR($D198="解決",$D198="取消"),"完了",IF($O198="","期限未設定",IF($P198&lt;0,"期限超過",IF($P198=0,"本日期限",IF($P198&lt;=3,"期限接近","期限内"))))))</x:f>
      </x:c>
      <x:c r="R198" s="49"/>
      <x:c r="S198" s="38"/>
      <x:c r="T198" s="49"/>
      <x:c r="U198" s="38"/>
      <x:c r="V198" s="38"/>
      <x:c r="W198" s="38"/>
      <x:c r="X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49"/>
      <x:c r="O199" s="49"/>
      <x:c r="P199" s="60" t="str">
        <x:f>IF($A199="","",IF(OR($D199="解決",$D199="取消"),"",IF($O199="","",$O199-TODAY())))</x:f>
      </x:c>
      <x:c r="Q199" s="61" t="str">
        <x:f>IF($A199="","",IF(OR($D199="解決",$D199="取消"),"完了",IF($O199="","期限未設定",IF($P199&lt;0,"期限超過",IF($P199=0,"本日期限",IF($P199&lt;=3,"期限接近","期限内"))))))</x:f>
      </x:c>
      <x:c r="R199" s="49"/>
      <x:c r="S199" s="38"/>
      <x:c r="T199" s="49"/>
      <x:c r="U199" s="38"/>
      <x:c r="V199" s="38"/>
      <x:c r="W199" s="38"/>
      <x:c r="X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49"/>
      <x:c r="O200" s="49"/>
      <x:c r="P200" s="60" t="str">
        <x:f>IF($A200="","",IF(OR($D200="解決",$D200="取消"),"",IF($O200="","",$O200-TODAY())))</x:f>
      </x:c>
      <x:c r="Q200" s="61" t="str">
        <x:f>IF($A200="","",IF(OR($D200="解決",$D200="取消"),"完了",IF($O200="","期限未設定",IF($P200&lt;0,"期限超過",IF($P200=0,"本日期限",IF($P200&lt;=3,"期限接近","期限内"))))))</x:f>
      </x:c>
      <x:c r="R200" s="49"/>
      <x:c r="S200" s="38"/>
      <x:c r="T200" s="49"/>
      <x:c r="U200" s="38"/>
      <x:c r="V200" s="38"/>
      <x:c r="W200" s="38"/>
      <x:c r="X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49"/>
      <x:c r="O201" s="49"/>
      <x:c r="P201" s="60" t="str">
        <x:f>IF($A201="","",IF(OR($D201="解決",$D201="取消"),"",IF($O201="","",$O201-TODAY())))</x:f>
      </x:c>
      <x:c r="Q201" s="61" t="str">
        <x:f>IF($A201="","",IF(OR($D201="解決",$D201="取消"),"完了",IF($O201="","期限未設定",IF($P201&lt;0,"期限超過",IF($P201=0,"本日期限",IF($P201&lt;=3,"期限接近","期限内"))))))</x:f>
      </x:c>
      <x:c r="R201" s="49"/>
      <x:c r="S201" s="38"/>
      <x:c r="T201" s="49"/>
      <x:c r="U201" s="38"/>
      <x:c r="V201" s="38"/>
      <x:c r="W201" s="38"/>
      <x:c r="X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49"/>
      <x:c r="O202" s="49"/>
      <x:c r="P202" s="60" t="str">
        <x:f>IF($A202="","",IF(OR($D202="解決",$D202="取消"),"",IF($O202="","",$O202-TODAY())))</x:f>
      </x:c>
      <x:c r="Q202" s="61" t="str">
        <x:f>IF($A202="","",IF(OR($D202="解決",$D202="取消"),"完了",IF($O202="","期限未設定",IF($P202&lt;0,"期限超過",IF($P202=0,"本日期限",IF($P202&lt;=3,"期限接近","期限内"))))))</x:f>
      </x:c>
      <x:c r="R202" s="49"/>
      <x:c r="S202" s="38"/>
      <x:c r="T202" s="49"/>
      <x:c r="U202" s="38"/>
      <x:c r="V202" s="38"/>
      <x:c r="W202" s="38"/>
      <x:c r="X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49"/>
      <x:c r="O203" s="49"/>
      <x:c r="P203" s="60" t="str">
        <x:f>IF($A203="","",IF(OR($D203="解決",$D203="取消"),"",IF($O203="","",$O203-TODAY())))</x:f>
      </x:c>
      <x:c r="Q203" s="61" t="str">
        <x:f>IF($A203="","",IF(OR($D203="解決",$D203="取消"),"完了",IF($O203="","期限未設定",IF($P203&lt;0,"期限超過",IF($P203=0,"本日期限",IF($P203&lt;=3,"期限接近","期限内"))))))</x:f>
      </x:c>
      <x:c r="R203" s="49"/>
      <x:c r="S203" s="38"/>
      <x:c r="T203" s="49"/>
      <x:c r="U203" s="38"/>
      <x:c r="V203" s="38"/>
      <x:c r="W203" s="38"/>
      <x:c r="X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49"/>
      <x:c r="O204" s="49"/>
      <x:c r="P204" s="60" t="str">
        <x:f>IF($A204="","",IF(OR($D204="解決",$D204="取消"),"",IF($O204="","",$O204-TODAY())))</x:f>
      </x:c>
      <x:c r="Q204" s="61" t="str">
        <x:f>IF($A204="","",IF(OR($D204="解決",$D204="取消"),"完了",IF($O204="","期限未設定",IF($P204&lt;0,"期限超過",IF($P204=0,"本日期限",IF($P204&lt;=3,"期限接近","期限内"))))))</x:f>
      </x:c>
      <x:c r="R204" s="49"/>
      <x:c r="S204" s="38"/>
      <x:c r="T204" s="49"/>
      <x:c r="U204" s="38"/>
      <x:c r="V204" s="38"/>
      <x:c r="W204" s="38"/>
      <x:c r="X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49"/>
      <x:c r="O205" s="49"/>
      <x:c r="P205" s="60" t="str">
        <x:f>IF($A205="","",IF(OR($D205="解決",$D205="取消"),"",IF($O205="","",$O205-TODAY())))</x:f>
      </x:c>
      <x:c r="Q205" s="61" t="str">
        <x:f>IF($A205="","",IF(OR($D205="解決",$D205="取消"),"完了",IF($O205="","期限未設定",IF($P205&lt;0,"期限超過",IF($P205=0,"本日期限",IF($P205&lt;=3,"期限接近","期限内"))))))</x:f>
      </x:c>
      <x:c r="R205" s="49"/>
      <x:c r="S205" s="38"/>
      <x:c r="T205" s="49"/>
      <x:c r="U205" s="38"/>
      <x:c r="V205" s="38"/>
      <x:c r="W205" s="38"/>
      <x:c r="X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49"/>
      <x:c r="O206" s="49"/>
      <x:c r="P206" s="60" t="str">
        <x:f>IF($A206="","",IF(OR($D206="解決",$D206="取消"),"",IF($O206="","",$O206-TODAY())))</x:f>
      </x:c>
      <x:c r="Q206" s="61" t="str">
        <x:f>IF($A206="","",IF(OR($D206="解決",$D206="取消"),"完了",IF($O206="","期限未設定",IF($P206&lt;0,"期限超過",IF($P206=0,"本日期限",IF($P206&lt;=3,"期限接近","期限内"))))))</x:f>
      </x:c>
      <x:c r="R206" s="49"/>
      <x:c r="S206" s="38"/>
      <x:c r="T206" s="49"/>
      <x:c r="U206" s="38"/>
      <x:c r="V206" s="38"/>
      <x:c r="W206" s="38"/>
      <x:c r="X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49"/>
      <x:c r="O207" s="49"/>
      <x:c r="P207" s="60" t="str">
        <x:f>IF($A207="","",IF(OR($D207="解決",$D207="取消"),"",IF($O207="","",$O207-TODAY())))</x:f>
      </x:c>
      <x:c r="Q207" s="61" t="str">
        <x:f>IF($A207="","",IF(OR($D207="解決",$D207="取消"),"完了",IF($O207="","期限未設定",IF($P207&lt;0,"期限超過",IF($P207=0,"本日期限",IF($P207&lt;=3,"期限接近","期限内"))))))</x:f>
      </x:c>
      <x:c r="R207" s="49"/>
      <x:c r="S207" s="38"/>
      <x:c r="T207" s="49"/>
      <x:c r="U207" s="38"/>
      <x:c r="V207" s="38"/>
      <x:c r="W207" s="38"/>
      <x:c r="X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49"/>
      <x:c r="O208" s="49"/>
      <x:c r="P208" s="60" t="str">
        <x:f>IF($A208="","",IF(OR($D208="解決",$D208="取消"),"",IF($O208="","",$O208-TODAY())))</x:f>
      </x:c>
      <x:c r="Q208" s="61" t="str">
        <x:f>IF($A208="","",IF(OR($D208="解決",$D208="取消"),"完了",IF($O208="","期限未設定",IF($P208&lt;0,"期限超過",IF($P208=0,"本日期限",IF($P208&lt;=3,"期限接近","期限内"))))))</x:f>
      </x:c>
      <x:c r="R208" s="49"/>
      <x:c r="S208" s="38"/>
      <x:c r="T208" s="49"/>
      <x:c r="U208" s="38"/>
      <x:c r="V208" s="38"/>
      <x:c r="W208" s="38"/>
      <x:c r="X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49"/>
      <x:c r="O209" s="49"/>
      <x:c r="P209" s="60" t="str">
        <x:f>IF($A209="","",IF(OR($D209="解決",$D209="取消"),"",IF($O209="","",$O209-TODAY())))</x:f>
      </x:c>
      <x:c r="Q209" s="61" t="str">
        <x:f>IF($A209="","",IF(OR($D209="解決",$D209="取消"),"完了",IF($O209="","期限未設定",IF($P209&lt;0,"期限超過",IF($P209=0,"本日期限",IF($P209&lt;=3,"期限接近","期限内"))))))</x:f>
      </x:c>
      <x:c r="R209" s="49"/>
      <x:c r="S209" s="38"/>
      <x:c r="T209" s="49"/>
      <x:c r="U209" s="38"/>
      <x:c r="V209" s="38"/>
      <x:c r="W209" s="38"/>
      <x:c r="X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49"/>
      <x:c r="O210" s="49"/>
      <x:c r="P210" s="60" t="str">
        <x:f>IF($A210="","",IF(OR($D210="解決",$D210="取消"),"",IF($O210="","",$O210-TODAY())))</x:f>
      </x:c>
      <x:c r="Q210" s="61" t="str">
        <x:f>IF($A210="","",IF(OR($D210="解決",$D210="取消"),"完了",IF($O210="","期限未設定",IF($P210&lt;0,"期限超過",IF($P210=0,"本日期限",IF($P210&lt;=3,"期限接近","期限内"))))))</x:f>
      </x:c>
      <x:c r="R210" s="49"/>
      <x:c r="S210" s="38"/>
      <x:c r="T210" s="49"/>
      <x:c r="U210" s="38"/>
      <x:c r="V210" s="38"/>
      <x:c r="W210" s="38"/>
      <x:c r="X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49"/>
      <x:c r="O211" s="49"/>
      <x:c r="P211" s="60" t="str">
        <x:f>IF($A211="","",IF(OR($D211="解決",$D211="取消"),"",IF($O211="","",$O211-TODAY())))</x:f>
      </x:c>
      <x:c r="Q211" s="61" t="str">
        <x:f>IF($A211="","",IF(OR($D211="解決",$D211="取消"),"完了",IF($O211="","期限未設定",IF($P211&lt;0,"期限超過",IF($P211=0,"本日期限",IF($P211&lt;=3,"期限接近","期限内"))))))</x:f>
      </x:c>
      <x:c r="R211" s="49"/>
      <x:c r="S211" s="38"/>
      <x:c r="T211" s="49"/>
      <x:c r="U211" s="38"/>
      <x:c r="V211" s="38"/>
      <x:c r="W211" s="38"/>
      <x:c r="X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49"/>
      <x:c r="O212" s="49"/>
      <x:c r="P212" s="60" t="str">
        <x:f>IF($A212="","",IF(OR($D212="解決",$D212="取消"),"",IF($O212="","",$O212-TODAY())))</x:f>
      </x:c>
      <x:c r="Q212" s="61" t="str">
        <x:f>IF($A212="","",IF(OR($D212="解決",$D212="取消"),"完了",IF($O212="","期限未設定",IF($P212&lt;0,"期限超過",IF($P212=0,"本日期限",IF($P212&lt;=3,"期限接近","期限内"))))))</x:f>
      </x:c>
      <x:c r="R212" s="49"/>
      <x:c r="S212" s="38"/>
      <x:c r="T212" s="49"/>
      <x:c r="U212" s="38"/>
      <x:c r="V212" s="38"/>
      <x:c r="W212" s="38"/>
      <x:c r="X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49"/>
      <x:c r="O213" s="49"/>
      <x:c r="P213" s="60" t="str">
        <x:f>IF($A213="","",IF(OR($D213="解決",$D213="取消"),"",IF($O213="","",$O213-TODAY())))</x:f>
      </x:c>
      <x:c r="Q213" s="61" t="str">
        <x:f>IF($A213="","",IF(OR($D213="解決",$D213="取消"),"完了",IF($O213="","期限未設定",IF($P213&lt;0,"期限超過",IF($P213=0,"本日期限",IF($P213&lt;=3,"期限接近","期限内"))))))</x:f>
      </x:c>
      <x:c r="R213" s="49"/>
      <x:c r="S213" s="38"/>
      <x:c r="T213" s="49"/>
      <x:c r="U213" s="38"/>
      <x:c r="V213" s="38"/>
      <x:c r="W213" s="38"/>
      <x:c r="X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49"/>
      <x:c r="O214" s="49"/>
      <x:c r="P214" s="60" t="str">
        <x:f>IF($A214="","",IF(OR($D214="解決",$D214="取消"),"",IF($O214="","",$O214-TODAY())))</x:f>
      </x:c>
      <x:c r="Q214" s="61" t="str">
        <x:f>IF($A214="","",IF(OR($D214="解決",$D214="取消"),"完了",IF($O214="","期限未設定",IF($P214&lt;0,"期限超過",IF($P214=0,"本日期限",IF($P214&lt;=3,"期限接近","期限内"))))))</x:f>
      </x:c>
      <x:c r="R214" s="49"/>
      <x:c r="S214" s="38"/>
      <x:c r="T214" s="49"/>
      <x:c r="U214" s="38"/>
      <x:c r="V214" s="38"/>
      <x:c r="W214" s="38"/>
      <x:c r="X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49"/>
      <x:c r="O215" s="49"/>
      <x:c r="P215" s="60" t="str">
        <x:f>IF($A215="","",IF(OR($D215="解決",$D215="取消"),"",IF($O215="","",$O215-TODAY())))</x:f>
      </x:c>
      <x:c r="Q215" s="61" t="str">
        <x:f>IF($A215="","",IF(OR($D215="解決",$D215="取消"),"完了",IF($O215="","期限未設定",IF($P215&lt;0,"期限超過",IF($P215=0,"本日期限",IF($P215&lt;=3,"期限接近","期限内"))))))</x:f>
      </x:c>
      <x:c r="R215" s="49"/>
      <x:c r="S215" s="38"/>
      <x:c r="T215" s="49"/>
      <x:c r="U215" s="38"/>
      <x:c r="V215" s="38"/>
      <x:c r="W215" s="38"/>
      <x:c r="X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49"/>
      <x:c r="O216" s="49"/>
      <x:c r="P216" s="60" t="str">
        <x:f>IF($A216="","",IF(OR($D216="解決",$D216="取消"),"",IF($O216="","",$O216-TODAY())))</x:f>
      </x:c>
      <x:c r="Q216" s="61" t="str">
        <x:f>IF($A216="","",IF(OR($D216="解決",$D216="取消"),"完了",IF($O216="","期限未設定",IF($P216&lt;0,"期限超過",IF($P216=0,"本日期限",IF($P216&lt;=3,"期限接近","期限内"))))))</x:f>
      </x:c>
      <x:c r="R216" s="49"/>
      <x:c r="S216" s="38"/>
      <x:c r="T216" s="49"/>
      <x:c r="U216" s="38"/>
      <x:c r="V216" s="38"/>
      <x:c r="W216" s="38"/>
      <x:c r="X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49"/>
      <x:c r="O217" s="49"/>
      <x:c r="P217" s="60" t="str">
        <x:f>IF($A217="","",IF(OR($D217="解決",$D217="取消"),"",IF($O217="","",$O217-TODAY())))</x:f>
      </x:c>
      <x:c r="Q217" s="61" t="str">
        <x:f>IF($A217="","",IF(OR($D217="解決",$D217="取消"),"完了",IF($O217="","期限未設定",IF($P217&lt;0,"期限超過",IF($P217=0,"本日期限",IF($P217&lt;=3,"期限接近","期限内"))))))</x:f>
      </x:c>
      <x:c r="R217" s="49"/>
      <x:c r="S217" s="38"/>
      <x:c r="T217" s="49"/>
      <x:c r="U217" s="38"/>
      <x:c r="V217" s="38"/>
      <x:c r="W217" s="38"/>
      <x:c r="X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49"/>
      <x:c r="O218" s="49"/>
      <x:c r="P218" s="60" t="str">
        <x:f>IF($A218="","",IF(OR($D218="解決",$D218="取消"),"",IF($O218="","",$O218-TODAY())))</x:f>
      </x:c>
      <x:c r="Q218" s="61" t="str">
        <x:f>IF($A218="","",IF(OR($D218="解決",$D218="取消"),"完了",IF($O218="","期限未設定",IF($P218&lt;0,"期限超過",IF($P218=0,"本日期限",IF($P218&lt;=3,"期限接近","期限内"))))))</x:f>
      </x:c>
      <x:c r="R218" s="49"/>
      <x:c r="S218" s="38"/>
      <x:c r="T218" s="49"/>
      <x:c r="U218" s="38"/>
      <x:c r="V218" s="38"/>
      <x:c r="W218" s="38"/>
      <x:c r="X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49"/>
      <x:c r="O219" s="49"/>
      <x:c r="P219" s="60" t="str">
        <x:f>IF($A219="","",IF(OR($D219="解決",$D219="取消"),"",IF($O219="","",$O219-TODAY())))</x:f>
      </x:c>
      <x:c r="Q219" s="61" t="str">
        <x:f>IF($A219="","",IF(OR($D219="解決",$D219="取消"),"完了",IF($O219="","期限未設定",IF($P219&lt;0,"期限超過",IF($P219=0,"本日期限",IF($P219&lt;=3,"期限接近","期限内"))))))</x:f>
      </x:c>
      <x:c r="R219" s="49"/>
      <x:c r="S219" s="38"/>
      <x:c r="T219" s="49"/>
      <x:c r="U219" s="38"/>
      <x:c r="V219" s="38"/>
      <x:c r="W219" s="38"/>
      <x:c r="X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49"/>
      <x:c r="O220" s="49"/>
      <x:c r="P220" s="60" t="str">
        <x:f>IF($A220="","",IF(OR($D220="解決",$D220="取消"),"",IF($O220="","",$O220-TODAY())))</x:f>
      </x:c>
      <x:c r="Q220" s="61" t="str">
        <x:f>IF($A220="","",IF(OR($D220="解決",$D220="取消"),"完了",IF($O220="","期限未設定",IF($P220&lt;0,"期限超過",IF($P220=0,"本日期限",IF($P220&lt;=3,"期限接近","期限内"))))))</x:f>
      </x:c>
      <x:c r="R220" s="49"/>
      <x:c r="S220" s="38"/>
      <x:c r="T220" s="49"/>
      <x:c r="U220" s="38"/>
      <x:c r="V220" s="38"/>
      <x:c r="W220" s="38"/>
      <x:c r="X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49"/>
      <x:c r="O221" s="49"/>
      <x:c r="P221" s="60" t="str">
        <x:f>IF($A221="","",IF(OR($D221="解決",$D221="取消"),"",IF($O221="","",$O221-TODAY())))</x:f>
      </x:c>
      <x:c r="Q221" s="61" t="str">
        <x:f>IF($A221="","",IF(OR($D221="解決",$D221="取消"),"完了",IF($O221="","期限未設定",IF($P221&lt;0,"期限超過",IF($P221=0,"本日期限",IF($P221&lt;=3,"期限接近","期限内"))))))</x:f>
      </x:c>
      <x:c r="R221" s="49"/>
      <x:c r="S221" s="38"/>
      <x:c r="T221" s="49"/>
      <x:c r="U221" s="38"/>
      <x:c r="V221" s="38"/>
      <x:c r="W221" s="38"/>
      <x:c r="X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49"/>
      <x:c r="O222" s="49"/>
      <x:c r="P222" s="60" t="str">
        <x:f>IF($A222="","",IF(OR($D222="解決",$D222="取消"),"",IF($O222="","",$O222-TODAY())))</x:f>
      </x:c>
      <x:c r="Q222" s="61" t="str">
        <x:f>IF($A222="","",IF(OR($D222="解決",$D222="取消"),"完了",IF($O222="","期限未設定",IF($P222&lt;0,"期限超過",IF($P222=0,"本日期限",IF($P222&lt;=3,"期限接近","期限内"))))))</x:f>
      </x:c>
      <x:c r="R222" s="49"/>
      <x:c r="S222" s="38"/>
      <x:c r="T222" s="49"/>
      <x:c r="U222" s="38"/>
      <x:c r="V222" s="38"/>
      <x:c r="W222" s="38"/>
      <x:c r="X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49"/>
      <x:c r="O223" s="49"/>
      <x:c r="P223" s="60" t="str">
        <x:f>IF($A223="","",IF(OR($D223="解決",$D223="取消"),"",IF($O223="","",$O223-TODAY())))</x:f>
      </x:c>
      <x:c r="Q223" s="61" t="str">
        <x:f>IF($A223="","",IF(OR($D223="解決",$D223="取消"),"完了",IF($O223="","期限未設定",IF($P223&lt;0,"期限超過",IF($P223=0,"本日期限",IF($P223&lt;=3,"期限接近","期限内"))))))</x:f>
      </x:c>
      <x:c r="R223" s="49"/>
      <x:c r="S223" s="38"/>
      <x:c r="T223" s="49"/>
      <x:c r="U223" s="38"/>
      <x:c r="V223" s="38"/>
      <x:c r="W223" s="38"/>
      <x:c r="X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49"/>
      <x:c r="O224" s="49"/>
      <x:c r="P224" s="60" t="str">
        <x:f>IF($A224="","",IF(OR($D224="解決",$D224="取消"),"",IF($O224="","",$O224-TODAY())))</x:f>
      </x:c>
      <x:c r="Q224" s="61" t="str">
        <x:f>IF($A224="","",IF(OR($D224="解決",$D224="取消"),"完了",IF($O224="","期限未設定",IF($P224&lt;0,"期限超過",IF($P224=0,"本日期限",IF($P224&lt;=3,"期限接近","期限内"))))))</x:f>
      </x:c>
      <x:c r="R224" s="49"/>
      <x:c r="S224" s="38"/>
      <x:c r="T224" s="49"/>
      <x:c r="U224" s="38"/>
      <x:c r="V224" s="38"/>
      <x:c r="W224" s="38"/>
      <x:c r="X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49"/>
      <x:c r="O225" s="49"/>
      <x:c r="P225" s="60" t="str">
        <x:f>IF($A225="","",IF(OR($D225="解決",$D225="取消"),"",IF($O225="","",$O225-TODAY())))</x:f>
      </x:c>
      <x:c r="Q225" s="61" t="str">
        <x:f>IF($A225="","",IF(OR($D225="解決",$D225="取消"),"完了",IF($O225="","期限未設定",IF($P225&lt;0,"期限超過",IF($P225=0,"本日期限",IF($P225&lt;=3,"期限接近","期限内"))))))</x:f>
      </x:c>
      <x:c r="R225" s="49"/>
      <x:c r="S225" s="38"/>
      <x:c r="T225" s="49"/>
      <x:c r="U225" s="38"/>
      <x:c r="V225" s="38"/>
      <x:c r="W225" s="38"/>
      <x:c r="X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49"/>
      <x:c r="O226" s="49"/>
      <x:c r="P226" s="60" t="str">
        <x:f>IF($A226="","",IF(OR($D226="解決",$D226="取消"),"",IF($O226="","",$O226-TODAY())))</x:f>
      </x:c>
      <x:c r="Q226" s="61" t="str">
        <x:f>IF($A226="","",IF(OR($D226="解決",$D226="取消"),"完了",IF($O226="","期限未設定",IF($P226&lt;0,"期限超過",IF($P226=0,"本日期限",IF($P226&lt;=3,"期限接近","期限内"))))))</x:f>
      </x:c>
      <x:c r="R226" s="49"/>
      <x:c r="S226" s="38"/>
      <x:c r="T226" s="49"/>
      <x:c r="U226" s="38"/>
      <x:c r="V226" s="38"/>
      <x:c r="W226" s="38"/>
      <x:c r="X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49"/>
      <x:c r="O227" s="49"/>
      <x:c r="P227" s="60" t="str">
        <x:f>IF($A227="","",IF(OR($D227="解決",$D227="取消"),"",IF($O227="","",$O227-TODAY())))</x:f>
      </x:c>
      <x:c r="Q227" s="61" t="str">
        <x:f>IF($A227="","",IF(OR($D227="解決",$D227="取消"),"完了",IF($O227="","期限未設定",IF($P227&lt;0,"期限超過",IF($P227=0,"本日期限",IF($P227&lt;=3,"期限接近","期限内"))))))</x:f>
      </x:c>
      <x:c r="R227" s="49"/>
      <x:c r="S227" s="38"/>
      <x:c r="T227" s="49"/>
      <x:c r="U227" s="38"/>
      <x:c r="V227" s="38"/>
      <x:c r="W227" s="38"/>
      <x:c r="X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49"/>
      <x:c r="O228" s="49"/>
      <x:c r="P228" s="60" t="str">
        <x:f>IF($A228="","",IF(OR($D228="解決",$D228="取消"),"",IF($O228="","",$O228-TODAY())))</x:f>
      </x:c>
      <x:c r="Q228" s="61" t="str">
        <x:f>IF($A228="","",IF(OR($D228="解決",$D228="取消"),"完了",IF($O228="","期限未設定",IF($P228&lt;0,"期限超過",IF($P228=0,"本日期限",IF($P228&lt;=3,"期限接近","期限内"))))))</x:f>
      </x:c>
      <x:c r="R228" s="49"/>
      <x:c r="S228" s="38"/>
      <x:c r="T228" s="49"/>
      <x:c r="U228" s="38"/>
      <x:c r="V228" s="38"/>
      <x:c r="W228" s="38"/>
      <x:c r="X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49"/>
      <x:c r="O229" s="49"/>
      <x:c r="P229" s="60" t="str">
        <x:f>IF($A229="","",IF(OR($D229="解決",$D229="取消"),"",IF($O229="","",$O229-TODAY())))</x:f>
      </x:c>
      <x:c r="Q229" s="61" t="str">
        <x:f>IF($A229="","",IF(OR($D229="解決",$D229="取消"),"完了",IF($O229="","期限未設定",IF($P229&lt;0,"期限超過",IF($P229=0,"本日期限",IF($P229&lt;=3,"期限接近","期限内"))))))</x:f>
      </x:c>
      <x:c r="R229" s="49"/>
      <x:c r="S229" s="38"/>
      <x:c r="T229" s="49"/>
      <x:c r="U229" s="38"/>
      <x:c r="V229" s="38"/>
      <x:c r="W229" s="38"/>
      <x:c r="X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49"/>
      <x:c r="O230" s="49"/>
      <x:c r="P230" s="60" t="str">
        <x:f>IF($A230="","",IF(OR($D230="解決",$D230="取消"),"",IF($O230="","",$O230-TODAY())))</x:f>
      </x:c>
      <x:c r="Q230" s="61" t="str">
        <x:f>IF($A230="","",IF(OR($D230="解決",$D230="取消"),"完了",IF($O230="","期限未設定",IF($P230&lt;0,"期限超過",IF($P230=0,"本日期限",IF($P230&lt;=3,"期限接近","期限内"))))))</x:f>
      </x:c>
      <x:c r="R230" s="49"/>
      <x:c r="S230" s="38"/>
      <x:c r="T230" s="49"/>
      <x:c r="U230" s="38"/>
      <x:c r="V230" s="38"/>
      <x:c r="W230" s="38"/>
      <x:c r="X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49"/>
      <x:c r="O231" s="49"/>
      <x:c r="P231" s="60" t="str">
        <x:f>IF($A231="","",IF(OR($D231="解決",$D231="取消"),"",IF($O231="","",$O231-TODAY())))</x:f>
      </x:c>
      <x:c r="Q231" s="61" t="str">
        <x:f>IF($A231="","",IF(OR($D231="解決",$D231="取消"),"完了",IF($O231="","期限未設定",IF($P231&lt;0,"期限超過",IF($P231=0,"本日期限",IF($P231&lt;=3,"期限接近","期限内"))))))</x:f>
      </x:c>
      <x:c r="R231" s="49"/>
      <x:c r="S231" s="38"/>
      <x:c r="T231" s="49"/>
      <x:c r="U231" s="38"/>
      <x:c r="V231" s="38"/>
      <x:c r="W231" s="38"/>
      <x:c r="X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49"/>
      <x:c r="O232" s="49"/>
      <x:c r="P232" s="60" t="str">
        <x:f>IF($A232="","",IF(OR($D232="解決",$D232="取消"),"",IF($O232="","",$O232-TODAY())))</x:f>
      </x:c>
      <x:c r="Q232" s="61" t="str">
        <x:f>IF($A232="","",IF(OR($D232="解決",$D232="取消"),"完了",IF($O232="","期限未設定",IF($P232&lt;0,"期限超過",IF($P232=0,"本日期限",IF($P232&lt;=3,"期限接近","期限内"))))))</x:f>
      </x:c>
      <x:c r="R232" s="49"/>
      <x:c r="S232" s="38"/>
      <x:c r="T232" s="49"/>
      <x:c r="U232" s="38"/>
      <x:c r="V232" s="38"/>
      <x:c r="W232" s="38"/>
      <x:c r="X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49"/>
      <x:c r="O233" s="49"/>
      <x:c r="P233" s="60" t="str">
        <x:f>IF($A233="","",IF(OR($D233="解決",$D233="取消"),"",IF($O233="","",$O233-TODAY())))</x:f>
      </x:c>
      <x:c r="Q233" s="61" t="str">
        <x:f>IF($A233="","",IF(OR($D233="解決",$D233="取消"),"完了",IF($O233="","期限未設定",IF($P233&lt;0,"期限超過",IF($P233=0,"本日期限",IF($P233&lt;=3,"期限接近","期限内"))))))</x:f>
      </x:c>
      <x:c r="R233" s="49"/>
      <x:c r="S233" s="38"/>
      <x:c r="T233" s="49"/>
      <x:c r="U233" s="38"/>
      <x:c r="V233" s="38"/>
      <x:c r="W233" s="38"/>
      <x:c r="X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49"/>
      <x:c r="O234" s="49"/>
      <x:c r="P234" s="60" t="str">
        <x:f>IF($A234="","",IF(OR($D234="解決",$D234="取消"),"",IF($O234="","",$O234-TODAY())))</x:f>
      </x:c>
      <x:c r="Q234" s="61" t="str">
        <x:f>IF($A234="","",IF(OR($D234="解決",$D234="取消"),"完了",IF($O234="","期限未設定",IF($P234&lt;0,"期限超過",IF($P234=0,"本日期限",IF($P234&lt;=3,"期限接近","期限内"))))))</x:f>
      </x:c>
      <x:c r="R234" s="49"/>
      <x:c r="S234" s="38"/>
      <x:c r="T234" s="49"/>
      <x:c r="U234" s="38"/>
      <x:c r="V234" s="38"/>
      <x:c r="W234" s="38"/>
      <x:c r="X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49"/>
      <x:c r="O235" s="49"/>
      <x:c r="P235" s="60" t="str">
        <x:f>IF($A235="","",IF(OR($D235="解決",$D235="取消"),"",IF($O235="","",$O235-TODAY())))</x:f>
      </x:c>
      <x:c r="Q235" s="61" t="str">
        <x:f>IF($A235="","",IF(OR($D235="解決",$D235="取消"),"完了",IF($O235="","期限未設定",IF($P235&lt;0,"期限超過",IF($P235=0,"本日期限",IF($P235&lt;=3,"期限接近","期限内"))))))</x:f>
      </x:c>
      <x:c r="R235" s="49"/>
      <x:c r="S235" s="38"/>
      <x:c r="T235" s="49"/>
      <x:c r="U235" s="38"/>
      <x:c r="V235" s="38"/>
      <x:c r="W235" s="38"/>
      <x:c r="X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49"/>
      <x:c r="O236" s="49"/>
      <x:c r="P236" s="60" t="str">
        <x:f>IF($A236="","",IF(OR($D236="解決",$D236="取消"),"",IF($O236="","",$O236-TODAY())))</x:f>
      </x:c>
      <x:c r="Q236" s="61" t="str">
        <x:f>IF($A236="","",IF(OR($D236="解決",$D236="取消"),"完了",IF($O236="","期限未設定",IF($P236&lt;0,"期限超過",IF($P236=0,"本日期限",IF($P236&lt;=3,"期限接近","期限内"))))))</x:f>
      </x:c>
      <x:c r="R236" s="49"/>
      <x:c r="S236" s="38"/>
      <x:c r="T236" s="49"/>
      <x:c r="U236" s="38"/>
      <x:c r="V236" s="38"/>
      <x:c r="W236" s="38"/>
      <x:c r="X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49"/>
      <x:c r="O237" s="49"/>
      <x:c r="P237" s="60" t="str">
        <x:f>IF($A237="","",IF(OR($D237="解決",$D237="取消"),"",IF($O237="","",$O237-TODAY())))</x:f>
      </x:c>
      <x:c r="Q237" s="61" t="str">
        <x:f>IF($A237="","",IF(OR($D237="解決",$D237="取消"),"完了",IF($O237="","期限未設定",IF($P237&lt;0,"期限超過",IF($P237=0,"本日期限",IF($P237&lt;=3,"期限接近","期限内"))))))</x:f>
      </x:c>
      <x:c r="R237" s="49"/>
      <x:c r="S237" s="38"/>
      <x:c r="T237" s="49"/>
      <x:c r="U237" s="38"/>
      <x:c r="V237" s="38"/>
      <x:c r="W237" s="38"/>
      <x:c r="X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49"/>
      <x:c r="O238" s="49"/>
      <x:c r="P238" s="60" t="str">
        <x:f>IF($A238="","",IF(OR($D238="解決",$D238="取消"),"",IF($O238="","",$O238-TODAY())))</x:f>
      </x:c>
      <x:c r="Q238" s="61" t="str">
        <x:f>IF($A238="","",IF(OR($D238="解決",$D238="取消"),"完了",IF($O238="","期限未設定",IF($P238&lt;0,"期限超過",IF($P238=0,"本日期限",IF($P238&lt;=3,"期限接近","期限内"))))))</x:f>
      </x:c>
      <x:c r="R238" s="49"/>
      <x:c r="S238" s="38"/>
      <x:c r="T238" s="49"/>
      <x:c r="U238" s="38"/>
      <x:c r="V238" s="38"/>
      <x:c r="W238" s="38"/>
      <x:c r="X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49"/>
      <x:c r="O239" s="49"/>
      <x:c r="P239" s="60" t="str">
        <x:f>IF($A239="","",IF(OR($D239="解決",$D239="取消"),"",IF($O239="","",$O239-TODAY())))</x:f>
      </x:c>
      <x:c r="Q239" s="61" t="str">
        <x:f>IF($A239="","",IF(OR($D239="解決",$D239="取消"),"完了",IF($O239="","期限未設定",IF($P239&lt;0,"期限超過",IF($P239=0,"本日期限",IF($P239&lt;=3,"期限接近","期限内"))))))</x:f>
      </x:c>
      <x:c r="R239" s="49"/>
      <x:c r="S239" s="38"/>
      <x:c r="T239" s="49"/>
      <x:c r="U239" s="38"/>
      <x:c r="V239" s="38"/>
      <x:c r="W239" s="38"/>
      <x:c r="X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49"/>
      <x:c r="O240" s="49"/>
      <x:c r="P240" s="60" t="str">
        <x:f>IF($A240="","",IF(OR($D240="解決",$D240="取消"),"",IF($O240="","",$O240-TODAY())))</x:f>
      </x:c>
      <x:c r="Q240" s="61" t="str">
        <x:f>IF($A240="","",IF(OR($D240="解決",$D240="取消"),"完了",IF($O240="","期限未設定",IF($P240&lt;0,"期限超過",IF($P240=0,"本日期限",IF($P240&lt;=3,"期限接近","期限内"))))))</x:f>
      </x:c>
      <x:c r="R240" s="49"/>
      <x:c r="S240" s="38"/>
      <x:c r="T240" s="49"/>
      <x:c r="U240" s="38"/>
      <x:c r="V240" s="38"/>
      <x:c r="W240" s="38"/>
      <x:c r="X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49"/>
      <x:c r="O241" s="49"/>
      <x:c r="P241" s="60" t="str">
        <x:f>IF($A241="","",IF(OR($D241="解決",$D241="取消"),"",IF($O241="","",$O241-TODAY())))</x:f>
      </x:c>
      <x:c r="Q241" s="61" t="str">
        <x:f>IF($A241="","",IF(OR($D241="解決",$D241="取消"),"完了",IF($O241="","期限未設定",IF($P241&lt;0,"期限超過",IF($P241=0,"本日期限",IF($P241&lt;=3,"期限接近","期限内"))))))</x:f>
      </x:c>
      <x:c r="R241" s="49"/>
      <x:c r="S241" s="38"/>
      <x:c r="T241" s="49"/>
      <x:c r="U241" s="38"/>
      <x:c r="V241" s="38"/>
      <x:c r="W241" s="38"/>
      <x:c r="X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49"/>
      <x:c r="O242" s="49"/>
      <x:c r="P242" s="60" t="str">
        <x:f>IF($A242="","",IF(OR($D242="解決",$D242="取消"),"",IF($O242="","",$O242-TODAY())))</x:f>
      </x:c>
      <x:c r="Q242" s="61" t="str">
        <x:f>IF($A242="","",IF(OR($D242="解決",$D242="取消"),"完了",IF($O242="","期限未設定",IF($P242&lt;0,"期限超過",IF($P242=0,"本日期限",IF($P242&lt;=3,"期限接近","期限内"))))))</x:f>
      </x:c>
      <x:c r="R242" s="49"/>
      <x:c r="S242" s="38"/>
      <x:c r="T242" s="49"/>
      <x:c r="U242" s="38"/>
      <x:c r="V242" s="38"/>
      <x:c r="W242" s="38"/>
      <x:c r="X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49"/>
      <x:c r="O243" s="49"/>
      <x:c r="P243" s="60" t="str">
        <x:f>IF($A243="","",IF(OR($D243="解決",$D243="取消"),"",IF($O243="","",$O243-TODAY())))</x:f>
      </x:c>
      <x:c r="Q243" s="61" t="str">
        <x:f>IF($A243="","",IF(OR($D243="解決",$D243="取消"),"完了",IF($O243="","期限未設定",IF($P243&lt;0,"期限超過",IF($P243=0,"本日期限",IF($P243&lt;=3,"期限接近","期限内"))))))</x:f>
      </x:c>
      <x:c r="R243" s="49"/>
      <x:c r="S243" s="38"/>
      <x:c r="T243" s="49"/>
      <x:c r="U243" s="38"/>
      <x:c r="V243" s="38"/>
      <x:c r="W243" s="38"/>
      <x:c r="X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49"/>
      <x:c r="O244" s="49"/>
      <x:c r="P244" s="60" t="str">
        <x:f>IF($A244="","",IF(OR($D244="解決",$D244="取消"),"",IF($O244="","",$O244-TODAY())))</x:f>
      </x:c>
      <x:c r="Q244" s="61" t="str">
        <x:f>IF($A244="","",IF(OR($D244="解決",$D244="取消"),"完了",IF($O244="","期限未設定",IF($P244&lt;0,"期限超過",IF($P244=0,"本日期限",IF($P244&lt;=3,"期限接近","期限内"))))))</x:f>
      </x:c>
      <x:c r="R244" s="49"/>
      <x:c r="S244" s="38"/>
      <x:c r="T244" s="49"/>
      <x:c r="U244" s="38"/>
      <x:c r="V244" s="38"/>
      <x:c r="W244" s="38"/>
      <x:c r="X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49"/>
      <x:c r="O245" s="49"/>
      <x:c r="P245" s="60" t="str">
        <x:f>IF($A245="","",IF(OR($D245="解決",$D245="取消"),"",IF($O245="","",$O245-TODAY())))</x:f>
      </x:c>
      <x:c r="Q245" s="61" t="str">
        <x:f>IF($A245="","",IF(OR($D245="解決",$D245="取消"),"完了",IF($O245="","期限未設定",IF($P245&lt;0,"期限超過",IF($P245=0,"本日期限",IF($P245&lt;=3,"期限接近","期限内"))))))</x:f>
      </x:c>
      <x:c r="R245" s="49"/>
      <x:c r="S245" s="38"/>
      <x:c r="T245" s="49"/>
      <x:c r="U245" s="38"/>
      <x:c r="V245" s="38"/>
      <x:c r="W245" s="38"/>
      <x:c r="X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49"/>
      <x:c r="O246" s="49"/>
      <x:c r="P246" s="60" t="str">
        <x:f>IF($A246="","",IF(OR($D246="解決",$D246="取消"),"",IF($O246="","",$O246-TODAY())))</x:f>
      </x:c>
      <x:c r="Q246" s="61" t="str">
        <x:f>IF($A246="","",IF(OR($D246="解決",$D246="取消"),"完了",IF($O246="","期限未設定",IF($P246&lt;0,"期限超過",IF($P246=0,"本日期限",IF($P246&lt;=3,"期限接近","期限内"))))))</x:f>
      </x:c>
      <x:c r="R246" s="49"/>
      <x:c r="S246" s="38"/>
      <x:c r="T246" s="49"/>
      <x:c r="U246" s="38"/>
      <x:c r="V246" s="38"/>
      <x:c r="W246" s="38"/>
      <x:c r="X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49"/>
      <x:c r="O247" s="49"/>
      <x:c r="P247" s="60" t="str">
        <x:f>IF($A247="","",IF(OR($D247="解決",$D247="取消"),"",IF($O247="","",$O247-TODAY())))</x:f>
      </x:c>
      <x:c r="Q247" s="61" t="str">
        <x:f>IF($A247="","",IF(OR($D247="解決",$D247="取消"),"完了",IF($O247="","期限未設定",IF($P247&lt;0,"期限超過",IF($P247=0,"本日期限",IF($P247&lt;=3,"期限接近","期限内"))))))</x:f>
      </x:c>
      <x:c r="R247" s="49"/>
      <x:c r="S247" s="38"/>
      <x:c r="T247" s="49"/>
      <x:c r="U247" s="38"/>
      <x:c r="V247" s="38"/>
      <x:c r="W247" s="38"/>
      <x:c r="X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49"/>
      <x:c r="O248" s="49"/>
      <x:c r="P248" s="60" t="str">
        <x:f>IF($A248="","",IF(OR($D248="解決",$D248="取消"),"",IF($O248="","",$O248-TODAY())))</x:f>
      </x:c>
      <x:c r="Q248" s="61" t="str">
        <x:f>IF($A248="","",IF(OR($D248="解決",$D248="取消"),"完了",IF($O248="","期限未設定",IF($P248&lt;0,"期限超過",IF($P248=0,"本日期限",IF($P248&lt;=3,"期限接近","期限内"))))))</x:f>
      </x:c>
      <x:c r="R248" s="49"/>
      <x:c r="S248" s="38"/>
      <x:c r="T248" s="49"/>
      <x:c r="U248" s="38"/>
      <x:c r="V248" s="38"/>
      <x:c r="W248" s="38"/>
      <x:c r="X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49"/>
      <x:c r="O249" s="49"/>
      <x:c r="P249" s="60" t="str">
        <x:f>IF($A249="","",IF(OR($D249="解決",$D249="取消"),"",IF($O249="","",$O249-TODAY())))</x:f>
      </x:c>
      <x:c r="Q249" s="61" t="str">
        <x:f>IF($A249="","",IF(OR($D249="解決",$D249="取消"),"完了",IF($O249="","期限未設定",IF($P249&lt;0,"期限超過",IF($P249=0,"本日期限",IF($P249&lt;=3,"期限接近","期限内"))))))</x:f>
      </x:c>
      <x:c r="R249" s="49"/>
      <x:c r="S249" s="38"/>
      <x:c r="T249" s="49"/>
      <x:c r="U249" s="38"/>
      <x:c r="V249" s="38"/>
      <x:c r="W249" s="38"/>
      <x:c r="X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49"/>
      <x:c r="O250" s="49"/>
      <x:c r="P250" s="60" t="str">
        <x:f>IF($A250="","",IF(OR($D250="解決",$D250="取消"),"",IF($O250="","",$O250-TODAY())))</x:f>
      </x:c>
      <x:c r="Q250" s="61" t="str">
        <x:f>IF($A250="","",IF(OR($D250="解決",$D250="取消"),"完了",IF($O250="","期限未設定",IF($P250&lt;0,"期限超過",IF($P250=0,"本日期限",IF($P250&lt;=3,"期限接近","期限内"))))))</x:f>
      </x:c>
      <x:c r="R250" s="49"/>
      <x:c r="S250" s="38"/>
      <x:c r="T250" s="49"/>
      <x:c r="U250" s="38"/>
      <x:c r="V250" s="38"/>
      <x:c r="W250" s="38"/>
      <x:c r="X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49"/>
      <x:c r="O251" s="49"/>
      <x:c r="P251" s="60" t="str">
        <x:f>IF($A251="","",IF(OR($D251="解決",$D251="取消"),"",IF($O251="","",$O251-TODAY())))</x:f>
      </x:c>
      <x:c r="Q251" s="61" t="str">
        <x:f>IF($A251="","",IF(OR($D251="解決",$D251="取消"),"完了",IF($O251="","期限未設定",IF($P251&lt;0,"期限超過",IF($P251=0,"本日期限",IF($P251&lt;=3,"期限接近","期限内"))))))</x:f>
      </x:c>
      <x:c r="R251" s="49"/>
      <x:c r="S251" s="38"/>
      <x:c r="T251" s="49"/>
      <x:c r="U251" s="38"/>
      <x:c r="V251" s="38"/>
      <x:c r="W251" s="38"/>
      <x:c r="X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49"/>
      <x:c r="O252" s="49"/>
      <x:c r="P252" s="60" t="str">
        <x:f>IF($A252="","",IF(OR($D252="解決",$D252="取消"),"",IF($O252="","",$O252-TODAY())))</x:f>
      </x:c>
      <x:c r="Q252" s="61" t="str">
        <x:f>IF($A252="","",IF(OR($D252="解決",$D252="取消"),"完了",IF($O252="","期限未設定",IF($P252&lt;0,"期限超過",IF($P252=0,"本日期限",IF($P252&lt;=3,"期限接近","期限内"))))))</x:f>
      </x:c>
      <x:c r="R252" s="49"/>
      <x:c r="S252" s="38"/>
      <x:c r="T252" s="49"/>
      <x:c r="U252" s="38"/>
      <x:c r="V252" s="38"/>
      <x:c r="W252" s="38"/>
      <x:c r="X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49"/>
      <x:c r="O253" s="49"/>
      <x:c r="P253" s="60" t="str">
        <x:f>IF($A253="","",IF(OR($D253="解決",$D253="取消"),"",IF($O253="","",$O253-TODAY())))</x:f>
      </x:c>
      <x:c r="Q253" s="61" t="str">
        <x:f>IF($A253="","",IF(OR($D253="解決",$D253="取消"),"完了",IF($O253="","期限未設定",IF($P253&lt;0,"期限超過",IF($P253=0,"本日期限",IF($P253&lt;=3,"期限接近","期限内"))))))</x:f>
      </x:c>
      <x:c r="R253" s="49"/>
      <x:c r="S253" s="38"/>
      <x:c r="T253" s="49"/>
      <x:c r="U253" s="38"/>
      <x:c r="V253" s="38"/>
      <x:c r="W253" s="38"/>
      <x:c r="X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49"/>
      <x:c r="O254" s="49"/>
      <x:c r="P254" s="60" t="str">
        <x:f>IF($A254="","",IF(OR($D254="解決",$D254="取消"),"",IF($O254="","",$O254-TODAY())))</x:f>
      </x:c>
      <x:c r="Q254" s="61" t="str">
        <x:f>IF($A254="","",IF(OR($D254="解決",$D254="取消"),"完了",IF($O254="","期限未設定",IF($P254&lt;0,"期限超過",IF($P254=0,"本日期限",IF($P254&lt;=3,"期限接近","期限内"))))))</x:f>
      </x:c>
      <x:c r="R254" s="49"/>
      <x:c r="S254" s="38"/>
      <x:c r="T254" s="49"/>
      <x:c r="U254" s="38"/>
      <x:c r="V254" s="38"/>
      <x:c r="W254" s="38"/>
      <x:c r="X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49"/>
      <x:c r="O255" s="49"/>
      <x:c r="P255" s="60" t="str">
        <x:f>IF($A255="","",IF(OR($D255="解決",$D255="取消"),"",IF($O255="","",$O255-TODAY())))</x:f>
      </x:c>
      <x:c r="Q255" s="61" t="str">
        <x:f>IF($A255="","",IF(OR($D255="解決",$D255="取消"),"完了",IF($O255="","期限未設定",IF($P255&lt;0,"期限超過",IF($P255=0,"本日期限",IF($P255&lt;=3,"期限接近","期限内"))))))</x:f>
      </x:c>
      <x:c r="R255" s="49"/>
      <x:c r="S255" s="38"/>
      <x:c r="T255" s="49"/>
      <x:c r="U255" s="38"/>
      <x:c r="V255" s="38"/>
      <x:c r="W255" s="38"/>
      <x:c r="X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49"/>
      <x:c r="O256" s="49"/>
      <x:c r="P256" s="60" t="str">
        <x:f>IF($A256="","",IF(OR($D256="解決",$D256="取消"),"",IF($O256="","",$O256-TODAY())))</x:f>
      </x:c>
      <x:c r="Q256" s="61" t="str">
        <x:f>IF($A256="","",IF(OR($D256="解決",$D256="取消"),"完了",IF($O256="","期限未設定",IF($P256&lt;0,"期限超過",IF($P256=0,"本日期限",IF($P256&lt;=3,"期限接近","期限内"))))))</x:f>
      </x:c>
      <x:c r="R256" s="49"/>
      <x:c r="S256" s="38"/>
      <x:c r="T256" s="49"/>
      <x:c r="U256" s="38"/>
      <x:c r="V256" s="38"/>
      <x:c r="W256" s="38"/>
      <x:c r="X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49"/>
      <x:c r="O257" s="49"/>
      <x:c r="P257" s="60" t="str">
        <x:f>IF($A257="","",IF(OR($D257="解決",$D257="取消"),"",IF($O257="","",$O257-TODAY())))</x:f>
      </x:c>
      <x:c r="Q257" s="61" t="str">
        <x:f>IF($A257="","",IF(OR($D257="解決",$D257="取消"),"完了",IF($O257="","期限未設定",IF($P257&lt;0,"期限超過",IF($P257=0,"本日期限",IF($P257&lt;=3,"期限接近","期限内"))))))</x:f>
      </x:c>
      <x:c r="R257" s="49"/>
      <x:c r="S257" s="38"/>
      <x:c r="T257" s="49"/>
      <x:c r="U257" s="38"/>
      <x:c r="V257" s="38"/>
      <x:c r="W257" s="38"/>
      <x:c r="X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49"/>
      <x:c r="O258" s="49"/>
      <x:c r="P258" s="60" t="str">
        <x:f>IF($A258="","",IF(OR($D258="解決",$D258="取消"),"",IF($O258="","",$O258-TODAY())))</x:f>
      </x:c>
      <x:c r="Q258" s="61" t="str">
        <x:f>IF($A258="","",IF(OR($D258="解決",$D258="取消"),"完了",IF($O258="","期限未設定",IF($P258&lt;0,"期限超過",IF($P258=0,"本日期限",IF($P258&lt;=3,"期限接近","期限内"))))))</x:f>
      </x:c>
      <x:c r="R258" s="49"/>
      <x:c r="S258" s="38"/>
      <x:c r="T258" s="49"/>
      <x:c r="U258" s="38"/>
      <x:c r="V258" s="38"/>
      <x:c r="W258" s="38"/>
      <x:c r="X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49"/>
      <x:c r="O259" s="49"/>
      <x:c r="P259" s="60" t="str">
        <x:f>IF($A259="","",IF(OR($D259="解決",$D259="取消"),"",IF($O259="","",$O259-TODAY())))</x:f>
      </x:c>
      <x:c r="Q259" s="61" t="str">
        <x:f>IF($A259="","",IF(OR($D259="解決",$D259="取消"),"完了",IF($O259="","期限未設定",IF($P259&lt;0,"期限超過",IF($P259=0,"本日期限",IF($P259&lt;=3,"期限接近","期限内"))))))</x:f>
      </x:c>
      <x:c r="R259" s="49"/>
      <x:c r="S259" s="38"/>
      <x:c r="T259" s="49"/>
      <x:c r="U259" s="38"/>
      <x:c r="V259" s="38"/>
      <x:c r="W259" s="38"/>
      <x:c r="X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49"/>
      <x:c r="O260" s="49"/>
      <x:c r="P260" s="60" t="str">
        <x:f>IF($A260="","",IF(OR($D260="解決",$D260="取消"),"",IF($O260="","",$O260-TODAY())))</x:f>
      </x:c>
      <x:c r="Q260" s="61" t="str">
        <x:f>IF($A260="","",IF(OR($D260="解決",$D260="取消"),"完了",IF($O260="","期限未設定",IF($P260&lt;0,"期限超過",IF($P260=0,"本日期限",IF($P260&lt;=3,"期限接近","期限内"))))))</x:f>
      </x:c>
      <x:c r="R260" s="49"/>
      <x:c r="S260" s="38"/>
      <x:c r="T260" s="49"/>
      <x:c r="U260" s="38"/>
      <x:c r="V260" s="38"/>
      <x:c r="W260" s="38"/>
      <x:c r="X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49"/>
      <x:c r="O261" s="49"/>
      <x:c r="P261" s="60" t="str">
        <x:f>IF($A261="","",IF(OR($D261="解決",$D261="取消"),"",IF($O261="","",$O261-TODAY())))</x:f>
      </x:c>
      <x:c r="Q261" s="61" t="str">
        <x:f>IF($A261="","",IF(OR($D261="解決",$D261="取消"),"完了",IF($O261="","期限未設定",IF($P261&lt;0,"期限超過",IF($P261=0,"本日期限",IF($P261&lt;=3,"期限接近","期限内"))))))</x:f>
      </x:c>
      <x:c r="R261" s="49"/>
      <x:c r="S261" s="38"/>
      <x:c r="T261" s="49"/>
      <x:c r="U261" s="38"/>
      <x:c r="V261" s="38"/>
      <x:c r="W261" s="38"/>
      <x:c r="X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49"/>
      <x:c r="O262" s="49"/>
      <x:c r="P262" s="60" t="str">
        <x:f>IF($A262="","",IF(OR($D262="解決",$D262="取消"),"",IF($O262="","",$O262-TODAY())))</x:f>
      </x:c>
      <x:c r="Q262" s="61" t="str">
        <x:f>IF($A262="","",IF(OR($D262="解決",$D262="取消"),"完了",IF($O262="","期限未設定",IF($P262&lt;0,"期限超過",IF($P262=0,"本日期限",IF($P262&lt;=3,"期限接近","期限内"))))))</x:f>
      </x:c>
      <x:c r="R262" s="49"/>
      <x:c r="S262" s="38"/>
      <x:c r="T262" s="49"/>
      <x:c r="U262" s="38"/>
      <x:c r="V262" s="38"/>
      <x:c r="W262" s="38"/>
      <x:c r="X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49"/>
      <x:c r="O263" s="49"/>
      <x:c r="P263" s="60" t="str">
        <x:f>IF($A263="","",IF(OR($D263="解決",$D263="取消"),"",IF($O263="","",$O263-TODAY())))</x:f>
      </x:c>
      <x:c r="Q263" s="61" t="str">
        <x:f>IF($A263="","",IF(OR($D263="解決",$D263="取消"),"完了",IF($O263="","期限未設定",IF($P263&lt;0,"期限超過",IF($P263=0,"本日期限",IF($P263&lt;=3,"期限接近","期限内"))))))</x:f>
      </x:c>
      <x:c r="R263" s="49"/>
      <x:c r="S263" s="38"/>
      <x:c r="T263" s="49"/>
      <x:c r="U263" s="38"/>
      <x:c r="V263" s="38"/>
      <x:c r="W263" s="38"/>
      <x:c r="X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49"/>
      <x:c r="O264" s="49"/>
      <x:c r="P264" s="60" t="str">
        <x:f>IF($A264="","",IF(OR($D264="解決",$D264="取消"),"",IF($O264="","",$O264-TODAY())))</x:f>
      </x:c>
      <x:c r="Q264" s="61" t="str">
        <x:f>IF($A264="","",IF(OR($D264="解決",$D264="取消"),"完了",IF($O264="","期限未設定",IF($P264&lt;0,"期限超過",IF($P264=0,"本日期限",IF($P264&lt;=3,"期限接近","期限内"))))))</x:f>
      </x:c>
      <x:c r="R264" s="49"/>
      <x:c r="S264" s="38"/>
      <x:c r="T264" s="49"/>
      <x:c r="U264" s="38"/>
      <x:c r="V264" s="38"/>
      <x:c r="W264" s="38"/>
      <x:c r="X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49"/>
      <x:c r="O265" s="49"/>
      <x:c r="P265" s="60" t="str">
        <x:f>IF($A265="","",IF(OR($D265="解決",$D265="取消"),"",IF($O265="","",$O265-TODAY())))</x:f>
      </x:c>
      <x:c r="Q265" s="61" t="str">
        <x:f>IF($A265="","",IF(OR($D265="解決",$D265="取消"),"完了",IF($O265="","期限未設定",IF($P265&lt;0,"期限超過",IF($P265=0,"本日期限",IF($P265&lt;=3,"期限接近","期限内"))))))</x:f>
      </x:c>
      <x:c r="R265" s="49"/>
      <x:c r="S265" s="38"/>
      <x:c r="T265" s="49"/>
      <x:c r="U265" s="38"/>
      <x:c r="V265" s="38"/>
      <x:c r="W265" s="38"/>
      <x:c r="X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49"/>
      <x:c r="O266" s="49"/>
      <x:c r="P266" s="60" t="str">
        <x:f>IF($A266="","",IF(OR($D266="解決",$D266="取消"),"",IF($O266="","",$O266-TODAY())))</x:f>
      </x:c>
      <x:c r="Q266" s="61" t="str">
        <x:f>IF($A266="","",IF(OR($D266="解決",$D266="取消"),"完了",IF($O266="","期限未設定",IF($P266&lt;0,"期限超過",IF($P266=0,"本日期限",IF($P266&lt;=3,"期限接近","期限内"))))))</x:f>
      </x:c>
      <x:c r="R266" s="49"/>
      <x:c r="S266" s="38"/>
      <x:c r="T266" s="49"/>
      <x:c r="U266" s="38"/>
      <x:c r="V266" s="38"/>
      <x:c r="W266" s="38"/>
      <x:c r="X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49"/>
      <x:c r="O267" s="49"/>
      <x:c r="P267" s="60" t="str">
        <x:f>IF($A267="","",IF(OR($D267="解決",$D267="取消"),"",IF($O267="","",$O267-TODAY())))</x:f>
      </x:c>
      <x:c r="Q267" s="61" t="str">
        <x:f>IF($A267="","",IF(OR($D267="解決",$D267="取消"),"完了",IF($O267="","期限未設定",IF($P267&lt;0,"期限超過",IF($P267=0,"本日期限",IF($P267&lt;=3,"期限接近","期限内"))))))</x:f>
      </x:c>
      <x:c r="R267" s="49"/>
      <x:c r="S267" s="38"/>
      <x:c r="T267" s="49"/>
      <x:c r="U267" s="38"/>
      <x:c r="V267" s="38"/>
      <x:c r="W267" s="38"/>
      <x:c r="X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49"/>
      <x:c r="O268" s="49"/>
      <x:c r="P268" s="60" t="str">
        <x:f>IF($A268="","",IF(OR($D268="解決",$D268="取消"),"",IF($O268="","",$O268-TODAY())))</x:f>
      </x:c>
      <x:c r="Q268" s="61" t="str">
        <x:f>IF($A268="","",IF(OR($D268="解決",$D268="取消"),"完了",IF($O268="","期限未設定",IF($P268&lt;0,"期限超過",IF($P268=0,"本日期限",IF($P268&lt;=3,"期限接近","期限内"))))))</x:f>
      </x:c>
      <x:c r="R268" s="49"/>
      <x:c r="S268" s="38"/>
      <x:c r="T268" s="49"/>
      <x:c r="U268" s="38"/>
      <x:c r="V268" s="38"/>
      <x:c r="W268" s="38"/>
      <x:c r="X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49"/>
      <x:c r="O269" s="49"/>
      <x:c r="P269" s="60" t="str">
        <x:f>IF($A269="","",IF(OR($D269="解決",$D269="取消"),"",IF($O269="","",$O269-TODAY())))</x:f>
      </x:c>
      <x:c r="Q269" s="61" t="str">
        <x:f>IF($A269="","",IF(OR($D269="解決",$D269="取消"),"完了",IF($O269="","期限未設定",IF($P269&lt;0,"期限超過",IF($P269=0,"本日期限",IF($P269&lt;=3,"期限接近","期限内"))))))</x:f>
      </x:c>
      <x:c r="R269" s="49"/>
      <x:c r="S269" s="38"/>
      <x:c r="T269" s="49"/>
      <x:c r="U269" s="38"/>
      <x:c r="V269" s="38"/>
      <x:c r="W269" s="38"/>
      <x:c r="X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49"/>
      <x:c r="O270" s="49"/>
      <x:c r="P270" s="60" t="str">
        <x:f>IF($A270="","",IF(OR($D270="解決",$D270="取消"),"",IF($O270="","",$O270-TODAY())))</x:f>
      </x:c>
      <x:c r="Q270" s="61" t="str">
        <x:f>IF($A270="","",IF(OR($D270="解決",$D270="取消"),"完了",IF($O270="","期限未設定",IF($P270&lt;0,"期限超過",IF($P270=0,"本日期限",IF($P270&lt;=3,"期限接近","期限内"))))))</x:f>
      </x:c>
      <x:c r="R270" s="49"/>
      <x:c r="S270" s="38"/>
      <x:c r="T270" s="49"/>
      <x:c r="U270" s="38"/>
      <x:c r="V270" s="38"/>
      <x:c r="W270" s="38"/>
      <x:c r="X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49"/>
      <x:c r="O271" s="49"/>
      <x:c r="P271" s="60" t="str">
        <x:f>IF($A271="","",IF(OR($D271="解決",$D271="取消"),"",IF($O271="","",$O271-TODAY())))</x:f>
      </x:c>
      <x:c r="Q271" s="61" t="str">
        <x:f>IF($A271="","",IF(OR($D271="解決",$D271="取消"),"完了",IF($O271="","期限未設定",IF($P271&lt;0,"期限超過",IF($P271=0,"本日期限",IF($P271&lt;=3,"期限接近","期限内"))))))</x:f>
      </x:c>
      <x:c r="R271" s="49"/>
      <x:c r="S271" s="38"/>
      <x:c r="T271" s="49"/>
      <x:c r="U271" s="38"/>
      <x:c r="V271" s="38"/>
      <x:c r="W271" s="38"/>
      <x:c r="X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49"/>
      <x:c r="O272" s="49"/>
      <x:c r="P272" s="60" t="str">
        <x:f>IF($A272="","",IF(OR($D272="解決",$D272="取消"),"",IF($O272="","",$O272-TODAY())))</x:f>
      </x:c>
      <x:c r="Q272" s="61" t="str">
        <x:f>IF($A272="","",IF(OR($D272="解決",$D272="取消"),"完了",IF($O272="","期限未設定",IF($P272&lt;0,"期限超過",IF($P272=0,"本日期限",IF($P272&lt;=3,"期限接近","期限内"))))))</x:f>
      </x:c>
      <x:c r="R272" s="49"/>
      <x:c r="S272" s="38"/>
      <x:c r="T272" s="49"/>
      <x:c r="U272" s="38"/>
      <x:c r="V272" s="38"/>
      <x:c r="W272" s="38"/>
      <x:c r="X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49"/>
      <x:c r="O273" s="49"/>
      <x:c r="P273" s="60" t="str">
        <x:f>IF($A273="","",IF(OR($D273="解決",$D273="取消"),"",IF($O273="","",$O273-TODAY())))</x:f>
      </x:c>
      <x:c r="Q273" s="61" t="str">
        <x:f>IF($A273="","",IF(OR($D273="解決",$D273="取消"),"完了",IF($O273="","期限未設定",IF($P273&lt;0,"期限超過",IF($P273=0,"本日期限",IF($P273&lt;=3,"期限接近","期限内"))))))</x:f>
      </x:c>
      <x:c r="R273" s="49"/>
      <x:c r="S273" s="38"/>
      <x:c r="T273" s="49"/>
      <x:c r="U273" s="38"/>
      <x:c r="V273" s="38"/>
      <x:c r="W273" s="38"/>
      <x:c r="X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49"/>
      <x:c r="O274" s="49"/>
      <x:c r="P274" s="60" t="str">
        <x:f>IF($A274="","",IF(OR($D274="解決",$D274="取消"),"",IF($O274="","",$O274-TODAY())))</x:f>
      </x:c>
      <x:c r="Q274" s="61" t="str">
        <x:f>IF($A274="","",IF(OR($D274="解決",$D274="取消"),"完了",IF($O274="","期限未設定",IF($P274&lt;0,"期限超過",IF($P274=0,"本日期限",IF($P274&lt;=3,"期限接近","期限内"))))))</x:f>
      </x:c>
      <x:c r="R274" s="49"/>
      <x:c r="S274" s="38"/>
      <x:c r="T274" s="49"/>
      <x:c r="U274" s="38"/>
      <x:c r="V274" s="38"/>
      <x:c r="W274" s="38"/>
      <x:c r="X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49"/>
      <x:c r="O275" s="49"/>
      <x:c r="P275" s="60" t="str">
        <x:f>IF($A275="","",IF(OR($D275="解決",$D275="取消"),"",IF($O275="","",$O275-TODAY())))</x:f>
      </x:c>
      <x:c r="Q275" s="61" t="str">
        <x:f>IF($A275="","",IF(OR($D275="解決",$D275="取消"),"完了",IF($O275="","期限未設定",IF($P275&lt;0,"期限超過",IF($P275=0,"本日期限",IF($P275&lt;=3,"期限接近","期限内"))))))</x:f>
      </x:c>
      <x:c r="R275" s="49"/>
      <x:c r="S275" s="38"/>
      <x:c r="T275" s="49"/>
      <x:c r="U275" s="38"/>
      <x:c r="V275" s="38"/>
      <x:c r="W275" s="38"/>
      <x:c r="X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49"/>
      <x:c r="O276" s="49"/>
      <x:c r="P276" s="60" t="str">
        <x:f>IF($A276="","",IF(OR($D276="解決",$D276="取消"),"",IF($O276="","",$O276-TODAY())))</x:f>
      </x:c>
      <x:c r="Q276" s="61" t="str">
        <x:f>IF($A276="","",IF(OR($D276="解決",$D276="取消"),"完了",IF($O276="","期限未設定",IF($P276&lt;0,"期限超過",IF($P276=0,"本日期限",IF($P276&lt;=3,"期限接近","期限内"))))))</x:f>
      </x:c>
      <x:c r="R276" s="49"/>
      <x:c r="S276" s="38"/>
      <x:c r="T276" s="49"/>
      <x:c r="U276" s="38"/>
      <x:c r="V276" s="38"/>
      <x:c r="W276" s="38"/>
      <x:c r="X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49"/>
      <x:c r="O277" s="49"/>
      <x:c r="P277" s="60" t="str">
        <x:f>IF($A277="","",IF(OR($D277="解決",$D277="取消"),"",IF($O277="","",$O277-TODAY())))</x:f>
      </x:c>
      <x:c r="Q277" s="61" t="str">
        <x:f>IF($A277="","",IF(OR($D277="解決",$D277="取消"),"完了",IF($O277="","期限未設定",IF($P277&lt;0,"期限超過",IF($P277=0,"本日期限",IF($P277&lt;=3,"期限接近","期限内"))))))</x:f>
      </x:c>
      <x:c r="R277" s="49"/>
      <x:c r="S277" s="38"/>
      <x:c r="T277" s="49"/>
      <x:c r="U277" s="38"/>
      <x:c r="V277" s="38"/>
      <x:c r="W277" s="38"/>
      <x:c r="X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49"/>
      <x:c r="O278" s="49"/>
      <x:c r="P278" s="60" t="str">
        <x:f>IF($A278="","",IF(OR($D278="解決",$D278="取消"),"",IF($O278="","",$O278-TODAY())))</x:f>
      </x:c>
      <x:c r="Q278" s="61" t="str">
        <x:f>IF($A278="","",IF(OR($D278="解決",$D278="取消"),"完了",IF($O278="","期限未設定",IF($P278&lt;0,"期限超過",IF($P278=0,"本日期限",IF($P278&lt;=3,"期限接近","期限内"))))))</x:f>
      </x:c>
      <x:c r="R278" s="49"/>
      <x:c r="S278" s="38"/>
      <x:c r="T278" s="49"/>
      <x:c r="U278" s="38"/>
      <x:c r="V278" s="38"/>
      <x:c r="W278" s="38"/>
      <x:c r="X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49"/>
      <x:c r="O279" s="49"/>
      <x:c r="P279" s="60" t="str">
        <x:f>IF($A279="","",IF(OR($D279="解決",$D279="取消"),"",IF($O279="","",$O279-TODAY())))</x:f>
      </x:c>
      <x:c r="Q279" s="61" t="str">
        <x:f>IF($A279="","",IF(OR($D279="解決",$D279="取消"),"完了",IF($O279="","期限未設定",IF($P279&lt;0,"期限超過",IF($P279=0,"本日期限",IF($P279&lt;=3,"期限接近","期限内"))))))</x:f>
      </x:c>
      <x:c r="R279" s="49"/>
      <x:c r="S279" s="38"/>
      <x:c r="T279" s="49"/>
      <x:c r="U279" s="38"/>
      <x:c r="V279" s="38"/>
      <x:c r="W279" s="38"/>
      <x:c r="X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49"/>
      <x:c r="O280" s="49"/>
      <x:c r="P280" s="60" t="str">
        <x:f>IF($A280="","",IF(OR($D280="解決",$D280="取消"),"",IF($O280="","",$O280-TODAY())))</x:f>
      </x:c>
      <x:c r="Q280" s="61" t="str">
        <x:f>IF($A280="","",IF(OR($D280="解決",$D280="取消"),"完了",IF($O280="","期限未設定",IF($P280&lt;0,"期限超過",IF($P280=0,"本日期限",IF($P280&lt;=3,"期限接近","期限内"))))))</x:f>
      </x:c>
      <x:c r="R280" s="49"/>
      <x:c r="S280" s="38"/>
      <x:c r="T280" s="49"/>
      <x:c r="U280" s="38"/>
      <x:c r="V280" s="38"/>
      <x:c r="W280" s="38"/>
      <x:c r="X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49"/>
      <x:c r="O281" s="49"/>
      <x:c r="P281" s="60" t="str">
        <x:f>IF($A281="","",IF(OR($D281="解決",$D281="取消"),"",IF($O281="","",$O281-TODAY())))</x:f>
      </x:c>
      <x:c r="Q281" s="61" t="str">
        <x:f>IF($A281="","",IF(OR($D281="解決",$D281="取消"),"完了",IF($O281="","期限未設定",IF($P281&lt;0,"期限超過",IF($P281=0,"本日期限",IF($P281&lt;=3,"期限接近","期限内"))))))</x:f>
      </x:c>
      <x:c r="R281" s="49"/>
      <x:c r="S281" s="38"/>
      <x:c r="T281" s="49"/>
      <x:c r="U281" s="38"/>
      <x:c r="V281" s="38"/>
      <x:c r="W281" s="38"/>
      <x:c r="X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49"/>
      <x:c r="O282" s="49"/>
      <x:c r="P282" s="60" t="str">
        <x:f>IF($A282="","",IF(OR($D282="解決",$D282="取消"),"",IF($O282="","",$O282-TODAY())))</x:f>
      </x:c>
      <x:c r="Q282" s="61" t="str">
        <x:f>IF($A282="","",IF(OR($D282="解決",$D282="取消"),"完了",IF($O282="","期限未設定",IF($P282&lt;0,"期限超過",IF($P282=0,"本日期限",IF($P282&lt;=3,"期限接近","期限内"))))))</x:f>
      </x:c>
      <x:c r="R282" s="49"/>
      <x:c r="S282" s="38"/>
      <x:c r="T282" s="49"/>
      <x:c r="U282" s="38"/>
      <x:c r="V282" s="38"/>
      <x:c r="W282" s="38"/>
      <x:c r="X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49"/>
      <x:c r="O283" s="49"/>
      <x:c r="P283" s="60" t="str">
        <x:f>IF($A283="","",IF(OR($D283="解決",$D283="取消"),"",IF($O283="","",$O283-TODAY())))</x:f>
      </x:c>
      <x:c r="Q283" s="61" t="str">
        <x:f>IF($A283="","",IF(OR($D283="解決",$D283="取消"),"完了",IF($O283="","期限未設定",IF($P283&lt;0,"期限超過",IF($P283=0,"本日期限",IF($P283&lt;=3,"期限接近","期限内"))))))</x:f>
      </x:c>
      <x:c r="R283" s="49"/>
      <x:c r="S283" s="38"/>
      <x:c r="T283" s="49"/>
      <x:c r="U283" s="38"/>
      <x:c r="V283" s="38"/>
      <x:c r="W283" s="38"/>
      <x:c r="X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49"/>
      <x:c r="O284" s="49"/>
      <x:c r="P284" s="60" t="str">
        <x:f>IF($A284="","",IF(OR($D284="解決",$D284="取消"),"",IF($O284="","",$O284-TODAY())))</x:f>
      </x:c>
      <x:c r="Q284" s="61" t="str">
        <x:f>IF($A284="","",IF(OR($D284="解決",$D284="取消"),"完了",IF($O284="","期限未設定",IF($P284&lt;0,"期限超過",IF($P284=0,"本日期限",IF($P284&lt;=3,"期限接近","期限内"))))))</x:f>
      </x:c>
      <x:c r="R284" s="49"/>
      <x:c r="S284" s="38"/>
      <x:c r="T284" s="49"/>
      <x:c r="U284" s="38"/>
      <x:c r="V284" s="38"/>
      <x:c r="W284" s="38"/>
      <x:c r="X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49"/>
      <x:c r="O285" s="49"/>
      <x:c r="P285" s="60" t="str">
        <x:f>IF($A285="","",IF(OR($D285="解決",$D285="取消"),"",IF($O285="","",$O285-TODAY())))</x:f>
      </x:c>
      <x:c r="Q285" s="61" t="str">
        <x:f>IF($A285="","",IF(OR($D285="解決",$D285="取消"),"完了",IF($O285="","期限未設定",IF($P285&lt;0,"期限超過",IF($P285=0,"本日期限",IF($P285&lt;=3,"期限接近","期限内"))))))</x:f>
      </x:c>
      <x:c r="R285" s="49"/>
      <x:c r="S285" s="38"/>
      <x:c r="T285" s="49"/>
      <x:c r="U285" s="38"/>
      <x:c r="V285" s="38"/>
      <x:c r="W285" s="38"/>
      <x:c r="X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49"/>
      <x:c r="O286" s="49"/>
      <x:c r="P286" s="60" t="str">
        <x:f>IF($A286="","",IF(OR($D286="解決",$D286="取消"),"",IF($O286="","",$O286-TODAY())))</x:f>
      </x:c>
      <x:c r="Q286" s="61" t="str">
        <x:f>IF($A286="","",IF(OR($D286="解決",$D286="取消"),"完了",IF($O286="","期限未設定",IF($P286&lt;0,"期限超過",IF($P286=0,"本日期限",IF($P286&lt;=3,"期限接近","期限内"))))))</x:f>
      </x:c>
      <x:c r="R286" s="49"/>
      <x:c r="S286" s="38"/>
      <x:c r="T286" s="49"/>
      <x:c r="U286" s="38"/>
      <x:c r="V286" s="38"/>
      <x:c r="W286" s="38"/>
      <x:c r="X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49"/>
      <x:c r="O287" s="49"/>
      <x:c r="P287" s="60" t="str">
        <x:f>IF($A287="","",IF(OR($D287="解決",$D287="取消"),"",IF($O287="","",$O287-TODAY())))</x:f>
      </x:c>
      <x:c r="Q287" s="61" t="str">
        <x:f>IF($A287="","",IF(OR($D287="解決",$D287="取消"),"完了",IF($O287="","期限未設定",IF($P287&lt;0,"期限超過",IF($P287=0,"本日期限",IF($P287&lt;=3,"期限接近","期限内"))))))</x:f>
      </x:c>
      <x:c r="R287" s="49"/>
      <x:c r="S287" s="38"/>
      <x:c r="T287" s="49"/>
      <x:c r="U287" s="38"/>
      <x:c r="V287" s="38"/>
      <x:c r="W287" s="38"/>
      <x:c r="X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49"/>
      <x:c r="O288" s="49"/>
      <x:c r="P288" s="60" t="str">
        <x:f>IF($A288="","",IF(OR($D288="解決",$D288="取消"),"",IF($O288="","",$O288-TODAY())))</x:f>
      </x:c>
      <x:c r="Q288" s="61" t="str">
        <x:f>IF($A288="","",IF(OR($D288="解決",$D288="取消"),"完了",IF($O288="","期限未設定",IF($P288&lt;0,"期限超過",IF($P288=0,"本日期限",IF($P288&lt;=3,"期限接近","期限内"))))))</x:f>
      </x:c>
      <x:c r="R288" s="49"/>
      <x:c r="S288" s="38"/>
      <x:c r="T288" s="49"/>
      <x:c r="U288" s="38"/>
      <x:c r="V288" s="38"/>
      <x:c r="W288" s="38"/>
      <x:c r="X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49"/>
      <x:c r="O289" s="49"/>
      <x:c r="P289" s="60" t="str">
        <x:f>IF($A289="","",IF(OR($D289="解決",$D289="取消"),"",IF($O289="","",$O289-TODAY())))</x:f>
      </x:c>
      <x:c r="Q289" s="61" t="str">
        <x:f>IF($A289="","",IF(OR($D289="解決",$D289="取消"),"完了",IF($O289="","期限未設定",IF($P289&lt;0,"期限超過",IF($P289=0,"本日期限",IF($P289&lt;=3,"期限接近","期限内"))))))</x:f>
      </x:c>
      <x:c r="R289" s="49"/>
      <x:c r="S289" s="38"/>
      <x:c r="T289" s="49"/>
      <x:c r="U289" s="38"/>
      <x:c r="V289" s="38"/>
      <x:c r="W289" s="38"/>
      <x:c r="X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49"/>
      <x:c r="O290" s="49"/>
      <x:c r="P290" s="60" t="str">
        <x:f>IF($A290="","",IF(OR($D290="解決",$D290="取消"),"",IF($O290="","",$O290-TODAY())))</x:f>
      </x:c>
      <x:c r="Q290" s="61" t="str">
        <x:f>IF($A290="","",IF(OR($D290="解決",$D290="取消"),"完了",IF($O290="","期限未設定",IF($P290&lt;0,"期限超過",IF($P290=0,"本日期限",IF($P290&lt;=3,"期限接近","期限内"))))))</x:f>
      </x:c>
      <x:c r="R290" s="49"/>
      <x:c r="S290" s="38"/>
      <x:c r="T290" s="49"/>
      <x:c r="U290" s="38"/>
      <x:c r="V290" s="38"/>
      <x:c r="W290" s="38"/>
      <x:c r="X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49"/>
      <x:c r="O291" s="49"/>
      <x:c r="P291" s="60" t="str">
        <x:f>IF($A291="","",IF(OR($D291="解決",$D291="取消"),"",IF($O291="","",$O291-TODAY())))</x:f>
      </x:c>
      <x:c r="Q291" s="61" t="str">
        <x:f>IF($A291="","",IF(OR($D291="解決",$D291="取消"),"完了",IF($O291="","期限未設定",IF($P291&lt;0,"期限超過",IF($P291=0,"本日期限",IF($P291&lt;=3,"期限接近","期限内"))))))</x:f>
      </x:c>
      <x:c r="R291" s="49"/>
      <x:c r="S291" s="38"/>
      <x:c r="T291" s="49"/>
      <x:c r="U291" s="38"/>
      <x:c r="V291" s="38"/>
      <x:c r="W291" s="38"/>
      <x:c r="X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49"/>
      <x:c r="O292" s="49"/>
      <x:c r="P292" s="60" t="str">
        <x:f>IF($A292="","",IF(OR($D292="解決",$D292="取消"),"",IF($O292="","",$O292-TODAY())))</x:f>
      </x:c>
      <x:c r="Q292" s="61" t="str">
        <x:f>IF($A292="","",IF(OR($D292="解決",$D292="取消"),"完了",IF($O292="","期限未設定",IF($P292&lt;0,"期限超過",IF($P292=0,"本日期限",IF($P292&lt;=3,"期限接近","期限内"))))))</x:f>
      </x:c>
      <x:c r="R292" s="49"/>
      <x:c r="S292" s="38"/>
      <x:c r="T292" s="49"/>
      <x:c r="U292" s="38"/>
      <x:c r="V292" s="38"/>
      <x:c r="W292" s="38"/>
      <x:c r="X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49"/>
      <x:c r="O293" s="49"/>
      <x:c r="P293" s="60" t="str">
        <x:f>IF($A293="","",IF(OR($D293="解決",$D293="取消"),"",IF($O293="","",$O293-TODAY())))</x:f>
      </x:c>
      <x:c r="Q293" s="61" t="str">
        <x:f>IF($A293="","",IF(OR($D293="解決",$D293="取消"),"完了",IF($O293="","期限未設定",IF($P293&lt;0,"期限超過",IF($P293=0,"本日期限",IF($P293&lt;=3,"期限接近","期限内"))))))</x:f>
      </x:c>
      <x:c r="R293" s="49"/>
      <x:c r="S293" s="38"/>
      <x:c r="T293" s="49"/>
      <x:c r="U293" s="38"/>
      <x:c r="V293" s="38"/>
      <x:c r="W293" s="38"/>
      <x:c r="X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49"/>
      <x:c r="O294" s="49"/>
      <x:c r="P294" s="60" t="str">
        <x:f>IF($A294="","",IF(OR($D294="解決",$D294="取消"),"",IF($O294="","",$O294-TODAY())))</x:f>
      </x:c>
      <x:c r="Q294" s="61" t="str">
        <x:f>IF($A294="","",IF(OR($D294="解決",$D294="取消"),"完了",IF($O294="","期限未設定",IF($P294&lt;0,"期限超過",IF($P294=0,"本日期限",IF($P294&lt;=3,"期限接近","期限内"))))))</x:f>
      </x:c>
      <x:c r="R294" s="49"/>
      <x:c r="S294" s="38"/>
      <x:c r="T294" s="49"/>
      <x:c r="U294" s="38"/>
      <x:c r="V294" s="38"/>
      <x:c r="W294" s="38"/>
      <x:c r="X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49"/>
      <x:c r="O295" s="49"/>
      <x:c r="P295" s="60" t="str">
        <x:f>IF($A295="","",IF(OR($D295="解決",$D295="取消"),"",IF($O295="","",$O295-TODAY())))</x:f>
      </x:c>
      <x:c r="Q295" s="61" t="str">
        <x:f>IF($A295="","",IF(OR($D295="解決",$D295="取消"),"完了",IF($O295="","期限未設定",IF($P295&lt;0,"期限超過",IF($P295=0,"本日期限",IF($P295&lt;=3,"期限接近","期限内"))))))</x:f>
      </x:c>
      <x:c r="R295" s="49"/>
      <x:c r="S295" s="38"/>
      <x:c r="T295" s="49"/>
      <x:c r="U295" s="38"/>
      <x:c r="V295" s="38"/>
      <x:c r="W295" s="38"/>
      <x:c r="X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49"/>
      <x:c r="O296" s="49"/>
      <x:c r="P296" s="60" t="str">
        <x:f>IF($A296="","",IF(OR($D296="解決",$D296="取消"),"",IF($O296="","",$O296-TODAY())))</x:f>
      </x:c>
      <x:c r="Q296" s="61" t="str">
        <x:f>IF($A296="","",IF(OR($D296="解決",$D296="取消"),"完了",IF($O296="","期限未設定",IF($P296&lt;0,"期限超過",IF($P296=0,"本日期限",IF($P296&lt;=3,"期限接近","期限内"))))))</x:f>
      </x:c>
      <x:c r="R296" s="49"/>
      <x:c r="S296" s="38"/>
      <x:c r="T296" s="49"/>
      <x:c r="U296" s="38"/>
      <x:c r="V296" s="38"/>
      <x:c r="W296" s="38"/>
      <x:c r="X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49"/>
      <x:c r="O297" s="49"/>
      <x:c r="P297" s="60" t="str">
        <x:f>IF($A297="","",IF(OR($D297="解決",$D297="取消"),"",IF($O297="","",$O297-TODAY())))</x:f>
      </x:c>
      <x:c r="Q297" s="61" t="str">
        <x:f>IF($A297="","",IF(OR($D297="解決",$D297="取消"),"完了",IF($O297="","期限未設定",IF($P297&lt;0,"期限超過",IF($P297=0,"本日期限",IF($P297&lt;=3,"期限接近","期限内"))))))</x:f>
      </x:c>
      <x:c r="R297" s="49"/>
      <x:c r="S297" s="38"/>
      <x:c r="T297" s="49"/>
      <x:c r="U297" s="38"/>
      <x:c r="V297" s="38"/>
      <x:c r="W297" s="38"/>
      <x:c r="X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49"/>
      <x:c r="O298" s="49"/>
      <x:c r="P298" s="60" t="str">
        <x:f>IF($A298="","",IF(OR($D298="解決",$D298="取消"),"",IF($O298="","",$O298-TODAY())))</x:f>
      </x:c>
      <x:c r="Q298" s="61" t="str">
        <x:f>IF($A298="","",IF(OR($D298="解決",$D298="取消"),"完了",IF($O298="","期限未設定",IF($P298&lt;0,"期限超過",IF($P298=0,"本日期限",IF($P298&lt;=3,"期限接近","期限内"))))))</x:f>
      </x:c>
      <x:c r="R298" s="49"/>
      <x:c r="S298" s="38"/>
      <x:c r="T298" s="49"/>
      <x:c r="U298" s="38"/>
      <x:c r="V298" s="38"/>
      <x:c r="W298" s="38"/>
      <x:c r="X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49"/>
      <x:c r="O299" s="49"/>
      <x:c r="P299" s="60" t="str">
        <x:f>IF($A299="","",IF(OR($D299="解決",$D299="取消"),"",IF($O299="","",$O299-TODAY())))</x:f>
      </x:c>
      <x:c r="Q299" s="61" t="str">
        <x:f>IF($A299="","",IF(OR($D299="解決",$D299="取消"),"完了",IF($O299="","期限未設定",IF($P299&lt;0,"期限超過",IF($P299=0,"本日期限",IF($P299&lt;=3,"期限接近","期限内"))))))</x:f>
      </x:c>
      <x:c r="R299" s="49"/>
      <x:c r="S299" s="38"/>
      <x:c r="T299" s="49"/>
      <x:c r="U299" s="38"/>
      <x:c r="V299" s="38"/>
      <x:c r="W299" s="38"/>
      <x:c r="X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49"/>
      <x:c r="O300" s="49"/>
      <x:c r="P300" s="60" t="str">
        <x:f>IF($A300="","",IF(OR($D300="解決",$D300="取消"),"",IF($O300="","",$O300-TODAY())))</x:f>
      </x:c>
      <x:c r="Q300" s="61" t="str">
        <x:f>IF($A300="","",IF(OR($D300="解決",$D300="取消"),"完了",IF($O300="","期限未設定",IF($P300&lt;0,"期限超過",IF($P300=0,"本日期限",IF($P300&lt;=3,"期限接近","期限内"))))))</x:f>
      </x:c>
      <x:c r="R300" s="49"/>
      <x:c r="S300" s="38"/>
      <x:c r="T300" s="49"/>
      <x:c r="U300" s="38"/>
      <x:c r="V300" s="38"/>
      <x:c r="W300" s="38"/>
      <x:c r="X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49"/>
      <x:c r="O301" s="49"/>
      <x:c r="P301" s="60" t="str">
        <x:f>IF($A301="","",IF(OR($D301="解決",$D301="取消"),"",IF($O301="","",$O301-TODAY())))</x:f>
      </x:c>
      <x:c r="Q301" s="61" t="str">
        <x:f>IF($A301="","",IF(OR($D301="解決",$D301="取消"),"完了",IF($O301="","期限未設定",IF($P301&lt;0,"期限超過",IF($P301=0,"本日期限",IF($P301&lt;=3,"期限接近","期限内"))))))</x:f>
      </x:c>
      <x:c r="R301" s="49"/>
      <x:c r="S301" s="38"/>
      <x:c r="T301" s="49"/>
      <x:c r="U301" s="38"/>
      <x:c r="V301" s="38"/>
      <x:c r="W301" s="38"/>
      <x:c r="X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49"/>
      <x:c r="O302" s="49"/>
      <x:c r="P302" s="60" t="str">
        <x:f>IF($A302="","",IF(OR($D302="解決",$D302="取消"),"",IF($O302="","",$O302-TODAY())))</x:f>
      </x:c>
      <x:c r="Q302" s="61" t="str">
        <x:f>IF($A302="","",IF(OR($D302="解決",$D302="取消"),"完了",IF($O302="","期限未設定",IF($P302&lt;0,"期限超過",IF($P302=0,"本日期限",IF($P302&lt;=3,"期限接近","期限内"))))))</x:f>
      </x:c>
      <x:c r="R302" s="49"/>
      <x:c r="S302" s="38"/>
      <x:c r="T302" s="49"/>
      <x:c r="U302" s="38"/>
      <x:c r="V302" s="38"/>
      <x:c r="W302" s="38"/>
      <x:c r="X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49"/>
      <x:c r="O303" s="49"/>
      <x:c r="P303" s="60" t="str">
        <x:f>IF($A303="","",IF(OR($D303="解決",$D303="取消"),"",IF($O303="","",$O303-TODAY())))</x:f>
      </x:c>
      <x:c r="Q303" s="61" t="str">
        <x:f>IF($A303="","",IF(OR($D303="解決",$D303="取消"),"完了",IF($O303="","期限未設定",IF($P303&lt;0,"期限超過",IF($P303=0,"本日期限",IF($P303&lt;=3,"期限接近","期限内"))))))</x:f>
      </x:c>
      <x:c r="R303" s="49"/>
      <x:c r="S303" s="38"/>
      <x:c r="T303" s="49"/>
      <x:c r="U303" s="38"/>
      <x:c r="V303" s="38"/>
      <x:c r="W303" s="38"/>
      <x:c r="X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49"/>
      <x:c r="O304" s="49"/>
      <x:c r="P304" s="60" t="str">
        <x:f>IF($A304="","",IF(OR($D304="解決",$D304="取消"),"",IF($O304="","",$O304-TODAY())))</x:f>
      </x:c>
      <x:c r="Q304" s="61" t="str">
        <x:f>IF($A304="","",IF(OR($D304="解決",$D304="取消"),"完了",IF($O304="","期限未設定",IF($P304&lt;0,"期限超過",IF($P304=0,"本日期限",IF($P304&lt;=3,"期限接近","期限内"))))))</x:f>
      </x:c>
      <x:c r="R304" s="49"/>
      <x:c r="S304" s="38"/>
      <x:c r="T304" s="49"/>
      <x:c r="U304" s="38"/>
      <x:c r="V304" s="38"/>
      <x:c r="W304" s="38"/>
      <x:c r="X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49"/>
      <x:c r="O305" s="49"/>
      <x:c r="P305" s="60" t="str">
        <x:f>IF($A305="","",IF(OR($D305="解決",$D305="取消"),"",IF($O305="","",$O305-TODAY())))</x:f>
      </x:c>
      <x:c r="Q305" s="61" t="str">
        <x:f>IF($A305="","",IF(OR($D305="解決",$D305="取消"),"完了",IF($O305="","期限未設定",IF($P305&lt;0,"期限超過",IF($P305=0,"本日期限",IF($P305&lt;=3,"期限接近","期限内"))))))</x:f>
      </x:c>
      <x:c r="R305" s="49"/>
      <x:c r="S305" s="38"/>
      <x:c r="T305" s="49"/>
      <x:c r="U305" s="38"/>
      <x:c r="V305" s="38"/>
      <x:c r="W305" s="38"/>
      <x:c r="X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49"/>
      <x:c r="O306" s="49"/>
      <x:c r="P306" s="60" t="str">
        <x:f>IF($A306="","",IF(OR($D306="解決",$D306="取消"),"",IF($O306="","",$O306-TODAY())))</x:f>
      </x:c>
      <x:c r="Q306" s="61" t="str">
        <x:f>IF($A306="","",IF(OR($D306="解決",$D306="取消"),"完了",IF($O306="","期限未設定",IF($P306&lt;0,"期限超過",IF($P306=0,"本日期限",IF($P306&lt;=3,"期限接近","期限内"))))))</x:f>
      </x:c>
      <x:c r="R306" s="49"/>
      <x:c r="S306" s="38"/>
      <x:c r="T306" s="49"/>
      <x:c r="U306" s="38"/>
      <x:c r="V306" s="38"/>
      <x:c r="W306" s="38"/>
      <x:c r="X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49"/>
      <x:c r="O307" s="49"/>
      <x:c r="P307" s="60" t="str">
        <x:f>IF($A307="","",IF(OR($D307="解決",$D307="取消"),"",IF($O307="","",$O307-TODAY())))</x:f>
      </x:c>
      <x:c r="Q307" s="61" t="str">
        <x:f>IF($A307="","",IF(OR($D307="解決",$D307="取消"),"完了",IF($O307="","期限未設定",IF($P307&lt;0,"期限超過",IF($P307=0,"本日期限",IF($P307&lt;=3,"期限接近","期限内"))))))</x:f>
      </x:c>
      <x:c r="R307" s="49"/>
      <x:c r="S307" s="38"/>
      <x:c r="T307" s="49"/>
      <x:c r="U307" s="38"/>
      <x:c r="V307" s="38"/>
      <x:c r="W307" s="38"/>
      <x:c r="X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49"/>
      <x:c r="O308" s="49"/>
      <x:c r="P308" s="60" t="str">
        <x:f>IF($A308="","",IF(OR($D308="解決",$D308="取消"),"",IF($O308="","",$O308-TODAY())))</x:f>
      </x:c>
      <x:c r="Q308" s="61" t="str">
        <x:f>IF($A308="","",IF(OR($D308="解決",$D308="取消"),"完了",IF($O308="","期限未設定",IF($P308&lt;0,"期限超過",IF($P308=0,"本日期限",IF($P308&lt;=3,"期限接近","期限内"))))))</x:f>
      </x:c>
      <x:c r="R308" s="49"/>
      <x:c r="S308" s="38"/>
      <x:c r="T308" s="49"/>
      <x:c r="U308" s="38"/>
      <x:c r="V308" s="38"/>
      <x:c r="W308" s="38"/>
      <x:c r="X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49"/>
      <x:c r="O309" s="49"/>
      <x:c r="P309" s="60" t="str">
        <x:f>IF($A309="","",IF(OR($D309="解決",$D309="取消"),"",IF($O309="","",$O309-TODAY())))</x:f>
      </x:c>
      <x:c r="Q309" s="61" t="str">
        <x:f>IF($A309="","",IF(OR($D309="解決",$D309="取消"),"完了",IF($O309="","期限未設定",IF($P309&lt;0,"期限超過",IF($P309=0,"本日期限",IF($P309&lt;=3,"期限接近","期限内"))))))</x:f>
      </x:c>
      <x:c r="R309" s="49"/>
      <x:c r="S309" s="38"/>
      <x:c r="T309" s="49"/>
      <x:c r="U309" s="38"/>
      <x:c r="V309" s="38"/>
      <x:c r="W309" s="38"/>
      <x:c r="X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49"/>
      <x:c r="O310" s="49"/>
      <x:c r="P310" s="60" t="str">
        <x:f>IF($A310="","",IF(OR($D310="解決",$D310="取消"),"",IF($O310="","",$O310-TODAY())))</x:f>
      </x:c>
      <x:c r="Q310" s="61" t="str">
        <x:f>IF($A310="","",IF(OR($D310="解決",$D310="取消"),"完了",IF($O310="","期限未設定",IF($P310&lt;0,"期限超過",IF($P310=0,"本日期限",IF($P310&lt;=3,"期限接近","期限内"))))))</x:f>
      </x:c>
      <x:c r="R310" s="49"/>
      <x:c r="S310" s="38"/>
      <x:c r="T310" s="49"/>
      <x:c r="U310" s="38"/>
      <x:c r="V310" s="38"/>
      <x:c r="W310" s="38"/>
      <x:c r="X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49"/>
      <x:c r="O311" s="49"/>
      <x:c r="P311" s="60" t="str">
        <x:f>IF($A311="","",IF(OR($D311="解決",$D311="取消"),"",IF($O311="","",$O311-TODAY())))</x:f>
      </x:c>
      <x:c r="Q311" s="61" t="str">
        <x:f>IF($A311="","",IF(OR($D311="解決",$D311="取消"),"完了",IF($O311="","期限未設定",IF($P311&lt;0,"期限超過",IF($P311=0,"本日期限",IF($P311&lt;=3,"期限接近","期限内"))))))</x:f>
      </x:c>
      <x:c r="R311" s="49"/>
      <x:c r="S311" s="38"/>
      <x:c r="T311" s="49"/>
      <x:c r="U311" s="38"/>
      <x:c r="V311" s="38"/>
      <x:c r="W311" s="38"/>
      <x:c r="X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49"/>
      <x:c r="O312" s="49"/>
      <x:c r="P312" s="60" t="str">
        <x:f>IF($A312="","",IF(OR($D312="解決",$D312="取消"),"",IF($O312="","",$O312-TODAY())))</x:f>
      </x:c>
      <x:c r="Q312" s="61" t="str">
        <x:f>IF($A312="","",IF(OR($D312="解決",$D312="取消"),"完了",IF($O312="","期限未設定",IF($P312&lt;0,"期限超過",IF($P312=0,"本日期限",IF($P312&lt;=3,"期限接近","期限内"))))))</x:f>
      </x:c>
      <x:c r="R312" s="49"/>
      <x:c r="S312" s="38"/>
      <x:c r="T312" s="49"/>
      <x:c r="U312" s="38"/>
      <x:c r="V312" s="38"/>
      <x:c r="W312" s="38"/>
      <x:c r="X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49"/>
      <x:c r="O313" s="49"/>
      <x:c r="P313" s="60" t="str">
        <x:f>IF($A313="","",IF(OR($D313="解決",$D313="取消"),"",IF($O313="","",$O313-TODAY())))</x:f>
      </x:c>
      <x:c r="Q313" s="61" t="str">
        <x:f>IF($A313="","",IF(OR($D313="解決",$D313="取消"),"完了",IF($O313="","期限未設定",IF($P313&lt;0,"期限超過",IF($P313=0,"本日期限",IF($P313&lt;=3,"期限接近","期限内"))))))</x:f>
      </x:c>
      <x:c r="R313" s="49"/>
      <x:c r="S313" s="38"/>
      <x:c r="T313" s="49"/>
      <x:c r="U313" s="38"/>
      <x:c r="V313" s="38"/>
      <x:c r="W313" s="38"/>
      <x:c r="X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49"/>
      <x:c r="O314" s="49"/>
      <x:c r="P314" s="60" t="str">
        <x:f>IF($A314="","",IF(OR($D314="解決",$D314="取消"),"",IF($O314="","",$O314-TODAY())))</x:f>
      </x:c>
      <x:c r="Q314" s="61" t="str">
        <x:f>IF($A314="","",IF(OR($D314="解決",$D314="取消"),"完了",IF($O314="","期限未設定",IF($P314&lt;0,"期限超過",IF($P314=0,"本日期限",IF($P314&lt;=3,"期限接近","期限内"))))))</x:f>
      </x:c>
      <x:c r="R314" s="49"/>
      <x:c r="S314" s="38"/>
      <x:c r="T314" s="49"/>
      <x:c r="U314" s="38"/>
      <x:c r="V314" s="38"/>
      <x:c r="W314" s="38"/>
      <x:c r="X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49"/>
      <x:c r="O315" s="49"/>
      <x:c r="P315" s="60" t="str">
        <x:f>IF($A315="","",IF(OR($D315="解決",$D315="取消"),"",IF($O315="","",$O315-TODAY())))</x:f>
      </x:c>
      <x:c r="Q315" s="61" t="str">
        <x:f>IF($A315="","",IF(OR($D315="解決",$D315="取消"),"完了",IF($O315="","期限未設定",IF($P315&lt;0,"期限超過",IF($P315=0,"本日期限",IF($P315&lt;=3,"期限接近","期限内"))))))</x:f>
      </x:c>
      <x:c r="R315" s="49"/>
      <x:c r="S315" s="38"/>
      <x:c r="T315" s="49"/>
      <x:c r="U315" s="38"/>
      <x:c r="V315" s="38"/>
      <x:c r="W315" s="38"/>
      <x:c r="X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49"/>
      <x:c r="O316" s="49"/>
      <x:c r="P316" s="60" t="str">
        <x:f>IF($A316="","",IF(OR($D316="解決",$D316="取消"),"",IF($O316="","",$O316-TODAY())))</x:f>
      </x:c>
      <x:c r="Q316" s="61" t="str">
        <x:f>IF($A316="","",IF(OR($D316="解決",$D316="取消"),"完了",IF($O316="","期限未設定",IF($P316&lt;0,"期限超過",IF($P316=0,"本日期限",IF($P316&lt;=3,"期限接近","期限内"))))))</x:f>
      </x:c>
      <x:c r="R316" s="49"/>
      <x:c r="S316" s="38"/>
      <x:c r="T316" s="49"/>
      <x:c r="U316" s="38"/>
      <x:c r="V316" s="38"/>
      <x:c r="W316" s="38"/>
      <x:c r="X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49"/>
      <x:c r="O317" s="49"/>
      <x:c r="P317" s="60" t="str">
        <x:f>IF($A317="","",IF(OR($D317="解決",$D317="取消"),"",IF($O317="","",$O317-TODAY())))</x:f>
      </x:c>
      <x:c r="Q317" s="61" t="str">
        <x:f>IF($A317="","",IF(OR($D317="解決",$D317="取消"),"完了",IF($O317="","期限未設定",IF($P317&lt;0,"期限超過",IF($P317=0,"本日期限",IF($P317&lt;=3,"期限接近","期限内"))))))</x:f>
      </x:c>
      <x:c r="R317" s="49"/>
      <x:c r="S317" s="38"/>
      <x:c r="T317" s="49"/>
      <x:c r="U317" s="38"/>
      <x:c r="V317" s="38"/>
      <x:c r="W317" s="38"/>
      <x:c r="X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49"/>
      <x:c r="O318" s="49"/>
      <x:c r="P318" s="60" t="str">
        <x:f>IF($A318="","",IF(OR($D318="解決",$D318="取消"),"",IF($O318="","",$O318-TODAY())))</x:f>
      </x:c>
      <x:c r="Q318" s="61" t="str">
        <x:f>IF($A318="","",IF(OR($D318="解決",$D318="取消"),"完了",IF($O318="","期限未設定",IF($P318&lt;0,"期限超過",IF($P318=0,"本日期限",IF($P318&lt;=3,"期限接近","期限内"))))))</x:f>
      </x:c>
      <x:c r="R318" s="49"/>
      <x:c r="S318" s="38"/>
      <x:c r="T318" s="49"/>
      <x:c r="U318" s="38"/>
      <x:c r="V318" s="38"/>
      <x:c r="W318" s="38"/>
      <x:c r="X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49"/>
      <x:c r="O319" s="49"/>
      <x:c r="P319" s="60" t="str">
        <x:f>IF($A319="","",IF(OR($D319="解決",$D319="取消"),"",IF($O319="","",$O319-TODAY())))</x:f>
      </x:c>
      <x:c r="Q319" s="61" t="str">
        <x:f>IF($A319="","",IF(OR($D319="解決",$D319="取消"),"完了",IF($O319="","期限未設定",IF($P319&lt;0,"期限超過",IF($P319=0,"本日期限",IF($P319&lt;=3,"期限接近","期限内"))))))</x:f>
      </x:c>
      <x:c r="R319" s="49"/>
      <x:c r="S319" s="38"/>
      <x:c r="T319" s="49"/>
      <x:c r="U319" s="38"/>
      <x:c r="V319" s="38"/>
      <x:c r="W319" s="38"/>
      <x:c r="X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49"/>
      <x:c r="O320" s="49"/>
      <x:c r="P320" s="60" t="str">
        <x:f>IF($A320="","",IF(OR($D320="解決",$D320="取消"),"",IF($O320="","",$O320-TODAY())))</x:f>
      </x:c>
      <x:c r="Q320" s="61" t="str">
        <x:f>IF($A320="","",IF(OR($D320="解決",$D320="取消"),"完了",IF($O320="","期限未設定",IF($P320&lt;0,"期限超過",IF($P320=0,"本日期限",IF($P320&lt;=3,"期限接近","期限内"))))))</x:f>
      </x:c>
      <x:c r="R320" s="49"/>
      <x:c r="S320" s="38"/>
      <x:c r="T320" s="49"/>
      <x:c r="U320" s="38"/>
      <x:c r="V320" s="38"/>
      <x:c r="W320" s="38"/>
      <x:c r="X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49"/>
      <x:c r="O321" s="49"/>
      <x:c r="P321" s="60" t="str">
        <x:f>IF($A321="","",IF(OR($D321="解決",$D321="取消"),"",IF($O321="","",$O321-TODAY())))</x:f>
      </x:c>
      <x:c r="Q321" s="61" t="str">
        <x:f>IF($A321="","",IF(OR($D321="解決",$D321="取消"),"完了",IF($O321="","期限未設定",IF($P321&lt;0,"期限超過",IF($P321=0,"本日期限",IF($P321&lt;=3,"期限接近","期限内"))))))</x:f>
      </x:c>
      <x:c r="R321" s="49"/>
      <x:c r="S321" s="38"/>
      <x:c r="T321" s="49"/>
      <x:c r="U321" s="38"/>
      <x:c r="V321" s="38"/>
      <x:c r="W321" s="38"/>
      <x:c r="X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49"/>
      <x:c r="O322" s="49"/>
      <x:c r="P322" s="60" t="str">
        <x:f>IF($A322="","",IF(OR($D322="解決",$D322="取消"),"",IF($O322="","",$O322-TODAY())))</x:f>
      </x:c>
      <x:c r="Q322" s="61" t="str">
        <x:f>IF($A322="","",IF(OR($D322="解決",$D322="取消"),"完了",IF($O322="","期限未設定",IF($P322&lt;0,"期限超過",IF($P322=0,"本日期限",IF($P322&lt;=3,"期限接近","期限内"))))))</x:f>
      </x:c>
      <x:c r="R322" s="49"/>
      <x:c r="S322" s="38"/>
      <x:c r="T322" s="49"/>
      <x:c r="U322" s="38"/>
      <x:c r="V322" s="38"/>
      <x:c r="W322" s="38"/>
      <x:c r="X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49"/>
      <x:c r="O323" s="49"/>
      <x:c r="P323" s="60" t="str">
        <x:f>IF($A323="","",IF(OR($D323="解決",$D323="取消"),"",IF($O323="","",$O323-TODAY())))</x:f>
      </x:c>
      <x:c r="Q323" s="61" t="str">
        <x:f>IF($A323="","",IF(OR($D323="解決",$D323="取消"),"完了",IF($O323="","期限未設定",IF($P323&lt;0,"期限超過",IF($P323=0,"本日期限",IF($P323&lt;=3,"期限接近","期限内"))))))</x:f>
      </x:c>
      <x:c r="R323" s="49"/>
      <x:c r="S323" s="38"/>
      <x:c r="T323" s="49"/>
      <x:c r="U323" s="38"/>
      <x:c r="V323" s="38"/>
      <x:c r="W323" s="38"/>
      <x:c r="X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49"/>
      <x:c r="O324" s="49"/>
      <x:c r="P324" s="60" t="str">
        <x:f>IF($A324="","",IF(OR($D324="解決",$D324="取消"),"",IF($O324="","",$O324-TODAY())))</x:f>
      </x:c>
      <x:c r="Q324" s="61" t="str">
        <x:f>IF($A324="","",IF(OR($D324="解決",$D324="取消"),"完了",IF($O324="","期限未設定",IF($P324&lt;0,"期限超過",IF($P324=0,"本日期限",IF($P324&lt;=3,"期限接近","期限内"))))))</x:f>
      </x:c>
      <x:c r="R324" s="49"/>
      <x:c r="S324" s="38"/>
      <x:c r="T324" s="49"/>
      <x:c r="U324" s="38"/>
      <x:c r="V324" s="38"/>
      <x:c r="W324" s="38"/>
      <x:c r="X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49"/>
      <x:c r="O325" s="49"/>
      <x:c r="P325" s="60" t="str">
        <x:f>IF($A325="","",IF(OR($D325="解決",$D325="取消"),"",IF($O325="","",$O325-TODAY())))</x:f>
      </x:c>
      <x:c r="Q325" s="61" t="str">
        <x:f>IF($A325="","",IF(OR($D325="解決",$D325="取消"),"完了",IF($O325="","期限未設定",IF($P325&lt;0,"期限超過",IF($P325=0,"本日期限",IF($P325&lt;=3,"期限接近","期限内"))))))</x:f>
      </x:c>
      <x:c r="R325" s="49"/>
      <x:c r="S325" s="38"/>
      <x:c r="T325" s="49"/>
      <x:c r="U325" s="38"/>
      <x:c r="V325" s="38"/>
      <x:c r="W325" s="38"/>
      <x:c r="X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49"/>
      <x:c r="O326" s="49"/>
      <x:c r="P326" s="60" t="str">
        <x:f>IF($A326="","",IF(OR($D326="解決",$D326="取消"),"",IF($O326="","",$O326-TODAY())))</x:f>
      </x:c>
      <x:c r="Q326" s="61" t="str">
        <x:f>IF($A326="","",IF(OR($D326="解決",$D326="取消"),"完了",IF($O326="","期限未設定",IF($P326&lt;0,"期限超過",IF($P326=0,"本日期限",IF($P326&lt;=3,"期限接近","期限内"))))))</x:f>
      </x:c>
      <x:c r="R326" s="49"/>
      <x:c r="S326" s="38"/>
      <x:c r="T326" s="49"/>
      <x:c r="U326" s="38"/>
      <x:c r="V326" s="38"/>
      <x:c r="W326" s="38"/>
      <x:c r="X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49"/>
      <x:c r="O327" s="49"/>
      <x:c r="P327" s="60" t="str">
        <x:f>IF($A327="","",IF(OR($D327="解決",$D327="取消"),"",IF($O327="","",$O327-TODAY())))</x:f>
      </x:c>
      <x:c r="Q327" s="61" t="str">
        <x:f>IF($A327="","",IF(OR($D327="解決",$D327="取消"),"完了",IF($O327="","期限未設定",IF($P327&lt;0,"期限超過",IF($P327=0,"本日期限",IF($P327&lt;=3,"期限接近","期限内"))))))</x:f>
      </x:c>
      <x:c r="R327" s="49"/>
      <x:c r="S327" s="38"/>
      <x:c r="T327" s="49"/>
      <x:c r="U327" s="38"/>
      <x:c r="V327" s="38"/>
      <x:c r="W327" s="38"/>
      <x:c r="X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49"/>
      <x:c r="O328" s="49"/>
      <x:c r="P328" s="60" t="str">
        <x:f>IF($A328="","",IF(OR($D328="解決",$D328="取消"),"",IF($O328="","",$O328-TODAY())))</x:f>
      </x:c>
      <x:c r="Q328" s="61" t="str">
        <x:f>IF($A328="","",IF(OR($D328="解決",$D328="取消"),"完了",IF($O328="","期限未設定",IF($P328&lt;0,"期限超過",IF($P328=0,"本日期限",IF($P328&lt;=3,"期限接近","期限内"))))))</x:f>
      </x:c>
      <x:c r="R328" s="49"/>
      <x:c r="S328" s="38"/>
      <x:c r="T328" s="49"/>
      <x:c r="U328" s="38"/>
      <x:c r="V328" s="38"/>
      <x:c r="W328" s="38"/>
      <x:c r="X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49"/>
      <x:c r="O329" s="49"/>
      <x:c r="P329" s="60" t="str">
        <x:f>IF($A329="","",IF(OR($D329="解決",$D329="取消"),"",IF($O329="","",$O329-TODAY())))</x:f>
      </x:c>
      <x:c r="Q329" s="61" t="str">
        <x:f>IF($A329="","",IF(OR($D329="解決",$D329="取消"),"完了",IF($O329="","期限未設定",IF($P329&lt;0,"期限超過",IF($P329=0,"本日期限",IF($P329&lt;=3,"期限接近","期限内"))))))</x:f>
      </x:c>
      <x:c r="R329" s="49"/>
      <x:c r="S329" s="38"/>
      <x:c r="T329" s="49"/>
      <x:c r="U329" s="38"/>
      <x:c r="V329" s="38"/>
      <x:c r="W329" s="38"/>
      <x:c r="X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49"/>
      <x:c r="O330" s="49"/>
      <x:c r="P330" s="60" t="str">
        <x:f>IF($A330="","",IF(OR($D330="解決",$D330="取消"),"",IF($O330="","",$O330-TODAY())))</x:f>
      </x:c>
      <x:c r="Q330" s="61" t="str">
        <x:f>IF($A330="","",IF(OR($D330="解決",$D330="取消"),"完了",IF($O330="","期限未設定",IF($P330&lt;0,"期限超過",IF($P330=0,"本日期限",IF($P330&lt;=3,"期限接近","期限内"))))))</x:f>
      </x:c>
      <x:c r="R330" s="49"/>
      <x:c r="S330" s="38"/>
      <x:c r="T330" s="49"/>
      <x:c r="U330" s="38"/>
      <x:c r="V330" s="38"/>
      <x:c r="W330" s="38"/>
      <x:c r="X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49"/>
      <x:c r="O331" s="49"/>
      <x:c r="P331" s="60" t="str">
        <x:f>IF($A331="","",IF(OR($D331="解決",$D331="取消"),"",IF($O331="","",$O331-TODAY())))</x:f>
      </x:c>
      <x:c r="Q331" s="61" t="str">
        <x:f>IF($A331="","",IF(OR($D331="解決",$D331="取消"),"完了",IF($O331="","期限未設定",IF($P331&lt;0,"期限超過",IF($P331=0,"本日期限",IF($P331&lt;=3,"期限接近","期限内"))))))</x:f>
      </x:c>
      <x:c r="R331" s="49"/>
      <x:c r="S331" s="38"/>
      <x:c r="T331" s="49"/>
      <x:c r="U331" s="38"/>
      <x:c r="V331" s="38"/>
      <x:c r="W331" s="38"/>
      <x:c r="X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49"/>
      <x:c r="O332" s="49"/>
      <x:c r="P332" s="60" t="str">
        <x:f>IF($A332="","",IF(OR($D332="解決",$D332="取消"),"",IF($O332="","",$O332-TODAY())))</x:f>
      </x:c>
      <x:c r="Q332" s="61" t="str">
        <x:f>IF($A332="","",IF(OR($D332="解決",$D332="取消"),"完了",IF($O332="","期限未設定",IF($P332&lt;0,"期限超過",IF($P332=0,"本日期限",IF($P332&lt;=3,"期限接近","期限内"))))))</x:f>
      </x:c>
      <x:c r="R332" s="49"/>
      <x:c r="S332" s="38"/>
      <x:c r="T332" s="49"/>
      <x:c r="U332" s="38"/>
      <x:c r="V332" s="38"/>
      <x:c r="W332" s="38"/>
      <x:c r="X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49"/>
      <x:c r="O333" s="49"/>
      <x:c r="P333" s="60" t="str">
        <x:f>IF($A333="","",IF(OR($D333="解決",$D333="取消"),"",IF($O333="","",$O333-TODAY())))</x:f>
      </x:c>
      <x:c r="Q333" s="61" t="str">
        <x:f>IF($A333="","",IF(OR($D333="解決",$D333="取消"),"完了",IF($O333="","期限未設定",IF($P333&lt;0,"期限超過",IF($P333=0,"本日期限",IF($P333&lt;=3,"期限接近","期限内"))))))</x:f>
      </x:c>
      <x:c r="R333" s="49"/>
      <x:c r="S333" s="38"/>
      <x:c r="T333" s="49"/>
      <x:c r="U333" s="38"/>
      <x:c r="V333" s="38"/>
      <x:c r="W333" s="38"/>
      <x:c r="X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49"/>
      <x:c r="O334" s="49"/>
      <x:c r="P334" s="60" t="str">
        <x:f>IF($A334="","",IF(OR($D334="解決",$D334="取消"),"",IF($O334="","",$O334-TODAY())))</x:f>
      </x:c>
      <x:c r="Q334" s="61" t="str">
        <x:f>IF($A334="","",IF(OR($D334="解決",$D334="取消"),"完了",IF($O334="","期限未設定",IF($P334&lt;0,"期限超過",IF($P334=0,"本日期限",IF($P334&lt;=3,"期限接近","期限内"))))))</x:f>
      </x:c>
      <x:c r="R334" s="49"/>
      <x:c r="S334" s="38"/>
      <x:c r="T334" s="49"/>
      <x:c r="U334" s="38"/>
      <x:c r="V334" s="38"/>
      <x:c r="W334" s="38"/>
      <x:c r="X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49"/>
      <x:c r="O335" s="49"/>
      <x:c r="P335" s="60" t="str">
        <x:f>IF($A335="","",IF(OR($D335="解決",$D335="取消"),"",IF($O335="","",$O335-TODAY())))</x:f>
      </x:c>
      <x:c r="Q335" s="61" t="str">
        <x:f>IF($A335="","",IF(OR($D335="解決",$D335="取消"),"完了",IF($O335="","期限未設定",IF($P335&lt;0,"期限超過",IF($P335=0,"本日期限",IF($P335&lt;=3,"期限接近","期限内"))))))</x:f>
      </x:c>
      <x:c r="R335" s="49"/>
      <x:c r="S335" s="38"/>
      <x:c r="T335" s="49"/>
      <x:c r="U335" s="38"/>
      <x:c r="V335" s="38"/>
      <x:c r="W335" s="38"/>
      <x:c r="X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49"/>
      <x:c r="O336" s="49"/>
      <x:c r="P336" s="60" t="str">
        <x:f>IF($A336="","",IF(OR($D336="解決",$D336="取消"),"",IF($O336="","",$O336-TODAY())))</x:f>
      </x:c>
      <x:c r="Q336" s="61" t="str">
        <x:f>IF($A336="","",IF(OR($D336="解決",$D336="取消"),"完了",IF($O336="","期限未設定",IF($P336&lt;0,"期限超過",IF($P336=0,"本日期限",IF($P336&lt;=3,"期限接近","期限内"))))))</x:f>
      </x:c>
      <x:c r="R336" s="49"/>
      <x:c r="S336" s="38"/>
      <x:c r="T336" s="49"/>
      <x:c r="U336" s="38"/>
      <x:c r="V336" s="38"/>
      <x:c r="W336" s="38"/>
      <x:c r="X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49"/>
      <x:c r="O337" s="49"/>
      <x:c r="P337" s="60" t="str">
        <x:f>IF($A337="","",IF(OR($D337="解決",$D337="取消"),"",IF($O337="","",$O337-TODAY())))</x:f>
      </x:c>
      <x:c r="Q337" s="61" t="str">
        <x:f>IF($A337="","",IF(OR($D337="解決",$D337="取消"),"完了",IF($O337="","期限未設定",IF($P337&lt;0,"期限超過",IF($P337=0,"本日期限",IF($P337&lt;=3,"期限接近","期限内"))))))</x:f>
      </x:c>
      <x:c r="R337" s="49"/>
      <x:c r="S337" s="38"/>
      <x:c r="T337" s="49"/>
      <x:c r="U337" s="38"/>
      <x:c r="V337" s="38"/>
      <x:c r="W337" s="38"/>
      <x:c r="X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49"/>
      <x:c r="O338" s="49"/>
      <x:c r="P338" s="60" t="str">
        <x:f>IF($A338="","",IF(OR($D338="解決",$D338="取消"),"",IF($O338="","",$O338-TODAY())))</x:f>
      </x:c>
      <x:c r="Q338" s="61" t="str">
        <x:f>IF($A338="","",IF(OR($D338="解決",$D338="取消"),"完了",IF($O338="","期限未設定",IF($P338&lt;0,"期限超過",IF($P338=0,"本日期限",IF($P338&lt;=3,"期限接近","期限内"))))))</x:f>
      </x:c>
      <x:c r="R338" s="49"/>
      <x:c r="S338" s="38"/>
      <x:c r="T338" s="49"/>
      <x:c r="U338" s="38"/>
      <x:c r="V338" s="38"/>
      <x:c r="W338" s="38"/>
      <x:c r="X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49"/>
      <x:c r="O339" s="49"/>
      <x:c r="P339" s="60" t="str">
        <x:f>IF($A339="","",IF(OR($D339="解決",$D339="取消"),"",IF($O339="","",$O339-TODAY())))</x:f>
      </x:c>
      <x:c r="Q339" s="61" t="str">
        <x:f>IF($A339="","",IF(OR($D339="解決",$D339="取消"),"完了",IF($O339="","期限未設定",IF($P339&lt;0,"期限超過",IF($P339=0,"本日期限",IF($P339&lt;=3,"期限接近","期限内"))))))</x:f>
      </x:c>
      <x:c r="R339" s="49"/>
      <x:c r="S339" s="38"/>
      <x:c r="T339" s="49"/>
      <x:c r="U339" s="38"/>
      <x:c r="V339" s="38"/>
      <x:c r="W339" s="38"/>
      <x:c r="X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49"/>
      <x:c r="O340" s="49"/>
      <x:c r="P340" s="60" t="str">
        <x:f>IF($A340="","",IF(OR($D340="解決",$D340="取消"),"",IF($O340="","",$O340-TODAY())))</x:f>
      </x:c>
      <x:c r="Q340" s="61" t="str">
        <x:f>IF($A340="","",IF(OR($D340="解決",$D340="取消"),"完了",IF($O340="","期限未設定",IF($P340&lt;0,"期限超過",IF($P340=0,"本日期限",IF($P340&lt;=3,"期限接近","期限内"))))))</x:f>
      </x:c>
      <x:c r="R340" s="49"/>
      <x:c r="S340" s="38"/>
      <x:c r="T340" s="49"/>
      <x:c r="U340" s="38"/>
      <x:c r="V340" s="38"/>
      <x:c r="W340" s="38"/>
      <x:c r="X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49"/>
      <x:c r="O341" s="49"/>
      <x:c r="P341" s="60" t="str">
        <x:f>IF($A341="","",IF(OR($D341="解決",$D341="取消"),"",IF($O341="","",$O341-TODAY())))</x:f>
      </x:c>
      <x:c r="Q341" s="61" t="str">
        <x:f>IF($A341="","",IF(OR($D341="解決",$D341="取消"),"完了",IF($O341="","期限未設定",IF($P341&lt;0,"期限超過",IF($P341=0,"本日期限",IF($P341&lt;=3,"期限接近","期限内"))))))</x:f>
      </x:c>
      <x:c r="R341" s="49"/>
      <x:c r="S341" s="38"/>
      <x:c r="T341" s="49"/>
      <x:c r="U341" s="38"/>
      <x:c r="V341" s="38"/>
      <x:c r="W341" s="38"/>
      <x:c r="X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49"/>
      <x:c r="O342" s="49"/>
      <x:c r="P342" s="60" t="str">
        <x:f>IF($A342="","",IF(OR($D342="解決",$D342="取消"),"",IF($O342="","",$O342-TODAY())))</x:f>
      </x:c>
      <x:c r="Q342" s="61" t="str">
        <x:f>IF($A342="","",IF(OR($D342="解決",$D342="取消"),"完了",IF($O342="","期限未設定",IF($P342&lt;0,"期限超過",IF($P342=0,"本日期限",IF($P342&lt;=3,"期限接近","期限内"))))))</x:f>
      </x:c>
      <x:c r="R342" s="49"/>
      <x:c r="S342" s="38"/>
      <x:c r="T342" s="49"/>
      <x:c r="U342" s="38"/>
      <x:c r="V342" s="38"/>
      <x:c r="W342" s="38"/>
      <x:c r="X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49"/>
      <x:c r="O343" s="49"/>
      <x:c r="P343" s="60" t="str">
        <x:f>IF($A343="","",IF(OR($D343="解決",$D343="取消"),"",IF($O343="","",$O343-TODAY())))</x:f>
      </x:c>
      <x:c r="Q343" s="61" t="str">
        <x:f>IF($A343="","",IF(OR($D343="解決",$D343="取消"),"完了",IF($O343="","期限未設定",IF($P343&lt;0,"期限超過",IF($P343=0,"本日期限",IF($P343&lt;=3,"期限接近","期限内"))))))</x:f>
      </x:c>
      <x:c r="R343" s="49"/>
      <x:c r="S343" s="38"/>
      <x:c r="T343" s="49"/>
      <x:c r="U343" s="38"/>
      <x:c r="V343" s="38"/>
      <x:c r="W343" s="38"/>
      <x:c r="X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49"/>
      <x:c r="O344" s="49"/>
      <x:c r="P344" s="60" t="str">
        <x:f>IF($A344="","",IF(OR($D344="解決",$D344="取消"),"",IF($O344="","",$O344-TODAY())))</x:f>
      </x:c>
      <x:c r="Q344" s="61" t="str">
        <x:f>IF($A344="","",IF(OR($D344="解決",$D344="取消"),"完了",IF($O344="","期限未設定",IF($P344&lt;0,"期限超過",IF($P344=0,"本日期限",IF($P344&lt;=3,"期限接近","期限内"))))))</x:f>
      </x:c>
      <x:c r="R344" s="49"/>
      <x:c r="S344" s="38"/>
      <x:c r="T344" s="49"/>
      <x:c r="U344" s="38"/>
      <x:c r="V344" s="38"/>
      <x:c r="W344" s="38"/>
      <x:c r="X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49"/>
      <x:c r="O345" s="49"/>
      <x:c r="P345" s="60" t="str">
        <x:f>IF($A345="","",IF(OR($D345="解決",$D345="取消"),"",IF($O345="","",$O345-TODAY())))</x:f>
      </x:c>
      <x:c r="Q345" s="61" t="str">
        <x:f>IF($A345="","",IF(OR($D345="解決",$D345="取消"),"完了",IF($O345="","期限未設定",IF($P345&lt;0,"期限超過",IF($P345=0,"本日期限",IF($P345&lt;=3,"期限接近","期限内"))))))</x:f>
      </x:c>
      <x:c r="R345" s="49"/>
      <x:c r="S345" s="38"/>
      <x:c r="T345" s="49"/>
      <x:c r="U345" s="38"/>
      <x:c r="V345" s="38"/>
      <x:c r="W345" s="38"/>
      <x:c r="X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49"/>
      <x:c r="O346" s="49"/>
      <x:c r="P346" s="60" t="str">
        <x:f>IF($A346="","",IF(OR($D346="解決",$D346="取消"),"",IF($O346="","",$O346-TODAY())))</x:f>
      </x:c>
      <x:c r="Q346" s="61" t="str">
        <x:f>IF($A346="","",IF(OR($D346="解決",$D346="取消"),"完了",IF($O346="","期限未設定",IF($P346&lt;0,"期限超過",IF($P346=0,"本日期限",IF($P346&lt;=3,"期限接近","期限内"))))))</x:f>
      </x:c>
      <x:c r="R346" s="49"/>
      <x:c r="S346" s="38"/>
      <x:c r="T346" s="49"/>
      <x:c r="U346" s="38"/>
      <x:c r="V346" s="38"/>
      <x:c r="W346" s="38"/>
      <x:c r="X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49"/>
      <x:c r="O347" s="49"/>
      <x:c r="P347" s="60" t="str">
        <x:f>IF($A347="","",IF(OR($D347="解決",$D347="取消"),"",IF($O347="","",$O347-TODAY())))</x:f>
      </x:c>
      <x:c r="Q347" s="61" t="str">
        <x:f>IF($A347="","",IF(OR($D347="解決",$D347="取消"),"完了",IF($O347="","期限未設定",IF($P347&lt;0,"期限超過",IF($P347=0,"本日期限",IF($P347&lt;=3,"期限接近","期限内"))))))</x:f>
      </x:c>
      <x:c r="R347" s="49"/>
      <x:c r="S347" s="38"/>
      <x:c r="T347" s="49"/>
      <x:c r="U347" s="38"/>
      <x:c r="V347" s="38"/>
      <x:c r="W347" s="38"/>
      <x:c r="X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49"/>
      <x:c r="O348" s="49"/>
      <x:c r="P348" s="60" t="str">
        <x:f>IF($A348="","",IF(OR($D348="解決",$D348="取消"),"",IF($O348="","",$O348-TODAY())))</x:f>
      </x:c>
      <x:c r="Q348" s="61" t="str">
        <x:f>IF($A348="","",IF(OR($D348="解決",$D348="取消"),"完了",IF($O348="","期限未設定",IF($P348&lt;0,"期限超過",IF($P348=0,"本日期限",IF($P348&lt;=3,"期限接近","期限内"))))))</x:f>
      </x:c>
      <x:c r="R348" s="49"/>
      <x:c r="S348" s="38"/>
      <x:c r="T348" s="49"/>
      <x:c r="U348" s="38"/>
      <x:c r="V348" s="38"/>
      <x:c r="W348" s="38"/>
      <x:c r="X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49"/>
      <x:c r="O349" s="49"/>
      <x:c r="P349" s="60" t="str">
        <x:f>IF($A349="","",IF(OR($D349="解決",$D349="取消"),"",IF($O349="","",$O349-TODAY())))</x:f>
      </x:c>
      <x:c r="Q349" s="61" t="str">
        <x:f>IF($A349="","",IF(OR($D349="解決",$D349="取消"),"完了",IF($O349="","期限未設定",IF($P349&lt;0,"期限超過",IF($P349=0,"本日期限",IF($P349&lt;=3,"期限接近","期限内"))))))</x:f>
      </x:c>
      <x:c r="R349" s="49"/>
      <x:c r="S349" s="38"/>
      <x:c r="T349" s="49"/>
      <x:c r="U349" s="38"/>
      <x:c r="V349" s="38"/>
      <x:c r="W349" s="38"/>
      <x:c r="X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49"/>
      <x:c r="O350" s="49"/>
      <x:c r="P350" s="60" t="str">
        <x:f>IF($A350="","",IF(OR($D350="解決",$D350="取消"),"",IF($O350="","",$O350-TODAY())))</x:f>
      </x:c>
      <x:c r="Q350" s="61" t="str">
        <x:f>IF($A350="","",IF(OR($D350="解決",$D350="取消"),"完了",IF($O350="","期限未設定",IF($P350&lt;0,"期限超過",IF($P350=0,"本日期限",IF($P350&lt;=3,"期限接近","期限内"))))))</x:f>
      </x:c>
      <x:c r="R350" s="49"/>
      <x:c r="S350" s="38"/>
      <x:c r="T350" s="49"/>
      <x:c r="U350" s="38"/>
      <x:c r="V350" s="38"/>
      <x:c r="W350" s="38"/>
      <x:c r="X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49"/>
      <x:c r="O351" s="49"/>
      <x:c r="P351" s="60" t="str">
        <x:f>IF($A351="","",IF(OR($D351="解決",$D351="取消"),"",IF($O351="","",$O351-TODAY())))</x:f>
      </x:c>
      <x:c r="Q351" s="61" t="str">
        <x:f>IF($A351="","",IF(OR($D351="解決",$D351="取消"),"完了",IF($O351="","期限未設定",IF($P351&lt;0,"期限超過",IF($P351=0,"本日期限",IF($P351&lt;=3,"期限接近","期限内"))))))</x:f>
      </x:c>
      <x:c r="R351" s="49"/>
      <x:c r="S351" s="38"/>
      <x:c r="T351" s="49"/>
      <x:c r="U351" s="38"/>
      <x:c r="V351" s="38"/>
      <x:c r="W351" s="38"/>
      <x:c r="X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49"/>
      <x:c r="O352" s="49"/>
      <x:c r="P352" s="60" t="str">
        <x:f>IF($A352="","",IF(OR($D352="解決",$D352="取消"),"",IF($O352="","",$O352-TODAY())))</x:f>
      </x:c>
      <x:c r="Q352" s="61" t="str">
        <x:f>IF($A352="","",IF(OR($D352="解決",$D352="取消"),"完了",IF($O352="","期限未設定",IF($P352&lt;0,"期限超過",IF($P352=0,"本日期限",IF($P352&lt;=3,"期限接近","期限内"))))))</x:f>
      </x:c>
      <x:c r="R352" s="49"/>
      <x:c r="S352" s="38"/>
      <x:c r="T352" s="49"/>
      <x:c r="U352" s="38"/>
      <x:c r="V352" s="38"/>
      <x:c r="W352" s="38"/>
      <x:c r="X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49"/>
      <x:c r="O353" s="49"/>
      <x:c r="P353" s="60" t="str">
        <x:f>IF($A353="","",IF(OR($D353="解決",$D353="取消"),"",IF($O353="","",$O353-TODAY())))</x:f>
      </x:c>
      <x:c r="Q353" s="61" t="str">
        <x:f>IF($A353="","",IF(OR($D353="解決",$D353="取消"),"完了",IF($O353="","期限未設定",IF($P353&lt;0,"期限超過",IF($P353=0,"本日期限",IF($P353&lt;=3,"期限接近","期限内"))))))</x:f>
      </x:c>
      <x:c r="R353" s="49"/>
      <x:c r="S353" s="38"/>
      <x:c r="T353" s="49"/>
      <x:c r="U353" s="38"/>
      <x:c r="V353" s="38"/>
      <x:c r="W353" s="38"/>
      <x:c r="X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49"/>
      <x:c r="O354" s="49"/>
      <x:c r="P354" s="60" t="str">
        <x:f>IF($A354="","",IF(OR($D354="解決",$D354="取消"),"",IF($O354="","",$O354-TODAY())))</x:f>
      </x:c>
      <x:c r="Q354" s="61" t="str">
        <x:f>IF($A354="","",IF(OR($D354="解決",$D354="取消"),"完了",IF($O354="","期限未設定",IF($P354&lt;0,"期限超過",IF($P354=0,"本日期限",IF($P354&lt;=3,"期限接近","期限内"))))))</x:f>
      </x:c>
      <x:c r="R354" s="49"/>
      <x:c r="S354" s="38"/>
      <x:c r="T354" s="49"/>
      <x:c r="U354" s="38"/>
      <x:c r="V354" s="38"/>
      <x:c r="W354" s="38"/>
      <x:c r="X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49"/>
      <x:c r="O355" s="49"/>
      <x:c r="P355" s="60" t="str">
        <x:f>IF($A355="","",IF(OR($D355="解決",$D355="取消"),"",IF($O355="","",$O355-TODAY())))</x:f>
      </x:c>
      <x:c r="Q355" s="61" t="str">
        <x:f>IF($A355="","",IF(OR($D355="解決",$D355="取消"),"完了",IF($O355="","期限未設定",IF($P355&lt;0,"期限超過",IF($P355=0,"本日期限",IF($P355&lt;=3,"期限接近","期限内"))))))</x:f>
      </x:c>
      <x:c r="R355" s="49"/>
      <x:c r="S355" s="38"/>
      <x:c r="T355" s="49"/>
      <x:c r="U355" s="38"/>
      <x:c r="V355" s="38"/>
      <x:c r="W355" s="38"/>
      <x:c r="X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49"/>
      <x:c r="O356" s="49"/>
      <x:c r="P356" s="60" t="str">
        <x:f>IF($A356="","",IF(OR($D356="解決",$D356="取消"),"",IF($O356="","",$O356-TODAY())))</x:f>
      </x:c>
      <x:c r="Q356" s="61" t="str">
        <x:f>IF($A356="","",IF(OR($D356="解決",$D356="取消"),"完了",IF($O356="","期限未設定",IF($P356&lt;0,"期限超過",IF($P356=0,"本日期限",IF($P356&lt;=3,"期限接近","期限内"))))))</x:f>
      </x:c>
      <x:c r="R356" s="49"/>
      <x:c r="S356" s="38"/>
      <x:c r="T356" s="49"/>
      <x:c r="U356" s="38"/>
      <x:c r="V356" s="38"/>
      <x:c r="W356" s="38"/>
      <x:c r="X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49"/>
      <x:c r="O357" s="49"/>
      <x:c r="P357" s="60" t="str">
        <x:f>IF($A357="","",IF(OR($D357="解決",$D357="取消"),"",IF($O357="","",$O357-TODAY())))</x:f>
      </x:c>
      <x:c r="Q357" s="61" t="str">
        <x:f>IF($A357="","",IF(OR($D357="解決",$D357="取消"),"完了",IF($O357="","期限未設定",IF($P357&lt;0,"期限超過",IF($P357=0,"本日期限",IF($P357&lt;=3,"期限接近","期限内"))))))</x:f>
      </x:c>
      <x:c r="R357" s="49"/>
      <x:c r="S357" s="38"/>
      <x:c r="T357" s="49"/>
      <x:c r="U357" s="38"/>
      <x:c r="V357" s="38"/>
      <x:c r="W357" s="38"/>
      <x:c r="X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49"/>
      <x:c r="O358" s="49"/>
      <x:c r="P358" s="60" t="str">
        <x:f>IF($A358="","",IF(OR($D358="解決",$D358="取消"),"",IF($O358="","",$O358-TODAY())))</x:f>
      </x:c>
      <x:c r="Q358" s="61" t="str">
        <x:f>IF($A358="","",IF(OR($D358="解決",$D358="取消"),"完了",IF($O358="","期限未設定",IF($P358&lt;0,"期限超過",IF($P358=0,"本日期限",IF($P358&lt;=3,"期限接近","期限内"))))))</x:f>
      </x:c>
      <x:c r="R358" s="49"/>
      <x:c r="S358" s="38"/>
      <x:c r="T358" s="49"/>
      <x:c r="U358" s="38"/>
      <x:c r="V358" s="38"/>
      <x:c r="W358" s="38"/>
      <x:c r="X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49"/>
      <x:c r="O359" s="49"/>
      <x:c r="P359" s="60" t="str">
        <x:f>IF($A359="","",IF(OR($D359="解決",$D359="取消"),"",IF($O359="","",$O359-TODAY())))</x:f>
      </x:c>
      <x:c r="Q359" s="61" t="str">
        <x:f>IF($A359="","",IF(OR($D359="解決",$D359="取消"),"完了",IF($O359="","期限未設定",IF($P359&lt;0,"期限超過",IF($P359=0,"本日期限",IF($P359&lt;=3,"期限接近","期限内"))))))</x:f>
      </x:c>
      <x:c r="R359" s="49"/>
      <x:c r="S359" s="38"/>
      <x:c r="T359" s="49"/>
      <x:c r="U359" s="38"/>
      <x:c r="V359" s="38"/>
      <x:c r="W359" s="38"/>
      <x:c r="X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49"/>
      <x:c r="O360" s="49"/>
      <x:c r="P360" s="60" t="str">
        <x:f>IF($A360="","",IF(OR($D360="解決",$D360="取消"),"",IF($O360="","",$O360-TODAY())))</x:f>
      </x:c>
      <x:c r="Q360" s="61" t="str">
        <x:f>IF($A360="","",IF(OR($D360="解決",$D360="取消"),"完了",IF($O360="","期限未設定",IF($P360&lt;0,"期限超過",IF($P360=0,"本日期限",IF($P360&lt;=3,"期限接近","期限内"))))))</x:f>
      </x:c>
      <x:c r="R360" s="49"/>
      <x:c r="S360" s="38"/>
      <x:c r="T360" s="49"/>
      <x:c r="U360" s="38"/>
      <x:c r="V360" s="38"/>
      <x:c r="W360" s="38"/>
      <x:c r="X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49"/>
      <x:c r="O361" s="49"/>
      <x:c r="P361" s="60" t="str">
        <x:f>IF($A361="","",IF(OR($D361="解決",$D361="取消"),"",IF($O361="","",$O361-TODAY())))</x:f>
      </x:c>
      <x:c r="Q361" s="61" t="str">
        <x:f>IF($A361="","",IF(OR($D361="解決",$D361="取消"),"完了",IF($O361="","期限未設定",IF($P361&lt;0,"期限超過",IF($P361=0,"本日期限",IF($P361&lt;=3,"期限接近","期限内"))))))</x:f>
      </x:c>
      <x:c r="R361" s="49"/>
      <x:c r="S361" s="38"/>
      <x:c r="T361" s="49"/>
      <x:c r="U361" s="38"/>
      <x:c r="V361" s="38"/>
      <x:c r="W361" s="38"/>
      <x:c r="X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49"/>
      <x:c r="O362" s="49"/>
      <x:c r="P362" s="60" t="str">
        <x:f>IF($A362="","",IF(OR($D362="解決",$D362="取消"),"",IF($O362="","",$O362-TODAY())))</x:f>
      </x:c>
      <x:c r="Q362" s="61" t="str">
        <x:f>IF($A362="","",IF(OR($D362="解決",$D362="取消"),"完了",IF($O362="","期限未設定",IF($P362&lt;0,"期限超過",IF($P362=0,"本日期限",IF($P362&lt;=3,"期限接近","期限内"))))))</x:f>
      </x:c>
      <x:c r="R362" s="49"/>
      <x:c r="S362" s="38"/>
      <x:c r="T362" s="49"/>
      <x:c r="U362" s="38"/>
      <x:c r="V362" s="38"/>
      <x:c r="W362" s="38"/>
      <x:c r="X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49"/>
      <x:c r="O363" s="49"/>
      <x:c r="P363" s="60" t="str">
        <x:f>IF($A363="","",IF(OR($D363="解決",$D363="取消"),"",IF($O363="","",$O363-TODAY())))</x:f>
      </x:c>
      <x:c r="Q363" s="61" t="str">
        <x:f>IF($A363="","",IF(OR($D363="解決",$D363="取消"),"完了",IF($O363="","期限未設定",IF($P363&lt;0,"期限超過",IF($P363=0,"本日期限",IF($P363&lt;=3,"期限接近","期限内"))))))</x:f>
      </x:c>
      <x:c r="R363" s="49"/>
      <x:c r="S363" s="38"/>
      <x:c r="T363" s="49"/>
      <x:c r="U363" s="38"/>
      <x:c r="V363" s="38"/>
      <x:c r="W363" s="38"/>
      <x:c r="X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49"/>
      <x:c r="O364" s="49"/>
      <x:c r="P364" s="60" t="str">
        <x:f>IF($A364="","",IF(OR($D364="解決",$D364="取消"),"",IF($O364="","",$O364-TODAY())))</x:f>
      </x:c>
      <x:c r="Q364" s="61" t="str">
        <x:f>IF($A364="","",IF(OR($D364="解決",$D364="取消"),"完了",IF($O364="","期限未設定",IF($P364&lt;0,"期限超過",IF($P364=0,"本日期限",IF($P364&lt;=3,"期限接近","期限内"))))))</x:f>
      </x:c>
      <x:c r="R364" s="49"/>
      <x:c r="S364" s="38"/>
      <x:c r="T364" s="49"/>
      <x:c r="U364" s="38"/>
      <x:c r="V364" s="38"/>
      <x:c r="W364" s="38"/>
      <x:c r="X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49"/>
      <x:c r="O365" s="49"/>
      <x:c r="P365" s="60" t="str">
        <x:f>IF($A365="","",IF(OR($D365="解決",$D365="取消"),"",IF($O365="","",$O365-TODAY())))</x:f>
      </x:c>
      <x:c r="Q365" s="61" t="str">
        <x:f>IF($A365="","",IF(OR($D365="解決",$D365="取消"),"完了",IF($O365="","期限未設定",IF($P365&lt;0,"期限超過",IF($P365=0,"本日期限",IF($P365&lt;=3,"期限接近","期限内"))))))</x:f>
      </x:c>
      <x:c r="R365" s="49"/>
      <x:c r="S365" s="38"/>
      <x:c r="T365" s="49"/>
      <x:c r="U365" s="38"/>
      <x:c r="V365" s="38"/>
      <x:c r="W365" s="38"/>
      <x:c r="X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49"/>
      <x:c r="O366" s="49"/>
      <x:c r="P366" s="60" t="str">
        <x:f>IF($A366="","",IF(OR($D366="解決",$D366="取消"),"",IF($O366="","",$O366-TODAY())))</x:f>
      </x:c>
      <x:c r="Q366" s="61" t="str">
        <x:f>IF($A366="","",IF(OR($D366="解決",$D366="取消"),"完了",IF($O366="","期限未設定",IF($P366&lt;0,"期限超過",IF($P366=0,"本日期限",IF($P366&lt;=3,"期限接近","期限内"))))))</x:f>
      </x:c>
      <x:c r="R366" s="49"/>
      <x:c r="S366" s="38"/>
      <x:c r="T366" s="49"/>
      <x:c r="U366" s="38"/>
      <x:c r="V366" s="38"/>
      <x:c r="W366" s="38"/>
      <x:c r="X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49"/>
      <x:c r="O367" s="49"/>
      <x:c r="P367" s="60" t="str">
        <x:f>IF($A367="","",IF(OR($D367="解決",$D367="取消"),"",IF($O367="","",$O367-TODAY())))</x:f>
      </x:c>
      <x:c r="Q367" s="61" t="str">
        <x:f>IF($A367="","",IF(OR($D367="解決",$D367="取消"),"完了",IF($O367="","期限未設定",IF($P367&lt;0,"期限超過",IF($P367=0,"本日期限",IF($P367&lt;=3,"期限接近","期限内"))))))</x:f>
      </x:c>
      <x:c r="R367" s="49"/>
      <x:c r="S367" s="38"/>
      <x:c r="T367" s="49"/>
      <x:c r="U367" s="38"/>
      <x:c r="V367" s="38"/>
      <x:c r="W367" s="38"/>
      <x:c r="X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49"/>
      <x:c r="O368" s="49"/>
      <x:c r="P368" s="60" t="str">
        <x:f>IF($A368="","",IF(OR($D368="解決",$D368="取消"),"",IF($O368="","",$O368-TODAY())))</x:f>
      </x:c>
      <x:c r="Q368" s="61" t="str">
        <x:f>IF($A368="","",IF(OR($D368="解決",$D368="取消"),"完了",IF($O368="","期限未設定",IF($P368&lt;0,"期限超過",IF($P368=0,"本日期限",IF($P368&lt;=3,"期限接近","期限内"))))))</x:f>
      </x:c>
      <x:c r="R368" s="49"/>
      <x:c r="S368" s="38"/>
      <x:c r="T368" s="49"/>
      <x:c r="U368" s="38"/>
      <x:c r="V368" s="38"/>
      <x:c r="W368" s="38"/>
      <x:c r="X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49"/>
      <x:c r="O369" s="49"/>
      <x:c r="P369" s="60" t="str">
        <x:f>IF($A369="","",IF(OR($D369="解決",$D369="取消"),"",IF($O369="","",$O369-TODAY())))</x:f>
      </x:c>
      <x:c r="Q369" s="61" t="str">
        <x:f>IF($A369="","",IF(OR($D369="解決",$D369="取消"),"完了",IF($O369="","期限未設定",IF($P369&lt;0,"期限超過",IF($P369=0,"本日期限",IF($P369&lt;=3,"期限接近","期限内"))))))</x:f>
      </x:c>
      <x:c r="R369" s="49"/>
      <x:c r="S369" s="38"/>
      <x:c r="T369" s="49"/>
      <x:c r="U369" s="38"/>
      <x:c r="V369" s="38"/>
      <x:c r="W369" s="38"/>
      <x:c r="X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49"/>
      <x:c r="O370" s="49"/>
      <x:c r="P370" s="60" t="str">
        <x:f>IF($A370="","",IF(OR($D370="解決",$D370="取消"),"",IF($O370="","",$O370-TODAY())))</x:f>
      </x:c>
      <x:c r="Q370" s="61" t="str">
        <x:f>IF($A370="","",IF(OR($D370="解決",$D370="取消"),"完了",IF($O370="","期限未設定",IF($P370&lt;0,"期限超過",IF($P370=0,"本日期限",IF($P370&lt;=3,"期限接近","期限内"))))))</x:f>
      </x:c>
      <x:c r="R370" s="49"/>
      <x:c r="S370" s="38"/>
      <x:c r="T370" s="49"/>
      <x:c r="U370" s="38"/>
      <x:c r="V370" s="38"/>
      <x:c r="W370" s="38"/>
      <x:c r="X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49"/>
      <x:c r="O371" s="49"/>
      <x:c r="P371" s="60" t="str">
        <x:f>IF($A371="","",IF(OR($D371="解決",$D371="取消"),"",IF($O371="","",$O371-TODAY())))</x:f>
      </x:c>
      <x:c r="Q371" s="61" t="str">
        <x:f>IF($A371="","",IF(OR($D371="解決",$D371="取消"),"完了",IF($O371="","期限未設定",IF($P371&lt;0,"期限超過",IF($P371=0,"本日期限",IF($P371&lt;=3,"期限接近","期限内"))))))</x:f>
      </x:c>
      <x:c r="R371" s="49"/>
      <x:c r="S371" s="38"/>
      <x:c r="T371" s="49"/>
      <x:c r="U371" s="38"/>
      <x:c r="V371" s="38"/>
      <x:c r="W371" s="38"/>
      <x:c r="X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49"/>
      <x:c r="O372" s="49"/>
      <x:c r="P372" s="60" t="str">
        <x:f>IF($A372="","",IF(OR($D372="解決",$D372="取消"),"",IF($O372="","",$O372-TODAY())))</x:f>
      </x:c>
      <x:c r="Q372" s="61" t="str">
        <x:f>IF($A372="","",IF(OR($D372="解決",$D372="取消"),"完了",IF($O372="","期限未設定",IF($P372&lt;0,"期限超過",IF($P372=0,"本日期限",IF($P372&lt;=3,"期限接近","期限内"))))))</x:f>
      </x:c>
      <x:c r="R372" s="49"/>
      <x:c r="S372" s="38"/>
      <x:c r="T372" s="49"/>
      <x:c r="U372" s="38"/>
      <x:c r="V372" s="38"/>
      <x:c r="W372" s="38"/>
      <x:c r="X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49"/>
      <x:c r="O373" s="49"/>
      <x:c r="P373" s="60" t="str">
        <x:f>IF($A373="","",IF(OR($D373="解決",$D373="取消"),"",IF($O373="","",$O373-TODAY())))</x:f>
      </x:c>
      <x:c r="Q373" s="61" t="str">
        <x:f>IF($A373="","",IF(OR($D373="解決",$D373="取消"),"完了",IF($O373="","期限未設定",IF($P373&lt;0,"期限超過",IF($P373=0,"本日期限",IF($P373&lt;=3,"期限接近","期限内"))))))</x:f>
      </x:c>
      <x:c r="R373" s="49"/>
      <x:c r="S373" s="38"/>
      <x:c r="T373" s="49"/>
      <x:c r="U373" s="38"/>
      <x:c r="V373" s="38"/>
      <x:c r="W373" s="38"/>
      <x:c r="X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49"/>
      <x:c r="O374" s="49"/>
      <x:c r="P374" s="60" t="str">
        <x:f>IF($A374="","",IF(OR($D374="解決",$D374="取消"),"",IF($O374="","",$O374-TODAY())))</x:f>
      </x:c>
      <x:c r="Q374" s="61" t="str">
        <x:f>IF($A374="","",IF(OR($D374="解決",$D374="取消"),"完了",IF($O374="","期限未設定",IF($P374&lt;0,"期限超過",IF($P374=0,"本日期限",IF($P374&lt;=3,"期限接近","期限内"))))))</x:f>
      </x:c>
      <x:c r="R374" s="49"/>
      <x:c r="S374" s="38"/>
      <x:c r="T374" s="49"/>
      <x:c r="U374" s="38"/>
      <x:c r="V374" s="38"/>
      <x:c r="W374" s="38"/>
      <x:c r="X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49"/>
      <x:c r="O375" s="49"/>
      <x:c r="P375" s="60" t="str">
        <x:f>IF($A375="","",IF(OR($D375="解決",$D375="取消"),"",IF($O375="","",$O375-TODAY())))</x:f>
      </x:c>
      <x:c r="Q375" s="61" t="str">
        <x:f>IF($A375="","",IF(OR($D375="解決",$D375="取消"),"完了",IF($O375="","期限未設定",IF($P375&lt;0,"期限超過",IF($P375=0,"本日期限",IF($P375&lt;=3,"期限接近","期限内"))))))</x:f>
      </x:c>
      <x:c r="R375" s="49"/>
      <x:c r="S375" s="38"/>
      <x:c r="T375" s="49"/>
      <x:c r="U375" s="38"/>
      <x:c r="V375" s="38"/>
      <x:c r="W375" s="38"/>
      <x:c r="X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49"/>
      <x:c r="O376" s="49"/>
      <x:c r="P376" s="60" t="str">
        <x:f>IF($A376="","",IF(OR($D376="解決",$D376="取消"),"",IF($O376="","",$O376-TODAY())))</x:f>
      </x:c>
      <x:c r="Q376" s="61" t="str">
        <x:f>IF($A376="","",IF(OR($D376="解決",$D376="取消"),"完了",IF($O376="","期限未設定",IF($P376&lt;0,"期限超過",IF($P376=0,"本日期限",IF($P376&lt;=3,"期限接近","期限内"))))))</x:f>
      </x:c>
      <x:c r="R376" s="49"/>
      <x:c r="S376" s="38"/>
      <x:c r="T376" s="49"/>
      <x:c r="U376" s="38"/>
      <x:c r="V376" s="38"/>
      <x:c r="W376" s="38"/>
      <x:c r="X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49"/>
      <x:c r="O377" s="49"/>
      <x:c r="P377" s="60" t="str">
        <x:f>IF($A377="","",IF(OR($D377="解決",$D377="取消"),"",IF($O377="","",$O377-TODAY())))</x:f>
      </x:c>
      <x:c r="Q377" s="61" t="str">
        <x:f>IF($A377="","",IF(OR($D377="解決",$D377="取消"),"完了",IF($O377="","期限未設定",IF($P377&lt;0,"期限超過",IF($P377=0,"本日期限",IF($P377&lt;=3,"期限接近","期限内"))))))</x:f>
      </x:c>
      <x:c r="R377" s="49"/>
      <x:c r="S377" s="38"/>
      <x:c r="T377" s="49"/>
      <x:c r="U377" s="38"/>
      <x:c r="V377" s="38"/>
      <x:c r="W377" s="38"/>
      <x:c r="X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49"/>
      <x:c r="O378" s="49"/>
      <x:c r="P378" s="60" t="str">
        <x:f>IF($A378="","",IF(OR($D378="解決",$D378="取消"),"",IF($O378="","",$O378-TODAY())))</x:f>
      </x:c>
      <x:c r="Q378" s="61" t="str">
        <x:f>IF($A378="","",IF(OR($D378="解決",$D378="取消"),"完了",IF($O378="","期限未設定",IF($P378&lt;0,"期限超過",IF($P378=0,"本日期限",IF($P378&lt;=3,"期限接近","期限内"))))))</x:f>
      </x:c>
      <x:c r="R378" s="49"/>
      <x:c r="S378" s="38"/>
      <x:c r="T378" s="49"/>
      <x:c r="U378" s="38"/>
      <x:c r="V378" s="38"/>
      <x:c r="W378" s="38"/>
      <x:c r="X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49"/>
      <x:c r="O379" s="49"/>
      <x:c r="P379" s="60" t="str">
        <x:f>IF($A379="","",IF(OR($D379="解決",$D379="取消"),"",IF($O379="","",$O379-TODAY())))</x:f>
      </x:c>
      <x:c r="Q379" s="61" t="str">
        <x:f>IF($A379="","",IF(OR($D379="解決",$D379="取消"),"完了",IF($O379="","期限未設定",IF($P379&lt;0,"期限超過",IF($P379=0,"本日期限",IF($P379&lt;=3,"期限接近","期限内"))))))</x:f>
      </x:c>
      <x:c r="R379" s="49"/>
      <x:c r="S379" s="38"/>
      <x:c r="T379" s="49"/>
      <x:c r="U379" s="38"/>
      <x:c r="V379" s="38"/>
      <x:c r="W379" s="38"/>
      <x:c r="X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49"/>
      <x:c r="O380" s="49"/>
      <x:c r="P380" s="60" t="str">
        <x:f>IF($A380="","",IF(OR($D380="解決",$D380="取消"),"",IF($O380="","",$O380-TODAY())))</x:f>
      </x:c>
      <x:c r="Q380" s="61" t="str">
        <x:f>IF($A380="","",IF(OR($D380="解決",$D380="取消"),"完了",IF($O380="","期限未設定",IF($P380&lt;0,"期限超過",IF($P380=0,"本日期限",IF($P380&lt;=3,"期限接近","期限内"))))))</x:f>
      </x:c>
      <x:c r="R380" s="49"/>
      <x:c r="S380" s="38"/>
      <x:c r="T380" s="49"/>
      <x:c r="U380" s="38"/>
      <x:c r="V380" s="38"/>
      <x:c r="W380" s="38"/>
      <x:c r="X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49"/>
      <x:c r="O381" s="49"/>
      <x:c r="P381" s="60" t="str">
        <x:f>IF($A381="","",IF(OR($D381="解決",$D381="取消"),"",IF($O381="","",$O381-TODAY())))</x:f>
      </x:c>
      <x:c r="Q381" s="61" t="str">
        <x:f>IF($A381="","",IF(OR($D381="解決",$D381="取消"),"完了",IF($O381="","期限未設定",IF($P381&lt;0,"期限超過",IF($P381=0,"本日期限",IF($P381&lt;=3,"期限接近","期限内"))))))</x:f>
      </x:c>
      <x:c r="R381" s="49"/>
      <x:c r="S381" s="38"/>
      <x:c r="T381" s="49"/>
      <x:c r="U381" s="38"/>
      <x:c r="V381" s="38"/>
      <x:c r="W381" s="38"/>
      <x:c r="X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49"/>
      <x:c r="O382" s="49"/>
      <x:c r="P382" s="60" t="str">
        <x:f>IF($A382="","",IF(OR($D382="解決",$D382="取消"),"",IF($O382="","",$O382-TODAY())))</x:f>
      </x:c>
      <x:c r="Q382" s="61" t="str">
        <x:f>IF($A382="","",IF(OR($D382="解決",$D382="取消"),"完了",IF($O382="","期限未設定",IF($P382&lt;0,"期限超過",IF($P382=0,"本日期限",IF($P382&lt;=3,"期限接近","期限内"))))))</x:f>
      </x:c>
      <x:c r="R382" s="49"/>
      <x:c r="S382" s="38"/>
      <x:c r="T382" s="49"/>
      <x:c r="U382" s="38"/>
      <x:c r="V382" s="38"/>
      <x:c r="W382" s="38"/>
      <x:c r="X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49"/>
      <x:c r="O383" s="49"/>
      <x:c r="P383" s="60" t="str">
        <x:f>IF($A383="","",IF(OR($D383="解決",$D383="取消"),"",IF($O383="","",$O383-TODAY())))</x:f>
      </x:c>
      <x:c r="Q383" s="61" t="str">
        <x:f>IF($A383="","",IF(OR($D383="解決",$D383="取消"),"完了",IF($O383="","期限未設定",IF($P383&lt;0,"期限超過",IF($P383=0,"本日期限",IF($P383&lt;=3,"期限接近","期限内"))))))</x:f>
      </x:c>
      <x:c r="R383" s="49"/>
      <x:c r="S383" s="38"/>
      <x:c r="T383" s="49"/>
      <x:c r="U383" s="38"/>
      <x:c r="V383" s="38"/>
      <x:c r="W383" s="38"/>
      <x:c r="X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49"/>
      <x:c r="O384" s="49"/>
      <x:c r="P384" s="60" t="str">
        <x:f>IF($A384="","",IF(OR($D384="解決",$D384="取消"),"",IF($O384="","",$O384-TODAY())))</x:f>
      </x:c>
      <x:c r="Q384" s="61" t="str">
        <x:f>IF($A384="","",IF(OR($D384="解決",$D384="取消"),"完了",IF($O384="","期限未設定",IF($P384&lt;0,"期限超過",IF($P384=0,"本日期限",IF($P384&lt;=3,"期限接近","期限内"))))))</x:f>
      </x:c>
      <x:c r="R384" s="49"/>
      <x:c r="S384" s="38"/>
      <x:c r="T384" s="49"/>
      <x:c r="U384" s="38"/>
      <x:c r="V384" s="38"/>
      <x:c r="W384" s="38"/>
      <x:c r="X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49"/>
      <x:c r="O385" s="49"/>
      <x:c r="P385" s="60" t="str">
        <x:f>IF($A385="","",IF(OR($D385="解決",$D385="取消"),"",IF($O385="","",$O385-TODAY())))</x:f>
      </x:c>
      <x:c r="Q385" s="61" t="str">
        <x:f>IF($A385="","",IF(OR($D385="解決",$D385="取消"),"完了",IF($O385="","期限未設定",IF($P385&lt;0,"期限超過",IF($P385=0,"本日期限",IF($P385&lt;=3,"期限接近","期限内"))))))</x:f>
      </x:c>
      <x:c r="R385" s="49"/>
      <x:c r="S385" s="38"/>
      <x:c r="T385" s="49"/>
      <x:c r="U385" s="38"/>
      <x:c r="V385" s="38"/>
      <x:c r="W385" s="38"/>
      <x:c r="X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49"/>
      <x:c r="O386" s="49"/>
      <x:c r="P386" s="60" t="str">
        <x:f>IF($A386="","",IF(OR($D386="解決",$D386="取消"),"",IF($O386="","",$O386-TODAY())))</x:f>
      </x:c>
      <x:c r="Q386" s="61" t="str">
        <x:f>IF($A386="","",IF(OR($D386="解決",$D386="取消"),"完了",IF($O386="","期限未設定",IF($P386&lt;0,"期限超過",IF($P386=0,"本日期限",IF($P386&lt;=3,"期限接近","期限内"))))))</x:f>
      </x:c>
      <x:c r="R386" s="49"/>
      <x:c r="S386" s="38"/>
      <x:c r="T386" s="49"/>
      <x:c r="U386" s="38"/>
      <x:c r="V386" s="38"/>
      <x:c r="W386" s="38"/>
      <x:c r="X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49"/>
      <x:c r="O387" s="49"/>
      <x:c r="P387" s="60" t="str">
        <x:f>IF($A387="","",IF(OR($D387="解決",$D387="取消"),"",IF($O387="","",$O387-TODAY())))</x:f>
      </x:c>
      <x:c r="Q387" s="61" t="str">
        <x:f>IF($A387="","",IF(OR($D387="解決",$D387="取消"),"完了",IF($O387="","期限未設定",IF($P387&lt;0,"期限超過",IF($P387=0,"本日期限",IF($P387&lt;=3,"期限接近","期限内"))))))</x:f>
      </x:c>
      <x:c r="R387" s="49"/>
      <x:c r="S387" s="38"/>
      <x:c r="T387" s="49"/>
      <x:c r="U387" s="38"/>
      <x:c r="V387" s="38"/>
      <x:c r="W387" s="38"/>
      <x:c r="X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49"/>
      <x:c r="O388" s="49"/>
      <x:c r="P388" s="60" t="str">
        <x:f>IF($A388="","",IF(OR($D388="解決",$D388="取消"),"",IF($O388="","",$O388-TODAY())))</x:f>
      </x:c>
      <x:c r="Q388" s="61" t="str">
        <x:f>IF($A388="","",IF(OR($D388="解決",$D388="取消"),"完了",IF($O388="","期限未設定",IF($P388&lt;0,"期限超過",IF($P388=0,"本日期限",IF($P388&lt;=3,"期限接近","期限内"))))))</x:f>
      </x:c>
      <x:c r="R388" s="49"/>
      <x:c r="S388" s="38"/>
      <x:c r="T388" s="49"/>
      <x:c r="U388" s="38"/>
      <x:c r="V388" s="38"/>
      <x:c r="W388" s="38"/>
      <x:c r="X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49"/>
      <x:c r="O389" s="49"/>
      <x:c r="P389" s="60" t="str">
        <x:f>IF($A389="","",IF(OR($D389="解決",$D389="取消"),"",IF($O389="","",$O389-TODAY())))</x:f>
      </x:c>
      <x:c r="Q389" s="61" t="str">
        <x:f>IF($A389="","",IF(OR($D389="解決",$D389="取消"),"完了",IF($O389="","期限未設定",IF($P389&lt;0,"期限超過",IF($P389=0,"本日期限",IF($P389&lt;=3,"期限接近","期限内"))))))</x:f>
      </x:c>
      <x:c r="R389" s="49"/>
      <x:c r="S389" s="38"/>
      <x:c r="T389" s="49"/>
      <x:c r="U389" s="38"/>
      <x:c r="V389" s="38"/>
      <x:c r="W389" s="38"/>
      <x:c r="X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49"/>
      <x:c r="O390" s="49"/>
      <x:c r="P390" s="60" t="str">
        <x:f>IF($A390="","",IF(OR($D390="解決",$D390="取消"),"",IF($O390="","",$O390-TODAY())))</x:f>
      </x:c>
      <x:c r="Q390" s="61" t="str">
        <x:f>IF($A390="","",IF(OR($D390="解決",$D390="取消"),"完了",IF($O390="","期限未設定",IF($P390&lt;0,"期限超過",IF($P390=0,"本日期限",IF($P390&lt;=3,"期限接近","期限内"))))))</x:f>
      </x:c>
      <x:c r="R390" s="49"/>
      <x:c r="S390" s="38"/>
      <x:c r="T390" s="49"/>
      <x:c r="U390" s="38"/>
      <x:c r="V390" s="38"/>
      <x:c r="W390" s="38"/>
      <x:c r="X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49"/>
      <x:c r="O391" s="49"/>
      <x:c r="P391" s="60" t="str">
        <x:f>IF($A391="","",IF(OR($D391="解決",$D391="取消"),"",IF($O391="","",$O391-TODAY())))</x:f>
      </x:c>
      <x:c r="Q391" s="61" t="str">
        <x:f>IF($A391="","",IF(OR($D391="解決",$D391="取消"),"完了",IF($O391="","期限未設定",IF($P391&lt;0,"期限超過",IF($P391=0,"本日期限",IF($P391&lt;=3,"期限接近","期限内"))))))</x:f>
      </x:c>
      <x:c r="R391" s="49"/>
      <x:c r="S391" s="38"/>
      <x:c r="T391" s="49"/>
      <x:c r="U391" s="38"/>
      <x:c r="V391" s="38"/>
      <x:c r="W391" s="38"/>
      <x:c r="X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49"/>
      <x:c r="O392" s="49"/>
      <x:c r="P392" s="60" t="str">
        <x:f>IF($A392="","",IF(OR($D392="解決",$D392="取消"),"",IF($O392="","",$O392-TODAY())))</x:f>
      </x:c>
      <x:c r="Q392" s="61" t="str">
        <x:f>IF($A392="","",IF(OR($D392="解決",$D392="取消"),"完了",IF($O392="","期限未設定",IF($P392&lt;0,"期限超過",IF($P392=0,"本日期限",IF($P392&lt;=3,"期限接近","期限内"))))))</x:f>
      </x:c>
      <x:c r="R392" s="49"/>
      <x:c r="S392" s="38"/>
      <x:c r="T392" s="49"/>
      <x:c r="U392" s="38"/>
      <x:c r="V392" s="38"/>
      <x:c r="W392" s="38"/>
      <x:c r="X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49"/>
      <x:c r="O393" s="49"/>
      <x:c r="P393" s="60" t="str">
        <x:f>IF($A393="","",IF(OR($D393="解決",$D393="取消"),"",IF($O393="","",$O393-TODAY())))</x:f>
      </x:c>
      <x:c r="Q393" s="61" t="str">
        <x:f>IF($A393="","",IF(OR($D393="解決",$D393="取消"),"完了",IF($O393="","期限未設定",IF($P393&lt;0,"期限超過",IF($P393=0,"本日期限",IF($P393&lt;=3,"期限接近","期限内"))))))</x:f>
      </x:c>
      <x:c r="R393" s="49"/>
      <x:c r="S393" s="38"/>
      <x:c r="T393" s="49"/>
      <x:c r="U393" s="38"/>
      <x:c r="V393" s="38"/>
      <x:c r="W393" s="38"/>
      <x:c r="X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49"/>
      <x:c r="O394" s="49"/>
      <x:c r="P394" s="60" t="str">
        <x:f>IF($A394="","",IF(OR($D394="解決",$D394="取消"),"",IF($O394="","",$O394-TODAY())))</x:f>
      </x:c>
      <x:c r="Q394" s="61" t="str">
        <x:f>IF($A394="","",IF(OR($D394="解決",$D394="取消"),"完了",IF($O394="","期限未設定",IF($P394&lt;0,"期限超過",IF($P394=0,"本日期限",IF($P394&lt;=3,"期限接近","期限内"))))))</x:f>
      </x:c>
      <x:c r="R394" s="49"/>
      <x:c r="S394" s="38"/>
      <x:c r="T394" s="49"/>
      <x:c r="U394" s="38"/>
      <x:c r="V394" s="38"/>
      <x:c r="W394" s="38"/>
      <x:c r="X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49"/>
      <x:c r="O395" s="49"/>
      <x:c r="P395" s="60" t="str">
        <x:f>IF($A395="","",IF(OR($D395="解決",$D395="取消"),"",IF($O395="","",$O395-TODAY())))</x:f>
      </x:c>
      <x:c r="Q395" s="61" t="str">
        <x:f>IF($A395="","",IF(OR($D395="解決",$D395="取消"),"完了",IF($O395="","期限未設定",IF($P395&lt;0,"期限超過",IF($P395=0,"本日期限",IF($P395&lt;=3,"期限接近","期限内"))))))</x:f>
      </x:c>
      <x:c r="R395" s="49"/>
      <x:c r="S395" s="38"/>
      <x:c r="T395" s="49"/>
      <x:c r="U395" s="38"/>
      <x:c r="V395" s="38"/>
      <x:c r="W395" s="38"/>
      <x:c r="X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49"/>
      <x:c r="O396" s="49"/>
      <x:c r="P396" s="60" t="str">
        <x:f>IF($A396="","",IF(OR($D396="解決",$D396="取消"),"",IF($O396="","",$O396-TODAY())))</x:f>
      </x:c>
      <x:c r="Q396" s="61" t="str">
        <x:f>IF($A396="","",IF(OR($D396="解決",$D396="取消"),"完了",IF($O396="","期限未設定",IF($P396&lt;0,"期限超過",IF($P396=0,"本日期限",IF($P396&lt;=3,"期限接近","期限内"))))))</x:f>
      </x:c>
      <x:c r="R396" s="49"/>
      <x:c r="S396" s="38"/>
      <x:c r="T396" s="49"/>
      <x:c r="U396" s="38"/>
      <x:c r="V396" s="38"/>
      <x:c r="W396" s="38"/>
      <x:c r="X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49"/>
      <x:c r="O397" s="49"/>
      <x:c r="P397" s="60" t="str">
        <x:f>IF($A397="","",IF(OR($D397="解決",$D397="取消"),"",IF($O397="","",$O397-TODAY())))</x:f>
      </x:c>
      <x:c r="Q397" s="61" t="str">
        <x:f>IF($A397="","",IF(OR($D397="解決",$D397="取消"),"完了",IF($O397="","期限未設定",IF($P397&lt;0,"期限超過",IF($P397=0,"本日期限",IF($P397&lt;=3,"期限接近","期限内"))))))</x:f>
      </x:c>
      <x:c r="R397" s="49"/>
      <x:c r="S397" s="38"/>
      <x:c r="T397" s="49"/>
      <x:c r="U397" s="38"/>
      <x:c r="V397" s="38"/>
      <x:c r="W397" s="38"/>
      <x:c r="X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49"/>
      <x:c r="O398" s="49"/>
      <x:c r="P398" s="60" t="str">
        <x:f>IF($A398="","",IF(OR($D398="解決",$D398="取消"),"",IF($O398="","",$O398-TODAY())))</x:f>
      </x:c>
      <x:c r="Q398" s="61" t="str">
        <x:f>IF($A398="","",IF(OR($D398="解決",$D398="取消"),"完了",IF($O398="","期限未設定",IF($P398&lt;0,"期限超過",IF($P398=0,"本日期限",IF($P398&lt;=3,"期限接近","期限内"))))))</x:f>
      </x:c>
      <x:c r="R398" s="49"/>
      <x:c r="S398" s="38"/>
      <x:c r="T398" s="49"/>
      <x:c r="U398" s="38"/>
      <x:c r="V398" s="38"/>
      <x:c r="W398" s="38"/>
      <x:c r="X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49"/>
      <x:c r="O399" s="49"/>
      <x:c r="P399" s="60" t="str">
        <x:f>IF($A399="","",IF(OR($D399="解決",$D399="取消"),"",IF($O399="","",$O399-TODAY())))</x:f>
      </x:c>
      <x:c r="Q399" s="61" t="str">
        <x:f>IF($A399="","",IF(OR($D399="解決",$D399="取消"),"完了",IF($O399="","期限未設定",IF($P399&lt;0,"期限超過",IF($P399=0,"本日期限",IF($P399&lt;=3,"期限接近","期限内"))))))</x:f>
      </x:c>
      <x:c r="R399" s="49"/>
      <x:c r="S399" s="38"/>
      <x:c r="T399" s="49"/>
      <x:c r="U399" s="38"/>
      <x:c r="V399" s="38"/>
      <x:c r="W399" s="38"/>
      <x:c r="X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49"/>
      <x:c r="O400" s="49"/>
      <x:c r="P400" s="60" t="str">
        <x:f>IF($A400="","",IF(OR($D400="解決",$D400="取消"),"",IF($O400="","",$O400-TODAY())))</x:f>
      </x:c>
      <x:c r="Q400" s="61" t="str">
        <x:f>IF($A400="","",IF(OR($D400="解決",$D400="取消"),"完了",IF($O400="","期限未設定",IF($P400&lt;0,"期限超過",IF($P400=0,"本日期限",IF($P400&lt;=3,"期限接近","期限内"))))))</x:f>
      </x:c>
      <x:c r="R400" s="49"/>
      <x:c r="S400" s="38"/>
      <x:c r="T400" s="49"/>
      <x:c r="U400" s="38"/>
      <x:c r="V400" s="38"/>
      <x:c r="W400" s="38"/>
      <x:c r="X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49"/>
      <x:c r="O401" s="49"/>
      <x:c r="P401" s="60" t="str">
        <x:f>IF($A401="","",IF(OR($D401="解決",$D401="取消"),"",IF($O401="","",$O401-TODAY())))</x:f>
      </x:c>
      <x:c r="Q401" s="61" t="str">
        <x:f>IF($A401="","",IF(OR($D401="解決",$D401="取消"),"完了",IF($O401="","期限未設定",IF($P401&lt;0,"期限超過",IF($P401=0,"本日期限",IF($P401&lt;=3,"期限接近","期限内"))))))</x:f>
      </x:c>
      <x:c r="R401" s="49"/>
      <x:c r="S401" s="38"/>
      <x:c r="T401" s="49"/>
      <x:c r="U401" s="38"/>
      <x:c r="V401" s="38"/>
      <x:c r="W401" s="38"/>
      <x:c r="X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49"/>
      <x:c r="O402" s="49"/>
      <x:c r="P402" s="60" t="str">
        <x:f>IF($A402="","",IF(OR($D402="解決",$D402="取消"),"",IF($O402="","",$O402-TODAY())))</x:f>
      </x:c>
      <x:c r="Q402" s="61" t="str">
        <x:f>IF($A402="","",IF(OR($D402="解決",$D402="取消"),"完了",IF($O402="","期限未設定",IF($P402&lt;0,"期限超過",IF($P402=0,"本日期限",IF($P402&lt;=3,"期限接近","期限内"))))))</x:f>
      </x:c>
      <x:c r="R402" s="49"/>
      <x:c r="S402" s="38"/>
      <x:c r="T402" s="49"/>
      <x:c r="U402" s="38"/>
      <x:c r="V402" s="38"/>
      <x:c r="W402" s="38"/>
      <x:c r="X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49"/>
      <x:c r="O403" s="49"/>
      <x:c r="P403" s="60" t="str">
        <x:f>IF($A403="","",IF(OR($D403="解決",$D403="取消"),"",IF($O403="","",$O403-TODAY())))</x:f>
      </x:c>
      <x:c r="Q403" s="61" t="str">
        <x:f>IF($A403="","",IF(OR($D403="解決",$D403="取消"),"完了",IF($O403="","期限未設定",IF($P403&lt;0,"期限超過",IF($P403=0,"本日期限",IF($P403&lt;=3,"期限接近","期限内"))))))</x:f>
      </x:c>
      <x:c r="R403" s="49"/>
      <x:c r="S403" s="38"/>
      <x:c r="T403" s="49"/>
      <x:c r="U403" s="38"/>
      <x:c r="V403" s="38"/>
      <x:c r="W403" s="38"/>
      <x:c r="X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49"/>
      <x:c r="O404" s="49"/>
      <x:c r="P404" s="60" t="str">
        <x:f>IF($A404="","",IF(OR($D404="解決",$D404="取消"),"",IF($O404="","",$O404-TODAY())))</x:f>
      </x:c>
      <x:c r="Q404" s="61" t="str">
        <x:f>IF($A404="","",IF(OR($D404="解決",$D404="取消"),"完了",IF($O404="","期限未設定",IF($P404&lt;0,"期限超過",IF($P404=0,"本日期限",IF($P404&lt;=3,"期限接近","期限内"))))))</x:f>
      </x:c>
      <x:c r="R404" s="49"/>
      <x:c r="S404" s="38"/>
      <x:c r="T404" s="49"/>
      <x:c r="U404" s="38"/>
      <x:c r="V404" s="38"/>
      <x:c r="W404" s="38"/>
      <x:c r="X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49"/>
      <x:c r="O405" s="49"/>
      <x:c r="P405" s="60" t="str">
        <x:f>IF($A405="","",IF(OR($D405="解決",$D405="取消"),"",IF($O405="","",$O405-TODAY())))</x:f>
      </x:c>
      <x:c r="Q405" s="61" t="str">
        <x:f>IF($A405="","",IF(OR($D405="解決",$D405="取消"),"完了",IF($O405="","期限未設定",IF($P405&lt;0,"期限超過",IF($P405=0,"本日期限",IF($P405&lt;=3,"期限接近","期限内"))))))</x:f>
      </x:c>
      <x:c r="R405" s="49"/>
      <x:c r="S405" s="38"/>
      <x:c r="T405" s="49"/>
      <x:c r="U405" s="38"/>
      <x:c r="V405" s="38"/>
      <x:c r="W405" s="38"/>
      <x:c r="X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49"/>
      <x:c r="O406" s="49"/>
      <x:c r="P406" s="60" t="str">
        <x:f>IF($A406="","",IF(OR($D406="解決",$D406="取消"),"",IF($O406="","",$O406-TODAY())))</x:f>
      </x:c>
      <x:c r="Q406" s="61" t="str">
        <x:f>IF($A406="","",IF(OR($D406="解決",$D406="取消"),"完了",IF($O406="","期限未設定",IF($P406&lt;0,"期限超過",IF($P406=0,"本日期限",IF($P406&lt;=3,"期限接近","期限内"))))))</x:f>
      </x:c>
      <x:c r="R406" s="49"/>
      <x:c r="S406" s="38"/>
      <x:c r="T406" s="49"/>
      <x:c r="U406" s="38"/>
      <x:c r="V406" s="38"/>
      <x:c r="W406" s="38"/>
      <x:c r="X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49"/>
      <x:c r="O407" s="49"/>
      <x:c r="P407" s="60" t="str">
        <x:f>IF($A407="","",IF(OR($D407="解決",$D407="取消"),"",IF($O407="","",$O407-TODAY())))</x:f>
      </x:c>
      <x:c r="Q407" s="61" t="str">
        <x:f>IF($A407="","",IF(OR($D407="解決",$D407="取消"),"完了",IF($O407="","期限未設定",IF($P407&lt;0,"期限超過",IF($P407=0,"本日期限",IF($P407&lt;=3,"期限接近","期限内"))))))</x:f>
      </x:c>
      <x:c r="R407" s="49"/>
      <x:c r="S407" s="38"/>
      <x:c r="T407" s="49"/>
      <x:c r="U407" s="38"/>
      <x:c r="V407" s="38"/>
      <x:c r="W407" s="38"/>
      <x:c r="X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49"/>
      <x:c r="O408" s="49"/>
      <x:c r="P408" s="60" t="str">
        <x:f>IF($A408="","",IF(OR($D408="解決",$D408="取消"),"",IF($O408="","",$O408-TODAY())))</x:f>
      </x:c>
      <x:c r="Q408" s="61" t="str">
        <x:f>IF($A408="","",IF(OR($D408="解決",$D408="取消"),"完了",IF($O408="","期限未設定",IF($P408&lt;0,"期限超過",IF($P408=0,"本日期限",IF($P408&lt;=3,"期限接近","期限内"))))))</x:f>
      </x:c>
      <x:c r="R408" s="49"/>
      <x:c r="S408" s="38"/>
      <x:c r="T408" s="49"/>
      <x:c r="U408" s="38"/>
      <x:c r="V408" s="38"/>
      <x:c r="W408" s="38"/>
      <x:c r="X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49"/>
      <x:c r="O409" s="49"/>
      <x:c r="P409" s="60" t="str">
        <x:f>IF($A409="","",IF(OR($D409="解決",$D409="取消"),"",IF($O409="","",$O409-TODAY())))</x:f>
      </x:c>
      <x:c r="Q409" s="61" t="str">
        <x:f>IF($A409="","",IF(OR($D409="解決",$D409="取消"),"完了",IF($O409="","期限未設定",IF($P409&lt;0,"期限超過",IF($P409=0,"本日期限",IF($P409&lt;=3,"期限接近","期限内"))))))</x:f>
      </x:c>
      <x:c r="R409" s="49"/>
      <x:c r="S409" s="38"/>
      <x:c r="T409" s="49"/>
      <x:c r="U409" s="38"/>
      <x:c r="V409" s="38"/>
      <x:c r="W409" s="38"/>
      <x:c r="X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49"/>
      <x:c r="O410" s="49"/>
      <x:c r="P410" s="60" t="str">
        <x:f>IF($A410="","",IF(OR($D410="解決",$D410="取消"),"",IF($O410="","",$O410-TODAY())))</x:f>
      </x:c>
      <x:c r="Q410" s="61" t="str">
        <x:f>IF($A410="","",IF(OR($D410="解決",$D410="取消"),"完了",IF($O410="","期限未設定",IF($P410&lt;0,"期限超過",IF($P410=0,"本日期限",IF($P410&lt;=3,"期限接近","期限内"))))))</x:f>
      </x:c>
      <x:c r="R410" s="49"/>
      <x:c r="S410" s="38"/>
      <x:c r="T410" s="49"/>
      <x:c r="U410" s="38"/>
      <x:c r="V410" s="38"/>
      <x:c r="W410" s="38"/>
      <x:c r="X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49"/>
      <x:c r="O411" s="49"/>
      <x:c r="P411" s="60" t="str">
        <x:f>IF($A411="","",IF(OR($D411="解決",$D411="取消"),"",IF($O411="","",$O411-TODAY())))</x:f>
      </x:c>
      <x:c r="Q411" s="61" t="str">
        <x:f>IF($A411="","",IF(OR($D411="解決",$D411="取消"),"完了",IF($O411="","期限未設定",IF($P411&lt;0,"期限超過",IF($P411=0,"本日期限",IF($P411&lt;=3,"期限接近","期限内"))))))</x:f>
      </x:c>
      <x:c r="R411" s="49"/>
      <x:c r="S411" s="38"/>
      <x:c r="T411" s="49"/>
      <x:c r="U411" s="38"/>
      <x:c r="V411" s="38"/>
      <x:c r="W411" s="38"/>
      <x:c r="X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49"/>
      <x:c r="O412" s="49"/>
      <x:c r="P412" s="60" t="str">
        <x:f>IF($A412="","",IF(OR($D412="解決",$D412="取消"),"",IF($O412="","",$O412-TODAY())))</x:f>
      </x:c>
      <x:c r="Q412" s="61" t="str">
        <x:f>IF($A412="","",IF(OR($D412="解決",$D412="取消"),"完了",IF($O412="","期限未設定",IF($P412&lt;0,"期限超過",IF($P412=0,"本日期限",IF($P412&lt;=3,"期限接近","期限内"))))))</x:f>
      </x:c>
      <x:c r="R412" s="49"/>
      <x:c r="S412" s="38"/>
      <x:c r="T412" s="49"/>
      <x:c r="U412" s="38"/>
      <x:c r="V412" s="38"/>
      <x:c r="W412" s="38"/>
      <x:c r="X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49"/>
      <x:c r="O413" s="49"/>
      <x:c r="P413" s="60" t="str">
        <x:f>IF($A413="","",IF(OR($D413="解決",$D413="取消"),"",IF($O413="","",$O413-TODAY())))</x:f>
      </x:c>
      <x:c r="Q413" s="61" t="str">
        <x:f>IF($A413="","",IF(OR($D413="解決",$D413="取消"),"完了",IF($O413="","期限未設定",IF($P413&lt;0,"期限超過",IF($P413=0,"本日期限",IF($P413&lt;=3,"期限接近","期限内"))))))</x:f>
      </x:c>
      <x:c r="R413" s="49"/>
      <x:c r="S413" s="38"/>
      <x:c r="T413" s="49"/>
      <x:c r="U413" s="38"/>
      <x:c r="V413" s="38"/>
      <x:c r="W413" s="38"/>
      <x:c r="X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49"/>
      <x:c r="O414" s="49"/>
      <x:c r="P414" s="60" t="str">
        <x:f>IF($A414="","",IF(OR($D414="解決",$D414="取消"),"",IF($O414="","",$O414-TODAY())))</x:f>
      </x:c>
      <x:c r="Q414" s="61" t="str">
        <x:f>IF($A414="","",IF(OR($D414="解決",$D414="取消"),"完了",IF($O414="","期限未設定",IF($P414&lt;0,"期限超過",IF($P414=0,"本日期限",IF($P414&lt;=3,"期限接近","期限内"))))))</x:f>
      </x:c>
      <x:c r="R414" s="49"/>
      <x:c r="S414" s="38"/>
      <x:c r="T414" s="49"/>
      <x:c r="U414" s="38"/>
      <x:c r="V414" s="38"/>
      <x:c r="W414" s="38"/>
      <x:c r="X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49"/>
      <x:c r="O415" s="49"/>
      <x:c r="P415" s="60" t="str">
        <x:f>IF($A415="","",IF(OR($D415="解決",$D415="取消"),"",IF($O415="","",$O415-TODAY())))</x:f>
      </x:c>
      <x:c r="Q415" s="61" t="str">
        <x:f>IF($A415="","",IF(OR($D415="解決",$D415="取消"),"完了",IF($O415="","期限未設定",IF($P415&lt;0,"期限超過",IF($P415=0,"本日期限",IF($P415&lt;=3,"期限接近","期限内"))))))</x:f>
      </x:c>
      <x:c r="R415" s="49"/>
      <x:c r="S415" s="38"/>
      <x:c r="T415" s="49"/>
      <x:c r="U415" s="38"/>
      <x:c r="V415" s="38"/>
      <x:c r="W415" s="38"/>
      <x:c r="X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49"/>
      <x:c r="O416" s="49"/>
      <x:c r="P416" s="60" t="str">
        <x:f>IF($A416="","",IF(OR($D416="解決",$D416="取消"),"",IF($O416="","",$O416-TODAY())))</x:f>
      </x:c>
      <x:c r="Q416" s="61" t="str">
        <x:f>IF($A416="","",IF(OR($D416="解決",$D416="取消"),"完了",IF($O416="","期限未設定",IF($P416&lt;0,"期限超過",IF($P416=0,"本日期限",IF($P416&lt;=3,"期限接近","期限内"))))))</x:f>
      </x:c>
      <x:c r="R416" s="49"/>
      <x:c r="S416" s="38"/>
      <x:c r="T416" s="49"/>
      <x:c r="U416" s="38"/>
      <x:c r="V416" s="38"/>
      <x:c r="W416" s="38"/>
      <x:c r="X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49"/>
      <x:c r="O417" s="49"/>
      <x:c r="P417" s="60" t="str">
        <x:f>IF($A417="","",IF(OR($D417="解決",$D417="取消"),"",IF($O417="","",$O417-TODAY())))</x:f>
      </x:c>
      <x:c r="Q417" s="61" t="str">
        <x:f>IF($A417="","",IF(OR($D417="解決",$D417="取消"),"完了",IF($O417="","期限未設定",IF($P417&lt;0,"期限超過",IF($P417=0,"本日期限",IF($P417&lt;=3,"期限接近","期限内"))))))</x:f>
      </x:c>
      <x:c r="R417" s="49"/>
      <x:c r="S417" s="38"/>
      <x:c r="T417" s="49"/>
      <x:c r="U417" s="38"/>
      <x:c r="V417" s="38"/>
      <x:c r="W417" s="38"/>
      <x:c r="X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49"/>
      <x:c r="O418" s="49"/>
      <x:c r="P418" s="60" t="str">
        <x:f>IF($A418="","",IF(OR($D418="解決",$D418="取消"),"",IF($O418="","",$O418-TODAY())))</x:f>
      </x:c>
      <x:c r="Q418" s="61" t="str">
        <x:f>IF($A418="","",IF(OR($D418="解決",$D418="取消"),"完了",IF($O418="","期限未設定",IF($P418&lt;0,"期限超過",IF($P418=0,"本日期限",IF($P418&lt;=3,"期限接近","期限内"))))))</x:f>
      </x:c>
      <x:c r="R418" s="49"/>
      <x:c r="S418" s="38"/>
      <x:c r="T418" s="49"/>
      <x:c r="U418" s="38"/>
      <x:c r="V418" s="38"/>
      <x:c r="W418" s="38"/>
      <x:c r="X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49"/>
      <x:c r="O419" s="49"/>
      <x:c r="P419" s="60" t="str">
        <x:f>IF($A419="","",IF(OR($D419="解決",$D419="取消"),"",IF($O419="","",$O419-TODAY())))</x:f>
      </x:c>
      <x:c r="Q419" s="61" t="str">
        <x:f>IF($A419="","",IF(OR($D419="解決",$D419="取消"),"完了",IF($O419="","期限未設定",IF($P419&lt;0,"期限超過",IF($P419=0,"本日期限",IF($P419&lt;=3,"期限接近","期限内"))))))</x:f>
      </x:c>
      <x:c r="R419" s="49"/>
      <x:c r="S419" s="38"/>
      <x:c r="T419" s="49"/>
      <x:c r="U419" s="38"/>
      <x:c r="V419" s="38"/>
      <x:c r="W419" s="38"/>
      <x:c r="X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49"/>
      <x:c r="O420" s="49"/>
      <x:c r="P420" s="60" t="str">
        <x:f>IF($A420="","",IF(OR($D420="解決",$D420="取消"),"",IF($O420="","",$O420-TODAY())))</x:f>
      </x:c>
      <x:c r="Q420" s="61" t="str">
        <x:f>IF($A420="","",IF(OR($D420="解決",$D420="取消"),"完了",IF($O420="","期限未設定",IF($P420&lt;0,"期限超過",IF($P420=0,"本日期限",IF($P420&lt;=3,"期限接近","期限内"))))))</x:f>
      </x:c>
      <x:c r="R420" s="49"/>
      <x:c r="S420" s="38"/>
      <x:c r="T420" s="49"/>
      <x:c r="U420" s="38"/>
      <x:c r="V420" s="38"/>
      <x:c r="W420" s="38"/>
      <x:c r="X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49"/>
      <x:c r="O421" s="49"/>
      <x:c r="P421" s="60" t="str">
        <x:f>IF($A421="","",IF(OR($D421="解決",$D421="取消"),"",IF($O421="","",$O421-TODAY())))</x:f>
      </x:c>
      <x:c r="Q421" s="61" t="str">
        <x:f>IF($A421="","",IF(OR($D421="解決",$D421="取消"),"完了",IF($O421="","期限未設定",IF($P421&lt;0,"期限超過",IF($P421=0,"本日期限",IF($P421&lt;=3,"期限接近","期限内"))))))</x:f>
      </x:c>
      <x:c r="R421" s="49"/>
      <x:c r="S421" s="38"/>
      <x:c r="T421" s="49"/>
      <x:c r="U421" s="38"/>
      <x:c r="V421" s="38"/>
      <x:c r="W421" s="38"/>
      <x:c r="X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49"/>
      <x:c r="O422" s="49"/>
      <x:c r="P422" s="60" t="str">
        <x:f>IF($A422="","",IF(OR($D422="解決",$D422="取消"),"",IF($O422="","",$O422-TODAY())))</x:f>
      </x:c>
      <x:c r="Q422" s="61" t="str">
        <x:f>IF($A422="","",IF(OR($D422="解決",$D422="取消"),"完了",IF($O422="","期限未設定",IF($P422&lt;0,"期限超過",IF($P422=0,"本日期限",IF($P422&lt;=3,"期限接近","期限内"))))))</x:f>
      </x:c>
      <x:c r="R422" s="49"/>
      <x:c r="S422" s="38"/>
      <x:c r="T422" s="49"/>
      <x:c r="U422" s="38"/>
      <x:c r="V422" s="38"/>
      <x:c r="W422" s="38"/>
      <x:c r="X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49"/>
      <x:c r="O423" s="49"/>
      <x:c r="P423" s="60" t="str">
        <x:f>IF($A423="","",IF(OR($D423="解決",$D423="取消"),"",IF($O423="","",$O423-TODAY())))</x:f>
      </x:c>
      <x:c r="Q423" s="61" t="str">
        <x:f>IF($A423="","",IF(OR($D423="解決",$D423="取消"),"完了",IF($O423="","期限未設定",IF($P423&lt;0,"期限超過",IF($P423=0,"本日期限",IF($P423&lt;=3,"期限接近","期限内"))))))</x:f>
      </x:c>
      <x:c r="R423" s="49"/>
      <x:c r="S423" s="38"/>
      <x:c r="T423" s="49"/>
      <x:c r="U423" s="38"/>
      <x:c r="V423" s="38"/>
      <x:c r="W423" s="38"/>
      <x:c r="X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49"/>
      <x:c r="O424" s="49"/>
      <x:c r="P424" s="60" t="str">
        <x:f>IF($A424="","",IF(OR($D424="解決",$D424="取消"),"",IF($O424="","",$O424-TODAY())))</x:f>
      </x:c>
      <x:c r="Q424" s="61" t="str">
        <x:f>IF($A424="","",IF(OR($D424="解決",$D424="取消"),"完了",IF($O424="","期限未設定",IF($P424&lt;0,"期限超過",IF($P424=0,"本日期限",IF($P424&lt;=3,"期限接近","期限内"))))))</x:f>
      </x:c>
      <x:c r="R424" s="49"/>
      <x:c r="S424" s="38"/>
      <x:c r="T424" s="49"/>
      <x:c r="U424" s="38"/>
      <x:c r="V424" s="38"/>
      <x:c r="W424" s="38"/>
      <x:c r="X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49"/>
      <x:c r="O425" s="49"/>
      <x:c r="P425" s="60" t="str">
        <x:f>IF($A425="","",IF(OR($D425="解決",$D425="取消"),"",IF($O425="","",$O425-TODAY())))</x:f>
      </x:c>
      <x:c r="Q425" s="61" t="str">
        <x:f>IF($A425="","",IF(OR($D425="解決",$D425="取消"),"完了",IF($O425="","期限未設定",IF($P425&lt;0,"期限超過",IF($P425=0,"本日期限",IF($P425&lt;=3,"期限接近","期限内"))))))</x:f>
      </x:c>
      <x:c r="R425" s="49"/>
      <x:c r="S425" s="38"/>
      <x:c r="T425" s="49"/>
      <x:c r="U425" s="38"/>
      <x:c r="V425" s="38"/>
      <x:c r="W425" s="38"/>
      <x:c r="X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49"/>
      <x:c r="O426" s="49"/>
      <x:c r="P426" s="60" t="str">
        <x:f>IF($A426="","",IF(OR($D426="解決",$D426="取消"),"",IF($O426="","",$O426-TODAY())))</x:f>
      </x:c>
      <x:c r="Q426" s="61" t="str">
        <x:f>IF($A426="","",IF(OR($D426="解決",$D426="取消"),"完了",IF($O426="","期限未設定",IF($P426&lt;0,"期限超過",IF($P426=0,"本日期限",IF($P426&lt;=3,"期限接近","期限内"))))))</x:f>
      </x:c>
      <x:c r="R426" s="49"/>
      <x:c r="S426" s="38"/>
      <x:c r="T426" s="49"/>
      <x:c r="U426" s="38"/>
      <x:c r="V426" s="38"/>
      <x:c r="W426" s="38"/>
      <x:c r="X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49"/>
      <x:c r="O427" s="49"/>
      <x:c r="P427" s="60" t="str">
        <x:f>IF($A427="","",IF(OR($D427="解決",$D427="取消"),"",IF($O427="","",$O427-TODAY())))</x:f>
      </x:c>
      <x:c r="Q427" s="61" t="str">
        <x:f>IF($A427="","",IF(OR($D427="解決",$D427="取消"),"完了",IF($O427="","期限未設定",IF($P427&lt;0,"期限超過",IF($P427=0,"本日期限",IF($P427&lt;=3,"期限接近","期限内"))))))</x:f>
      </x:c>
      <x:c r="R427" s="49"/>
      <x:c r="S427" s="38"/>
      <x:c r="T427" s="49"/>
      <x:c r="U427" s="38"/>
      <x:c r="V427" s="38"/>
      <x:c r="W427" s="38"/>
      <x:c r="X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49"/>
      <x:c r="O428" s="49"/>
      <x:c r="P428" s="60" t="str">
        <x:f>IF($A428="","",IF(OR($D428="解決",$D428="取消"),"",IF($O428="","",$O428-TODAY())))</x:f>
      </x:c>
      <x:c r="Q428" s="61" t="str">
        <x:f>IF($A428="","",IF(OR($D428="解決",$D428="取消"),"完了",IF($O428="","期限未設定",IF($P428&lt;0,"期限超過",IF($P428=0,"本日期限",IF($P428&lt;=3,"期限接近","期限内"))))))</x:f>
      </x:c>
      <x:c r="R428" s="49"/>
      <x:c r="S428" s="38"/>
      <x:c r="T428" s="49"/>
      <x:c r="U428" s="38"/>
      <x:c r="V428" s="38"/>
      <x:c r="W428" s="38"/>
      <x:c r="X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49"/>
      <x:c r="O429" s="49"/>
      <x:c r="P429" s="60" t="str">
        <x:f>IF($A429="","",IF(OR($D429="解決",$D429="取消"),"",IF($O429="","",$O429-TODAY())))</x:f>
      </x:c>
      <x:c r="Q429" s="61" t="str">
        <x:f>IF($A429="","",IF(OR($D429="解決",$D429="取消"),"完了",IF($O429="","期限未設定",IF($P429&lt;0,"期限超過",IF($P429=0,"本日期限",IF($P429&lt;=3,"期限接近","期限内"))))))</x:f>
      </x:c>
      <x:c r="R429" s="49"/>
      <x:c r="S429" s="38"/>
      <x:c r="T429" s="49"/>
      <x:c r="U429" s="38"/>
      <x:c r="V429" s="38"/>
      <x:c r="W429" s="38"/>
      <x:c r="X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49"/>
      <x:c r="O430" s="49"/>
      <x:c r="P430" s="60" t="str">
        <x:f>IF($A430="","",IF(OR($D430="解決",$D430="取消"),"",IF($O430="","",$O430-TODAY())))</x:f>
      </x:c>
      <x:c r="Q430" s="61" t="str">
        <x:f>IF($A430="","",IF(OR($D430="解決",$D430="取消"),"完了",IF($O430="","期限未設定",IF($P430&lt;0,"期限超過",IF($P430=0,"本日期限",IF($P430&lt;=3,"期限接近","期限内"))))))</x:f>
      </x:c>
      <x:c r="R430" s="49"/>
      <x:c r="S430" s="38"/>
      <x:c r="T430" s="49"/>
      <x:c r="U430" s="38"/>
      <x:c r="V430" s="38"/>
      <x:c r="W430" s="38"/>
      <x:c r="X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49"/>
      <x:c r="O431" s="49"/>
      <x:c r="P431" s="60" t="str">
        <x:f>IF($A431="","",IF(OR($D431="解決",$D431="取消"),"",IF($O431="","",$O431-TODAY())))</x:f>
      </x:c>
      <x:c r="Q431" s="61" t="str">
        <x:f>IF($A431="","",IF(OR($D431="解決",$D431="取消"),"完了",IF($O431="","期限未設定",IF($P431&lt;0,"期限超過",IF($P431=0,"本日期限",IF($P431&lt;=3,"期限接近","期限内"))))))</x:f>
      </x:c>
      <x:c r="R431" s="49"/>
      <x:c r="S431" s="38"/>
      <x:c r="T431" s="49"/>
      <x:c r="U431" s="38"/>
      <x:c r="V431" s="38"/>
      <x:c r="W431" s="38"/>
      <x:c r="X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49"/>
      <x:c r="O432" s="49"/>
      <x:c r="P432" s="60" t="str">
        <x:f>IF($A432="","",IF(OR($D432="解決",$D432="取消"),"",IF($O432="","",$O432-TODAY())))</x:f>
      </x:c>
      <x:c r="Q432" s="61" t="str">
        <x:f>IF($A432="","",IF(OR($D432="解決",$D432="取消"),"完了",IF($O432="","期限未設定",IF($P432&lt;0,"期限超過",IF($P432=0,"本日期限",IF($P432&lt;=3,"期限接近","期限内"))))))</x:f>
      </x:c>
      <x:c r="R432" s="49"/>
      <x:c r="S432" s="38"/>
      <x:c r="T432" s="49"/>
      <x:c r="U432" s="38"/>
      <x:c r="V432" s="38"/>
      <x:c r="W432" s="38"/>
      <x:c r="X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49"/>
      <x:c r="O433" s="49"/>
      <x:c r="P433" s="60" t="str">
        <x:f>IF($A433="","",IF(OR($D433="解決",$D433="取消"),"",IF($O433="","",$O433-TODAY())))</x:f>
      </x:c>
      <x:c r="Q433" s="61" t="str">
        <x:f>IF($A433="","",IF(OR($D433="解決",$D433="取消"),"完了",IF($O433="","期限未設定",IF($P433&lt;0,"期限超過",IF($P433=0,"本日期限",IF($P433&lt;=3,"期限接近","期限内"))))))</x:f>
      </x:c>
      <x:c r="R433" s="49"/>
      <x:c r="S433" s="38"/>
      <x:c r="T433" s="49"/>
      <x:c r="U433" s="38"/>
      <x:c r="V433" s="38"/>
      <x:c r="W433" s="38"/>
      <x:c r="X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49"/>
      <x:c r="O434" s="49"/>
      <x:c r="P434" s="60" t="str">
        <x:f>IF($A434="","",IF(OR($D434="解決",$D434="取消"),"",IF($O434="","",$O434-TODAY())))</x:f>
      </x:c>
      <x:c r="Q434" s="61" t="str">
        <x:f>IF($A434="","",IF(OR($D434="解決",$D434="取消"),"完了",IF($O434="","期限未設定",IF($P434&lt;0,"期限超過",IF($P434=0,"本日期限",IF($P434&lt;=3,"期限接近","期限内"))))))</x:f>
      </x:c>
      <x:c r="R434" s="49"/>
      <x:c r="S434" s="38"/>
      <x:c r="T434" s="49"/>
      <x:c r="U434" s="38"/>
      <x:c r="V434" s="38"/>
      <x:c r="W434" s="38"/>
      <x:c r="X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49"/>
      <x:c r="O435" s="49"/>
      <x:c r="P435" s="60" t="str">
        <x:f>IF($A435="","",IF(OR($D435="解決",$D435="取消"),"",IF($O435="","",$O435-TODAY())))</x:f>
      </x:c>
      <x:c r="Q435" s="61" t="str">
        <x:f>IF($A435="","",IF(OR($D435="解決",$D435="取消"),"完了",IF($O435="","期限未設定",IF($P435&lt;0,"期限超過",IF($P435=0,"本日期限",IF($P435&lt;=3,"期限接近","期限内"))))))</x:f>
      </x:c>
      <x:c r="R435" s="49"/>
      <x:c r="S435" s="38"/>
      <x:c r="T435" s="49"/>
      <x:c r="U435" s="38"/>
      <x:c r="V435" s="38"/>
      <x:c r="W435" s="38"/>
      <x:c r="X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49"/>
      <x:c r="O436" s="49"/>
      <x:c r="P436" s="60" t="str">
        <x:f>IF($A436="","",IF(OR($D436="解決",$D436="取消"),"",IF($O436="","",$O436-TODAY())))</x:f>
      </x:c>
      <x:c r="Q436" s="61" t="str">
        <x:f>IF($A436="","",IF(OR($D436="解決",$D436="取消"),"完了",IF($O436="","期限未設定",IF($P436&lt;0,"期限超過",IF($P436=0,"本日期限",IF($P436&lt;=3,"期限接近","期限内"))))))</x:f>
      </x:c>
      <x:c r="R436" s="49"/>
      <x:c r="S436" s="38"/>
      <x:c r="T436" s="49"/>
      <x:c r="U436" s="38"/>
      <x:c r="V436" s="38"/>
      <x:c r="W436" s="38"/>
      <x:c r="X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49"/>
      <x:c r="O437" s="49"/>
      <x:c r="P437" s="60" t="str">
        <x:f>IF($A437="","",IF(OR($D437="解決",$D437="取消"),"",IF($O437="","",$O437-TODAY())))</x:f>
      </x:c>
      <x:c r="Q437" s="61" t="str">
        <x:f>IF($A437="","",IF(OR($D437="解決",$D437="取消"),"完了",IF($O437="","期限未設定",IF($P437&lt;0,"期限超過",IF($P437=0,"本日期限",IF($P437&lt;=3,"期限接近","期限内"))))))</x:f>
      </x:c>
      <x:c r="R437" s="49"/>
      <x:c r="S437" s="38"/>
      <x:c r="T437" s="49"/>
      <x:c r="U437" s="38"/>
      <x:c r="V437" s="38"/>
      <x:c r="W437" s="38"/>
      <x:c r="X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49"/>
      <x:c r="O438" s="49"/>
      <x:c r="P438" s="60" t="str">
        <x:f>IF($A438="","",IF(OR($D438="解決",$D438="取消"),"",IF($O438="","",$O438-TODAY())))</x:f>
      </x:c>
      <x:c r="Q438" s="61" t="str">
        <x:f>IF($A438="","",IF(OR($D438="解決",$D438="取消"),"完了",IF($O438="","期限未設定",IF($P438&lt;0,"期限超過",IF($P438=0,"本日期限",IF($P438&lt;=3,"期限接近","期限内"))))))</x:f>
      </x:c>
      <x:c r="R438" s="49"/>
      <x:c r="S438" s="38"/>
      <x:c r="T438" s="49"/>
      <x:c r="U438" s="38"/>
      <x:c r="V438" s="38"/>
      <x:c r="W438" s="38"/>
      <x:c r="X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49"/>
      <x:c r="O439" s="49"/>
      <x:c r="P439" s="60" t="str">
        <x:f>IF($A439="","",IF(OR($D439="解決",$D439="取消"),"",IF($O439="","",$O439-TODAY())))</x:f>
      </x:c>
      <x:c r="Q439" s="61" t="str">
        <x:f>IF($A439="","",IF(OR($D439="解決",$D439="取消"),"完了",IF($O439="","期限未設定",IF($P439&lt;0,"期限超過",IF($P439=0,"本日期限",IF($P439&lt;=3,"期限接近","期限内"))))))</x:f>
      </x:c>
      <x:c r="R439" s="49"/>
      <x:c r="S439" s="38"/>
      <x:c r="T439" s="49"/>
      <x:c r="U439" s="38"/>
      <x:c r="V439" s="38"/>
      <x:c r="W439" s="38"/>
      <x:c r="X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49"/>
      <x:c r="O440" s="49"/>
      <x:c r="P440" s="60" t="str">
        <x:f>IF($A440="","",IF(OR($D440="解決",$D440="取消"),"",IF($O440="","",$O440-TODAY())))</x:f>
      </x:c>
      <x:c r="Q440" s="61" t="str">
        <x:f>IF($A440="","",IF(OR($D440="解決",$D440="取消"),"完了",IF($O440="","期限未設定",IF($P440&lt;0,"期限超過",IF($P440=0,"本日期限",IF($P440&lt;=3,"期限接近","期限内"))))))</x:f>
      </x:c>
      <x:c r="R440" s="49"/>
      <x:c r="S440" s="38"/>
      <x:c r="T440" s="49"/>
      <x:c r="U440" s="38"/>
      <x:c r="V440" s="38"/>
      <x:c r="W440" s="38"/>
      <x:c r="X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49"/>
      <x:c r="O441" s="49"/>
      <x:c r="P441" s="60" t="str">
        <x:f>IF($A441="","",IF(OR($D441="解決",$D441="取消"),"",IF($O441="","",$O441-TODAY())))</x:f>
      </x:c>
      <x:c r="Q441" s="61" t="str">
        <x:f>IF($A441="","",IF(OR($D441="解決",$D441="取消"),"完了",IF($O441="","期限未設定",IF($P441&lt;0,"期限超過",IF($P441=0,"本日期限",IF($P441&lt;=3,"期限接近","期限内"))))))</x:f>
      </x:c>
      <x:c r="R441" s="49"/>
      <x:c r="S441" s="38"/>
      <x:c r="T441" s="49"/>
      <x:c r="U441" s="38"/>
      <x:c r="V441" s="38"/>
      <x:c r="W441" s="38"/>
      <x:c r="X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49"/>
      <x:c r="O442" s="49"/>
      <x:c r="P442" s="60" t="str">
        <x:f>IF($A442="","",IF(OR($D442="解決",$D442="取消"),"",IF($O442="","",$O442-TODAY())))</x:f>
      </x:c>
      <x:c r="Q442" s="61" t="str">
        <x:f>IF($A442="","",IF(OR($D442="解決",$D442="取消"),"完了",IF($O442="","期限未設定",IF($P442&lt;0,"期限超過",IF($P442=0,"本日期限",IF($P442&lt;=3,"期限接近","期限内"))))))</x:f>
      </x:c>
      <x:c r="R442" s="49"/>
      <x:c r="S442" s="38"/>
      <x:c r="T442" s="49"/>
      <x:c r="U442" s="38"/>
      <x:c r="V442" s="38"/>
      <x:c r="W442" s="38"/>
      <x:c r="X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49"/>
      <x:c r="O443" s="49"/>
      <x:c r="P443" s="60" t="str">
        <x:f>IF($A443="","",IF(OR($D443="解決",$D443="取消"),"",IF($O443="","",$O443-TODAY())))</x:f>
      </x:c>
      <x:c r="Q443" s="61" t="str">
        <x:f>IF($A443="","",IF(OR($D443="解決",$D443="取消"),"完了",IF($O443="","期限未設定",IF($P443&lt;0,"期限超過",IF($P443=0,"本日期限",IF($P443&lt;=3,"期限接近","期限内"))))))</x:f>
      </x:c>
      <x:c r="R443" s="49"/>
      <x:c r="S443" s="38"/>
      <x:c r="T443" s="49"/>
      <x:c r="U443" s="38"/>
      <x:c r="V443" s="38"/>
      <x:c r="W443" s="38"/>
      <x:c r="X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49"/>
      <x:c r="O444" s="49"/>
      <x:c r="P444" s="60" t="str">
        <x:f>IF($A444="","",IF(OR($D444="解決",$D444="取消"),"",IF($O444="","",$O444-TODAY())))</x:f>
      </x:c>
      <x:c r="Q444" s="61" t="str">
        <x:f>IF($A444="","",IF(OR($D444="解決",$D444="取消"),"完了",IF($O444="","期限未設定",IF($P444&lt;0,"期限超過",IF($P444=0,"本日期限",IF($P444&lt;=3,"期限接近","期限内"))))))</x:f>
      </x:c>
      <x:c r="R444" s="49"/>
      <x:c r="S444" s="38"/>
      <x:c r="T444" s="49"/>
      <x:c r="U444" s="38"/>
      <x:c r="V444" s="38"/>
      <x:c r="W444" s="38"/>
      <x:c r="X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49"/>
      <x:c r="O445" s="49"/>
      <x:c r="P445" s="60" t="str">
        <x:f>IF($A445="","",IF(OR($D445="解決",$D445="取消"),"",IF($O445="","",$O445-TODAY())))</x:f>
      </x:c>
      <x:c r="Q445" s="61" t="str">
        <x:f>IF($A445="","",IF(OR($D445="解決",$D445="取消"),"完了",IF($O445="","期限未設定",IF($P445&lt;0,"期限超過",IF($P445=0,"本日期限",IF($P445&lt;=3,"期限接近","期限内"))))))</x:f>
      </x:c>
      <x:c r="R445" s="49"/>
      <x:c r="S445" s="38"/>
      <x:c r="T445" s="49"/>
      <x:c r="U445" s="38"/>
      <x:c r="V445" s="38"/>
      <x:c r="W445" s="38"/>
      <x:c r="X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49"/>
      <x:c r="O446" s="49"/>
      <x:c r="P446" s="60" t="str">
        <x:f>IF($A446="","",IF(OR($D446="解決",$D446="取消"),"",IF($O446="","",$O446-TODAY())))</x:f>
      </x:c>
      <x:c r="Q446" s="61" t="str">
        <x:f>IF($A446="","",IF(OR($D446="解決",$D446="取消"),"完了",IF($O446="","期限未設定",IF($P446&lt;0,"期限超過",IF($P446=0,"本日期限",IF($P446&lt;=3,"期限接近","期限内"))))))</x:f>
      </x:c>
      <x:c r="R446" s="49"/>
      <x:c r="S446" s="38"/>
      <x:c r="T446" s="49"/>
      <x:c r="U446" s="38"/>
      <x:c r="V446" s="38"/>
      <x:c r="W446" s="38"/>
      <x:c r="X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49"/>
      <x:c r="O447" s="49"/>
      <x:c r="P447" s="60" t="str">
        <x:f>IF($A447="","",IF(OR($D447="解決",$D447="取消"),"",IF($O447="","",$O447-TODAY())))</x:f>
      </x:c>
      <x:c r="Q447" s="61" t="str">
        <x:f>IF($A447="","",IF(OR($D447="解決",$D447="取消"),"完了",IF($O447="","期限未設定",IF($P447&lt;0,"期限超過",IF($P447=0,"本日期限",IF($P447&lt;=3,"期限接近","期限内"))))))</x:f>
      </x:c>
      <x:c r="R447" s="49"/>
      <x:c r="S447" s="38"/>
      <x:c r="T447" s="49"/>
      <x:c r="U447" s="38"/>
      <x:c r="V447" s="38"/>
      <x:c r="W447" s="38"/>
      <x:c r="X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49"/>
      <x:c r="O448" s="49"/>
      <x:c r="P448" s="60" t="str">
        <x:f>IF($A448="","",IF(OR($D448="解決",$D448="取消"),"",IF($O448="","",$O448-TODAY())))</x:f>
      </x:c>
      <x:c r="Q448" s="61" t="str">
        <x:f>IF($A448="","",IF(OR($D448="解決",$D448="取消"),"完了",IF($O448="","期限未設定",IF($P448&lt;0,"期限超過",IF($P448=0,"本日期限",IF($P448&lt;=3,"期限接近","期限内"))))))</x:f>
      </x:c>
      <x:c r="R448" s="49"/>
      <x:c r="S448" s="38"/>
      <x:c r="T448" s="49"/>
      <x:c r="U448" s="38"/>
      <x:c r="V448" s="38"/>
      <x:c r="W448" s="38"/>
      <x:c r="X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49"/>
      <x:c r="O449" s="49"/>
      <x:c r="P449" s="60" t="str">
        <x:f>IF($A449="","",IF(OR($D449="解決",$D449="取消"),"",IF($O449="","",$O449-TODAY())))</x:f>
      </x:c>
      <x:c r="Q449" s="61" t="str">
        <x:f>IF($A449="","",IF(OR($D449="解決",$D449="取消"),"完了",IF($O449="","期限未設定",IF($P449&lt;0,"期限超過",IF($P449=0,"本日期限",IF($P449&lt;=3,"期限接近","期限内"))))))</x:f>
      </x:c>
      <x:c r="R449" s="49"/>
      <x:c r="S449" s="38"/>
      <x:c r="T449" s="49"/>
      <x:c r="U449" s="38"/>
      <x:c r="V449" s="38"/>
      <x:c r="W449" s="38"/>
      <x:c r="X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49"/>
      <x:c r="O450" s="49"/>
      <x:c r="P450" s="60" t="str">
        <x:f>IF($A450="","",IF(OR($D450="解決",$D450="取消"),"",IF($O450="","",$O450-TODAY())))</x:f>
      </x:c>
      <x:c r="Q450" s="61" t="str">
        <x:f>IF($A450="","",IF(OR($D450="解決",$D450="取消"),"完了",IF($O450="","期限未設定",IF($P450&lt;0,"期限超過",IF($P450=0,"本日期限",IF($P450&lt;=3,"期限接近","期限内"))))))</x:f>
      </x:c>
      <x:c r="R450" s="49"/>
      <x:c r="S450" s="38"/>
      <x:c r="T450" s="49"/>
      <x:c r="U450" s="38"/>
      <x:c r="V450" s="38"/>
      <x:c r="W450" s="38"/>
      <x:c r="X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49"/>
      <x:c r="O451" s="49"/>
      <x:c r="P451" s="60" t="str">
        <x:f>IF($A451="","",IF(OR($D451="解決",$D451="取消"),"",IF($O451="","",$O451-TODAY())))</x:f>
      </x:c>
      <x:c r="Q451" s="61" t="str">
        <x:f>IF($A451="","",IF(OR($D451="解決",$D451="取消"),"完了",IF($O451="","期限未設定",IF($P451&lt;0,"期限超過",IF($P451=0,"本日期限",IF($P451&lt;=3,"期限接近","期限内"))))))</x:f>
      </x:c>
      <x:c r="R451" s="49"/>
      <x:c r="S451" s="38"/>
      <x:c r="T451" s="49"/>
      <x:c r="U451" s="38"/>
      <x:c r="V451" s="38"/>
      <x:c r="W451" s="38"/>
      <x:c r="X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49"/>
      <x:c r="O452" s="49"/>
      <x:c r="P452" s="60" t="str">
        <x:f>IF($A452="","",IF(OR($D452="解決",$D452="取消"),"",IF($O452="","",$O452-TODAY())))</x:f>
      </x:c>
      <x:c r="Q452" s="61" t="str">
        <x:f>IF($A452="","",IF(OR($D452="解決",$D452="取消"),"完了",IF($O452="","期限未設定",IF($P452&lt;0,"期限超過",IF($P452=0,"本日期限",IF($P452&lt;=3,"期限接近","期限内"))))))</x:f>
      </x:c>
      <x:c r="R452" s="49"/>
      <x:c r="S452" s="38"/>
      <x:c r="T452" s="49"/>
      <x:c r="U452" s="38"/>
      <x:c r="V452" s="38"/>
      <x:c r="W452" s="38"/>
      <x:c r="X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49"/>
      <x:c r="O453" s="49"/>
      <x:c r="P453" s="60" t="str">
        <x:f>IF($A453="","",IF(OR($D453="解決",$D453="取消"),"",IF($O453="","",$O453-TODAY())))</x:f>
      </x:c>
      <x:c r="Q453" s="61" t="str">
        <x:f>IF($A453="","",IF(OR($D453="解決",$D453="取消"),"完了",IF($O453="","期限未設定",IF($P453&lt;0,"期限超過",IF($P453=0,"本日期限",IF($P453&lt;=3,"期限接近","期限内"))))))</x:f>
      </x:c>
      <x:c r="R453" s="49"/>
      <x:c r="S453" s="38"/>
      <x:c r="T453" s="49"/>
      <x:c r="U453" s="38"/>
      <x:c r="V453" s="38"/>
      <x:c r="W453" s="38"/>
      <x:c r="X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49"/>
      <x:c r="O454" s="49"/>
      <x:c r="P454" s="60" t="str">
        <x:f>IF($A454="","",IF(OR($D454="解決",$D454="取消"),"",IF($O454="","",$O454-TODAY())))</x:f>
      </x:c>
      <x:c r="Q454" s="61" t="str">
        <x:f>IF($A454="","",IF(OR($D454="解決",$D454="取消"),"完了",IF($O454="","期限未設定",IF($P454&lt;0,"期限超過",IF($P454=0,"本日期限",IF($P454&lt;=3,"期限接近","期限内"))))))</x:f>
      </x:c>
      <x:c r="R454" s="49"/>
      <x:c r="S454" s="38"/>
      <x:c r="T454" s="49"/>
      <x:c r="U454" s="38"/>
      <x:c r="V454" s="38"/>
      <x:c r="W454" s="38"/>
      <x:c r="X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49"/>
      <x:c r="O455" s="49"/>
      <x:c r="P455" s="60" t="str">
        <x:f>IF($A455="","",IF(OR($D455="解決",$D455="取消"),"",IF($O455="","",$O455-TODAY())))</x:f>
      </x:c>
      <x:c r="Q455" s="61" t="str">
        <x:f>IF($A455="","",IF(OR($D455="解決",$D455="取消"),"完了",IF($O455="","期限未設定",IF($P455&lt;0,"期限超過",IF($P455=0,"本日期限",IF($P455&lt;=3,"期限接近","期限内"))))))</x:f>
      </x:c>
      <x:c r="R455" s="49"/>
      <x:c r="S455" s="38"/>
      <x:c r="T455" s="49"/>
      <x:c r="U455" s="38"/>
      <x:c r="V455" s="38"/>
      <x:c r="W455" s="38"/>
      <x:c r="X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49"/>
      <x:c r="O456" s="49"/>
      <x:c r="P456" s="60" t="str">
        <x:f>IF($A456="","",IF(OR($D456="解決",$D456="取消"),"",IF($O456="","",$O456-TODAY())))</x:f>
      </x:c>
      <x:c r="Q456" s="61" t="str">
        <x:f>IF($A456="","",IF(OR($D456="解決",$D456="取消"),"完了",IF($O456="","期限未設定",IF($P456&lt;0,"期限超過",IF($P456=0,"本日期限",IF($P456&lt;=3,"期限接近","期限内"))))))</x:f>
      </x:c>
      <x:c r="R456" s="49"/>
      <x:c r="S456" s="38"/>
      <x:c r="T456" s="49"/>
      <x:c r="U456" s="38"/>
      <x:c r="V456" s="38"/>
      <x:c r="W456" s="38"/>
      <x:c r="X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49"/>
      <x:c r="O457" s="49"/>
      <x:c r="P457" s="60" t="str">
        <x:f>IF($A457="","",IF(OR($D457="解決",$D457="取消"),"",IF($O457="","",$O457-TODAY())))</x:f>
      </x:c>
      <x:c r="Q457" s="61" t="str">
        <x:f>IF($A457="","",IF(OR($D457="解決",$D457="取消"),"完了",IF($O457="","期限未設定",IF($P457&lt;0,"期限超過",IF($P457=0,"本日期限",IF($P457&lt;=3,"期限接近","期限内"))))))</x:f>
      </x:c>
      <x:c r="R457" s="49"/>
      <x:c r="S457" s="38"/>
      <x:c r="T457" s="49"/>
      <x:c r="U457" s="38"/>
      <x:c r="V457" s="38"/>
      <x:c r="W457" s="38"/>
      <x:c r="X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49"/>
      <x:c r="O458" s="49"/>
      <x:c r="P458" s="60" t="str">
        <x:f>IF($A458="","",IF(OR($D458="解決",$D458="取消"),"",IF($O458="","",$O458-TODAY())))</x:f>
      </x:c>
      <x:c r="Q458" s="61" t="str">
        <x:f>IF($A458="","",IF(OR($D458="解決",$D458="取消"),"完了",IF($O458="","期限未設定",IF($P458&lt;0,"期限超過",IF($P458=0,"本日期限",IF($P458&lt;=3,"期限接近","期限内"))))))</x:f>
      </x:c>
      <x:c r="R458" s="49"/>
      <x:c r="S458" s="38"/>
      <x:c r="T458" s="49"/>
      <x:c r="U458" s="38"/>
      <x:c r="V458" s="38"/>
      <x:c r="W458" s="38"/>
      <x:c r="X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49"/>
      <x:c r="O459" s="49"/>
      <x:c r="P459" s="60" t="str">
        <x:f>IF($A459="","",IF(OR($D459="解決",$D459="取消"),"",IF($O459="","",$O459-TODAY())))</x:f>
      </x:c>
      <x:c r="Q459" s="61" t="str">
        <x:f>IF($A459="","",IF(OR($D459="解決",$D459="取消"),"完了",IF($O459="","期限未設定",IF($P459&lt;0,"期限超過",IF($P459=0,"本日期限",IF($P459&lt;=3,"期限接近","期限内"))))))</x:f>
      </x:c>
      <x:c r="R459" s="49"/>
      <x:c r="S459" s="38"/>
      <x:c r="T459" s="49"/>
      <x:c r="U459" s="38"/>
      <x:c r="V459" s="38"/>
      <x:c r="W459" s="38"/>
      <x:c r="X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49"/>
      <x:c r="O460" s="49"/>
      <x:c r="P460" s="60" t="str">
        <x:f>IF($A460="","",IF(OR($D460="解決",$D460="取消"),"",IF($O460="","",$O460-TODAY())))</x:f>
      </x:c>
      <x:c r="Q460" s="61" t="str">
        <x:f>IF($A460="","",IF(OR($D460="解決",$D460="取消"),"完了",IF($O460="","期限未設定",IF($P460&lt;0,"期限超過",IF($P460=0,"本日期限",IF($P460&lt;=3,"期限接近","期限内"))))))</x:f>
      </x:c>
      <x:c r="R460" s="49"/>
      <x:c r="S460" s="38"/>
      <x:c r="T460" s="49"/>
      <x:c r="U460" s="38"/>
      <x:c r="V460" s="38"/>
      <x:c r="W460" s="38"/>
      <x:c r="X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49"/>
      <x:c r="O461" s="49"/>
      <x:c r="P461" s="60" t="str">
        <x:f>IF($A461="","",IF(OR($D461="解決",$D461="取消"),"",IF($O461="","",$O461-TODAY())))</x:f>
      </x:c>
      <x:c r="Q461" s="61" t="str">
        <x:f>IF($A461="","",IF(OR($D461="解決",$D461="取消"),"完了",IF($O461="","期限未設定",IF($P461&lt;0,"期限超過",IF($P461=0,"本日期限",IF($P461&lt;=3,"期限接近","期限内"))))))</x:f>
      </x:c>
      <x:c r="R461" s="49"/>
      <x:c r="S461" s="38"/>
      <x:c r="T461" s="49"/>
      <x:c r="U461" s="38"/>
      <x:c r="V461" s="38"/>
      <x:c r="W461" s="38"/>
      <x:c r="X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49"/>
      <x:c r="O462" s="49"/>
      <x:c r="P462" s="60" t="str">
        <x:f>IF($A462="","",IF(OR($D462="解決",$D462="取消"),"",IF($O462="","",$O462-TODAY())))</x:f>
      </x:c>
      <x:c r="Q462" s="61" t="str">
        <x:f>IF($A462="","",IF(OR($D462="解決",$D462="取消"),"完了",IF($O462="","期限未設定",IF($P462&lt;0,"期限超過",IF($P462=0,"本日期限",IF($P462&lt;=3,"期限接近","期限内"))))))</x:f>
      </x:c>
      <x:c r="R462" s="49"/>
      <x:c r="S462" s="38"/>
      <x:c r="T462" s="49"/>
      <x:c r="U462" s="38"/>
      <x:c r="V462" s="38"/>
      <x:c r="W462" s="38"/>
      <x:c r="X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49"/>
      <x:c r="O463" s="49"/>
      <x:c r="P463" s="60" t="str">
        <x:f>IF($A463="","",IF(OR($D463="解決",$D463="取消"),"",IF($O463="","",$O463-TODAY())))</x:f>
      </x:c>
      <x:c r="Q463" s="61" t="str">
        <x:f>IF($A463="","",IF(OR($D463="解決",$D463="取消"),"完了",IF($O463="","期限未設定",IF($P463&lt;0,"期限超過",IF($P463=0,"本日期限",IF($P463&lt;=3,"期限接近","期限内"))))))</x:f>
      </x:c>
      <x:c r="R463" s="49"/>
      <x:c r="S463" s="38"/>
      <x:c r="T463" s="49"/>
      <x:c r="U463" s="38"/>
      <x:c r="V463" s="38"/>
      <x:c r="W463" s="38"/>
      <x:c r="X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49"/>
      <x:c r="O464" s="49"/>
      <x:c r="P464" s="60" t="str">
        <x:f>IF($A464="","",IF(OR($D464="解決",$D464="取消"),"",IF($O464="","",$O464-TODAY())))</x:f>
      </x:c>
      <x:c r="Q464" s="61" t="str">
        <x:f>IF($A464="","",IF(OR($D464="解決",$D464="取消"),"完了",IF($O464="","期限未設定",IF($P464&lt;0,"期限超過",IF($P464=0,"本日期限",IF($P464&lt;=3,"期限接近","期限内"))))))</x:f>
      </x:c>
      <x:c r="R464" s="49"/>
      <x:c r="S464" s="38"/>
      <x:c r="T464" s="49"/>
      <x:c r="U464" s="38"/>
      <x:c r="V464" s="38"/>
      <x:c r="W464" s="38"/>
      <x:c r="X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49"/>
      <x:c r="O465" s="49"/>
      <x:c r="P465" s="60" t="str">
        <x:f>IF($A465="","",IF(OR($D465="解決",$D465="取消"),"",IF($O465="","",$O465-TODAY())))</x:f>
      </x:c>
      <x:c r="Q465" s="61" t="str">
        <x:f>IF($A465="","",IF(OR($D465="解決",$D465="取消"),"完了",IF($O465="","期限未設定",IF($P465&lt;0,"期限超過",IF($P465=0,"本日期限",IF($P465&lt;=3,"期限接近","期限内"))))))</x:f>
      </x:c>
      <x:c r="R465" s="49"/>
      <x:c r="S465" s="38"/>
      <x:c r="T465" s="49"/>
      <x:c r="U465" s="38"/>
      <x:c r="V465" s="38"/>
      <x:c r="W465" s="38"/>
      <x:c r="X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49"/>
      <x:c r="O466" s="49"/>
      <x:c r="P466" s="60" t="str">
        <x:f>IF($A466="","",IF(OR($D466="解決",$D466="取消"),"",IF($O466="","",$O466-TODAY())))</x:f>
      </x:c>
      <x:c r="Q466" s="61" t="str">
        <x:f>IF($A466="","",IF(OR($D466="解決",$D466="取消"),"完了",IF($O466="","期限未設定",IF($P466&lt;0,"期限超過",IF($P466=0,"本日期限",IF($P466&lt;=3,"期限接近","期限内"))))))</x:f>
      </x:c>
      <x:c r="R466" s="49"/>
      <x:c r="S466" s="38"/>
      <x:c r="T466" s="49"/>
      <x:c r="U466" s="38"/>
      <x:c r="V466" s="38"/>
      <x:c r="W466" s="38"/>
      <x:c r="X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49"/>
      <x:c r="O467" s="49"/>
      <x:c r="P467" s="60" t="str">
        <x:f>IF($A467="","",IF(OR($D467="解決",$D467="取消"),"",IF($O467="","",$O467-TODAY())))</x:f>
      </x:c>
      <x:c r="Q467" s="61" t="str">
        <x:f>IF($A467="","",IF(OR($D467="解決",$D467="取消"),"完了",IF($O467="","期限未設定",IF($P467&lt;0,"期限超過",IF($P467=0,"本日期限",IF($P467&lt;=3,"期限接近","期限内"))))))</x:f>
      </x:c>
      <x:c r="R467" s="49"/>
      <x:c r="S467" s="38"/>
      <x:c r="T467" s="49"/>
      <x:c r="U467" s="38"/>
      <x:c r="V467" s="38"/>
      <x:c r="W467" s="38"/>
      <x:c r="X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49"/>
      <x:c r="O468" s="49"/>
      <x:c r="P468" s="60" t="str">
        <x:f>IF($A468="","",IF(OR($D468="解決",$D468="取消"),"",IF($O468="","",$O468-TODAY())))</x:f>
      </x:c>
      <x:c r="Q468" s="61" t="str">
        <x:f>IF($A468="","",IF(OR($D468="解決",$D468="取消"),"完了",IF($O468="","期限未設定",IF($P468&lt;0,"期限超過",IF($P468=0,"本日期限",IF($P468&lt;=3,"期限接近","期限内"))))))</x:f>
      </x:c>
      <x:c r="R468" s="49"/>
      <x:c r="S468" s="38"/>
      <x:c r="T468" s="49"/>
      <x:c r="U468" s="38"/>
      <x:c r="V468" s="38"/>
      <x:c r="W468" s="38"/>
      <x:c r="X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49"/>
      <x:c r="O469" s="49"/>
      <x:c r="P469" s="60" t="str">
        <x:f>IF($A469="","",IF(OR($D469="解決",$D469="取消"),"",IF($O469="","",$O469-TODAY())))</x:f>
      </x:c>
      <x:c r="Q469" s="61" t="str">
        <x:f>IF($A469="","",IF(OR($D469="解決",$D469="取消"),"完了",IF($O469="","期限未設定",IF($P469&lt;0,"期限超過",IF($P469=0,"本日期限",IF($P469&lt;=3,"期限接近","期限内"))))))</x:f>
      </x:c>
      <x:c r="R469" s="49"/>
      <x:c r="S469" s="38"/>
      <x:c r="T469" s="49"/>
      <x:c r="U469" s="38"/>
      <x:c r="V469" s="38"/>
      <x:c r="W469" s="38"/>
      <x:c r="X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49"/>
      <x:c r="O470" s="49"/>
      <x:c r="P470" s="60" t="str">
        <x:f>IF($A470="","",IF(OR($D470="解決",$D470="取消"),"",IF($O470="","",$O470-TODAY())))</x:f>
      </x:c>
      <x:c r="Q470" s="61" t="str">
        <x:f>IF($A470="","",IF(OR($D470="解決",$D470="取消"),"完了",IF($O470="","期限未設定",IF($P470&lt;0,"期限超過",IF($P470=0,"本日期限",IF($P470&lt;=3,"期限接近","期限内"))))))</x:f>
      </x:c>
      <x:c r="R470" s="49"/>
      <x:c r="S470" s="38"/>
      <x:c r="T470" s="49"/>
      <x:c r="U470" s="38"/>
      <x:c r="V470" s="38"/>
      <x:c r="W470" s="38"/>
      <x:c r="X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49"/>
      <x:c r="O471" s="49"/>
      <x:c r="P471" s="60" t="str">
        <x:f>IF($A471="","",IF(OR($D471="解決",$D471="取消"),"",IF($O471="","",$O471-TODAY())))</x:f>
      </x:c>
      <x:c r="Q471" s="61" t="str">
        <x:f>IF($A471="","",IF(OR($D471="解決",$D471="取消"),"完了",IF($O471="","期限未設定",IF($P471&lt;0,"期限超過",IF($P471=0,"本日期限",IF($P471&lt;=3,"期限接近","期限内"))))))</x:f>
      </x:c>
      <x:c r="R471" s="49"/>
      <x:c r="S471" s="38"/>
      <x:c r="T471" s="49"/>
      <x:c r="U471" s="38"/>
      <x:c r="V471" s="38"/>
      <x:c r="W471" s="38"/>
      <x:c r="X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49"/>
      <x:c r="O472" s="49"/>
      <x:c r="P472" s="60" t="str">
        <x:f>IF($A472="","",IF(OR($D472="解決",$D472="取消"),"",IF($O472="","",$O472-TODAY())))</x:f>
      </x:c>
      <x:c r="Q472" s="61" t="str">
        <x:f>IF($A472="","",IF(OR($D472="解決",$D472="取消"),"完了",IF($O472="","期限未設定",IF($P472&lt;0,"期限超過",IF($P472=0,"本日期限",IF($P472&lt;=3,"期限接近","期限内"))))))</x:f>
      </x:c>
      <x:c r="R472" s="49"/>
      <x:c r="S472" s="38"/>
      <x:c r="T472" s="49"/>
      <x:c r="U472" s="38"/>
      <x:c r="V472" s="38"/>
      <x:c r="W472" s="38"/>
      <x:c r="X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49"/>
      <x:c r="O473" s="49"/>
      <x:c r="P473" s="60" t="str">
        <x:f>IF($A473="","",IF(OR($D473="解決",$D473="取消"),"",IF($O473="","",$O473-TODAY())))</x:f>
      </x:c>
      <x:c r="Q473" s="61" t="str">
        <x:f>IF($A473="","",IF(OR($D473="解決",$D473="取消"),"完了",IF($O473="","期限未設定",IF($P473&lt;0,"期限超過",IF($P473=0,"本日期限",IF($P473&lt;=3,"期限接近","期限内"))))))</x:f>
      </x:c>
      <x:c r="R473" s="49"/>
      <x:c r="S473" s="38"/>
      <x:c r="T473" s="49"/>
      <x:c r="U473" s="38"/>
      <x:c r="V473" s="38"/>
      <x:c r="W473" s="38"/>
      <x:c r="X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49"/>
      <x:c r="O474" s="49"/>
      <x:c r="P474" s="60" t="str">
        <x:f>IF($A474="","",IF(OR($D474="解決",$D474="取消"),"",IF($O474="","",$O474-TODAY())))</x:f>
      </x:c>
      <x:c r="Q474" s="61" t="str">
        <x:f>IF($A474="","",IF(OR($D474="解決",$D474="取消"),"完了",IF($O474="","期限未設定",IF($P474&lt;0,"期限超過",IF($P474=0,"本日期限",IF($P474&lt;=3,"期限接近","期限内"))))))</x:f>
      </x:c>
      <x:c r="R474" s="49"/>
      <x:c r="S474" s="38"/>
      <x:c r="T474" s="49"/>
      <x:c r="U474" s="38"/>
      <x:c r="V474" s="38"/>
      <x:c r="W474" s="38"/>
      <x:c r="X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49"/>
      <x:c r="O475" s="49"/>
      <x:c r="P475" s="60" t="str">
        <x:f>IF($A475="","",IF(OR($D475="解決",$D475="取消"),"",IF($O475="","",$O475-TODAY())))</x:f>
      </x:c>
      <x:c r="Q475" s="61" t="str">
        <x:f>IF($A475="","",IF(OR($D475="解決",$D475="取消"),"完了",IF($O475="","期限未設定",IF($P475&lt;0,"期限超過",IF($P475=0,"本日期限",IF($P475&lt;=3,"期限接近","期限内"))))))</x:f>
      </x:c>
      <x:c r="R475" s="49"/>
      <x:c r="S475" s="38"/>
      <x:c r="T475" s="49"/>
      <x:c r="U475" s="38"/>
      <x:c r="V475" s="38"/>
      <x:c r="W475" s="38"/>
      <x:c r="X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49"/>
      <x:c r="O476" s="49"/>
      <x:c r="P476" s="60" t="str">
        <x:f>IF($A476="","",IF(OR($D476="解決",$D476="取消"),"",IF($O476="","",$O476-TODAY())))</x:f>
      </x:c>
      <x:c r="Q476" s="61" t="str">
        <x:f>IF($A476="","",IF(OR($D476="解決",$D476="取消"),"完了",IF($O476="","期限未設定",IF($P476&lt;0,"期限超過",IF($P476=0,"本日期限",IF($P476&lt;=3,"期限接近","期限内"))))))</x:f>
      </x:c>
      <x:c r="R476" s="49"/>
      <x:c r="S476" s="38"/>
      <x:c r="T476" s="49"/>
      <x:c r="U476" s="38"/>
      <x:c r="V476" s="38"/>
      <x:c r="W476" s="38"/>
      <x:c r="X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49"/>
      <x:c r="O477" s="49"/>
      <x:c r="P477" s="60" t="str">
        <x:f>IF($A477="","",IF(OR($D477="解決",$D477="取消"),"",IF($O477="","",$O477-TODAY())))</x:f>
      </x:c>
      <x:c r="Q477" s="61" t="str">
        <x:f>IF($A477="","",IF(OR($D477="解決",$D477="取消"),"完了",IF($O477="","期限未設定",IF($P477&lt;0,"期限超過",IF($P477=0,"本日期限",IF($P477&lt;=3,"期限接近","期限内"))))))</x:f>
      </x:c>
      <x:c r="R477" s="49"/>
      <x:c r="S477" s="38"/>
      <x:c r="T477" s="49"/>
      <x:c r="U477" s="38"/>
      <x:c r="V477" s="38"/>
      <x:c r="W477" s="38"/>
      <x:c r="X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49"/>
      <x:c r="O478" s="49"/>
      <x:c r="P478" s="60" t="str">
        <x:f>IF($A478="","",IF(OR($D478="解決",$D478="取消"),"",IF($O478="","",$O478-TODAY())))</x:f>
      </x:c>
      <x:c r="Q478" s="61" t="str">
        <x:f>IF($A478="","",IF(OR($D478="解決",$D478="取消"),"完了",IF($O478="","期限未設定",IF($P478&lt;0,"期限超過",IF($P478=0,"本日期限",IF($P478&lt;=3,"期限接近","期限内"))))))</x:f>
      </x:c>
      <x:c r="R478" s="49"/>
      <x:c r="S478" s="38"/>
      <x:c r="T478" s="49"/>
      <x:c r="U478" s="38"/>
      <x:c r="V478" s="38"/>
      <x:c r="W478" s="38"/>
      <x:c r="X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49"/>
      <x:c r="O479" s="49"/>
      <x:c r="P479" s="60" t="str">
        <x:f>IF($A479="","",IF(OR($D479="解決",$D479="取消"),"",IF($O479="","",$O479-TODAY())))</x:f>
      </x:c>
      <x:c r="Q479" s="61" t="str">
        <x:f>IF($A479="","",IF(OR($D479="解決",$D479="取消"),"完了",IF($O479="","期限未設定",IF($P479&lt;0,"期限超過",IF($P479=0,"本日期限",IF($P479&lt;=3,"期限接近","期限内"))))))</x:f>
      </x:c>
      <x:c r="R479" s="49"/>
      <x:c r="S479" s="38"/>
      <x:c r="T479" s="49"/>
      <x:c r="U479" s="38"/>
      <x:c r="V479" s="38"/>
      <x:c r="W479" s="38"/>
      <x:c r="X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49"/>
      <x:c r="O480" s="49"/>
      <x:c r="P480" s="60" t="str">
        <x:f>IF($A480="","",IF(OR($D480="解決",$D480="取消"),"",IF($O480="","",$O480-TODAY())))</x:f>
      </x:c>
      <x:c r="Q480" s="61" t="str">
        <x:f>IF($A480="","",IF(OR($D480="解決",$D480="取消"),"完了",IF($O480="","期限未設定",IF($P480&lt;0,"期限超過",IF($P480=0,"本日期限",IF($P480&lt;=3,"期限接近","期限内"))))))</x:f>
      </x:c>
      <x:c r="R480" s="49"/>
      <x:c r="S480" s="38"/>
      <x:c r="T480" s="49"/>
      <x:c r="U480" s="38"/>
      <x:c r="V480" s="38"/>
      <x:c r="W480" s="38"/>
      <x:c r="X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49"/>
      <x:c r="O481" s="49"/>
      <x:c r="P481" s="60" t="str">
        <x:f>IF($A481="","",IF(OR($D481="解決",$D481="取消"),"",IF($O481="","",$O481-TODAY())))</x:f>
      </x:c>
      <x:c r="Q481" s="61" t="str">
        <x:f>IF($A481="","",IF(OR($D481="解決",$D481="取消"),"完了",IF($O481="","期限未設定",IF($P481&lt;0,"期限超過",IF($P481=0,"本日期限",IF($P481&lt;=3,"期限接近","期限内"))))))</x:f>
      </x:c>
      <x:c r="R481" s="49"/>
      <x:c r="S481" s="38"/>
      <x:c r="T481" s="49"/>
      <x:c r="U481" s="38"/>
      <x:c r="V481" s="38"/>
      <x:c r="W481" s="38"/>
      <x:c r="X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49"/>
      <x:c r="O482" s="49"/>
      <x:c r="P482" s="60" t="str">
        <x:f>IF($A482="","",IF(OR($D482="解決",$D482="取消"),"",IF($O482="","",$O482-TODAY())))</x:f>
      </x:c>
      <x:c r="Q482" s="61" t="str">
        <x:f>IF($A482="","",IF(OR($D482="解決",$D482="取消"),"完了",IF($O482="","期限未設定",IF($P482&lt;0,"期限超過",IF($P482=0,"本日期限",IF($P482&lt;=3,"期限接近","期限内"))))))</x:f>
      </x:c>
      <x:c r="R482" s="49"/>
      <x:c r="S482" s="38"/>
      <x:c r="T482" s="49"/>
      <x:c r="U482" s="38"/>
      <x:c r="V482" s="38"/>
      <x:c r="W482" s="38"/>
      <x:c r="X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49"/>
      <x:c r="O483" s="49"/>
      <x:c r="P483" s="60" t="str">
        <x:f>IF($A483="","",IF(OR($D483="解決",$D483="取消"),"",IF($O483="","",$O483-TODAY())))</x:f>
      </x:c>
      <x:c r="Q483" s="61" t="str">
        <x:f>IF($A483="","",IF(OR($D483="解決",$D483="取消"),"完了",IF($O483="","期限未設定",IF($P483&lt;0,"期限超過",IF($P483=0,"本日期限",IF($P483&lt;=3,"期限接近","期限内"))))))</x:f>
      </x:c>
      <x:c r="R483" s="49"/>
      <x:c r="S483" s="38"/>
      <x:c r="T483" s="49"/>
      <x:c r="U483" s="38"/>
      <x:c r="V483" s="38"/>
      <x:c r="W483" s="38"/>
      <x:c r="X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49"/>
      <x:c r="O484" s="49"/>
      <x:c r="P484" s="60" t="str">
        <x:f>IF($A484="","",IF(OR($D484="解決",$D484="取消"),"",IF($O484="","",$O484-TODAY())))</x:f>
      </x:c>
      <x:c r="Q484" s="61" t="str">
        <x:f>IF($A484="","",IF(OR($D484="解決",$D484="取消"),"完了",IF($O484="","期限未設定",IF($P484&lt;0,"期限超過",IF($P484=0,"本日期限",IF($P484&lt;=3,"期限接近","期限内"))))))</x:f>
      </x:c>
      <x:c r="R484" s="49"/>
      <x:c r="S484" s="38"/>
      <x:c r="T484" s="49"/>
      <x:c r="U484" s="38"/>
      <x:c r="V484" s="38"/>
      <x:c r="W484" s="38"/>
      <x:c r="X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49"/>
      <x:c r="O485" s="49"/>
      <x:c r="P485" s="60" t="str">
        <x:f>IF($A485="","",IF(OR($D485="解決",$D485="取消"),"",IF($O485="","",$O485-TODAY())))</x:f>
      </x:c>
      <x:c r="Q485" s="61" t="str">
        <x:f>IF($A485="","",IF(OR($D485="解決",$D485="取消"),"完了",IF($O485="","期限未設定",IF($P485&lt;0,"期限超過",IF($P485=0,"本日期限",IF($P485&lt;=3,"期限接近","期限内"))))))</x:f>
      </x:c>
      <x:c r="R485" s="49"/>
      <x:c r="S485" s="38"/>
      <x:c r="T485" s="49"/>
      <x:c r="U485" s="38"/>
      <x:c r="V485" s="38"/>
      <x:c r="W485" s="38"/>
      <x:c r="X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49"/>
      <x:c r="O486" s="49"/>
      <x:c r="P486" s="60" t="str">
        <x:f>IF($A486="","",IF(OR($D486="解決",$D486="取消"),"",IF($O486="","",$O486-TODAY())))</x:f>
      </x:c>
      <x:c r="Q486" s="61" t="str">
        <x:f>IF($A486="","",IF(OR($D486="解決",$D486="取消"),"完了",IF($O486="","期限未設定",IF($P486&lt;0,"期限超過",IF($P486=0,"本日期限",IF($P486&lt;=3,"期限接近","期限内"))))))</x:f>
      </x:c>
      <x:c r="R486" s="49"/>
      <x:c r="S486" s="38"/>
      <x:c r="T486" s="49"/>
      <x:c r="U486" s="38"/>
      <x:c r="V486" s="38"/>
      <x:c r="W486" s="38"/>
      <x:c r="X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49"/>
      <x:c r="O487" s="49"/>
      <x:c r="P487" s="60" t="str">
        <x:f>IF($A487="","",IF(OR($D487="解決",$D487="取消"),"",IF($O487="","",$O487-TODAY())))</x:f>
      </x:c>
      <x:c r="Q487" s="61" t="str">
        <x:f>IF($A487="","",IF(OR($D487="解決",$D487="取消"),"完了",IF($O487="","期限未設定",IF($P487&lt;0,"期限超過",IF($P487=0,"本日期限",IF($P487&lt;=3,"期限接近","期限内"))))))</x:f>
      </x:c>
      <x:c r="R487" s="49"/>
      <x:c r="S487" s="38"/>
      <x:c r="T487" s="49"/>
      <x:c r="U487" s="38"/>
      <x:c r="V487" s="38"/>
      <x:c r="W487" s="38"/>
      <x:c r="X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49"/>
      <x:c r="O488" s="49"/>
      <x:c r="P488" s="60" t="str">
        <x:f>IF($A488="","",IF(OR($D488="解決",$D488="取消"),"",IF($O488="","",$O488-TODAY())))</x:f>
      </x:c>
      <x:c r="Q488" s="61" t="str">
        <x:f>IF($A488="","",IF(OR($D488="解決",$D488="取消"),"完了",IF($O488="","期限未設定",IF($P488&lt;0,"期限超過",IF($P488=0,"本日期限",IF($P488&lt;=3,"期限接近","期限内"))))))</x:f>
      </x:c>
      <x:c r="R488" s="49"/>
      <x:c r="S488" s="38"/>
      <x:c r="T488" s="49"/>
      <x:c r="U488" s="38"/>
      <x:c r="V488" s="38"/>
      <x:c r="W488" s="38"/>
      <x:c r="X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49"/>
      <x:c r="O489" s="49"/>
      <x:c r="P489" s="60" t="str">
        <x:f>IF($A489="","",IF(OR($D489="解決",$D489="取消"),"",IF($O489="","",$O489-TODAY())))</x:f>
      </x:c>
      <x:c r="Q489" s="61" t="str">
        <x:f>IF($A489="","",IF(OR($D489="解決",$D489="取消"),"完了",IF($O489="","期限未設定",IF($P489&lt;0,"期限超過",IF($P489=0,"本日期限",IF($P489&lt;=3,"期限接近","期限内"))))))</x:f>
      </x:c>
      <x:c r="R489" s="49"/>
      <x:c r="S489" s="38"/>
      <x:c r="T489" s="49"/>
      <x:c r="U489" s="38"/>
      <x:c r="V489" s="38"/>
      <x:c r="W489" s="38"/>
      <x:c r="X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49"/>
      <x:c r="O490" s="49"/>
      <x:c r="P490" s="60" t="str">
        <x:f>IF($A490="","",IF(OR($D490="解決",$D490="取消"),"",IF($O490="","",$O490-TODAY())))</x:f>
      </x:c>
      <x:c r="Q490" s="61" t="str">
        <x:f>IF($A490="","",IF(OR($D490="解決",$D490="取消"),"完了",IF($O490="","期限未設定",IF($P490&lt;0,"期限超過",IF($P490=0,"本日期限",IF($P490&lt;=3,"期限接近","期限内"))))))</x:f>
      </x:c>
      <x:c r="R490" s="49"/>
      <x:c r="S490" s="38"/>
      <x:c r="T490" s="49"/>
      <x:c r="U490" s="38"/>
      <x:c r="V490" s="38"/>
      <x:c r="W490" s="38"/>
      <x:c r="X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49"/>
      <x:c r="O491" s="49"/>
      <x:c r="P491" s="60" t="str">
        <x:f>IF($A491="","",IF(OR($D491="解決",$D491="取消"),"",IF($O491="","",$O491-TODAY())))</x:f>
      </x:c>
      <x:c r="Q491" s="61" t="str">
        <x:f>IF($A491="","",IF(OR($D491="解決",$D491="取消"),"完了",IF($O491="","期限未設定",IF($P491&lt;0,"期限超過",IF($P491=0,"本日期限",IF($P491&lt;=3,"期限接近","期限内"))))))</x:f>
      </x:c>
      <x:c r="R491" s="49"/>
      <x:c r="S491" s="38"/>
      <x:c r="T491" s="49"/>
      <x:c r="U491" s="38"/>
      <x:c r="V491" s="38"/>
      <x:c r="W491" s="38"/>
      <x:c r="X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49"/>
      <x:c r="O492" s="49"/>
      <x:c r="P492" s="60" t="str">
        <x:f>IF($A492="","",IF(OR($D492="解決",$D492="取消"),"",IF($O492="","",$O492-TODAY())))</x:f>
      </x:c>
      <x:c r="Q492" s="61" t="str">
        <x:f>IF($A492="","",IF(OR($D492="解決",$D492="取消"),"完了",IF($O492="","期限未設定",IF($P492&lt;0,"期限超過",IF($P492=0,"本日期限",IF($P492&lt;=3,"期限接近","期限内"))))))</x:f>
      </x:c>
      <x:c r="R492" s="49"/>
      <x:c r="S492" s="38"/>
      <x:c r="T492" s="49"/>
      <x:c r="U492" s="38"/>
      <x:c r="V492" s="38"/>
      <x:c r="W492" s="38"/>
      <x:c r="X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49"/>
      <x:c r="O493" s="49"/>
      <x:c r="P493" s="60" t="str">
        <x:f>IF($A493="","",IF(OR($D493="解決",$D493="取消"),"",IF($O493="","",$O493-TODAY())))</x:f>
      </x:c>
      <x:c r="Q493" s="61" t="str">
        <x:f>IF($A493="","",IF(OR($D493="解決",$D493="取消"),"完了",IF($O493="","期限未設定",IF($P493&lt;0,"期限超過",IF($P493=0,"本日期限",IF($P493&lt;=3,"期限接近","期限内"))))))</x:f>
      </x:c>
      <x:c r="R493" s="49"/>
      <x:c r="S493" s="38"/>
      <x:c r="T493" s="49"/>
      <x:c r="U493" s="38"/>
      <x:c r="V493" s="38"/>
      <x:c r="W493" s="38"/>
      <x:c r="X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49"/>
      <x:c r="O494" s="49"/>
      <x:c r="P494" s="60" t="str">
        <x:f>IF($A494="","",IF(OR($D494="解決",$D494="取消"),"",IF($O494="","",$O494-TODAY())))</x:f>
      </x:c>
      <x:c r="Q494" s="61" t="str">
        <x:f>IF($A494="","",IF(OR($D494="解決",$D494="取消"),"完了",IF($O494="","期限未設定",IF($P494&lt;0,"期限超過",IF($P494=0,"本日期限",IF($P494&lt;=3,"期限接近","期限内"))))))</x:f>
      </x:c>
      <x:c r="R494" s="49"/>
      <x:c r="S494" s="38"/>
      <x:c r="T494" s="49"/>
      <x:c r="U494" s="38"/>
      <x:c r="V494" s="38"/>
      <x:c r="W494" s="38"/>
      <x:c r="X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49"/>
      <x:c r="O495" s="49"/>
      <x:c r="P495" s="60" t="str">
        <x:f>IF($A495="","",IF(OR($D495="解決",$D495="取消"),"",IF($O495="","",$O495-TODAY())))</x:f>
      </x:c>
      <x:c r="Q495" s="61" t="str">
        <x:f>IF($A495="","",IF(OR($D495="解決",$D495="取消"),"完了",IF($O495="","期限未設定",IF($P495&lt;0,"期限超過",IF($P495=0,"本日期限",IF($P495&lt;=3,"期限接近","期限内"))))))</x:f>
      </x:c>
      <x:c r="R495" s="49"/>
      <x:c r="S495" s="38"/>
      <x:c r="T495" s="49"/>
      <x:c r="U495" s="38"/>
      <x:c r="V495" s="38"/>
      <x:c r="W495" s="38"/>
      <x:c r="X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49"/>
      <x:c r="O496" s="49"/>
      <x:c r="P496" s="60" t="str">
        <x:f>IF($A496="","",IF(OR($D496="解決",$D496="取消"),"",IF($O496="","",$O496-TODAY())))</x:f>
      </x:c>
      <x:c r="Q496" s="61" t="str">
        <x:f>IF($A496="","",IF(OR($D496="解決",$D496="取消"),"完了",IF($O496="","期限未設定",IF($P496&lt;0,"期限超過",IF($P496=0,"本日期限",IF($P496&lt;=3,"期限接近","期限内"))))))</x:f>
      </x:c>
      <x:c r="R496" s="49"/>
      <x:c r="S496" s="38"/>
      <x:c r="T496" s="49"/>
      <x:c r="U496" s="38"/>
      <x:c r="V496" s="38"/>
      <x:c r="W496" s="38"/>
      <x:c r="X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49"/>
      <x:c r="O497" s="49"/>
      <x:c r="P497" s="60" t="str">
        <x:f>IF($A497="","",IF(OR($D497="解決",$D497="取消"),"",IF($O497="","",$O497-TODAY())))</x:f>
      </x:c>
      <x:c r="Q497" s="61" t="str">
        <x:f>IF($A497="","",IF(OR($D497="解決",$D497="取消"),"完了",IF($O497="","期限未設定",IF($P497&lt;0,"期限超過",IF($P497=0,"本日期限",IF($P497&lt;=3,"期限接近","期限内"))))))</x:f>
      </x:c>
      <x:c r="R497" s="49"/>
      <x:c r="S497" s="38"/>
      <x:c r="T497" s="49"/>
      <x:c r="U497" s="38"/>
      <x:c r="V497" s="38"/>
      <x:c r="W497" s="38"/>
      <x:c r="X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49"/>
      <x:c r="O498" s="49"/>
      <x:c r="P498" s="60" t="str">
        <x:f>IF($A498="","",IF(OR($D498="解決",$D498="取消"),"",IF($O498="","",$O498-TODAY())))</x:f>
      </x:c>
      <x:c r="Q498" s="61" t="str">
        <x:f>IF($A498="","",IF(OR($D498="解決",$D498="取消"),"完了",IF($O498="","期限未設定",IF($P498&lt;0,"期限超過",IF($P498=0,"本日期限",IF($P498&lt;=3,"期限接近","期限内"))))))</x:f>
      </x:c>
      <x:c r="R498" s="49"/>
      <x:c r="S498" s="38"/>
      <x:c r="T498" s="49"/>
      <x:c r="U498" s="38"/>
      <x:c r="V498" s="38"/>
      <x:c r="W498" s="38"/>
      <x:c r="X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49"/>
      <x:c r="O499" s="49"/>
      <x:c r="P499" s="60" t="str">
        <x:f>IF($A499="","",IF(OR($D499="解決",$D499="取消"),"",IF($O499="","",$O499-TODAY())))</x:f>
      </x:c>
      <x:c r="Q499" s="61" t="str">
        <x:f>IF($A499="","",IF(OR($D499="解決",$D499="取消"),"完了",IF($O499="","期限未設定",IF($P499&lt;0,"期限超過",IF($P499=0,"本日期限",IF($P499&lt;=3,"期限接近","期限内"))))))</x:f>
      </x:c>
      <x:c r="R499" s="49"/>
      <x:c r="S499" s="38"/>
      <x:c r="T499" s="49"/>
      <x:c r="U499" s="38"/>
      <x:c r="V499" s="38"/>
      <x:c r="W499" s="38"/>
      <x:c r="X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49"/>
      <x:c r="O500" s="49"/>
      <x:c r="P500" s="60" t="str">
        <x:f>IF($A500="","",IF(OR($D500="解決",$D500="取消"),"",IF($O500="","",$O500-TODAY())))</x:f>
      </x:c>
      <x:c r="Q500" s="61" t="str">
        <x:f>IF($A500="","",IF(OR($D500="解決",$D500="取消"),"完了",IF($O500="","期限未設定",IF($P500&lt;0,"期限超過",IF($P500=0,"本日期限",IF($P500&lt;=3,"期限接近","期限内"))))))</x:f>
      </x:c>
      <x:c r="R500" s="49"/>
      <x:c r="S500" s="38"/>
      <x:c r="T500" s="49"/>
      <x:c r="U500" s="38"/>
      <x:c r="V500" s="38"/>
      <x:c r="W500" s="38"/>
      <x:c r="X500" s="38"/>
    </x:row>
  </x:sheetData>
  <x:mergeCells>
    <x:mergeCell ref="A1:X1"/>
    <x:mergeCell ref="A2:X2"/>
    <x:mergeCell ref="A3:X3"/>
  </x:mergeCells>
  <x:conditionalFormatting sqref="B6:B500">
    <x:cfRule type="expression" dxfId="0" priority="1">
      <x:formula>B6="課題"</x:formula>
    </x:cfRule>
    <x:cfRule type="expression" dxfId="1" priority="2">
      <x:formula>B6="リスク"</x:formula>
    </x:cfRule>
    <x:cfRule type="expression" dxfId="2" priority="3">
      <x:formula>B6="確認事項"</x:formula>
    </x:cfRule>
    <x:cfRule type="expression" dxfId="3" priority="4">
      <x:formula>B6="依存事項"</x:formula>
    </x:cfRule>
    <x:cfRule type="expression" dxfId="4" priority="5">
      <x:formula>B6="変更要求候補"</x:formula>
    </x:cfRule>
    <x:cfRule type="expression" dxfId="5" priority="6">
      <x:formula>B6="決定事項候補"</x:formula>
    </x:cfRule>
  </x:conditionalFormatting>
  <x:conditionalFormatting sqref="C6:C500">
    <x:cfRule type="expression" dxfId="6" priority="7">
      <x:formula>C6="未評価"</x:formula>
    </x:cfRule>
    <x:cfRule type="expression" dxfId="7" priority="8">
      <x:formula>C6="高"</x:formula>
    </x:cfRule>
    <x:cfRule type="expression" dxfId="8" priority="9">
      <x:formula>C6="中"</x:formula>
    </x:cfRule>
    <x:cfRule type="expression" dxfId="9" priority="10">
      <x:formula>C6="低"</x:formula>
    </x:cfRule>
  </x:conditionalFormatting>
  <x:conditionalFormatting sqref="D6:D500">
    <x:cfRule type="expression" dxfId="10" priority="11">
      <x:formula>D6="未着手"</x:formula>
    </x:cfRule>
    <x:cfRule type="expression" dxfId="11" priority="12">
      <x:formula>D6="対応中"</x:formula>
    </x:cfRule>
    <x:cfRule type="expression" dxfId="12" priority="13">
      <x:formula>D6="回答待ち"</x:formula>
    </x:cfRule>
    <x:cfRule type="expression" dxfId="13" priority="14">
      <x:formula>D6="判断待ち"</x:formula>
    </x:cfRule>
    <x:cfRule type="expression" dxfId="14" priority="15">
      <x:formula>D6="保留"</x:formula>
    </x:cfRule>
    <x:cfRule type="expression" dxfId="15" priority="16">
      <x:formula>D6="解決"</x:formula>
    </x:cfRule>
    <x:cfRule type="expression" dxfId="16" priority="17">
      <x:formula>D6="取消"</x:formula>
    </x:cfRule>
  </x:conditionalFormatting>
  <x:conditionalFormatting sqref="Q6:Q500">
    <x:cfRule type="expression" dxfId="17" priority="18">
      <x:formula>Q6="期限未設定"</x:formula>
    </x:cfRule>
    <x:cfRule type="expression" dxfId="18" priority="19">
      <x:formula>Q6="期限内"</x:formula>
    </x:cfRule>
    <x:cfRule type="expression" dxfId="19" priority="20">
      <x:formula>Q6="期限接近"</x:formula>
    </x:cfRule>
    <x:cfRule type="expression" dxfId="20" priority="21">
      <x:formula>Q6="本日期限"</x:formula>
    </x:cfRule>
    <x:cfRule type="expression" dxfId="21" priority="22">
      <x:formula>Q6="期限超過"</x:formula>
    </x:cfRule>
    <x:cfRule type="expression" dxfId="22" priority="23">
      <x:formula>Q6="完了"</x:formula>
    </x:cfRule>
  </x:conditionalFormatting>
  <x:dataValidations count="5">
    <x:dataValidation type="list" sqref="B6:B500">
      <x:formula1>'入力ルール・マスタ'!$J$4:$J$9</x:formula1>
    </x:dataValidation>
    <x:dataValidation type="list" sqref="C6:C500">
      <x:formula1>'入力ルール・マスタ'!$K$4:$K$7</x:formula1>
    </x:dataValidation>
    <x:dataValidation type="list" sqref="D6:D500">
      <x:formula1>'入力ルール・マスタ'!$L$4:$L$10</x:formula1>
    </x:dataValidation>
    <x:dataValidation type="list" sqref="J6:J500">
      <x:formula1>'入力ルール・マスタ'!$M$4:$M$21</x:formula1>
    </x:dataValidation>
    <x:dataValidation type="list" sqref="K6:K500">
      <x:formula1>'入力ルール・マスタ'!$N$4:$N$9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311d10d8574f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" hidden="0" customWidth="1"/>
    <x:col min="3" max="3" width="3" hidden="0" customWidth="1"/>
    <x:col min="4" max="4" width="14" hidden="0" customWidth="1"/>
    <x:col min="5" max="5" width="9" hidden="0" customWidth="1"/>
    <x:col min="6" max="6" width="3" hidden="0" customWidth="1"/>
    <x:col min="7" max="7" width="14" hidden="0" customWidth="1"/>
    <x:col min="8" max="8" width="9" hidden="0" customWidth="1"/>
    <x:col min="9" max="9" width="3" hidden="0" customWidth="1"/>
    <x:col min="10" max="10" width="16" hidden="0" customWidth="1"/>
    <x:col min="11" max="11" width="9" hidden="0" customWidth="1"/>
    <x:col min="12" max="12" width="3" hidden="0" customWidth="1"/>
    <x:col min="13" max="13" width="26" hidden="0" customWidth="1"/>
    <x:col min="14" max="14" width="9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34" customHeight="1">
      <x:c r="A1" s="5" t="str">
        <x:v>Salesforceデータ連携 課題サマリー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66" t="str">
        <x:v>課題管理表の入力内容を自動集計します。初期登録時は優先度・期限・担当者が未設定のため、未評価・期限未設定・未担当が多く表示されます。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</x:row>
    <x:row r="3" ht="36" customHeight="1">
      <x:c r="A3" s="146" t="str">
        <x:v>【確認・合意前の初期案】項目の妥当性、実施要否、区分、主担当チーム、主担当者、依頼先、期限、優先度は未確定部分を含みます。関係者確認後に内容を更新してください。</x:v>
      </x:c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  <x:c r="Q3" s="147"/>
      <x:c r="R3" s="147"/>
      <x:c r="S3" s="147"/>
      <x:c r="T3" s="148"/>
    </x:row>
    <x:row r="4">
      <x:c r="A4" s="71" t="str">
        <x:f>"総管理項目 "&amp;TEXT(COUNTA('課題管理表'!$A$6:$A$500),"0")&amp;"件"</x:f>
        <x:v>総管理項目 24件</x:v>
      </x:c>
      <x:c r="B4" s="71"/>
      <x:c r="C4" s="71"/>
      <x:c r="D4" s="80" t="str">
        <x:f>"未解決 "&amp;TEXT(COUNTIFS('課題管理表'!$A$6:$A$500,"&lt;&gt;",'課題管理表'!$D$6:$D$500,"&lt;&gt;解決",'課題管理表'!$D$6:$D$500,"&lt;&gt;取消"),"0")&amp;"件"</x:f>
        <x:v>未解決 24件</x:v>
      </x:c>
      <x:c r="E4" s="80"/>
      <x:c r="F4" s="80"/>
      <x:c r="G4" s="90" t="str">
        <x:f>"優先度：高 "&amp;TEXT(COUNTIF('課題管理表'!$C$6:$C$500,"高"),"0")&amp;"件"</x:f>
        <x:v>優先度：高 0件</x:v>
      </x:c>
      <x:c r="H4" s="90"/>
      <x:c r="I4" s="90"/>
      <x:c r="J4" s="90" t="str">
        <x:f>"期限超過 "&amp;TEXT(COUNTIF('課題管理表'!$Q$6:$Q$500,"期限超過"),"0")&amp;"件"</x:f>
        <x:v>期限超過 0件</x:v>
      </x:c>
      <x:c r="K4" s="90"/>
      <x:c r="L4" s="90"/>
      <x:c r="M4" s="100" t="str">
        <x:f>"担当者未設定 "&amp;TEXT(COUNTA('課題管理表'!$A$6:$A$500)-COUNTA('課題管理表'!$L$6:$L$500),"0")&amp;"件"</x:f>
        <x:v>担当者未設定 24件</x:v>
      </x:c>
      <x:c r="N4" s="100"/>
      <x:c r="O4" s="100"/>
      <x:c r="P4" s="100" t="str">
        <x:f>"期限未設定 "&amp;TEXT(COUNTIF('課題管理表'!$Q$6:$Q$500,"期限未設定"),"0")&amp;"件"</x:f>
        <x:v>期限未設定 24件</x:v>
      </x:c>
      <x:c r="Q4" s="100"/>
      <x:c r="R4" s="100"/>
    </x:row>
    <x:row r="5">
      <x:c r="A5" s="71"/>
      <x:c r="B5" s="71"/>
      <x:c r="C5" s="71"/>
      <x:c r="D5" s="80"/>
      <x:c r="E5" s="80"/>
      <x:c r="F5" s="80"/>
      <x:c r="G5" s="90"/>
      <x:c r="H5" s="90"/>
      <x:c r="I5" s="90"/>
      <x:c r="J5" s="90"/>
      <x:c r="K5" s="90"/>
      <x:c r="L5" s="90"/>
      <x:c r="M5" s="100"/>
      <x:c r="N5" s="100"/>
      <x:c r="O5" s="100"/>
      <x:c r="P5" s="100"/>
      <x:c r="Q5" s="100"/>
      <x:c r="R5" s="100"/>
    </x:row>
    <x:row r="6">
      <x:c r="A6" s="71"/>
      <x:c r="B6" s="71"/>
      <x:c r="C6" s="71"/>
      <x:c r="D6" s="80"/>
      <x:c r="E6" s="80"/>
      <x:c r="F6" s="80"/>
      <x:c r="G6" s="90"/>
      <x:c r="H6" s="90"/>
      <x:c r="I6" s="90"/>
      <x:c r="J6" s="90"/>
      <x:c r="K6" s="90"/>
      <x:c r="L6" s="90"/>
      <x:c r="M6" s="100"/>
      <x:c r="N6" s="100"/>
      <x:c r="O6" s="100"/>
      <x:c r="P6" s="100"/>
      <x:c r="Q6" s="100"/>
      <x:c r="R6" s="100"/>
    </x:row>
    <x:row r="8">
      <x:c r="A8" s="107" t="str">
        <x:v>区分</x:v>
      </x:c>
      <x:c r="B8" s="107" t="str">
        <x:v>件数</x:v>
      </x:c>
      <x:c r="D8" s="107" t="str">
        <x:v>優先度</x:v>
      </x:c>
      <x:c r="E8" s="107" t="str">
        <x:v>件数</x:v>
      </x:c>
      <x:c r="G8" s="107" t="str">
        <x:v>ステータス</x:v>
      </x:c>
      <x:c r="H8" s="107" t="str">
        <x:v>件数</x:v>
      </x:c>
      <x:c r="J8" s="107" t="str">
        <x:v>期限判定</x:v>
      </x:c>
      <x:c r="K8" s="107" t="str">
        <x:v>件数</x:v>
      </x:c>
      <x:c r="M8" s="107" t="str">
        <x:v>関連工程</x:v>
      </x:c>
      <x:c r="N8" s="107" t="str">
        <x:v>件数</x:v>
      </x:c>
    </x:row>
    <x:row r="9" ht="23" customHeight="1">
      <x:c r="A9" s="110" t="str">
        <x:v>課題</x:v>
      </x:c>
      <x:c r="B9" s="110" t="n">
        <x:f>COUNTIF('課題管理表'!$B$6:$B$500,A9)</x:f>
        <x:v>3</x:v>
      </x:c>
      <x:c r="D9" s="110" t="str">
        <x:v>未評価</x:v>
      </x:c>
      <x:c r="E9" s="110" t="n">
        <x:f>COUNTIF('課題管理表'!$C$6:$C$500,D9)</x:f>
        <x:v>24</x:v>
      </x:c>
      <x:c r="G9" s="110" t="str">
        <x:v>未着手</x:v>
      </x:c>
      <x:c r="H9" s="110" t="n">
        <x:f>COUNTIF('課題管理表'!$D$6:$D$500,G9)</x:f>
        <x:v>24</x:v>
      </x:c>
      <x:c r="J9" s="110" t="str">
        <x:v>期限未設定</x:v>
      </x:c>
      <x:c r="K9" s="110" t="n">
        <x:f>COUNTIF('課題管理表'!$Q$6:$Q$500,J9)</x:f>
        <x:v>24</x:v>
      </x:c>
      <x:c r="M9" s="110" t="str">
        <x:v>外部依存・着手条件</x:v>
      </x:c>
      <x:c r="N9" s="110" t="n">
        <x:f>COUNTIF('課題管理表'!$J$6:$J$500,M9)</x:f>
        <x:v>1</x:v>
      </x:c>
    </x:row>
    <x:row r="10" ht="23" customHeight="1">
      <x:c r="A10" s="110" t="str">
        <x:v>リスク</x:v>
      </x:c>
      <x:c r="B10" s="110" t="n">
        <x:f>COUNTIF('課題管理表'!$B$6:$B$500,A10)</x:f>
        <x:v>2</x:v>
      </x:c>
      <x:c r="D10" s="110" t="str">
        <x:v>高</x:v>
      </x:c>
      <x:c r="E10" s="110" t="n">
        <x:f>COUNTIF('課題管理表'!$C$6:$C$500,D10)</x:f>
        <x:v>0</x:v>
      </x:c>
      <x:c r="G10" s="110" t="str">
        <x:v>対応中</x:v>
      </x:c>
      <x:c r="H10" s="110" t="n">
        <x:f>COUNTIF('課題管理表'!$D$6:$D$500,G10)</x:f>
        <x:v>0</x:v>
      </x:c>
      <x:c r="J10" s="110" t="str">
        <x:v>期限内</x:v>
      </x:c>
      <x:c r="K10" s="110" t="n">
        <x:f>COUNTIF('課題管理表'!$Q$6:$Q$500,J10)</x:f>
        <x:v>0</x:v>
      </x:c>
      <x:c r="M10" s="110" t="str">
        <x:v>プロジェクト管理</x:v>
      </x:c>
      <x:c r="N10" s="110" t="n">
        <x:f>COUNTIF('課題管理表'!$J$6:$J$500,M10)</x:f>
        <x:v>3</x:v>
      </x:c>
    </x:row>
    <x:row r="11" ht="23" customHeight="1">
      <x:c r="A11" s="110" t="str">
        <x:v>確認事項</x:v>
      </x:c>
      <x:c r="B11" s="110" t="n">
        <x:f>COUNTIF('課題管理表'!$B$6:$B$500,A11)</x:f>
        <x:v>3</x:v>
      </x:c>
      <x:c r="D11" s="110" t="str">
        <x:v>中</x:v>
      </x:c>
      <x:c r="E11" s="110" t="n">
        <x:f>COUNTIF('課題管理表'!$C$6:$C$500,D11)</x:f>
        <x:v>0</x:v>
      </x:c>
      <x:c r="G11" s="110" t="str">
        <x:v>回答待ち</x:v>
      </x:c>
      <x:c r="H11" s="110" t="n">
        <x:f>COUNTIF('課題管理表'!$D$6:$D$500,G11)</x:f>
        <x:v>0</x:v>
      </x:c>
      <x:c r="J11" s="110" t="str">
        <x:v>期限接近</x:v>
      </x:c>
      <x:c r="K11" s="110" t="n">
        <x:f>COUNTIF('課題管理表'!$Q$6:$Q$500,J11)</x:f>
        <x:v>0</x:v>
      </x:c>
      <x:c r="M11" s="110" t="str">
        <x:v>要件定義</x:v>
      </x:c>
      <x:c r="N11" s="110" t="n">
        <x:f>COUNTIF('課題管理表'!$J$6:$J$500,M11)</x:f>
        <x:v>2</x:v>
      </x:c>
    </x:row>
    <x:row r="12" ht="23" customHeight="1">
      <x:c r="A12" s="110" t="str">
        <x:v>依存事項</x:v>
      </x:c>
      <x:c r="B12" s="110" t="n">
        <x:f>COUNTIF('課題管理表'!$B$6:$B$500,A12)</x:f>
        <x:v>3</x:v>
      </x:c>
      <x:c r="D12" s="110" t="str">
        <x:v>低</x:v>
      </x:c>
      <x:c r="E12" s="110" t="n">
        <x:f>COUNTIF('課題管理表'!$C$6:$C$500,D12)</x:f>
        <x:v>0</x:v>
      </x:c>
      <x:c r="G12" s="110" t="str">
        <x:v>判断待ち</x:v>
      </x:c>
      <x:c r="H12" s="110" t="n">
        <x:f>COUNTIF('課題管理表'!$D$6:$D$500,G12)</x:f>
        <x:v>0</x:v>
      </x:c>
      <x:c r="J12" s="110" t="str">
        <x:v>本日期限</x:v>
      </x:c>
      <x:c r="K12" s="110" t="n">
        <x:f>COUNTIF('課題管理表'!$Q$6:$Q$500,J12)</x:f>
        <x:v>0</x:v>
      </x:c>
      <x:c r="M12" s="110" t="str">
        <x:v>Salesforceデータ調査</x:v>
      </x:c>
      <x:c r="N12" s="110" t="n">
        <x:f>COUNTIF('課題管理表'!$J$6:$J$500,M12)</x:f>
        <x:v>1</x:v>
      </x:c>
    </x:row>
    <x:row r="13" ht="23" customHeight="1">
      <x:c r="A13" s="110" t="str">
        <x:v>変更要求候補</x:v>
      </x:c>
      <x:c r="B13" s="110" t="n">
        <x:f>COUNTIF('課題管理表'!$B$6:$B$500,A13)</x:f>
        <x:v>2</x:v>
      </x:c>
      <x:c r="G13" s="110" t="str">
        <x:v>保留</x:v>
      </x:c>
      <x:c r="H13" s="110" t="n">
        <x:f>COUNTIF('課題管理表'!$D$6:$D$500,G13)</x:f>
        <x:v>0</x:v>
      </x:c>
      <x:c r="J13" s="110" t="str">
        <x:v>期限超過</x:v>
      </x:c>
      <x:c r="K13" s="110" t="n">
        <x:f>COUNTIF('課題管理表'!$Q$6:$Q$500,J13)</x:f>
        <x:v>0</x:v>
      </x:c>
      <x:c r="M13" s="110" t="str">
        <x:v>全体・非機能設計</x:v>
      </x:c>
      <x:c r="N13" s="110" t="n">
        <x:f>COUNTIF('課題管理表'!$J$6:$J$500,M13)</x:f>
        <x:v>2</x:v>
      </x:c>
    </x:row>
    <x:row r="14" ht="23" customHeight="1">
      <x:c r="A14" s="110" t="str">
        <x:v>決定事項候補</x:v>
      </x:c>
      <x:c r="B14" s="110" t="n">
        <x:f>COUNTIF('課題管理表'!$B$6:$B$500,A14)</x:f>
        <x:v>11</x:v>
      </x:c>
      <x:c r="G14" s="110" t="str">
        <x:v>解決</x:v>
      </x:c>
      <x:c r="H14" s="110" t="n">
        <x:f>COUNTIF('課題管理表'!$D$6:$D$500,G14)</x:f>
        <x:v>0</x:v>
      </x:c>
      <x:c r="J14" s="110" t="str">
        <x:v>完了</x:v>
      </x:c>
      <x:c r="K14" s="110" t="n">
        <x:f>COUNTIF('課題管理表'!$Q$6:$Q$500,J14)</x:f>
        <x:v>0</x:v>
      </x:c>
      <x:c r="M14" s="110" t="str">
        <x:v>セキュリティ設計</x:v>
      </x:c>
      <x:c r="N14" s="110" t="n">
        <x:f>COUNTIF('課題管理表'!$J$6:$J$500,M14)</x:f>
        <x:v>3</x:v>
      </x:c>
    </x:row>
    <x:row r="15" ht="23" customHeight="1">
      <x:c r="G15" s="110" t="str">
        <x:v>取消</x:v>
      </x:c>
      <x:c r="H15" s="110" t="n">
        <x:f>COUNTIF('課題管理表'!$D$6:$D$500,G15)</x:f>
        <x:v>0</x:v>
      </x:c>
      <x:c r="M15" s="110" t="str">
        <x:v>ネットワーク設計</x:v>
      </x:c>
      <x:c r="N15" s="110" t="n">
        <x:f>COUNTIF('課題管理表'!$J$6:$J$500,M15)</x:f>
        <x:v>1</x:v>
      </x:c>
    </x:row>
    <x:row r="16" ht="23" customHeight="1">
      <x:c r="M16" s="110" t="str">
        <x:v>データ連携・IF設計</x:v>
      </x:c>
      <x:c r="N16" s="110" t="n">
        <x:f>COUNTIF('課題管理表'!$J$6:$J$500,M16)</x:f>
        <x:v>1</x:v>
      </x:c>
    </x:row>
    <x:row r="17" ht="23" customHeight="1">
      <x:c r="M17" s="110" t="str">
        <x:v>データ保存・テーブル設計</x:v>
      </x:c>
      <x:c r="N17" s="110" t="n">
        <x:f>COUNTIF('課題管理表'!$J$6:$J$500,M17)</x:f>
        <x:v>1</x:v>
      </x:c>
    </x:row>
    <x:row r="18" ht="23" customHeight="1">
      <x:c r="A18" s="115" t="str">
        <x:v>初期登録時の管理上の注意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M18" s="110" t="str">
        <x:v>Salesforce接続設定</x:v>
      </x:c>
      <x:c r="N18" s="110" t="n">
        <x:f>COUNTIF('課題管理表'!$J$6:$J$500,M18)</x:f>
        <x:v>1</x:v>
      </x:c>
    </x:row>
    <x:row r="19" ht="23" customHeight="1">
      <x:c r="A19" s="121" t="str">
        <x:v>確認項目</x:v>
      </x:c>
      <x:c r="B19" s="121" t="str">
        <x:v>内容</x:v>
      </x:c>
      <x:c r="C19" s="121"/>
      <x:c r="D19" s="121"/>
      <x:c r="E19" s="121"/>
      <x:c r="F19" s="121"/>
      <x:c r="G19" s="121"/>
      <x:c r="H19" s="121"/>
      <x:c r="I19" s="121"/>
      <x:c r="J19" s="121"/>
      <x:c r="K19" s="121"/>
      <x:c r="M19" s="110" t="str">
        <x:v>データ取得・保存開発</x:v>
      </x:c>
      <x:c r="N19" s="110" t="n">
        <x:f>COUNTIF('課題管理表'!$J$6:$J$500,M19)</x:f>
        <x:v>1</x:v>
      </x:c>
    </x:row>
    <x:row r="20" ht="34" customHeight="1">
      <x:c r="A20" s="125" t="str">
        <x:v>優先度</x:v>
      </x:c>
      <x:c r="B20" s="125" t="str">
        <x:v>現在は根拠不足のため24件すべて「未評価」です。影響度・緊急度を確認後に設定します。</x:v>
      </x:c>
      <x:c r="C20" s="125"/>
      <x:c r="D20" s="125"/>
      <x:c r="E20" s="125"/>
      <x:c r="F20" s="125"/>
      <x:c r="G20" s="125"/>
      <x:c r="H20" s="125"/>
      <x:c r="I20" s="125"/>
      <x:c r="J20" s="125"/>
      <x:c r="K20" s="125"/>
      <x:c r="M20" s="110" t="str">
        <x:v>単体試験</x:v>
      </x:c>
      <x:c r="N20" s="110" t="n">
        <x:f>COUNTIF('課題管理表'!$J$6:$J$500,M20)</x:f>
        <x:v>1</x:v>
      </x:c>
    </x:row>
    <x:row r="21" ht="34" customHeight="1">
      <x:c r="A21" s="125" t="str">
        <x:v>担当者</x:v>
      </x:c>
      <x:c r="B21" s="125" t="str">
        <x:v>正式な担当体制が確認できていないため空欄です。対応開始前に設定します。</x:v>
      </x:c>
      <x:c r="C21" s="125"/>
      <x:c r="D21" s="125"/>
      <x:c r="E21" s="125"/>
      <x:c r="F21" s="125"/>
      <x:c r="G21" s="125"/>
      <x:c r="H21" s="125"/>
      <x:c r="I21" s="125"/>
      <x:c r="J21" s="125"/>
      <x:c r="K21" s="125"/>
      <x:c r="M21" s="110" t="str">
        <x:v>結合・E2E試験</x:v>
      </x:c>
      <x:c r="N21" s="110" t="n">
        <x:f>COUNTIF('課題管理表'!$J$6:$J$500,M21)</x:f>
        <x:v>0</x:v>
      </x:c>
    </x:row>
    <x:row r="22" ht="34" customHeight="1">
      <x:c r="A22" s="125" t="str">
        <x:v>対応期限</x:v>
      </x:c>
      <x:c r="B22" s="125" t="str">
        <x:v>根拠のない期限を設定していません。後続WBS開始日・会議・申請リードタイムから設定します。</x:v>
      </x:c>
      <x:c r="C22" s="125"/>
      <x:c r="D22" s="125"/>
      <x:c r="E22" s="125"/>
      <x:c r="F22" s="125"/>
      <x:c r="G22" s="125"/>
      <x:c r="H22" s="125"/>
      <x:c r="I22" s="125"/>
      <x:c r="J22" s="125"/>
      <x:c r="K22" s="125"/>
      <x:c r="M22" s="110" t="str">
        <x:v>運用・障害対応設計</x:v>
      </x:c>
      <x:c r="N22" s="110" t="n">
        <x:f>COUNTIF('課題管理表'!$J$6:$J$500,M22)</x:f>
        <x:v>1</x:v>
      </x:c>
    </x:row>
    <x:row r="23" ht="34" customHeight="1">
      <x:c r="A23" s="125" t="str">
        <x:v>ステータス</x:v>
      </x:c>
      <x:c r="B23" s="125" t="str">
        <x:v>初期値は「未着手」です。依頼済み・対応開始済みと確認できた場合に変更します。</x:v>
      </x:c>
      <x:c r="C23" s="125"/>
      <x:c r="D23" s="125"/>
      <x:c r="E23" s="125"/>
      <x:c r="F23" s="125"/>
      <x:c r="G23" s="125"/>
      <x:c r="H23" s="125"/>
      <x:c r="I23" s="125"/>
      <x:c r="J23" s="125"/>
      <x:c r="K23" s="125"/>
      <x:c r="M23" s="110" t="str">
        <x:v>本番移行・リリース</x:v>
      </x:c>
      <x:c r="N23" s="110" t="n">
        <x:f>COUNTIF('課題管理表'!$J$6:$J$500,M23)</x:f>
        <x:v>2</x:v>
      </x:c>
    </x:row>
    <x:row r="24" ht="42" customHeight="1">
      <x:c r="A24" s="161" t="str">
        <x:v>項目の妥当性</x:v>
      </x:c>
      <x:c r="B24" s="125" t="str">
        <x:v>登録した24件はWBSから整理した候補であり、正式な課題一覧ではありません。関係者が内容・必要性・粒度を確認し、追加・統合・削除を合意した後に正式化します。</x:v>
      </x:c>
      <x:c r="C24" s="125"/>
      <x:c r="D24" s="125"/>
      <x:c r="E24" s="125"/>
      <x:c r="F24" s="125"/>
      <x:c r="G24" s="125"/>
      <x:c r="H24" s="125"/>
      <x:c r="I24" s="125"/>
      <x:c r="J24" s="125"/>
      <x:c r="K24" s="125"/>
      <x:c r="M24" s="110" t="str">
        <x:v>複数工程</x:v>
      </x:c>
      <x:c r="N24" s="110" t="n">
        <x:f>COUNTIF('課題管理表'!$J$6:$J$500,M24)</x:f>
        <x:v>1</x:v>
      </x:c>
    </x:row>
    <x:row r="25" ht="42" customHeight="1">
      <x:c r="A25" s="161" t="str">
        <x:v>担当体制・合意</x:v>
      </x:c>
      <x:c r="B25" s="125" t="str">
        <x:v>主担当チーム・主担当者・確認依頼先は未確定です。担当割当だけでなく、課題を誰が管理し、誰が判断・承認するかまで関係者間で合意します。</x:v>
      </x:c>
      <x:c r="C25" s="125"/>
      <x:c r="D25" s="125"/>
      <x:c r="E25" s="125"/>
      <x:c r="F25" s="125"/>
      <x:c r="G25" s="125"/>
      <x:c r="H25" s="125"/>
      <x:c r="I25" s="125"/>
      <x:c r="J25" s="125"/>
      <x:c r="K25" s="125"/>
      <x:c r="M25" s="110" t="str">
        <x:v>対象範囲確認</x:v>
      </x:c>
      <x:c r="N25" s="110" t="n">
        <x:f>COUNTIF('課題管理表'!$J$6:$J$500,M25)</x:f>
        <x:v>1</x:v>
      </x:c>
    </x:row>
    <x:row r="26" ht="23" customHeight="1">
      <x:c r="M26" s="110" t="str">
        <x:v>将来対応</x:v>
      </x:c>
      <x:c r="N26" s="110" t="n">
        <x:f>COUNTIF('課題管理表'!$J$6:$J$500,M26)</x:f>
        <x:v>1</x:v>
      </x:c>
    </x:row>
  </x:sheetData>
  <x:mergeCells>
    <x:mergeCell ref="A1:T1"/>
    <x:mergeCell ref="A2:T2"/>
    <x:mergeCell ref="A4:C6"/>
    <x:mergeCell ref="D4:F6"/>
    <x:mergeCell ref="G4:I6"/>
    <x:mergeCell ref="J4:L6"/>
    <x:mergeCell ref="M4:O6"/>
    <x:mergeCell ref="P4:R6"/>
    <x:mergeCell ref="A18:K18"/>
    <x:mergeCell ref="B19:K19"/>
    <x:mergeCell ref="B20:K20"/>
    <x:mergeCell ref="B21:K21"/>
    <x:mergeCell ref="B22:K22"/>
    <x:mergeCell ref="B23:K23"/>
    <x:mergeCell ref="A3:T3"/>
    <x:mergeCell ref="B24:K24"/>
    <x:mergeCell ref="B25:K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4" hidden="0" customWidth="1"/>
    <x:col min="4" max="4" width="56" hidden="0" customWidth="1"/>
    <x:col min="5" max="5" width="3" hidden="0" customWidth="1"/>
    <x:col min="6" max="6" width="8" hidden="0" customWidth="1"/>
    <x:col min="7" max="7" width="20" hidden="0" customWidth="1"/>
    <x:col min="8" max="8" width="52" hidden="0" customWidth="1"/>
    <x:col min="9" max="9" width="22" hidden="0" customWidth="1"/>
    <x:col min="10" max="10" width="18" hidden="0" customWidth="1"/>
    <x:col min="11" max="11" width="12" hidden="0" customWidth="1"/>
    <x:col min="12" max="12" width="18" hidden="0" customWidth="1"/>
    <x:col min="13" max="13" width="28" hidden="0" customWidth="1"/>
    <x:col min="14" max="14" width="22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4" customHeight="1">
      <x:c r="A1" s="5" t="str">
        <x:v>課題管理表 入力ルール・マスタ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2" customHeight="1">
      <x:c r="A2" s="66" t="str">
        <x:v>入力規則、優先度基準、色の意味、提出前確認事項をまとめています。ステータスの詳細な遷移・完了条件は、関係者の運用合意後に確定します。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</x:row>
    <x:row r="3" ht="40" customHeight="1">
      <x:c r="A3" s="172" t="str">
        <x:v>【提出時の注意】本表は初期案です。課題項目の妥当性・必要性・区分は関係者確認と合意後に確定します。担当チーム・担当者・依頼先・期限・優先度は、根拠が確認できるまで空欄または未評価とします。</x:v>
      </x:c>
      <x:c r="B3" s="173"/>
      <x:c r="C3" s="173"/>
      <x:c r="D3" s="173"/>
      <x:c r="E3" s="173"/>
      <x:c r="F3" s="173"/>
      <x:c r="G3" s="173"/>
      <x:c r="H3" s="173"/>
      <x:c r="I3" s="174"/>
      <x:c r="J3" s="107" t="str">
        <x:v>区分</x:v>
      </x:c>
      <x:c r="K3" s="107" t="str">
        <x:v>優先度</x:v>
      </x:c>
      <x:c r="L3" s="107" t="str">
        <x:v>ステータス（暫定）</x:v>
      </x:c>
      <x:c r="M3" s="107" t="str">
        <x:v>関連工程</x:v>
      </x:c>
      <x:c r="N3" s="107" t="str">
        <x:v>主担当チーム</x:v>
      </x:c>
    </x:row>
    <x:row r="4">
      <x:c r="A4" s="107" t="str">
        <x:v>列</x:v>
      </x:c>
      <x:c r="B4" s="107" t="str">
        <x:v>項目</x:v>
      </x:c>
      <x:c r="C4" s="107" t="str">
        <x:v>入力方法</x:v>
      </x:c>
      <x:c r="D4" s="107" t="str">
        <x:v>説明</x:v>
      </x:c>
      <x:c r="F4" s="130" t="str">
        <x:v>影響度＼緊急度</x:v>
      </x:c>
      <x:c r="G4" s="130" t="str">
        <x:v>高</x:v>
      </x:c>
      <x:c r="H4" s="130" t="str">
        <x:v>中</x:v>
      </x:c>
      <x:c r="I4" s="130" t="str">
        <x:v>低</x:v>
      </x:c>
      <x:c r="J4" s="110" t="str">
        <x:v>課題</x:v>
      </x:c>
      <x:c r="K4" s="110" t="str">
        <x:v>未評価</x:v>
      </x:c>
      <x:c r="L4" s="110" t="str">
        <x:v>未着手</x:v>
      </x:c>
      <x:c r="M4" s="110" t="str">
        <x:v>外部依存・着手条件</x:v>
      </x:c>
      <x:c r="N4" s="110" t="str">
        <x:v>データ基盤</x:v>
      </x:c>
    </x:row>
    <x:row r="5" ht="32" customHeight="1">
      <x:c r="A5" s="42" t="str">
        <x:v>A</x:v>
      </x:c>
      <x:c r="B5" s="42" t="str">
        <x:v>管理ID</x:v>
      </x:c>
      <x:c r="C5" s="42" t="str">
        <x:v>固定値</x:v>
      </x:c>
      <x:c r="D5" s="42" t="str">
        <x:v>SFDC-001形式。一度使用したIDは再利用しない。</x:v>
      </x:c>
      <x:c r="F5" s="136" t="str">
        <x:v>大</x:v>
      </x:c>
      <x:c r="G5" s="136" t="str">
        <x:v>高</x:v>
      </x:c>
      <x:c r="H5" s="136" t="str">
        <x:v>高</x:v>
      </x:c>
      <x:c r="I5" s="136" t="str">
        <x:v>中</x:v>
      </x:c>
      <x:c r="J5" s="110" t="str">
        <x:v>リスク</x:v>
      </x:c>
      <x:c r="K5" s="110" t="str">
        <x:v>高</x:v>
      </x:c>
      <x:c r="L5" s="110" t="str">
        <x:v>対応中</x:v>
      </x:c>
      <x:c r="M5" s="110" t="str">
        <x:v>プロジェクト管理</x:v>
      </x:c>
      <x:c r="N5" s="110" t="str">
        <x:v>インフラ</x:v>
      </x:c>
    </x:row>
    <x:row r="6" ht="32" customHeight="1">
      <x:c r="A6" s="42" t="str">
        <x:v>B</x:v>
      </x:c>
      <x:c r="B6" s="42" t="str">
        <x:v>区分</x:v>
      </x:c>
      <x:c r="C6" s="42" t="str">
        <x:v>選択式</x:v>
      </x:c>
      <x:c r="D6" s="42" t="str">
        <x:v>課題・リスク・確認事項・依存事項・変更要求候補・決定事項候補。</x:v>
      </x:c>
      <x:c r="F6" s="136" t="str">
        <x:v>中</x:v>
      </x:c>
      <x:c r="G6" s="136" t="str">
        <x:v>高</x:v>
      </x:c>
      <x:c r="H6" s="136" t="str">
        <x:v>中</x:v>
      </x:c>
      <x:c r="I6" s="136" t="str">
        <x:v>中</x:v>
      </x:c>
      <x:c r="J6" s="110" t="str">
        <x:v>確認事項</x:v>
      </x:c>
      <x:c r="K6" s="110" t="str">
        <x:v>中</x:v>
      </x:c>
      <x:c r="L6" s="110" t="str">
        <x:v>回答待ち</x:v>
      </x:c>
      <x:c r="M6" s="110" t="str">
        <x:v>要件定義</x:v>
      </x:c>
      <x:c r="N6" s="110" t="str">
        <x:v>U-SLIM</x:v>
      </x:c>
    </x:row>
    <x:row r="7" ht="32" customHeight="1">
      <x:c r="A7" s="42" t="str">
        <x:v>C</x:v>
      </x:c>
      <x:c r="B7" s="42" t="str">
        <x:v>優先度</x:v>
      </x:c>
      <x:c r="C7" s="42" t="str">
        <x:v>選択式</x:v>
      </x:c>
      <x:c r="D7" s="42" t="str">
        <x:v>未評価・高・中・低。影響度と緊急度を確認して設定する。</x:v>
      </x:c>
      <x:c r="F7" s="136" t="str">
        <x:v>小</x:v>
      </x:c>
      <x:c r="G7" s="136" t="str">
        <x:v>中</x:v>
      </x:c>
      <x:c r="H7" s="136" t="str">
        <x:v>低</x:v>
      </x:c>
      <x:c r="I7" s="136" t="str">
        <x:v>低</x:v>
      </x:c>
      <x:c r="J7" s="110" t="str">
        <x:v>依存事項</x:v>
      </x:c>
      <x:c r="K7" s="110" t="str">
        <x:v>低</x:v>
      </x:c>
      <x:c r="L7" s="110" t="str">
        <x:v>判断待ち</x:v>
      </x:c>
      <x:c r="M7" s="110" t="str">
        <x:v>Salesforceデータ調査</x:v>
      </x:c>
      <x:c r="N7" s="110" t="str">
        <x:v>DX道場</x:v>
      </x:c>
    </x:row>
    <x:row r="8" ht="32" customHeight="1">
      <x:c r="A8" s="42" t="str">
        <x:v>D</x:v>
      </x:c>
      <x:c r="B8" s="42" t="str">
        <x:v>ステータス</x:v>
      </x:c>
      <x:c r="C8" s="42" t="str">
        <x:v>選択式</x:v>
      </x:c>
      <x:c r="D8" s="42" t="str">
        <x:v>未着手・対応中・回答待ち・判断待ち・保留・解決・取消。</x:v>
      </x:c>
      <x:c r="J8" s="110" t="str">
        <x:v>変更要求候補</x:v>
      </x:c>
      <x:c r="K8" s="110"/>
      <x:c r="L8" s="110" t="str">
        <x:v>保留</x:v>
      </x:c>
      <x:c r="M8" s="110" t="str">
        <x:v>全体・非機能設計</x:v>
      </x:c>
      <x:c r="N8" s="110" t="str">
        <x:v>Cloudera</x:v>
      </x:c>
    </x:row>
    <x:row r="9" ht="32" customHeight="1">
      <x:c r="A9" s="42" t="str">
        <x:v>E</x:v>
      </x:c>
      <x:c r="B9" s="42" t="str">
        <x:v>課題タイトル</x:v>
      </x:c>
      <x:c r="C9" s="42" t="str">
        <x:v>自由入力</x:v>
      </x:c>
      <x:c r="D9" s="42" t="str">
        <x:v>対象と何を管理するかが分かる短い名称。</x:v>
      </x:c>
      <x:c r="F9" s="106" t="str">
        <x:v>優先度評価の基本ルール</x:v>
      </x:c>
      <x:c r="G9" s="106"/>
      <x:c r="H9" s="106"/>
      <x:c r="I9" s="106"/>
      <x:c r="J9" s="110" t="str">
        <x:v>決定事項候補</x:v>
      </x:c>
      <x:c r="K9" s="110"/>
      <x:c r="L9" s="110" t="str">
        <x:v>解決</x:v>
      </x:c>
      <x:c r="M9" s="110" t="str">
        <x:v>セキュリティ設計</x:v>
      </x:c>
      <x:c r="N9" s="110" t="str">
        <x:v>トヨタシステムズ</x:v>
      </x:c>
    </x:row>
    <x:row r="10" ht="34" customHeight="1">
      <x:c r="A10" s="42" t="str">
        <x:v>F</x:v>
      </x:c>
      <x:c r="B10" s="42" t="str">
        <x:v>課題・確認内容</x:v>
      </x:c>
      <x:c r="C10" s="42" t="str">
        <x:v>自由入力</x:v>
      </x:c>
      <x:c r="D10" s="42" t="str">
        <x:v>事実、未確定事項、確認・決定が必要な内容を記載する。</x:v>
      </x:c>
      <x:c r="F10" s="125" t="str">
        <x:v>影響度「大」</x:v>
      </x:c>
      <x:c r="G10" s="125" t="str">
        <x:v>後続工程停止、リリース変更、見積変更、データ欠落・重複、セキュリティ重大影響等。</x:v>
      </x:c>
      <x:c r="H10" s="125"/>
      <x:c r="I10" s="125"/>
      <x:c r="J10" s="110"/>
      <x:c r="K10" s="110"/>
      <x:c r="L10" s="110" t="str">
        <x:v>取消</x:v>
      </x:c>
      <x:c r="M10" s="110" t="str">
        <x:v>ネットワーク設計</x:v>
      </x:c>
      <x:c r="N10" s="110"/>
    </x:row>
    <x:row r="11" ht="34" customHeight="1">
      <x:c r="A11" s="42" t="str">
        <x:v>G</x:v>
      </x:c>
      <x:c r="B11" s="42" t="str">
        <x:v>プロジェクトへの影響</x:v>
      </x:c>
      <x:c r="C11" s="42" t="str">
        <x:v>自由入力</x:v>
      </x:c>
      <x:c r="D11" s="42" t="str">
        <x:v>未解決時に影響する工程、日程、工数、品質、セキュリティを具体化する。</x:v>
      </x:c>
      <x:c r="F11" s="125" t="str">
        <x:v>影響度「中」</x:v>
      </x:c>
      <x:c r="G11" s="125" t="str">
        <x:v>一部工程への影響、代替可能だが追加作業、手戻りの可能性等。</x:v>
      </x:c>
      <x:c r="H11" s="125"/>
      <x:c r="I11" s="125"/>
      <x:c r="J11" s="110"/>
      <x:c r="K11" s="110"/>
      <x:c r="L11" s="110"/>
      <x:c r="M11" s="110" t="str">
        <x:v>データ連携・IF設計</x:v>
      </x:c>
      <x:c r="N11" s="110"/>
    </x:row>
    <x:row r="12" ht="34" customHeight="1">
      <x:c r="A12" s="42" t="str">
        <x:v>H</x:v>
      </x:c>
      <x:c r="B12" s="42" t="str">
        <x:v>対応方針・次回アクション</x:v>
      </x:c>
      <x:c r="C12" s="42" t="str">
        <x:v>自由入力</x:v>
      </x:c>
      <x:c r="D12" s="42" t="str">
        <x:v>次に何を確認・決定・実施するかを具体的に記載する。</x:v>
      </x:c>
      <x:c r="F12" s="125" t="str">
        <x:v>影響度「小」</x:v>
      </x:c>
      <x:c r="G12" s="125" t="str">
        <x:v>後続を止めない、軽微な文書修正、第一リリース非影響等。</x:v>
      </x:c>
      <x:c r="H12" s="125"/>
      <x:c r="I12" s="125"/>
      <x:c r="J12" s="110"/>
      <x:c r="K12" s="110"/>
      <x:c r="L12" s="110"/>
      <x:c r="M12" s="110" t="str">
        <x:v>データ保存・テーブル設計</x:v>
      </x:c>
      <x:c r="N12" s="110"/>
    </x:row>
    <x:row r="13" ht="34" customHeight="1">
      <x:c r="A13" s="42" t="str">
        <x:v>I</x:v>
      </x:c>
      <x:c r="B13" s="42" t="str">
        <x:v>関連WBS ID</x:v>
      </x:c>
      <x:c r="C13" s="42" t="str">
        <x:v>自由入力</x:v>
      </x:c>
      <x:c r="D13" s="42" t="str">
        <x:v>関連するWBSタスクIDを記載する。複数の場合は読点で区切る。</x:v>
      </x:c>
      <x:c r="F13" s="125" t="str">
        <x:v>緊急度「高」</x:v>
      </x:c>
      <x:c r="G13" s="125" t="str">
        <x:v>期限超過、3営業日以内、現在作業停止、直近の承認・リリース判定に必要。</x:v>
      </x:c>
      <x:c r="H13" s="125"/>
      <x:c r="I13" s="125"/>
      <x:c r="J13" s="110"/>
      <x:c r="K13" s="110"/>
      <x:c r="L13" s="110"/>
      <x:c r="M13" s="110" t="str">
        <x:v>Salesforce接続設定</x:v>
      </x:c>
      <x:c r="N13" s="110"/>
    </x:row>
    <x:row r="14" ht="34" customHeight="1">
      <x:c r="A14" s="42" t="str">
        <x:v>J</x:v>
      </x:c>
      <x:c r="B14" s="42" t="str">
        <x:v>関連工程</x:v>
      </x:c>
      <x:c r="C14" s="42" t="str">
        <x:v>選択式</x:v>
      </x:c>
      <x:c r="D14" s="42" t="str">
        <x:v>主に影響するWBS工程を設定する。複数の場合は「複数工程」。</x:v>
      </x:c>
      <x:c r="F14" s="125" t="str">
        <x:v>緊急度「中」</x:v>
      </x:c>
      <x:c r="G14" s="125" t="str">
        <x:v>4～10営業日、1～2週間以内のWBSタスクへ影響。</x:v>
      </x:c>
      <x:c r="H14" s="125"/>
      <x:c r="I14" s="125"/>
      <x:c r="J14" s="110"/>
      <x:c r="K14" s="110"/>
      <x:c r="L14" s="110"/>
      <x:c r="M14" s="110" t="str">
        <x:v>データ取得・保存開発</x:v>
      </x:c>
      <x:c r="N14" s="110"/>
    </x:row>
    <x:row r="15" ht="34" customHeight="1">
      <x:c r="A15" s="42" t="str">
        <x:v>K</x:v>
      </x:c>
      <x:c r="B15" s="42" t="str">
        <x:v>主担当チーム</x:v>
      </x:c>
      <x:c r="C15" s="42" t="str">
        <x:v>選択式</x:v>
      </x:c>
      <x:c r="D15" s="42" t="str">
        <x:v>解決・調査・取りまとめに責任を持つ社内チームを一つ設定する。</x:v>
      </x:c>
      <x:c r="F15" s="125" t="str">
        <x:v>緊急度「低」</x:v>
      </x:c>
      <x:c r="G15" s="125" t="str">
        <x:v>11営業日以上、第一リリース後に対応可能、将来対応。</x:v>
      </x:c>
      <x:c r="H15" s="125"/>
      <x:c r="I15" s="125"/>
      <x:c r="J15" s="110"/>
      <x:c r="K15" s="110"/>
      <x:c r="L15" s="110"/>
      <x:c r="M15" s="110" t="str">
        <x:v>単体試験</x:v>
      </x:c>
      <x:c r="N15" s="110"/>
    </x:row>
    <x:row r="16" ht="34" customHeight="1">
      <x:c r="A16" s="42" t="str">
        <x:v>L</x:v>
      </x:c>
      <x:c r="B16" s="42" t="str">
        <x:v>主担当者</x:v>
      </x:c>
      <x:c r="C16" s="42" t="str">
        <x:v>自由入力</x:v>
      </x:c>
      <x:c r="D16" s="42" t="str">
        <x:v>課題を管理し、進捗更新と完了報告を行う担当者。</x:v>
      </x:c>
      <x:c r="F16" s="125" t="str">
        <x:v>引上げ条件</x:v>
      </x:c>
      <x:c r="G16" s="125" t="str">
        <x:v>個人情報、本番権限、クリティカルパス、2販社、長期外部申請、正式見積変更等。</x:v>
      </x:c>
      <x:c r="H16" s="125"/>
      <x:c r="I16" s="125"/>
      <x:c r="J16" s="110"/>
      <x:c r="K16" s="110"/>
      <x:c r="L16" s="110"/>
      <x:c r="M16" s="110" t="str">
        <x:v>結合・E2E試験</x:v>
      </x:c>
      <x:c r="N16" s="110"/>
    </x:row>
    <x:row r="17" ht="34" customHeight="1">
      <x:c r="A17" s="42" t="str">
        <x:v>M</x:v>
      </x:c>
      <x:c r="B17" s="42" t="str">
        <x:v>確認・依頼先</x:v>
      </x:c>
      <x:c r="C17" s="42" t="str">
        <x:v>自由入力</x:v>
      </x:c>
      <x:c r="D17" s="42" t="str">
        <x:v>回答・準備・承認・判断を依頼する相手。</x:v>
      </x:c>
      <x:c r="F17" s="125" t="str">
        <x:v>初期登録</x:v>
      </x:c>
      <x:c r="G17" s="125" t="str">
        <x:v>状況・期限・担当者の根拠が不足するため、優先度は原則「未評価」。</x:v>
      </x:c>
      <x:c r="H17" s="125"/>
      <x:c r="I17" s="125"/>
      <x:c r="J17" s="110"/>
      <x:c r="K17" s="110"/>
      <x:c r="L17" s="110"/>
      <x:c r="M17" s="110" t="str">
        <x:v>運用・障害対応設計</x:v>
      </x:c>
      <x:c r="N17" s="110"/>
    </x:row>
    <x:row r="18" ht="32" customHeight="1">
      <x:c r="A18" s="42" t="str">
        <x:v>N</x:v>
      </x:c>
      <x:c r="B18" s="42" t="str">
        <x:v>起票日</x:v>
      </x:c>
      <x:c r="C18" s="42" t="str">
        <x:v>日付</x:v>
      </x:c>
      <x:c r="D18" s="42" t="str">
        <x:v>管理表へ最初に登録した日。後から変更しない。</x:v>
      </x:c>
      <x:c r="J18" s="110"/>
      <x:c r="K18" s="110"/>
      <x:c r="L18" s="110"/>
      <x:c r="M18" s="110" t="str">
        <x:v>本番移行・リリース</x:v>
      </x:c>
      <x:c r="N18" s="110"/>
    </x:row>
    <x:row r="19" ht="32" customHeight="1">
      <x:c r="A19" s="42" t="str">
        <x:v>O</x:v>
      </x:c>
      <x:c r="B19" s="42" t="str">
        <x:v>対応期限</x:v>
      </x:c>
      <x:c r="C19" s="42" t="str">
        <x:v>日付</x:v>
      </x:c>
      <x:c r="D19" s="42" t="str">
        <x:v>後続WBS開始日、会議、申請期限等の根拠がある場合のみ設定する。</x:v>
      </x:c>
      <x:c r="F19" s="178" t="str">
        <x:v>提出前・正式運用前の確認事項</x:v>
      </x:c>
      <x:c r="G19" s="178"/>
      <x:c r="H19" s="178"/>
      <x:c r="I19" s="178"/>
      <x:c r="J19" s="110"/>
      <x:c r="K19" s="110"/>
      <x:c r="L19" s="110"/>
      <x:c r="M19" s="110" t="str">
        <x:v>複数工程</x:v>
      </x:c>
      <x:c r="N19" s="110"/>
    </x:row>
    <x:row r="20" ht="38" customHeight="1">
      <x:c r="A20" s="42" t="str">
        <x:v>P</x:v>
      </x:c>
      <x:c r="B20" s="42" t="str">
        <x:v>残日数</x:v>
      </x:c>
      <x:c r="C20" s="42" t="str">
        <x:v>自動計算</x:v>
      </x:c>
      <x:c r="D20" s="42" t="str">
        <x:v>対応期限から本日までの暦日。優先度評価時は営業日も確認する。</x:v>
      </x:c>
      <x:c r="F20" s="182" t="str">
        <x:v>1</x:v>
      </x:c>
      <x:c r="G20" s="184" t="str">
        <x:v>項目の妥当性</x:v>
      </x:c>
      <x:c r="H20" s="125" t="str">
        <x:v>各管理項目が本当に必要か、内容・粒度・重複を関係者が確認する。</x:v>
      </x:c>
      <x:c r="J20" s="110"/>
      <x:c r="K20" s="110"/>
      <x:c r="L20" s="110"/>
      <x:c r="M20" s="110" t="str">
        <x:v>対象範囲確認</x:v>
      </x:c>
      <x:c r="N20" s="110"/>
    </x:row>
    <x:row r="21" ht="38" customHeight="1">
      <x:c r="A21" s="42" t="str">
        <x:v>Q</x:v>
      </x:c>
      <x:c r="B21" s="42" t="str">
        <x:v>期限判定</x:v>
      </x:c>
      <x:c r="C21" s="42" t="str">
        <x:v>自動計算</x:v>
      </x:c>
      <x:c r="D21" s="42" t="str">
        <x:v>期限未設定・期限内・期限接近・本日期限・期限超過・完了。</x:v>
      </x:c>
      <x:c r="F21" s="182" t="str">
        <x:v>2</x:v>
      </x:c>
      <x:c r="G21" s="184" t="str">
        <x:v>項目の合意</x:v>
      </x:c>
      <x:c r="H21" s="125" t="str">
        <x:v>追加・統合・削除・区分変更を含め、正式な管理対象を合意する。</x:v>
      </x:c>
      <x:c r="J21" s="110"/>
      <x:c r="K21" s="110"/>
      <x:c r="L21" s="110"/>
      <x:c r="M21" s="110" t="str">
        <x:v>将来対応</x:v>
      </x:c>
      <x:c r="N21" s="110"/>
    </x:row>
    <x:row r="22" ht="38" customHeight="1">
      <x:c r="A22" s="42" t="str">
        <x:v>R</x:v>
      </x:c>
      <x:c r="B22" s="42" t="str">
        <x:v>最終更新日</x:v>
      </x:c>
      <x:c r="C22" s="42" t="str">
        <x:v>日付</x:v>
      </x:c>
      <x:c r="D22" s="42" t="str">
        <x:v>状態、期限、対応方針、結論などを最後に更新した日。</x:v>
      </x:c>
      <x:c r="F22" s="182" t="str">
        <x:v>3</x:v>
      </x:c>
      <x:c r="G22" s="184" t="str">
        <x:v>担当体制</x:v>
      </x:c>
      <x:c r="H22" s="125" t="str">
        <x:v>主担当チーム、主担当者、確認・依頼先、判断者・承認者を確認する。</x:v>
      </x:c>
    </x:row>
    <x:row r="23" ht="38" customHeight="1">
      <x:c r="A23" s="42" t="str">
        <x:v>S</x:v>
      </x:c>
      <x:c r="B23" s="42" t="str">
        <x:v>結論・対応結果</x:v>
      </x:c>
      <x:c r="C23" s="42" t="str">
        <x:v>自由入力</x:v>
      </x:c>
      <x:c r="D23" s="42" t="str">
        <x:v>何が決まり、何を対応し、WBSへどう反映したかを記載する。</x:v>
      </x:c>
      <x:c r="F23" s="182" t="str">
        <x:v>4</x:v>
      </x:c>
      <x:c r="G23" s="184" t="str">
        <x:v>期限・優先度</x:v>
      </x:c>
      <x:c r="H23" s="125" t="str">
        <x:v>後続WBS、会議、申請、リリース日を根拠に期限と優先度を決める。</x:v>
      </x:c>
    </x:row>
    <x:row r="24" ht="38" customHeight="1">
      <x:c r="A24" s="42" t="str">
        <x:v>T</x:v>
      </x:c>
      <x:c r="B24" s="42" t="str">
        <x:v>完了日</x:v>
      </x:c>
      <x:c r="C24" s="42" t="str">
        <x:v>日付</x:v>
      </x:c>
      <x:c r="D24" s="42" t="str">
        <x:v>ステータスが解決または取消となった日。</x:v>
      </x:c>
      <x:c r="F24" s="182" t="str">
        <x:v>5</x:v>
      </x:c>
      <x:c r="G24" s="184" t="str">
        <x:v>既存資料との整合</x:v>
      </x:c>
      <x:c r="H24" s="125" t="str">
        <x:v>WBS、見積、議事録、設計書、作業チケットとの不一致がないか確認する。</x:v>
      </x:c>
      <x:c r="J24" s="129" t="str">
        <x:v>表示項目</x:v>
      </x:c>
      <x:c r="K24" s="129" t="str">
        <x:v>値</x:v>
      </x:c>
      <x:c r="L24" s="129" t="str">
        <x:v>色の意味</x:v>
      </x:c>
      <x:c r="M24" s="129"/>
      <x:c r="N24" s="129"/>
    </x:row>
    <x:row r="25" ht="38" customHeight="1">
      <x:c r="A25" s="42" t="str">
        <x:v>U</x:v>
      </x:c>
      <x:c r="B25" s="42" t="str">
        <x:v>関連URL</x:v>
      </x:c>
      <x:c r="C25" s="42" t="str">
        <x:v>URL</x:v>
      </x:c>
      <x:c r="D25" s="42" t="str">
        <x:v>代表となるチケット、議事録、設計書、Evidence等のURL。</x:v>
      </x:c>
      <x:c r="F25" s="182" t="str">
        <x:v>6</x:v>
      </x:c>
      <x:c r="G25" s="184" t="str">
        <x:v>正式化後の更新</x:v>
      </x:c>
      <x:c r="H25" s="125" t="str">
        <x:v>確認結果を課題管理表へ反映し、必要に応じWBSも修正する。</x:v>
      </x:c>
      <x:c r="J25" s="125" t="str">
        <x:v>区分</x:v>
      </x:c>
      <x:c r="K25" s="125" t="str">
        <x:v>課題</x:v>
      </x:c>
      <x:c r="L25" s="125" t="str">
        <x:v>発生済みの管理・作業上の問題</x:v>
      </x:c>
      <x:c r="M25" s="125"/>
      <x:c r="N25" s="125"/>
    </x:row>
    <x:row r="26" ht="28" customHeight="1">
      <x:c r="A26" s="42" t="str">
        <x:v>V</x:v>
      </x:c>
      <x:c r="B26" s="42" t="str">
        <x:v>統合前抽出ID</x:v>
      </x:c>
      <x:c r="C26" s="42" t="str">
        <x:v>固定値</x:v>
      </x:c>
      <x:c r="D26" s="42" t="str">
        <x:v>EC-001等、ステップ1の候補との対応を保持する追跡用項目。</x:v>
      </x:c>
      <x:c r="J26" s="125" t="str">
        <x:v>区分</x:v>
      </x:c>
      <x:c r="K26" s="125" t="str">
        <x:v>リスク</x:v>
      </x:c>
      <x:c r="L26" s="125" t="str">
        <x:v>将来問題になる可能性</x:v>
      </x:c>
      <x:c r="M26" s="125"/>
      <x:c r="N26" s="125"/>
    </x:row>
    <x:row r="27" ht="28" customHeight="1">
      <x:c r="A27" s="42" t="str">
        <x:v>W</x:v>
      </x:c>
      <x:c r="B27" s="42" t="str">
        <x:v>背景・原因</x:v>
      </x:c>
      <x:c r="C27" s="42" t="str">
        <x:v>自由入力</x:v>
      </x:c>
      <x:c r="D27" s="42" t="str">
        <x:v>発生背景または管理が必要となった理由。原因不明の場合は推測しない。</x:v>
      </x:c>
      <x:c r="J27" s="125" t="str">
        <x:v>区分</x:v>
      </x:c>
      <x:c r="K27" s="125" t="str">
        <x:v>確認事項</x:v>
      </x:c>
      <x:c r="L27" s="125" t="str">
        <x:v>事実確認・調査が必要</x:v>
      </x:c>
      <x:c r="M27" s="125"/>
      <x:c r="N27" s="125"/>
    </x:row>
    <x:row r="28" ht="28" customHeight="1">
      <x:c r="A28" s="42" t="str">
        <x:v>X</x:v>
      </x:c>
      <x:c r="B28" s="42" t="str">
        <x:v>備考</x:v>
      </x:c>
      <x:c r="C28" s="42" t="str">
        <x:v>自由入力</x:v>
      </x:c>
      <x:c r="D28" s="42" t="str">
        <x:v>関連課題、仮条件、次回確認予定、追加見積可能性等を記載する。</x:v>
      </x:c>
      <x:c r="J28" s="125" t="str">
        <x:v>区分</x:v>
      </x:c>
      <x:c r="K28" s="125" t="str">
        <x:v>依存事項</x:v>
      </x:c>
      <x:c r="L28" s="125" t="str">
        <x:v>外部準備・回答に依存</x:v>
      </x:c>
      <x:c r="M28" s="125"/>
      <x:c r="N28" s="125"/>
    </x:row>
    <x:row r="29" ht="28" customHeight="1">
      <x:c r="J29" s="125" t="str">
        <x:v>区分</x:v>
      </x:c>
      <x:c r="K29" s="125" t="str">
        <x:v>変更要求候補</x:v>
      </x:c>
      <x:c r="L29" s="125" t="str">
        <x:v>採用時に範囲・見積が変わる可能性</x:v>
      </x:c>
      <x:c r="M29" s="125"/>
      <x:c r="N29" s="125"/>
    </x:row>
    <x:row r="30" ht="28" customHeight="1">
      <x:c r="J30" s="125" t="str">
        <x:v>区分</x:v>
      </x:c>
      <x:c r="K30" s="125" t="str">
        <x:v>決定事項候補</x:v>
      </x:c>
      <x:c r="L30" s="125" t="str">
        <x:v>関係者の判断・承認が必要</x:v>
      </x:c>
      <x:c r="M30" s="125"/>
      <x:c r="N30" s="125"/>
    </x:row>
    <x:row r="31" ht="28" customHeight="1">
      <x:c r="J31" s="125" t="str">
        <x:v>期限</x:v>
      </x:c>
      <x:c r="K31" s="125" t="str">
        <x:v>期限超過</x:v>
      </x:c>
      <x:c r="L31" s="125" t="str">
        <x:v>直ちに対応状況を確認</x:v>
      </x:c>
      <x:c r="M31" s="125"/>
      <x:c r="N31" s="125"/>
    </x:row>
    <x:row r="32" ht="28" customHeight="1">
      <x:c r="J32" s="125" t="str">
        <x:v>期限</x:v>
      </x:c>
      <x:c r="K32" s="125" t="str">
        <x:v>期限接近</x:v>
      </x:c>
      <x:c r="L32" s="125" t="str">
        <x:v>3日以内。担当・次回アクションを確認</x:v>
      </x:c>
      <x:c r="M32" s="125"/>
      <x:c r="N32" s="125"/>
    </x:row>
  </x:sheetData>
  <x:mergeCells>
    <x:mergeCell ref="A1:Q1"/>
    <x:mergeCell ref="A2:Q2"/>
    <x:mergeCell ref="F9:I9"/>
    <x:mergeCell ref="G10:I10"/>
    <x:mergeCell ref="G11:I11"/>
    <x:mergeCell ref="G12:I12"/>
    <x:mergeCell ref="G13:I13"/>
    <x:mergeCell ref="G14:I14"/>
    <x:mergeCell ref="G15:I15"/>
    <x:mergeCell ref="G16:I16"/>
    <x:mergeCell ref="G17:I17"/>
    <x:mergeCell ref="L25:N25"/>
    <x:mergeCell ref="L26:N26"/>
    <x:mergeCell ref="L27:N27"/>
    <x:mergeCell ref="L28:N28"/>
    <x:mergeCell ref="L29:N29"/>
    <x:mergeCell ref="L30:N30"/>
    <x:mergeCell ref="L31:N31"/>
    <x:mergeCell ref="L32:N32"/>
    <x:mergeCell ref="A3:I3"/>
    <x:mergeCell ref="F19:I19"/>
  </x:mergeCells>
  <x:pageMargins left="0.7" right="0.7" top="0.75" bottom="0.75" header="0.3" footer="0.3"/>
</x:worksheet>
</file>