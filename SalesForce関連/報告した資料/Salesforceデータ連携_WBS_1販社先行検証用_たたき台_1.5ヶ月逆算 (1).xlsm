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ADME_入力規則設定" sheetId="1" r:id="rId4"/>
    <sheet state="visible" name="WBS_テンプレ" sheetId="2" r:id="rId5"/>
    <sheet state="visible" name="_old_WBS_Kuduバージョン" sheetId="3" r:id="rId6"/>
    <sheet state="visible" name="ref_祝日・トヨテック休日一覧2026" sheetId="4" r:id="rId7"/>
    <sheet state="visible" name="WBS_タスク補足" sheetId="5" r:id="rId8"/>
    <sheet state="visible" name="見積工数対応表" sheetId="6" r:id="rId9"/>
    <sheet state="visible" name="WBS_閲覧用" sheetId="7" r:id="rId10"/>
    <sheet state="visible" name="WBS_方針変更記録" sheetId="8" r:id="rId11"/>
    <sheet state="visible" name="WBS工数配賦" sheetId="9" r:id="rId12"/>
    <sheet state="visible" name="見積突合・スコープ整理" sheetId="10" r:id="rId13"/>
    <sheet state="visible" name="1.5か月実行方針" sheetId="11" r:id="rId14"/>
  </sheets>
  <definedNames/>
  <calcPr/>
  <extLst>
    <ext uri="GoogleSheetsCustomDataVersion2">
      <go:sheetsCustomData xmlns:go="http://customooxmlschemas.google.com/" r:id="rId15" roundtripDataChecksum="IpQ2KTmWS9AvlDPmOS/a/F2FaCW6C0Z8kzwVwcYkCnk="/>
    </ext>
  </extLst>
</workbook>
</file>

<file path=xl/sharedStrings.xml><?xml version="1.0" encoding="utf-8"?>
<sst xmlns="http://schemas.openxmlformats.org/spreadsheetml/2006/main" count="4086" uniqueCount="1286">
  <si>
    <t>祝日名</t>
  </si>
  <si>
    <t>範囲</t>
  </si>
  <si>
    <t>日付</t>
  </si>
  <si>
    <t>曜日</t>
  </si>
  <si>
    <t>入力・運用ルール</t>
  </si>
  <si>
    <t>入力用</t>
  </si>
  <si>
    <t>表示用</t>
  </si>
  <si>
    <t>元日</t>
  </si>
  <si>
    <t>A:C</t>
  </si>
  <si>
    <t>Kuduバージョン</t>
  </si>
  <si>
    <t>木</t>
  </si>
  <si>
    <t>大項目・中項目・小項目（入力）</t>
  </si>
  <si>
    <t>D:H</t>
  </si>
  <si>
    <t>成人の日</t>
  </si>
  <si>
    <t>表示用階層・項番（数式。編集しない）</t>
  </si>
  <si>
    <t>月</t>
  </si>
  <si>
    <t>I:I</t>
  </si>
  <si>
    <t>建国記念の日</t>
  </si>
  <si>
    <t>主担当チーム（選択式）</t>
  </si>
  <si>
    <t>水</t>
  </si>
  <si>
    <t>J:J</t>
  </si>
  <si>
    <t>主担当者（自由入力）</t>
  </si>
  <si>
    <t>天皇誕生日</t>
  </si>
  <si>
    <t>K:K</t>
  </si>
  <si>
    <t>PROEVER等のタスクURL</t>
  </si>
  <si>
    <t>春分の日</t>
  </si>
  <si>
    <t>金</t>
  </si>
  <si>
    <t>L:L</t>
  </si>
  <si>
    <t>タイトル自動作成（数式。編集しない）</t>
  </si>
  <si>
    <t>昭和の日</t>
  </si>
  <si>
    <t>M:N</t>
  </si>
  <si>
    <t>開始日・終了日</t>
  </si>
  <si>
    <t>憲法記念日</t>
  </si>
  <si>
    <t>日</t>
  </si>
  <si>
    <t>※タスクの項番はDX道場チーム資料準拠</t>
  </si>
  <si>
    <t>O:O</t>
  </si>
  <si>
    <t>ステータス（準備中／進行中／完了）</t>
  </si>
  <si>
    <t>みどりの日</t>
  </si>
  <si>
    <t>Sprint7</t>
  </si>
  <si>
    <t>P:DN</t>
  </si>
  <si>
    <t>ガントチャート（2026/7/6～2026/10/16）</t>
  </si>
  <si>
    <t>こどもの日</t>
  </si>
  <si>
    <t>火</t>
  </si>
  <si>
    <t>注意</t>
  </si>
  <si>
    <t>未確定の担当者・工数は推測で入力していません。</t>
  </si>
  <si>
    <t>Sprint8</t>
  </si>
  <si>
    <t>憲法記念日振替休日</t>
  </si>
  <si>
    <t>基準前提</t>
  </si>
  <si>
    <t>1販社先行検証・NiFi・検証環境・Salesforce→NiFi→Kudu（参照用TB）連携。Bronze→Silver→Gold、ADLS、Power BI、号口反映、2販社目は今回の基準スコープ外または後続対応。</t>
  </si>
  <si>
    <t>Sprint9</t>
  </si>
  <si>
    <t>海の日</t>
  </si>
  <si>
    <t>推奨閲覧シート</t>
  </si>
  <si>
    <t>WBS_閲覧用：主要項目と週次ガントを横幅を抑えて表示</t>
  </si>
  <si>
    <t>夏休みーー</t>
  </si>
  <si>
    <t>ーーー</t>
  </si>
  <si>
    <t>山の日</t>
  </si>
  <si>
    <t>詳細確認シート</t>
  </si>
  <si>
    <t>WBS_タスク補足：作業内容・完了条件・根拠・備考を確認</t>
  </si>
  <si>
    <t>ーー＞</t>
  </si>
  <si>
    <t>Sprint10</t>
  </si>
  <si>
    <t>方針変更の根拠</t>
  </si>
  <si>
    <t>敬老の日</t>
  </si>
  <si>
    <t>Salesforceデータ連携およびPower BIファイル形式に関する打ち合わせまとめ.md</t>
  </si>
  <si>
    <t>Sprint11</t>
  </si>
  <si>
    <t>MTG決定事項</t>
  </si>
  <si>
    <t>まず1販社を対象に、SalesforceからNiFiを経由してKudu（参照用TB）へデータを連携し、参照可能な状態までを調査・準備・検証する。</t>
  </si>
  <si>
    <t>国民の休日</t>
  </si>
  <si>
    <t>Sprint12</t>
  </si>
  <si>
    <t>WBSの扱い</t>
  </si>
  <si>
    <t>現行タスクIDを維持し、1販社先行検証を通常作業、2販社目・号口反映を条件付き／後続作業として整理。</t>
  </si>
  <si>
    <t>秋分の日</t>
  </si>
  <si>
    <t>Sprint13</t>
  </si>
  <si>
    <t>工数の扱い</t>
  </si>
  <si>
    <t>大項目</t>
  </si>
  <si>
    <t>基準工数53.5人日。1販社見積57.5人日から、号口リリース設計2人日・実施2人日を条件付きへ分離。第一リリース資料51.5人日はADF・ADLS・Cloudera加工・Power BIを含む別構成のため合算しない。</t>
  </si>
  <si>
    <t>項番</t>
  </si>
  <si>
    <t>中項目</t>
  </si>
  <si>
    <t>小項目</t>
  </si>
  <si>
    <t>プロジェクト</t>
  </si>
  <si>
    <t>スポーツの日</t>
  </si>
  <si>
    <t>タスク明細</t>
  </si>
  <si>
    <t>担当</t>
  </si>
  <si>
    <t>未確定</t>
  </si>
  <si>
    <t>先行販社名、対象Object・Field、Kudu参照用TBのDB／テーブル名、Full／Incremental、検証完了条件、正式日程。</t>
  </si>
  <si>
    <t>PROEVER URL</t>
  </si>
  <si>
    <t>スケジュール</t>
  </si>
  <si>
    <t>文化の日</t>
  </si>
  <si>
    <t>ステータス</t>
  </si>
  <si>
    <t>Power BI</t>
  </si>
  <si>
    <t>PBIX→PBIP自動変換検証は一旦中止。Power BI関連はSalesforce先行検証の必須範囲外として別途確認。</t>
  </si>
  <si>
    <t>勤労感謝の日</t>
  </si>
  <si>
    <t>正式管理元</t>
  </si>
  <si>
    <t>WBS_テンプレ。WBS_閲覧用は確認用で、変更時は両シートの整合を確認する。</t>
  </si>
  <si>
    <t>夏休み</t>
  </si>
  <si>
    <t>更新日</t>
  </si>
  <si>
    <t>2026/08/05</t>
  </si>
  <si>
    <t>工数根拠資料1</t>
  </si>
  <si>
    <t>Salesforceデータ連携_お見積もり(1)／概算お見積り_初期開発_1販社</t>
  </si>
  <si>
    <t>工数根拠資料2</t>
  </si>
  <si>
    <t>Salesforceデータ連携_マネージ資料_3案 セレス案(1)／概算お見積り（第一リリース）</t>
  </si>
  <si>
    <t>基準工数</t>
  </si>
  <si>
    <t>53.5人日（先行検証・検証環境）</t>
  </si>
  <si>
    <t>タイトル</t>
  </si>
  <si>
    <t>条件付き工数</t>
  </si>
  <si>
    <t>4.0人日（号口リリース設計2.0＋実施2.0）</t>
  </si>
  <si>
    <t>チーム</t>
  </si>
  <si>
    <t>担当者</t>
  </si>
  <si>
    <t>-</t>
  </si>
  <si>
    <t>開始日</t>
  </si>
  <si>
    <t>終了日</t>
  </si>
  <si>
    <t>仮作業期間</t>
  </si>
  <si>
    <t>2026/08/03～2026/09/18。正式納期は要件確定後に再確認。</t>
  </si>
  <si>
    <t>土</t>
  </si>
  <si>
    <t>今回の作業スコープ</t>
  </si>
  <si>
    <t>Salesforce → NiFi → Kudu（参照用TB）へのデータ連携と確認</t>
  </si>
  <si>
    <t>今回スコープ外</t>
  </si>
  <si>
    <t>ADLS、Bronze、Silver、Gold、Power BI。WBS上は履歴確認のため残すが、実行対象には含めない。</t>
  </si>
  <si>
    <t>1.5か月の進め方</t>
  </si>
  <si>
    <t>必須作業を優先し、文書化・標準化・将来展開向け作業は暫定対応または後続へ回す。</t>
  </si>
  <si>
    <t>並行化</t>
  </si>
  <si>
    <t>要件／Salesforce調査、Security／NW、IF／Kuduテーブル設計、単体／Security-NW試験など、依存関係が許す範囲で並行する。</t>
  </si>
  <si>
    <t>目標完了</t>
  </si>
  <si>
    <t>2026/09/18（仮）。約1.5か月の期待値を基準とする。</t>
  </si>
  <si>
    <t>正式日程は担当体制・外部依存・対象データ確定後に再確認する。</t>
  </si>
  <si>
    <t>Dataviz</t>
  </si>
  <si>
    <t>プロジェクト管理</t>
  </si>
  <si>
    <t>PowerBI関連</t>
  </si>
  <si>
    <t>DX道場</t>
  </si>
  <si>
    <t>進行中</t>
  </si>
  <si>
    <t>夏休みーーーーーーーーーーーーーーーーーーーーーーーーーー＞</t>
  </si>
  <si>
    <t>dataviz関連カンレン</t>
  </si>
  <si>
    <t>Sprint14</t>
  </si>
  <si>
    <t>PowerBI帳票仕様変更対応</t>
  </si>
  <si>
    <t>NEO帳票仕様変更対応(仕様変更と全国展開対応)</t>
  </si>
  <si>
    <t>問合せ</t>
  </si>
  <si>
    <t>顧客問合せ対応コキャクトイアワタイオウ</t>
  </si>
  <si>
    <t>PROEVER情報</t>
  </si>
  <si>
    <t>dataviz開発（既存機能）</t>
  </si>
  <si>
    <t>残った帳票の開発（SMB空き枠カレンダー、新車受注分析、長崎_経営ダッシュボード 、マスタメンテナンス機能の一部）ノコチョウヒョウカイハツイチブ</t>
  </si>
  <si>
    <t>dataviz開発（マージ対応）</t>
  </si>
  <si>
    <t>新車受注分析</t>
  </si>
  <si>
    <t>準備中</t>
  </si>
  <si>
    <t>中古車受注分析（マスタ画面含め）ガメンフク</t>
  </si>
  <si>
    <t>中項番</t>
  </si>
  <si>
    <t>小項番</t>
  </si>
  <si>
    <t>URL</t>
  </si>
  <si>
    <t>タイトル（自動作成）</t>
  </si>
  <si>
    <t>中古車仕入・在庫情報</t>
  </si>
  <si>
    <t>市場処置の実施状況と部品管理見える化</t>
  </si>
  <si>
    <t>NEO 契約№変更対応の帳票改修</t>
  </si>
  <si>
    <t>ストール充足率の見える化</t>
  </si>
  <si>
    <t>A</t>
  </si>
  <si>
    <t>事前準備</t>
  </si>
  <si>
    <t>Dataviz構成図整理</t>
  </si>
  <si>
    <t>インフラ</t>
  </si>
  <si>
    <t>Schiffer</t>
  </si>
  <si>
    <t>【DATA VIZ】コンポーネント図作成 | PROEVER</t>
  </si>
  <si>
    <t>B</t>
  </si>
  <si>
    <t>WBS作成</t>
  </si>
  <si>
    <t>木村</t>
  </si>
  <si>
    <t>【Data Viz】WBS詳細の作成 | PROEVER</t>
  </si>
  <si>
    <t>権限設計</t>
  </si>
  <si>
    <t>各販社のユーザー情報収集</t>
  </si>
  <si>
    <t>Salesforceデータ連携（1販社先行検証）</t>
  </si>
  <si>
    <t>外部依存・着手条件</t>
  </si>
  <si>
    <t>Salesforce Sandbox環境の準備</t>
  </si>
  <si>
    <t>Ranger権限設定のデモのスクリプト作成とインフラチームへの説明セツメイ</t>
  </si>
  <si>
    <t>C</t>
  </si>
  <si>
    <t>Ranger権限設定のレビュー（Clouderaに連携）</t>
  </si>
  <si>
    <t>各販社ユーザー向けRangeロール作成（検証環境）ケンショウカンキョウ</t>
  </si>
  <si>
    <t>各販社ユーザー向けユーザ権限付与（検証環境）ケンゲンフヨ</t>
  </si>
  <si>
    <t>Dataviz関連ユーザ権限設計レビュー（設計は６月にやった）カンレンケンゲンセッケイセッケイガツ</t>
  </si>
  <si>
    <t>Dataviz関連ユーザ権限設計検証カンレンケンゲンセッケイケンショウ</t>
  </si>
  <si>
    <t>TMCセキュリティ要件・個人情報取扱条件の提示</t>
  </si>
  <si>
    <t>D</t>
  </si>
  <si>
    <t>認証方式変更</t>
  </si>
  <si>
    <t>GAC申請</t>
  </si>
  <si>
    <r>
      <rPr>
        <rFont val="Yu Gothic UI"/>
        <color rgb="FF000000"/>
        <sz val="11.0"/>
      </rPr>
      <t xml:space="preserve">ATSC／GAC CDP導入（検証環境）
</t>
    </r>
    <r>
      <rPr>
        <rFont val="Meiryo UI"/>
        <color rgb="FFFF0000"/>
        <sz val="11.0"/>
      </rPr>
      <t>※望ましいのは7月末前に完了、できない場合、</t>
    </r>
    <r>
      <rPr>
        <rFont val="Noto Sans JP"/>
        <color rgb="FFFF0000"/>
        <sz val="11.0"/>
      </rPr>
      <t>8/7前</t>
    </r>
    <r>
      <rPr>
        <rFont val="Meiryo UI"/>
        <color rgb="FFFF0000"/>
        <sz val="11.0"/>
      </rPr>
      <t>に完了必須</t>
    </r>
  </si>
  <si>
    <t>ATSC／GAC  Web導入（検証環境）ドウニュウ</t>
  </si>
  <si>
    <t>中間テーブル</t>
  </si>
  <si>
    <t>JOB環境の申込カンキョウモウシコミ</t>
  </si>
  <si>
    <t>JOB環境の構築コウチク</t>
  </si>
  <si>
    <t>Salesforceアカウント・認証情報の準備</t>
  </si>
  <si>
    <t>中間テーブル更新のJOB作成コウシンサクセイ</t>
  </si>
  <si>
    <t>テスト</t>
  </si>
  <si>
    <t>詳細設計書改修</t>
  </si>
  <si>
    <t>資料整備</t>
  </si>
  <si>
    <t>マニュアル改修</t>
  </si>
  <si>
    <t>受入テスト対応</t>
  </si>
  <si>
    <t>受入テスト</t>
  </si>
  <si>
    <t>ユーザーアクセス権限の本番データ移行</t>
  </si>
  <si>
    <t>先行対象1販社・検証環境・Salesforce Orgの確定</t>
  </si>
  <si>
    <t>本番リリース</t>
  </si>
  <si>
    <t>本番情報設定（役割グループ、Ranger、Job）ホンバンジョウホウセッテイヤクワリ</t>
  </si>
  <si>
    <t>リリース準備と実施</t>
  </si>
  <si>
    <t>NiFi連携方式・Kudu参照用TB・先行検証範囲の確定</t>
  </si>
  <si>
    <t>1販社先行検証の着手判定</t>
  </si>
  <si>
    <t>WBS・スケジュール・進捗管理</t>
  </si>
  <si>
    <t>課題・リスク管理</t>
  </si>
  <si>
    <t>Salesforce・基盤関係者調整</t>
  </si>
  <si>
    <t>設計・成果物レビュー管理</t>
  </si>
  <si>
    <t>試験・先行検証完了判定管理</t>
  </si>
  <si>
    <t>スコープ変更・後続展開課題管理</t>
  </si>
  <si>
    <t>要件定義</t>
  </si>
  <si>
    <t>1販社先行検証の目的・対象範囲の整理</t>
  </si>
  <si>
    <t>先行対象販社・Org・利用者の整理</t>
  </si>
  <si>
    <t>データ鮮度・更新頻度・保持期間の整理</t>
  </si>
  <si>
    <t>先行検証・号口反映・追加販社展開の境界整理</t>
  </si>
  <si>
    <t>Salesforceデータ連携（1販社先行検証） WBSタスク補足情報</t>
  </si>
  <si>
    <t>基準前提：1販社先行検証・NiFi・検証環境・Salesforce→NiFi→Kudu（参照用TB）連携。基準工数は53.5人日。仮納期2026年9月18日から逆算し、必須作業を優先、暫定省略可は簡略化・後続化、並行可能な作業は同時進行します。</t>
  </si>
  <si>
    <t>外部依存</t>
  </si>
  <si>
    <t>条件付き</t>
  </si>
  <si>
    <t>対象範囲確認</t>
  </si>
  <si>
    <t>将来対応</t>
  </si>
  <si>
    <t>マイルストーン</t>
  </si>
  <si>
    <t>通常作業</t>
  </si>
  <si>
    <t>ID</t>
  </si>
  <si>
    <t>区分</t>
  </si>
  <si>
    <t>主な作業内容</t>
  </si>
  <si>
    <t>完了条件</t>
  </si>
  <si>
    <t>工数区分</t>
  </si>
  <si>
    <t>根拠資料</t>
  </si>
  <si>
    <t>備考</t>
  </si>
  <si>
    <t>WBS行</t>
  </si>
  <si>
    <t>1.5か月実行区分</t>
  </si>
  <si>
    <t>並行可否</t>
  </si>
  <si>
    <t>短縮・暫定対応方針</t>
  </si>
  <si>
    <t>EXT-01</t>
  </si>
  <si>
    <t>調査・接続・試験で利用するSandboxを準備する</t>
  </si>
  <si>
    <t>対象Orgへ接続でき、必要なObjectを参照できる</t>
  </si>
  <si>
    <t>見積外・外部依存</t>
  </si>
  <si>
    <t>精緻化見積</t>
  </si>
  <si>
    <t>利用者・Salesforce側作業</t>
  </si>
  <si>
    <t>絶対に必要</t>
  </si>
  <si>
    <t>前提待ち</t>
  </si>
  <si>
    <t>後続作業の着手条件。遅延すると全体スケジュールへ直結するため優先</t>
  </si>
  <si>
    <t>EXT-02</t>
  </si>
  <si>
    <t>認証、権限、暗号化、個人情報に関する条件を提示する</t>
  </si>
  <si>
    <t>設計に必要な条件が文書で提示されている</t>
  </si>
  <si>
    <t>TMC側作業</t>
  </si>
  <si>
    <t>EXT-03</t>
  </si>
  <si>
    <t>接続ユーザー、Connected App等の認証情報を準備する</t>
  </si>
  <si>
    <t>1販社先行検証要件書の作成・レビュー</t>
  </si>
  <si>
    <t>検証環境で認証に利用できる</t>
  </si>
  <si>
    <t>両資料</t>
  </si>
  <si>
    <t>秘密情報の受渡方法も確認</t>
  </si>
  <si>
    <t>EXT-04</t>
  </si>
  <si>
    <t>先行対象となる1販社、検証環境、接続先Salesforce Orgを確定する</t>
  </si>
  <si>
    <t>先行販社・検証環境・Orgの対応表が完成している</t>
  </si>
  <si>
    <t>要件定義10人日枠</t>
  </si>
  <si>
    <t>先行販社名は未確定。号口・追加販社は先行検証後に判断</t>
  </si>
  <si>
    <t>EXT-05</t>
  </si>
  <si>
    <t>NiFiを用いたSalesforce→Kudu（参照用TB）連携の保存先、対象項目、検証範囲を決定する</t>
  </si>
  <si>
    <t>NiFi利用、Kudu参照用TB、先行検証範囲が承認されている</t>
  </si>
  <si>
    <t>要件定義10人日／基本設計7人日内で配賦</t>
  </si>
  <si>
    <t>MTG議事録／両資料</t>
  </si>
  <si>
    <t>今回の連携先はKudu（参照用TB）。Bronze／Silver／Goldは対象外</t>
  </si>
  <si>
    <t>EXT-06</t>
  </si>
  <si>
    <t>対象、権限、接続条件、保存先、検証完了条件を確認して先行検証の着手可否を判定する</t>
  </si>
  <si>
    <t>先行検証の着手条件が満たされ、判定結果が記録されている</t>
  </si>
  <si>
    <t>PM・PL10人日枠</t>
  </si>
  <si>
    <t>マイルストーンM1：先行検証着手判定</t>
  </si>
  <si>
    <t>PM-01</t>
  </si>
  <si>
    <t>通常</t>
  </si>
  <si>
    <t>WBS更新、予定・実績管理、遅延確認を行う</t>
  </si>
  <si>
    <t>WBSと進捗情報が最新状態になっている</t>
  </si>
  <si>
    <t>継続タスク</t>
  </si>
  <si>
    <t>並行可</t>
  </si>
  <si>
    <t>先行検証の成立・進行管理に必要</t>
  </si>
  <si>
    <t>PM-02</t>
  </si>
  <si>
    <t>課題、リスク、対応期限、担当を管理する</t>
  </si>
  <si>
    <t>未解決事項と対応状況が確認できる</t>
  </si>
  <si>
    <t>PM-03</t>
  </si>
  <si>
    <t>Salesforce、NiFi、インフラ、利用者との調整を行う</t>
  </si>
  <si>
    <t>必要な依頼・回答・判断が記録されている</t>
  </si>
  <si>
    <t>Salesforce窓口対応を統合</t>
  </si>
  <si>
    <t>PM-04</t>
  </si>
  <si>
    <t>設計書、試験書、手順書のレビューを管理する</t>
  </si>
  <si>
    <t>指摘対応とレビュー結果が記録されている</t>
  </si>
  <si>
    <t>PM-05</t>
  </si>
  <si>
    <t>単体・E2E試験の完了と先行検証の完了可否を管理する</t>
  </si>
  <si>
    <t>試験結果と先行検証完了判定が記録されている</t>
  </si>
  <si>
    <t>号口・追加販社のGo／No-Go判断を含む</t>
  </si>
  <si>
    <t>一部並行可</t>
  </si>
  <si>
    <t>PM-06</t>
  </si>
  <si>
    <t>追加要件、対象外、号口反映、2販社目、追加販社展開の課題を管理する</t>
  </si>
  <si>
    <t>変更内容と後続展開事項が整理されている</t>
  </si>
  <si>
    <t>セレス案</t>
  </si>
  <si>
    <t>暫定対応なら省略可</t>
  </si>
  <si>
    <t>1.5か月を優先する場合は簡略化または後続化を検討</t>
  </si>
  <si>
    <t>REQ-01</t>
  </si>
  <si>
    <t>1販社の先行検証で確認する目的、対象データ、対象外を整理する</t>
  </si>
  <si>
    <t>先行検証の目的、対象・対象外、成果物が明確になっている</t>
  </si>
  <si>
    <t>MTG議事録／セレス案</t>
  </si>
  <si>
    <t>対象データ・接続条件を確定するため必須。設計・接続作業へ直結</t>
  </si>
  <si>
    <t>REQ-02</t>
  </si>
  <si>
    <t>先行対象1販社、Salesforce Org、データ利用者・確認者を整理する</t>
  </si>
  <si>
    <t>先行販社・Org・利用者・確認者が一覧化されている</t>
  </si>
  <si>
    <t>REQ-03</t>
  </si>
  <si>
    <t>連携頻度、反映時刻、保持期間を整理する</t>
  </si>
  <si>
    <t>数値目標または判断基準が決定している</t>
  </si>
  <si>
    <t>REQ-04</t>
  </si>
  <si>
    <t>先行検証で実施する範囲と、号口反映・2販社目・追加販社へ回す範囲を整理する</t>
  </si>
  <si>
    <t>先行検証と後続展開の境界が関係者間で合意されている</t>
  </si>
  <si>
    <t>REQ-05</t>
  </si>
  <si>
    <t>先行検証の目的、対象、連携条件、完了条件を要件書としてまとめる</t>
  </si>
  <si>
    <t>1販社先行検証要件書のレビューが完了している</t>
  </si>
  <si>
    <t>Salesforceデータ調査</t>
  </si>
  <si>
    <t>対象Object・Fieldの洗い出し</t>
  </si>
  <si>
    <t>文書作成を含む</t>
  </si>
  <si>
    <t>正式文書・報告書は簡易版／既存一覧／Evidenceで暫定代替し、必要に応じ後で整備</t>
  </si>
  <si>
    <t>SFD-01</t>
  </si>
  <si>
    <t>Standard／Custom Objectと対象Fieldを整理する</t>
  </si>
  <si>
    <t>Object・Field一覧が完成している</t>
  </si>
  <si>
    <t>対象数確定後に再分割可能</t>
  </si>
  <si>
    <t>SFD-02</t>
  </si>
  <si>
    <t>キー・参照関係の調査</t>
  </si>
  <si>
    <t>Salesforce ID、業務キー、参照関係を確認する</t>
  </si>
  <si>
    <t>キー・参照関係一覧が完成している</t>
  </si>
  <si>
    <t>SFD-03</t>
  </si>
  <si>
    <t>データ件数・増加量・更新特性の調査</t>
  </si>
  <si>
    <t>件数、日次増加量、更新頻度を確認する</t>
  </si>
  <si>
    <t>データ量・更新特性が整理されている</t>
  </si>
  <si>
    <t>API設計の前提</t>
  </si>
  <si>
    <t>SFD-04</t>
  </si>
  <si>
    <t>増分抽出候補項目の調査</t>
  </si>
  <si>
    <t>SystemModstamp等の利用可否を確認する</t>
  </si>
  <si>
    <t>Objectごとの候補項目と利用可否が整理されている</t>
  </si>
  <si>
    <t>実装採否は条件付き</t>
  </si>
  <si>
    <t>SFD-05</t>
  </si>
  <si>
    <t>削除データ・個人情報・機密項目の調査</t>
  </si>
  <si>
    <t>削除連携要否と機密項目を確認する</t>
  </si>
  <si>
    <t>削除要否と機密項目一覧が整理されている</t>
  </si>
  <si>
    <t>削除実装は条件付き</t>
  </si>
  <si>
    <t>SFD-06</t>
  </si>
  <si>
    <t>Salesforce調査結果一覧の作成・レビュー</t>
  </si>
  <si>
    <t>調査結果をObject／Field一覧として文書化する</t>
  </si>
  <si>
    <t>調査結果のレビューが完了している</t>
  </si>
  <si>
    <t>ARC-01</t>
  </si>
  <si>
    <t>全体・非機能設計</t>
  </si>
  <si>
    <t>Salesforce→NiFi→Kudu（参照用TB）のE2E構成・責務分界設計</t>
  </si>
  <si>
    <t>Salesforce、NiFi、Kudu（参照用TB）間のデータ流れと各担当の責務を設計する</t>
  </si>
  <si>
    <t>Salesforce→NiFi→Kudu（参照用TB）のE2E構成と責務分界が定義されている</t>
  </si>
  <si>
    <t>基本設計7人日枠</t>
  </si>
  <si>
    <t>今回の基準経路。Bronze→Silver→Goldは含めない</t>
  </si>
  <si>
    <t>ARC-02</t>
  </si>
  <si>
    <t>システム構成図の作成・レビュー</t>
  </si>
  <si>
    <t>接続関係、環境、通信経路を図示する</t>
  </si>
  <si>
    <t>構成図のレビューが完了している</t>
  </si>
  <si>
    <t>ARC-03</t>
  </si>
  <si>
    <t>先行検証で確認する共通化・販社固有観点の整理</t>
  </si>
  <si>
    <t>1販社で確認する共通化候補、販社固有設定、追加販社で変更が必要な観点を事前整理する</t>
  </si>
  <si>
    <t>先行検証で確認する共通化・固有観点のチェックリストが完成している</t>
  </si>
  <si>
    <t>最終的な標準化は先行検証後にFUT-03で整理</t>
  </si>
  <si>
    <t>複数販社・標準化向けの作業は最小限に留め、1販社で動くことを優先</t>
  </si>
  <si>
    <t>ARC-04</t>
  </si>
  <si>
    <t>データ鮮度・処理時間目標の整理</t>
  </si>
  <si>
    <t>反映期限、バッチ処理時間の目標を設定する</t>
  </si>
  <si>
    <t>テストで確認可能な目標が定義されている</t>
  </si>
  <si>
    <t>厳密なSLA・性能目標が未確定なら、実測値の記録までに留めて後続化可能</t>
  </si>
  <si>
    <t>ARC-05</t>
  </si>
  <si>
    <t>再実行・障害復旧・再取得方針の設計</t>
  </si>
  <si>
    <t>Retry、再取得、再加工、Recovery Pointを整理する</t>
  </si>
  <si>
    <t>障害時の処理方法と責任分界が定義されている</t>
  </si>
  <si>
    <t>ARC-06</t>
  </si>
  <si>
    <t>監視・通知・ログ・処理履歴方針の設計</t>
  </si>
  <si>
    <t>監視対象、通知、ログ、実行履歴を整理する</t>
  </si>
  <si>
    <t>運用で確認する項目と保存情報が定義されている</t>
  </si>
  <si>
    <t>最低限のログ・確認方法を残し、正式設計は後続化可能</t>
  </si>
  <si>
    <t>ARC-07</t>
  </si>
  <si>
    <t>非機能・運用方針書の作成・レビュー</t>
  </si>
  <si>
    <t>非機能・障害復旧・監視方針を文書化する</t>
  </si>
  <si>
    <t>方針書のレビューが完了している</t>
  </si>
  <si>
    <t>SEC-01</t>
  </si>
  <si>
    <t>セキュリティ設計</t>
  </si>
  <si>
    <t>Salesforce認証方式の設計</t>
  </si>
  <si>
    <t>接続ユーザー、Connected App、認証方式を決定する</t>
  </si>
  <si>
    <t>採用する認証方式が定義されている</t>
  </si>
  <si>
    <t>セキュリティ・NW9.5人日枠</t>
  </si>
  <si>
    <t>Salesforce→NiFi→Kuduの安全な接続と疎通に必要な最小項目</t>
  </si>
  <si>
    <t>SEC-02</t>
  </si>
  <si>
    <t>連携基盤・保存先の認証認可設計</t>
  </si>
  <si>
    <t>NiFiと保存先の認証・権限を整理する</t>
  </si>
  <si>
    <t>必要な権限と認証方法が定義されている</t>
  </si>
  <si>
    <t>保存先確定後に具体化</t>
  </si>
  <si>
    <t>SEC-03</t>
  </si>
  <si>
    <t>Credential・Secret管理方式の設計</t>
  </si>
  <si>
    <t>秘密情報の保管・参照方法を設計する</t>
  </si>
  <si>
    <t>コード等へ直接保持しない方式が定義されている</t>
  </si>
  <si>
    <t>特定製品は未確定</t>
  </si>
  <si>
    <t>SEC-04</t>
  </si>
  <si>
    <t>暗号化・機密データアクセス権の設計</t>
  </si>
  <si>
    <t>通信・保存時暗号化とアクセス範囲を決める</t>
  </si>
  <si>
    <t>暗号化・アクセス条件が定義されている</t>
  </si>
  <si>
    <t>SEC-05</t>
  </si>
  <si>
    <t>監査ログ・アクセスログ方針の設計</t>
  </si>
  <si>
    <t>記録するログ、保存期間、確認主体を整理する</t>
  </si>
  <si>
    <t>ログ取得方針が定義されている</t>
  </si>
  <si>
    <t>SEC-06</t>
  </si>
  <si>
    <t>セキュリティ設計書の作成・レビュー</t>
  </si>
  <si>
    <t>認証、権限、Secret、暗号化を文書化する</t>
  </si>
  <si>
    <t>設計書のレビューが完了している</t>
  </si>
  <si>
    <t>NW-01</t>
  </si>
  <si>
    <t>ネットワーク設計</t>
  </si>
  <si>
    <t>既存通信経路・接続方式の調査</t>
  </si>
  <si>
    <t>SalesforceからNiFi・保存先までの経路を確認する</t>
  </si>
  <si>
    <t>現行経路が図または一覧で確認できる</t>
  </si>
  <si>
    <t>NW-02</t>
  </si>
  <si>
    <t>Public／Private接続方式の決定</t>
  </si>
  <si>
    <t>通信方式とセキュリティ条件を確認する</t>
  </si>
  <si>
    <t>採用する接続方式が決定している</t>
  </si>
  <si>
    <t>NW-03</t>
  </si>
  <si>
    <t>接続先・Port・Protocolの整理</t>
  </si>
  <si>
    <t>通信要件を区間別に整理する</t>
  </si>
  <si>
    <t>通信要件一覧が完成している</t>
  </si>
  <si>
    <t>NW-04</t>
  </si>
  <si>
    <t>ネットワーク設定変更依頼内容の整理</t>
  </si>
  <si>
    <t>IP許可、Firewall等の依頼内容を作成する</t>
  </si>
  <si>
    <t>依頼に必要な情報が整理されている</t>
  </si>
  <si>
    <t>実際の設定変更主体は未確定</t>
  </si>
  <si>
    <t>NW-05</t>
  </si>
  <si>
    <t>区間別疎通試験方法の設計</t>
  </si>
  <si>
    <t>接続区間ごとの試験方法と期待結果を定義する</t>
  </si>
  <si>
    <t>疎通試験手順が作成されている</t>
  </si>
  <si>
    <t>NW-06</t>
  </si>
  <si>
    <t>ネットワーク・アプリ障害切り分け方式の設計</t>
  </si>
  <si>
    <t>障害時の確認順序と担当範囲を整理する</t>
  </si>
  <si>
    <t>一次切り分け方法が定義されている</t>
  </si>
  <si>
    <t>NW-07</t>
  </si>
  <si>
    <t>ネットワーク接続設計書の作成・レビュー</t>
  </si>
  <si>
    <t>通信経路・要件・試験方法を文書化する</t>
  </si>
  <si>
    <t>IF-01</t>
  </si>
  <si>
    <t>データ連携・IF設計</t>
  </si>
  <si>
    <t>Objectごとの取得方式・Load Typeの設計</t>
  </si>
  <si>
    <t>全件・差分等の取得方式をObject単位で決める</t>
  </si>
  <si>
    <t>Object別取得方式一覧が完成している</t>
  </si>
  <si>
    <t>基本設計7人日／データソース詳細設計3人日内で配賦</t>
  </si>
  <si>
    <t>Kudu参照用TBへ正しく格納するための最小設計</t>
  </si>
  <si>
    <t>IF-02</t>
  </si>
  <si>
    <t>Salesforce API制約を考慮した取得方式の設計</t>
  </si>
  <si>
    <t>API上限、ページング、取得量を考慮する</t>
  </si>
  <si>
    <t>API制約を満たす取得方法が定義されている</t>
  </si>
  <si>
    <t>IF-03</t>
  </si>
  <si>
    <t>冪等性・重複排除方式の設計</t>
  </si>
  <si>
    <t>再実行時の重複防止ルールを決める</t>
  </si>
  <si>
    <t>重複判定キーと処理方法が定義されている</t>
  </si>
  <si>
    <t>IF-04</t>
  </si>
  <si>
    <t>データマッピング設計</t>
  </si>
  <si>
    <t>Salesforce項目と保存先項目を対応付ける</t>
  </si>
  <si>
    <t>マッピング表が完成している</t>
  </si>
  <si>
    <t>データソース13人日枠</t>
  </si>
  <si>
    <t>IF-05</t>
  </si>
  <si>
    <t>データ変換ルールの設計</t>
  </si>
  <si>
    <t>型変換、NULL、コード、名称等のルールを決める</t>
  </si>
  <si>
    <t>変換ルールが文書化されている</t>
  </si>
  <si>
    <t>参照用TBへの連携では変換を最小化し、必要な型・項目補正だけ実施</t>
  </si>
  <si>
    <t>IF-06</t>
  </si>
  <si>
    <t>インターフェース設計書の作成・レビュー</t>
  </si>
  <si>
    <t>取得方式、API、エラー、再実行を文書化する</t>
  </si>
  <si>
    <t>IF-07</t>
  </si>
  <si>
    <t>データマッピング設計書の作成・レビュー</t>
  </si>
  <si>
    <t>マッピングと変換ルールを成果物化する</t>
  </si>
  <si>
    <t>DAT-01</t>
  </si>
  <si>
    <t>データ保存・テーブル設計</t>
  </si>
  <si>
    <t>Salesforce項目とKudu参照用TB項目の対応設計</t>
  </si>
  <si>
    <t>Salesforceの対象FieldとKudu参照用TBの列を対応付ける</t>
  </si>
  <si>
    <t>Salesforce FieldとKudu列の対応が一覧化されている</t>
  </si>
  <si>
    <t>DAT-02</t>
  </si>
  <si>
    <t>販社識別子・レコードキーの設計</t>
  </si>
  <si>
    <t>先行1販社のレコード識別に必要なキーと、将来の販社追加に備えた販社識別子を設計する</t>
  </si>
  <si>
    <t>レコードキーと販社識別方法が定義されている</t>
  </si>
  <si>
    <t>1販社先行。追加販社で変更できる設計とする</t>
  </si>
  <si>
    <t>DAT-03</t>
  </si>
  <si>
    <t>Kudu参照用TB定義書の作成・レビュー</t>
  </si>
  <si>
    <t>Kudu参照用TBのDB／テーブル名、列、型、キー、NULL方針を整理する</t>
  </si>
  <si>
    <t>参照用TBの定義が実装に利用できる状態になっている</t>
  </si>
  <si>
    <t>CON-01</t>
  </si>
  <si>
    <t>Salesforce接続設定</t>
  </si>
  <si>
    <t>Salesforce接続Credential・権限設定</t>
  </si>
  <si>
    <t>先行対象販社の検証環境でSalesforce接続Credentialと最小権限を設定する</t>
  </si>
  <si>
    <t>先行対象Orgへ認証でき、対象Objectを参照できる</t>
  </si>
  <si>
    <t>先行対象販社・検証環境で実施</t>
  </si>
  <si>
    <t>実接続・サンプル取得を成立させるため必須</t>
  </si>
  <si>
    <t>CON-02</t>
  </si>
  <si>
    <t>NiFi for Salesforce接続設定</t>
  </si>
  <si>
    <t>NiFiからSalesforceへ接続する設定を行う</t>
  </si>
  <si>
    <t>NiFiから接続できる</t>
  </si>
  <si>
    <t>NiFi基準</t>
  </si>
  <si>
    <t>CON-03</t>
  </si>
  <si>
    <t>対象Objectアクセス・サンプル取得確認</t>
  </si>
  <si>
    <t>対象Objectからサンプルデータを取得する</t>
  </si>
  <si>
    <t>サンプルデータを取得できる</t>
  </si>
  <si>
    <t>CON-04</t>
  </si>
  <si>
    <t>API接続・基本エラー動作確認</t>
  </si>
  <si>
    <t>正常接続と基本的な接続エラーを確認する</t>
  </si>
  <si>
    <t>正常時・異常時の結果が記録されている</t>
  </si>
  <si>
    <t>M3に対応</t>
  </si>
  <si>
    <t>DEV-01</t>
  </si>
  <si>
    <t>データ取得・保存開発</t>
  </si>
  <si>
    <t>NiFi共通データ取得フローの設計・実装</t>
  </si>
  <si>
    <t>複数Objectで共通利用する取得処理を実装する</t>
  </si>
  <si>
    <t>設定値によって対象Objectを変更できる</t>
  </si>
  <si>
    <t>Salesforce→NiFi→Kuduのデータ連携を成立させるコア実装</t>
  </si>
  <si>
    <t>DEV-02</t>
  </si>
  <si>
    <t>NiFi Kudu保存フローの設計・実装</t>
  </si>
  <si>
    <t>Salesforceから取得したデータをKudu（参照用TB）へ保存するNiFi処理を設計・実装する</t>
  </si>
  <si>
    <t>対象データがKudu参照用TBへ保存できる</t>
  </si>
  <si>
    <t>DEV-03</t>
  </si>
  <si>
    <t>技術メタデータ付与処理の実装</t>
  </si>
  <si>
    <t>実行日時、販社、処理ID等を付与する</t>
  </si>
  <si>
    <t>必要な技術情報が保存される</t>
  </si>
  <si>
    <t>参照・検証に必要な最小範囲に限定し、網羅的な対応は後続化可能</t>
  </si>
  <si>
    <t>DEV-04</t>
  </si>
  <si>
    <t>成功・失敗ステータス管理の実装</t>
  </si>
  <si>
    <t>実行結果とエラー情報を記録する</t>
  </si>
  <si>
    <t>処理結果を追跡できる</t>
  </si>
  <si>
    <t>DEV-05</t>
  </si>
  <si>
    <t>Retry・再実行・重複防止処理の実装</t>
  </si>
  <si>
    <t>失敗時再実行と重複防止を実装する</t>
  </si>
  <si>
    <t>再実行後も重複が発生しない</t>
  </si>
  <si>
    <t>DEV-06</t>
  </si>
  <si>
    <t>先行検証に必要な設定の外部化</t>
  </si>
  <si>
    <t>接続先、Object、Field、保存先など、先行検証で変更が想定される設定を外部化する</t>
  </si>
  <si>
    <t>先行販社の設定変更をコード改修なし、または最小変更で行える</t>
  </si>
  <si>
    <t>複数販社向けの最終標準化ではなく、先行検証に必要な範囲</t>
  </si>
  <si>
    <t>DEV-07</t>
  </si>
  <si>
    <t>先行1販社のデータ取得・Kudu参照用TB保存設定</t>
  </si>
  <si>
    <t>先行対象1販社向けにSalesforceデータ取得とKudu参照用TB保存の設定を作成する</t>
  </si>
  <si>
    <t>先行1販社の対象データをNiFiで取得し、Kudu参照用TBへ保存・参照できる</t>
  </si>
  <si>
    <t>MTG議事録／精緻化見積</t>
  </si>
  <si>
    <t>先行販社名・対象Objectは未確定</t>
  </si>
  <si>
    <t>DEV-08</t>
  </si>
  <si>
    <t>2販社目のデータ取得・保存設定（先行検証後）</t>
  </si>
  <si>
    <t>先行1販社の検証結果と後続展開の承認後に、2販社目向け設定を展開する</t>
  </si>
  <si>
    <t>実施承認後、2販社目の対象データを取得・保存できる</t>
  </si>
  <si>
    <t>先行検証後に再見積</t>
  </si>
  <si>
    <t>既存2販社見積／MTG議事録</t>
  </si>
  <si>
    <t>実施条件：先行検証完了・2販社目展開のGo判断</t>
  </si>
  <si>
    <t>今回スコープ外・後続</t>
  </si>
  <si>
    <t>対象外</t>
  </si>
  <si>
    <t>2販社目は先行検証後。今回の1.5か月計画には含めない</t>
  </si>
  <si>
    <t>UT-01</t>
  </si>
  <si>
    <t>単体試験</t>
  </si>
  <si>
    <t>単体テスト項目・期待値・合否基準の作成</t>
  </si>
  <si>
    <t>取得・保存・エラー処理の試験内容を作成する</t>
  </si>
  <si>
    <t>単体テスト仕様書が完成している</t>
  </si>
  <si>
    <t>取得・保存・権限・データ一致を確認するための最低限の試験</t>
  </si>
  <si>
    <t>UT-02</t>
  </si>
  <si>
    <t>Salesforceデータ取得・再実行試験</t>
  </si>
  <si>
    <t>Object取得、Retry、重複防止を確認する</t>
  </si>
  <si>
    <t>期待値どおりに取得・再実行できる</t>
  </si>
  <si>
    <t>データソース単体テスト2人日枠</t>
  </si>
  <si>
    <t>先行対象1販社で実施</t>
  </si>
  <si>
    <t>UT-03</t>
  </si>
  <si>
    <t>Kudu参照用TB保存・技術メタデータ試験</t>
  </si>
  <si>
    <t>Kudu参照用TBへの保存、件数、必要な技術情報を確認する</t>
  </si>
  <si>
    <t>Kudu保存結果が設計と一致している</t>
  </si>
  <si>
    <t>UT-04</t>
  </si>
  <si>
    <t>データ変換・NULL・重複・境界ケース試験</t>
  </si>
  <si>
    <t>変換ルールと異常データを確認する</t>
  </si>
  <si>
    <t>期待する変換結果になっている</t>
  </si>
  <si>
    <t>変換実装範囲に応じる</t>
  </si>
  <si>
    <t>UT-05</t>
  </si>
  <si>
    <t>データ件数・キー・主要項目確認</t>
  </si>
  <si>
    <t>先行販社のSalesforce元データとKudu参照用TBの件数・キー・主要項目を確認する</t>
  </si>
  <si>
    <t>SalesforceとKudu参照用TBの件数・キー・主要値が一致している</t>
  </si>
  <si>
    <t>UT-06</t>
  </si>
  <si>
    <t>単体試験結果・Evidence・報告書の整理</t>
  </si>
  <si>
    <t>試験結果と証跡をまとめる</t>
  </si>
  <si>
    <t>単体試験報告書が完成している</t>
  </si>
  <si>
    <t>M5に対応</t>
  </si>
  <si>
    <t>IT-01</t>
  </si>
  <si>
    <t>結合・E2E試験</t>
  </si>
  <si>
    <t>1販社先行検証のE2E試験シナリオ・期待値作成</t>
  </si>
  <si>
    <t>Salesforce→NiFi→Kudu（参照用TB）の連携全体を確認する試験を設計する</t>
  </si>
  <si>
    <t>1販社先行検証のE2E試験設計が完成している</t>
  </si>
  <si>
    <t>結合テスト4人日枠</t>
  </si>
  <si>
    <t>IT-02</t>
  </si>
  <si>
    <t>Salesforce元データ・Kudu参照用TBの件数値突合</t>
  </si>
  <si>
    <t>先行販社のSalesforce元データとKudu参照用TBを比較する</t>
  </si>
  <si>
    <t>対象件数・キー・主要値が一致している</t>
  </si>
  <si>
    <t>IT-03</t>
  </si>
  <si>
    <t>処理間のデータ追跡確認</t>
  </si>
  <si>
    <t>Salesforce取得からNiFi処理、Kudu参照用TB保存まで対象レコードを追跡する</t>
  </si>
  <si>
    <t>対象レコードのSalesforce→NiFi→Kudu経路を確認できる</t>
  </si>
  <si>
    <t>IT-04</t>
  </si>
  <si>
    <t>障害・再実行・正常復旧シナリオ試験</t>
  </si>
  <si>
    <t>途中失敗後の復旧動作を確認する</t>
  </si>
  <si>
    <t>欠落・重複なく復旧できる</t>
  </si>
  <si>
    <t>IT-05</t>
  </si>
  <si>
    <t>E2E処理時間の確認</t>
  </si>
  <si>
    <t>取得開始から保存完了までの時間を確認する</t>
  </si>
  <si>
    <t>目標または許容時間内で完了する</t>
  </si>
  <si>
    <t>IT-06</t>
  </si>
  <si>
    <t>結合試験結果・Evidence・報告書の整理</t>
  </si>
  <si>
    <t>結合試験結果を成果物化する</t>
  </si>
  <si>
    <t>結合試験報告書が完成している</t>
  </si>
  <si>
    <t>M6に対応</t>
  </si>
  <si>
    <t>ST-01</t>
  </si>
  <si>
    <t>セキュリティ・ネットワーク試験</t>
  </si>
  <si>
    <t>Salesforce接続権限の確認</t>
  </si>
  <si>
    <t>接続ユーザーの権限範囲を確認する</t>
  </si>
  <si>
    <t>必要なObjectのみ参照できる</t>
  </si>
  <si>
    <t>セキュリティ・NW単体1.5人日枠</t>
  </si>
  <si>
    <t>ST-02</t>
  </si>
  <si>
    <t>NiFi・Kudu参照用TBアクセス権限の確認</t>
  </si>
  <si>
    <t>NiFiからKudu参照用TBへ必要な権限でアクセスできることを確認する</t>
  </si>
  <si>
    <t>必要な権限のみでKudu参照用TBへアクセスできる</t>
  </si>
  <si>
    <t>ST-03</t>
  </si>
  <si>
    <t>Credential・Secret管理状態の確認</t>
  </si>
  <si>
    <t>秘密情報の保存・参照状態を確認する</t>
  </si>
  <si>
    <t>設計どおり安全に管理されている</t>
  </si>
  <si>
    <t>ST-04</t>
  </si>
  <si>
    <t>システム間疎通確認</t>
  </si>
  <si>
    <t>1販社先行検証 工数再算定結果</t>
  </si>
  <si>
    <t>先行販社のSalesforceからNiFi、Kudu参照用TBまでの疎通を確認する</t>
  </si>
  <si>
    <t>Salesforce→NiFi→Kuduの全区間で疎通できる</t>
  </si>
  <si>
    <t>基準工数53.5人日は1販社見積57.5人日から号口リリース4人日を条件付きへ分離した参考値です。今回の作業範囲はSalesforce→NiFi→Kudu（参照用TB）。Bronze／Silver／Gold等は含めません。1.5か月達成のため、WBS上では必須・暫定省略可・並行可を明示しています。</t>
  </si>
  <si>
    <t>元見積合計</t>
  </si>
  <si>
    <t>列 1</t>
  </si>
  <si>
    <t>ST-05</t>
  </si>
  <si>
    <t>先行検証基準</t>
  </si>
  <si>
    <t>列 2</t>
  </si>
  <si>
    <t>不要権限・不要通信経路の確認</t>
  </si>
  <si>
    <t>列 3</t>
  </si>
  <si>
    <t>作業L/T</t>
  </si>
  <si>
    <t>必要以上の権限・経路がないか確認する</t>
  </si>
  <si>
    <t>列 4</t>
  </si>
  <si>
    <t>不要設定がない、または是正済み</t>
  </si>
  <si>
    <t>約1.5か月</t>
  </si>
  <si>
    <t>1販社・検証＋号口</t>
  </si>
  <si>
    <t>1販社・検証環境</t>
  </si>
  <si>
    <t>ST-06</t>
  </si>
  <si>
    <t>号口リリース</t>
  </si>
  <si>
    <t>要件確定後</t>
  </si>
  <si>
    <t>セキュリティ・NW確認結果の整理</t>
  </si>
  <si>
    <t>試験結果と指摘事項をまとめる</t>
  </si>
  <si>
    <t>確認結果がレビューされている</t>
  </si>
  <si>
    <t>見積カテゴリ</t>
  </si>
  <si>
    <t>元見積工数</t>
  </si>
  <si>
    <t>WBS対応工程</t>
  </si>
  <si>
    <t>扱い</t>
  </si>
  <si>
    <t>差分理由</t>
  </si>
  <si>
    <t>OPS-01</t>
  </si>
  <si>
    <t>根拠</t>
  </si>
  <si>
    <t>先行検証運用・障害対応設計</t>
  </si>
  <si>
    <t>先行検証処理の正常性確認手順作成</t>
  </si>
  <si>
    <t>先行検証の実行結果、件数、ログを確認する方法を整理する</t>
  </si>
  <si>
    <t>外部依存・要件定義・Salesforceデータ調査</t>
  </si>
  <si>
    <t>先行検証の正常時確認手順が作成されている</t>
  </si>
  <si>
    <t>基準に含む</t>
  </si>
  <si>
    <t>1販社見積をそのまま採用</t>
  </si>
  <si>
    <t>1販社見積</t>
  </si>
  <si>
    <t>既存見積内に内包（追加計上なし）</t>
  </si>
  <si>
    <t>基本設計</t>
  </si>
  <si>
    <t>全体・非機能設計／IF設計／Kudu参照用TB設計</t>
  </si>
  <si>
    <t>NiFi・CDP向けに読み替え</t>
  </si>
  <si>
    <t>1販社見積＋第一リリース作業一覧</t>
  </si>
  <si>
    <t>セキュリティ・ネットワーク</t>
  </si>
  <si>
    <t>精緻化見積への明記弱</t>
  </si>
  <si>
    <t>関係者調整／Security／NW／接続／試験</t>
  </si>
  <si>
    <t>後続／必要時</t>
  </si>
  <si>
    <t>正式運用設計は後続化し、先行検証では最低限の再実行・確認手順で代替可能</t>
  </si>
  <si>
    <t>OPS-02</t>
  </si>
  <si>
    <t>先行検証時の処理遅延・件数異常確認手順作成</t>
  </si>
  <si>
    <t>検証環境でも必要</t>
  </si>
  <si>
    <t>先行検証で遅延・件数差異を検知する方法を整理する</t>
  </si>
  <si>
    <t>判断基準と対応方法が定義されている</t>
  </si>
  <si>
    <t>データソース</t>
  </si>
  <si>
    <t>NiFi詳細設計／Salesforce取得／Kudu保存／単体試験</t>
  </si>
  <si>
    <t>OPS-03</t>
  </si>
  <si>
    <t>NiFi取得・Kudu参照用TB保存を対象</t>
  </si>
  <si>
    <t>結合テスト</t>
  </si>
  <si>
    <t>NiFi・Salesforce API障害時の検証対応手順作成</t>
  </si>
  <si>
    <t>Salesforce→NiFi→Kudu（参照用TB）のE2E試験</t>
  </si>
  <si>
    <t>取得失敗・APIエラー時の対応を整理する</t>
  </si>
  <si>
    <t>1販社のSalesforce→NiFi→Kudu（参照用TB）を確認</t>
  </si>
  <si>
    <t>エラー別対応手順が作成されている</t>
  </si>
  <si>
    <t>リリース対応</t>
  </si>
  <si>
    <t>プロジェクト管理／先行検証完了判定</t>
  </si>
  <si>
    <t>1.5か月の進行・調整・レビューを含む</t>
  </si>
  <si>
    <t>合計</t>
  </si>
  <si>
    <t>OPS-04</t>
  </si>
  <si>
    <t>先行検証データの再処理手順作成</t>
  </si>
  <si>
    <t>注意点</t>
  </si>
  <si>
    <t>保存済みデータから再処理する方法を整理する</t>
  </si>
  <si>
    <t>内容</t>
  </si>
  <si>
    <t>再処理手順が作成されている</t>
  </si>
  <si>
    <t>第一リリース資料51.5人日</t>
  </si>
  <si>
    <t>ADF・ADLS・Bronze・Silver・Gold・Power BIまで含む一方、NiFi構成とは異なるため、総工数としては採用・合算しない。作業漏れ確認とWBS分解の参考に使用する。</t>
  </si>
  <si>
    <t>運用・障害対応</t>
  </si>
  <si>
    <t>1販社見積には独立した工数行がないため、基本設計・データソース詳細設計・結合試験・PM/PL内に含め、追加計上しない。</t>
  </si>
  <si>
    <t>条件付き作業</t>
  </si>
  <si>
    <t>Full／Incremental、Watermark、削除データ、Private接続、号口反映は採用条件が確定した時点で再見積する。</t>
  </si>
  <si>
    <t>Salesforce Sandbox準備、TMCセキュリティ要件提示など、利用者・関係者側作業は53.5人日に含めない。</t>
  </si>
  <si>
    <t>正式日程</t>
  </si>
  <si>
    <t>見積記載の作業L/T約1.5か月を基に仮日程を設定した。正式な開始日・納期は要件確定後に再確認する。</t>
  </si>
  <si>
    <t>OPS-05</t>
  </si>
  <si>
    <t>一次切り分け・エスカレーション手順作成</t>
  </si>
  <si>
    <t>担当範囲、連絡先、引継ぎ方法を整理する</t>
  </si>
  <si>
    <t>障害連絡・切り分け手順が作成されている</t>
  </si>
  <si>
    <t>OPS-06</t>
  </si>
  <si>
    <t>先行検証運用・障害対応手順書の作成・レビュー</t>
  </si>
  <si>
    <t>運用手順を成果物としてまとめる</t>
  </si>
  <si>
    <t>先行検証用の手順書レビューが完了している</t>
  </si>
  <si>
    <t>先行検証完了判定の確認資料</t>
  </si>
  <si>
    <t>REL-01</t>
  </si>
  <si>
    <t>号口反映・後続展開（条件付き）</t>
  </si>
  <si>
    <t>号口反映・後続展開の実施可否判定と計画作成</t>
  </si>
  <si>
    <t>先行検証結果を基に、号口反映・後続展開の実施可否、作業順、担当、確認方法を整理する</t>
  </si>
  <si>
    <t>実施可否と後続計画が承認されている</t>
  </si>
  <si>
    <t>リリース4人日枠（条件付き・基準53.5人日には含めない）</t>
  </si>
  <si>
    <t>実施条件：1販社先行検証完了・関係者のGo判断</t>
  </si>
  <si>
    <t>号口対応は先行検証完了後に判断し、今回の仮納期から切り離す</t>
  </si>
  <si>
    <t>REL-02</t>
  </si>
  <si>
    <t>号口反映時の切り戻し・Recovery手順作成</t>
  </si>
  <si>
    <t>号口反映を行う場合の切り戻し条件と復旧手順を整理する</t>
  </si>
  <si>
    <t>号口反映時の切り戻し条件・手順が定義されている</t>
  </si>
  <si>
    <t>REL-03</t>
  </si>
  <si>
    <t>号口環境Credential・Connection設定（条件付き）</t>
  </si>
  <si>
    <t>実施承認後、先行販社の号口接続CredentialとConnectionを設定する</t>
  </si>
  <si>
    <t>号口環境へ接続できる</t>
  </si>
  <si>
    <t>REL-04</t>
  </si>
  <si>
    <t>NiFi連携・Kudu参照用TB保存処理の号口反映（条件付き）</t>
  </si>
  <si>
    <t>実施承認後、検証済みNiFiフローとKudu参照用TB保存設定を号口へ反映する</t>
  </si>
  <si>
    <t>対象資材の号口反映が完了している</t>
  </si>
  <si>
    <t>REL-05</t>
  </si>
  <si>
    <t>号口環境での初回データ取得（条件付き）</t>
  </si>
  <si>
    <t>実施承認後、号口環境で初回データを取得・保存する</t>
  </si>
  <si>
    <t>号口の初回処理が正常完了している</t>
  </si>
  <si>
    <t>REL-06</t>
  </si>
  <si>
    <t>号口Kudu参照用TBの件数・主要項目確認（条件付き）</t>
  </si>
  <si>
    <t>実施承認後、Salesforceと号口Kudu参照用TBのデータを確認する</t>
  </si>
  <si>
    <t>号口データの件数・主要値が一致している</t>
  </si>
  <si>
    <t>REL-07</t>
  </si>
  <si>
    <t>定期実行スケジュールの有効化（条件付き）</t>
  </si>
  <si>
    <t>実施承認後、号口の定期処理を開始する</t>
  </si>
  <si>
    <t>次回実行予定が設定されている</t>
  </si>
  <si>
    <t>REL-08</t>
  </si>
  <si>
    <t>号口反映後の初期監視（条件付き）</t>
  </si>
  <si>
    <t>実施承認後、号口の初回・定期処理の正常性を確認する</t>
  </si>
  <si>
    <t>所定の初期監視が完了している</t>
  </si>
  <si>
    <t>Salesforceデータ連携（1販社先行検証） WBS閲覧用</t>
  </si>
  <si>
    <t>基準前提：1販社先行検証・NiFi・検証環境・Salesforce→NiFi→Kudu（参照用TB）連携。仮納期2026/09/18から逆算し、必須作業を優先、暫定省略可の作業は簡略化・後続化、依存関係が許す作業は並行実施します。</t>
  </si>
  <si>
    <t>REL-09</t>
  </si>
  <si>
    <t>総タスク 121件</t>
  </si>
  <si>
    <t>仮納期 2026/9/18</t>
  </si>
  <si>
    <t>先行検証評価・後続展開判定</t>
  </si>
  <si>
    <t>絶対に必要 61件</t>
  </si>
  <si>
    <t>先行検証完了・号口／追加販社展開判定</t>
  </si>
  <si>
    <t>暫定省略可 51件</t>
  </si>
  <si>
    <t>スコープ外・後続 9件</t>
  </si>
  <si>
    <t>並行可能 77件</t>
  </si>
  <si>
    <t>基準工数 53.5人日</t>
  </si>
  <si>
    <t>1販社の検証結果、課題、残対応、号口反映・2販社目・追加販社展開の可否をまとめる</t>
  </si>
  <si>
    <t>先行検証完了と後続展開のGo／No-Go判定結果が記録されている</t>
  </si>
  <si>
    <t>タスク一覧</t>
  </si>
  <si>
    <t>週次ガント（各列は週初日）</t>
  </si>
  <si>
    <t>No.</t>
  </si>
  <si>
    <t>先行検証の最終マイルストーン。日付は仮</t>
  </si>
  <si>
    <t>1.5か月の完了判定として必須。後続対応のGo／No-Goをここで判断</t>
  </si>
  <si>
    <t>OPT-01</t>
  </si>
  <si>
    <t>Watermark項目・管理方式の設計</t>
  </si>
  <si>
    <t>差分連携を採用する場合に、Watermark項目と管理方式を設計する</t>
  </si>
  <si>
    <t>Watermark項目と更新方式が定義されている</t>
  </si>
  <si>
    <t>条件確定後</t>
  </si>
  <si>
    <t>採用条件：差分連携を採用</t>
  </si>
  <si>
    <t>必要と判定された場合のみ実施。未確定の間はスケジュールへ入れない</t>
  </si>
  <si>
    <t>OPT-02</t>
  </si>
  <si>
    <t>【絶対に必要｜前提待ち】 利用者・Salesforce側作業</t>
  </si>
  <si>
    <t>Overlap・取得期間境界の設計</t>
  </si>
  <si>
    <t>差分取得の取りこぼしを防ぐ取得期間境界を設計する</t>
  </si>
  <si>
    <t>取得期間条件が定義されている</t>
  </si>
  <si>
    <t>OPT-03</t>
  </si>
  <si>
    <t>Initial Full Load処理の実装</t>
  </si>
  <si>
    <t>初回全件取得処理を実装する</t>
  </si>
  <si>
    <t>全件取得が正常完了する</t>
  </si>
  <si>
    <t>【絶対に必要｜前提待ち】 TMC側作業</t>
  </si>
  <si>
    <t>採用条件：初回全件取得を行う</t>
  </si>
  <si>
    <t>OPT-04</t>
  </si>
  <si>
    <t>Incremental Load処理の実装</t>
  </si>
  <si>
    <t>更新分のみを取得する処理を実装する</t>
  </si>
  <si>
    <t>更新分だけを取得できる</t>
  </si>
  <si>
    <t>OPT-05</t>
  </si>
  <si>
    <t>Watermark正常・異常時制御の実装</t>
  </si>
  <si>
    <t>成功時更新・失敗時維持の制御を実装する</t>
  </si>
  <si>
    <t>成功時のみWatermarkが更新される</t>
  </si>
  <si>
    <t>【絶対に必要｜前提待ち】 秘密情報の受渡方法も確認</t>
  </si>
  <si>
    <t>採用条件：Watermark方式を採用</t>
  </si>
  <si>
    <t>OPT-06</t>
  </si>
  <si>
    <t>増分データ反映試験</t>
  </si>
  <si>
    <t>増分データの取得・保存結果を確認する</t>
  </si>
  <si>
    <t>増分データが保存先へ反映される</t>
  </si>
  <si>
    <t>OPT-07</t>
  </si>
  <si>
    <t>削除データ取得・反映方式の設計</t>
  </si>
  <si>
    <t>削除データの取得・保存・反映方法を設計する</t>
  </si>
  <si>
    <t>削除データの取得・反映方式が定義されている</t>
  </si>
  <si>
    <t>【絶対に必要｜前提待ち】 先行販社名は未確定。号口・追加販社は先行検証後に判断</t>
  </si>
  <si>
    <t>採用条件：削除データを対象とする</t>
  </si>
  <si>
    <t>OPT-08</t>
  </si>
  <si>
    <t>削除データ取得処理の実装</t>
  </si>
  <si>
    <t>削除データ取得処理を実装する</t>
  </si>
  <si>
    <t>削除データを取得できる</t>
  </si>
  <si>
    <t>【絶対に必要｜前提待ち】 今回の連携先はKudu（参照用TB）。Bronze／Silver／Goldは対象外</t>
  </si>
  <si>
    <t>OPT-09</t>
  </si>
  <si>
    <t>削除データ反映試験</t>
  </si>
  <si>
    <t>削除データの保存・反映結果を確認する</t>
  </si>
  <si>
    <t>削除結果が保存先へ反映される</t>
  </si>
  <si>
    <t>【絶対に必要｜前提待ち】 マイルストーンM1：先行検証着手判定</t>
  </si>
  <si>
    <t>OPT-10</t>
  </si>
  <si>
    <t>Private接続追加設計</t>
  </si>
  <si>
    <t>Private Endpoint等の追加接続を設計する</t>
  </si>
  <si>
    <t>追加接続設計が完成している</t>
  </si>
  <si>
    <t>採用条件：新規Private接続が必要</t>
  </si>
  <si>
    <t>OPT-11</t>
  </si>
  <si>
    <t>【絶対に必要｜並行可】 継続タスク</t>
  </si>
  <si>
    <t>Firewall・NSG等の追加設定確認</t>
  </si>
  <si>
    <t>追加設定の反映と疎通を確認する</t>
  </si>
  <si>
    <t>設定反映と疎通確認が完了している</t>
  </si>
  <si>
    <t>採用条件：既存設定変更が必要</t>
  </si>
  <si>
    <t>SCP-01</t>
  </si>
  <si>
    <t>今回スコープ外：データ加工基盤</t>
  </si>
  <si>
    <t>ADLS Landing／Raw（今回スコープ外）</t>
  </si>
  <si>
    <t>スコープ外</t>
  </si>
  <si>
    <t>NiFi保存先としてADLSを構築するか確認する</t>
  </si>
  <si>
    <t>対象範囲への採否と見積上の扱いが決定している</t>
  </si>
  <si>
    <t>統合再見積対象</t>
  </si>
  <si>
    <t>今回の連携先はKudu参照用TBのため、ADLS Landing／Rawは実施しない</t>
  </si>
  <si>
    <t>今回のSalesforce→Kudu（参照用TB）連携には含めない</t>
  </si>
  <si>
    <t>SCP-02</t>
  </si>
  <si>
    <t>Bronze構築（今回スコープ外）</t>
  </si>
  <si>
    <t>ClouderaでObject別Bronzeを構築するか確認する</t>
  </si>
  <si>
    <t>【絶対に必要｜並行可】 Salesforce窓口対応を統合</t>
  </si>
  <si>
    <t>Bronze構築は今回の作業スコープ外</t>
  </si>
  <si>
    <t>SCP-03</t>
  </si>
  <si>
    <t>Silver構築（今回スコープ外）</t>
  </si>
  <si>
    <t>標準化・最新化・結合処理を構築するか確認する</t>
  </si>
  <si>
    <t>Silver構築は今回の作業スコープ外</t>
  </si>
  <si>
    <t>SCP-04</t>
  </si>
  <si>
    <t>Gold構築（今回スコープ外）</t>
  </si>
  <si>
    <t>分析用データ・KPIモデルを構築するか確認する</t>
  </si>
  <si>
    <t>Gold構築は今回の作業スコープ外</t>
  </si>
  <si>
    <t>SCP-05</t>
  </si>
  <si>
    <t>今回スコープ外：Power BI</t>
  </si>
  <si>
    <t>Power BI接続（今回スコープ外）</t>
  </si>
  <si>
    <t>Power BIからCloudera等へ接続するか確認する</t>
  </si>
  <si>
    <t>追加見積対象</t>
  </si>
  <si>
    <t>Power BIはSalesforce→Kudu先行検証の対象外</t>
  </si>
  <si>
    <t>SCP-06</t>
  </si>
  <si>
    <t>Semantic Model・KPI（今回スコープ外）</t>
  </si>
  <si>
    <t>【絶対に必要｜一部並行可】 号口・追加販社のGo／No-Go判断を含む</t>
  </si>
  <si>
    <t>データモデル・Measureを構築するか確認する</t>
  </si>
  <si>
    <t>Semantic Model・KPIは今回の作業スコープ外</t>
  </si>
  <si>
    <t>SCP-07</t>
  </si>
  <si>
    <t>Power BIレポート作成（今回スコープ外）</t>
  </si>
  <si>
    <t>Salesforce先行検証とは別に、レポート作成を対象範囲へ含むか確認する</t>
  </si>
  <si>
    <t>【暫定対応なら省略可｜並行可】 継続タスク</t>
  </si>
  <si>
    <t>Power BIレポートは今回の作業スコープ外</t>
  </si>
  <si>
    <t>SCP-08</t>
  </si>
  <si>
    <t>Power BI本番反映（今回スコープ外）</t>
  </si>
  <si>
    <t>本番ワークスペースへの反映を含むか確認する</t>
  </si>
  <si>
    <t>Power BI本番反映は今回の作業スコープ外</t>
  </si>
  <si>
    <t>FUT-01</t>
  </si>
  <si>
    <t>【絶対に必要｜並行可】</t>
  </si>
  <si>
    <t>CDCへの拡張方針整理</t>
  </si>
  <si>
    <t>将来のCDC対応に向けた拡張方針を整理する</t>
  </si>
  <si>
    <t>方針と前提条件が整理されている</t>
  </si>
  <si>
    <t>方針整理のみ。実装しない</t>
  </si>
  <si>
    <t>将来展開向け。先行検証後に整理しても支障が少ない</t>
  </si>
  <si>
    <t>FUT-02</t>
  </si>
  <si>
    <t>Streamingへの拡張方針整理</t>
  </si>
  <si>
    <t>将来のStreaming対応に向けた拡張方針を整理する</t>
  </si>
  <si>
    <t>FUT-03</t>
  </si>
  <si>
    <t>先行検証結果を基にした追加販社展開方式の改善・標準化</t>
  </si>
  <si>
    <t>先行1販社の結果を基に、共通化範囲、販社固有設定、追加販社の展開方式を改善する</t>
  </si>
  <si>
    <t>追加販社向けの改善事項と標準化案が整理されている</t>
  </si>
  <si>
    <t>先行検証結果を受けて後続で実施</t>
  </si>
  <si>
    <t>FUT-04</t>
  </si>
  <si>
    <t>先行検証の課題・改善事項を後続展開へ引継ぎ</t>
  </si>
  <si>
    <t>1販社先行検証で確認した残課題、改善事項、追加販社への注意点を引き継ぐ</t>
  </si>
  <si>
    <t>後続展開で対応する事項が一覧化されている</t>
  </si>
  <si>
    <t>先行検証完了時に整理</t>
  </si>
  <si>
    <t>【暫定対応なら省略可｜並行可】</t>
  </si>
  <si>
    <t>【暫定対応なら省略可｜並行可】 文書作成を含む</t>
  </si>
  <si>
    <t>【絶対に必要｜並行可】 対象数確定後に再分割可能</t>
  </si>
  <si>
    <t>【絶対に必要｜並行可】 API設計の前提</t>
  </si>
  <si>
    <t>【絶対に必要｜並行可】 実装採否は条件付き</t>
  </si>
  <si>
    <t>Salesforceデータ連携 WBS方針変更記録</t>
  </si>
  <si>
    <t>MTGに決められた1販社先行検証方針をWBSへ反映した記録です。方針で確定していない工数・正式日程・号口実施可否は未確定として扱います。</t>
  </si>
  <si>
    <t>項目</t>
  </si>
  <si>
    <t>MTG方針</t>
  </si>
  <si>
    <t>まず1販社を対象にSalesforce→NiFi→Kudu（参照用TB）のデータ連携を調査・準備・検証する。</t>
  </si>
  <si>
    <t>WBS基準</t>
  </si>
  <si>
    <t>2販社・検証＋号口から、1販社先行検証・検証環境中心へ変更。</t>
  </si>
  <si>
    <t>後続作業</t>
  </si>
  <si>
    <t>2販社目・号口反映・追加販社展開は、先行検証完了後のGo判断を開始条件とする。</t>
  </si>
  <si>
    <t>工数</t>
  </si>
  <si>
    <t>既存69人日は2販社見積の参考値。1販社先行検証は対象範囲確定後に再見積する。</t>
  </si>
  <si>
    <t>変更対象</t>
  </si>
  <si>
    <t>変更前</t>
  </si>
  <si>
    <t>変更後</t>
  </si>
  <si>
    <t>理由</t>
  </si>
  <si>
    <t>関連タスク</t>
  </si>
  <si>
    <t>日程の扱い</t>
  </si>
  <si>
    <t>基準対象</t>
  </si>
  <si>
    <t>2販社</t>
  </si>
  <si>
    <t>1販社先行検証</t>
  </si>
  <si>
    <t>EXT-04、REQ-02、DEV-07</t>
  </si>
  <si>
    <t>既存日程は仮</t>
  </si>
  <si>
    <t>要再見積</t>
  </si>
  <si>
    <t>先行販社名は未確定</t>
  </si>
  <si>
    <t>連携経路</t>
  </si>
  <si>
    <t>NiFi基準だが保存先未確定</t>
  </si>
  <si>
    <t>Salesforce→NiFi→Kudu（参照用TB）</t>
  </si>
  <si>
    <t>Salesforce→NiFi→Kudu先行検証へ具体化</t>
  </si>
  <si>
    <t>EXT-05、ARC-01、DEV-02</t>
  </si>
  <si>
    <t>Kudu参照用TBの具体的DB／テーブル名は未確定</t>
  </si>
  <si>
    <t>2販社目</t>
  </si>
  <si>
    <t>先行検証後の条件付き</t>
  </si>
  <si>
    <t>先行検証結果から展開判断</t>
  </si>
  <si>
    <t>日程未設定</t>
  </si>
  <si>
    <t>【絶対に必要｜並行可】 削除実装は条件付き</t>
  </si>
  <si>
    <t>Go判断後に開始</t>
  </si>
  <si>
    <t>号口反映</t>
  </si>
  <si>
    <t>議事録では号口実施が未確定</t>
  </si>
  <si>
    <t>REL-01～REL-08</t>
  </si>
  <si>
    <t>関係者承認が開始条件</t>
  </si>
  <si>
    <t>完了判定</t>
  </si>
  <si>
    <t>第一リリース完了判定</t>
  </si>
  <si>
    <t>先行検証完了・後続展開判定</t>
  </si>
  <si>
    <t>今回の目的に合わせる</t>
  </si>
  <si>
    <t>2026/10/16は仮</t>
  </si>
  <si>
    <t>Go／No-Goを記録</t>
  </si>
  <si>
    <t>別ワークストリームとして継続確認</t>
  </si>
  <si>
    <t>PBIX→PBIP変換検証は一旦中止</t>
  </si>
  <si>
    <t>SCP-05～SCP-08</t>
  </si>
  <si>
    <t>未設定</t>
  </si>
  <si>
    <t>先行検証の必須範囲外</t>
  </si>
  <si>
    <t>未確定事項</t>
  </si>
  <si>
    <t>WBS修正後も確認が必要な内容</t>
  </si>
  <si>
    <t>先行販社</t>
  </si>
  <si>
    <t>具体的な販社名・Salesforce Org</t>
  </si>
  <si>
    <t>対象データ</t>
  </si>
  <si>
    <t>Object、Field、データ量、更新特性</t>
  </si>
  <si>
    <t>Kudu参照用TB</t>
  </si>
  <si>
    <t>DB・テーブル名、列、型、キー等</t>
  </si>
  <si>
    <t>取得方式</t>
  </si>
  <si>
    <t>全件・差分・Watermark・削除データ</t>
  </si>
  <si>
    <t>検証完了条件</t>
  </si>
  <si>
    <t>件数、主要項目、処理時間、Evidence、承認者</t>
  </si>
  <si>
    <t>開始日、完了希望日、外部依存期限</t>
  </si>
  <si>
    <t>先行検証工数</t>
  </si>
  <si>
    <t>既存69人日とは別に再見積</t>
  </si>
  <si>
    <t>後続展開</t>
  </si>
  <si>
    <t>号口反映、2販社目、追加販社の実施可否・開始時期</t>
  </si>
  <si>
    <t>工数再算定</t>
  </si>
  <si>
    <t>対象</t>
  </si>
  <si>
    <t>日程</t>
  </si>
  <si>
    <t>53.5人日</t>
  </si>
  <si>
    <t>1販社見積57.5－号口リリース4</t>
  </si>
  <si>
    <t>先行1販社・検証環境</t>
  </si>
  <si>
    <t>2026/8/3～9/18（仮）</t>
  </si>
  <si>
    <t>号口4人日</t>
  </si>
  <si>
    <t>正式納期は要件確定後</t>
  </si>
  <si>
    <t>リリース</t>
  </si>
  <si>
    <t>条件付き4.0人日</t>
  </si>
  <si>
    <t>見積の設計2＋実施2</t>
  </si>
  <si>
    <t>REL-01～08</t>
  </si>
  <si>
    <t>Go判断後に再計上</t>
  </si>
  <si>
    <t>先行検証基準外</t>
  </si>
  <si>
    <t>第一リリース51.5</t>
  </si>
  <si>
    <t>参考対象</t>
  </si>
  <si>
    <t>作業分解・漏れ確認に限定</t>
  </si>
  <si>
    <t>ADF/ADLS/加工/PBIを含む別構成</t>
  </si>
  <si>
    <t>全WBS</t>
  </si>
  <si>
    <t>合算しない</t>
  </si>
  <si>
    <t>各対象範囲で判断</t>
  </si>
  <si>
    <t>総工数として採用しない</t>
  </si>
  <si>
    <t>WBS日程</t>
  </si>
  <si>
    <t>～2026/10/16</t>
  </si>
  <si>
    <t>～2026/9/18</t>
  </si>
  <si>
    <t>見積L/T約1.5か月</t>
  </si>
  <si>
    <t>通常作業・検証完了</t>
  </si>
  <si>
    <t>仮計画</t>
  </si>
  <si>
    <t>条件付き作業は未設定</t>
  </si>
  <si>
    <t>担当体制で再確認</t>
  </si>
  <si>
    <t>1.5か月逆算見直し</t>
  </si>
  <si>
    <t>日程への効果</t>
  </si>
  <si>
    <t>工数への扱い</t>
  </si>
  <si>
    <t>連携スコープ</t>
  </si>
  <si>
    <t>Salesforce→NiFi→CDP</t>
  </si>
  <si>
    <t>実作業スコープを明確化</t>
  </si>
  <si>
    <t>ARC/DAT/DEV/UT/IT/ST</t>
  </si>
  <si>
    <t>不要な加工工程を計画から除外</t>
  </si>
  <si>
    <t>53.5人日内で優先順位付け</t>
  </si>
  <si>
    <t>Kuduの具体的DB/TB名は未確定</t>
  </si>
  <si>
    <t>データ加工</t>
  </si>
  <si>
    <t>Bronze→Silver→Goldは今回スコープ外</t>
  </si>
  <si>
    <t>先行検証では参照用TBまで</t>
  </si>
  <si>
    <t>SCP-02～04</t>
  </si>
  <si>
    <t>実行スケジュールに含めない</t>
  </si>
  <si>
    <t>加算しない</t>
  </si>
  <si>
    <t>後続案件で必要なら再計画</t>
  </si>
  <si>
    <t>WBS優先度</t>
  </si>
  <si>
    <t>タスク種別のみ</t>
  </si>
  <si>
    <t>必須／暫定省略可／スコープ外・後続を追加</t>
  </si>
  <si>
    <t>1.5か月から逆算して取捨選択するため</t>
  </si>
  <si>
    <t>WBS_タスク補足 P:R</t>
  </si>
  <si>
    <t>任意作業をガントから外す</t>
  </si>
  <si>
    <t>見積総額の再断定はしない</t>
  </si>
  <si>
    <t>担当・要件確定後に再調整</t>
  </si>
  <si>
    <t>並行実施</t>
  </si>
  <si>
    <t>明示なし</t>
  </si>
  <si>
    <t>並行可否を明示</t>
  </si>
  <si>
    <t>要件・Security/NW・IF設計・試験を並行し期間を守るため</t>
  </si>
  <si>
    <t>WBS_タスク補足 Q列</t>
  </si>
  <si>
    <t>クリティカルパスを圧縮</t>
  </si>
  <si>
    <t>追加工数ではなく進め方の工夫</t>
  </si>
  <si>
    <t>同一担当者の場合は実際の並行性を再確認</t>
  </si>
  <si>
    <t>【絶対に必要｜並行可】 今回の基準経路はSalesforce→NiFi→Kudu（参照用TB）</t>
  </si>
  <si>
    <t>【暫定対応なら省略可｜並行可】 最終的な標準化は先行検証後にFUT-03で整理</t>
  </si>
  <si>
    <t>1販社先行検証 WBS工数配賦</t>
  </si>
  <si>
    <t>工数は見積書の行単位で配賦しています。WBS小項目ごとの細かな割当は、担当者・対象Object数・実装方式の確定後に行います。</t>
  </si>
  <si>
    <t>見積タスク</t>
  </si>
  <si>
    <t>元工数</t>
  </si>
  <si>
    <t>関連WBS ID</t>
  </si>
  <si>
    <t>配賦先・対象作業</t>
  </si>
  <si>
    <t>補足</t>
  </si>
  <si>
    <t>調査</t>
  </si>
  <si>
    <t>EXT-04～05、REQ-01～04、SFD-01～05、NW-01、CON-03</t>
  </si>
  <si>
    <t>接続要件、対象データ、通信経路、サンプル取得の調査</t>
  </si>
  <si>
    <t>複数WBSへ横断配賦</t>
  </si>
  <si>
    <t>定義書作成</t>
  </si>
  <si>
    <t>EXT-06、REQ-05、SFD-06</t>
  </si>
  <si>
    <t>目的、対象、連携概要、認証、API制約の文書化・レビュー</t>
  </si>
  <si>
    <t>要件定義成果物</t>
  </si>
  <si>
    <t>構成図作成</t>
  </si>
  <si>
    <t>ARC-01～02</t>
  </si>
  <si>
    <t>Salesforce→NiFi→Kudu（参照用TB）構成と責務分界</t>
  </si>
  <si>
    <t>ADF等は対象外</t>
  </si>
  <si>
    <t>設計書作成</t>
  </si>
  <si>
    <t>ARC-03～07、IF-01～07、DAT-01～03</t>
  </si>
  <si>
    <t>IF、マッピング、非機能、保存設計の文書化</t>
  </si>
  <si>
    <t>第一リリース作業一覧を分解参考に使用</t>
  </si>
  <si>
    <t>Security/NW</t>
  </si>
  <si>
    <t>窓口・調整</t>
  </si>
  <si>
    <t>Salesforce・基盤・インフラ関係者との調整</t>
  </si>
  <si>
    <t>PM/PLとは別に元見積へ計上済み</t>
  </si>
  <si>
    <t>詳細設計</t>
  </si>
  <si>
    <t>SEC-01～06、NW-01～07</t>
  </si>
  <si>
    <t>認証認可、IP、通信経路、Secret、ログの設計</t>
  </si>
  <si>
    <t>検証環境向け</t>
  </si>
  <si>
    <t>実装</t>
  </si>
  <si>
    <t>CON-01～04、NW-04</t>
  </si>
  <si>
    <t>Credential、接続、必要な設定反映</t>
  </si>
  <si>
    <t>Sandbox準備自体は外部依存</t>
  </si>
  <si>
    <t>単体テスト</t>
  </si>
  <si>
    <t>ST-01～06</t>
  </si>
  <si>
    <t>権限、Secret、疎通、不要経路の確認</t>
  </si>
  <si>
    <t>Evidenceを含む</t>
  </si>
  <si>
    <t>IF-01～07、DAT-01～03、DEV-01～02、UT-01</t>
  </si>
  <si>
    <t>API、変換、Recovery、保存、単体試験設計</t>
  </si>
  <si>
    <t>基本設計との重複は成果物単位で管理</t>
  </si>
  <si>
    <t>NiFiデータ取得</t>
  </si>
  <si>
    <t>DEV-01、DEV-03～07</t>
  </si>
  <si>
    <t>NiFiでSalesforceデータを取得する処理</t>
  </si>
  <si>
    <t>先行1販社</t>
  </si>
  <si>
    <t>NiFiデータ保存</t>
  </si>
  <si>
    <t>DEV-02～07</t>
  </si>
  <si>
    <t>取得データをKudu（参照用TB）へ保存する処理</t>
  </si>
  <si>
    <t>Kudu参照用TB確定後に具体化</t>
  </si>
  <si>
    <t>UT-02～06</t>
  </si>
  <si>
    <t>取得、保存、変換、件数、再実行の試験</t>
  </si>
  <si>
    <t>テスト設計</t>
  </si>
  <si>
    <t>E2E、整合性、Recoveryの試験設計</t>
  </si>
  <si>
    <t>テスト実施</t>
  </si>
  <si>
    <t>IT-02～06</t>
  </si>
  <si>
    <t>件数・値突合、追跡、復旧、処理時間、報告</t>
  </si>
  <si>
    <t>設計</t>
  </si>
  <si>
    <t>REL-01～02</t>
  </si>
  <si>
    <t>号口移行・切り戻し設計</t>
  </si>
  <si>
    <t>先行検証完了後のGo判断で再計上</t>
  </si>
  <si>
    <t>実施</t>
  </si>
  <si>
    <t>REL-03～08</t>
  </si>
  <si>
    <t>号口設定・反映・初回取得・初期監視</t>
  </si>
  <si>
    <t>PM</t>
  </si>
  <si>
    <t>PM-01～06、REL-09</t>
  </si>
  <si>
    <t>進行、課題、調整、判定、スコープ管理</t>
  </si>
  <si>
    <t>PLと合わせて10人日</t>
  </si>
  <si>
    <t>PL</t>
  </si>
  <si>
    <t>PM-01～06、REL-09、FUT-04</t>
  </si>
  <si>
    <t>技術判断、成果物レビュー、検証完了判定</t>
  </si>
  <si>
    <t>PMと合わせて10人日</t>
  </si>
  <si>
    <t>条件付き4.0人日は除外</t>
  </si>
  <si>
    <t>【絶対に必要｜並行可】 保存先確定後に具体化</t>
  </si>
  <si>
    <t>【絶対に必要｜並行可】 特定製品は未確定</t>
  </si>
  <si>
    <t>第一リリース作業一覧と1販社先行検証WBSの突合</t>
  </si>
  <si>
    <t>第一リリース資料51.5人日はADF・ADLS・Bronze・Silver・Gold・Power BIまで含む別構成です。今回のWBSはSalesforce→NiFi→Kudu（参照用TB）のみを実行スコープとし、その他は総工数へ合算しません。</t>
  </si>
  <si>
    <t>カテゴリ</t>
  </si>
  <si>
    <t>タスク</t>
  </si>
  <si>
    <t>資料工数</t>
  </si>
  <si>
    <t>WBSでの扱い</t>
  </si>
  <si>
    <t>関連WBS</t>
  </si>
  <si>
    <t>判断</t>
  </si>
  <si>
    <t>対象範囲・利用要件整理</t>
  </si>
  <si>
    <t>Power BI要件を除き採用</t>
  </si>
  <si>
    <t>REQ-01～05</t>
  </si>
  <si>
    <t>一部採用</t>
  </si>
  <si>
    <t>先行検証の目的・範囲・鮮度は必要。Power BI指標は別ワークストリーム</t>
  </si>
  <si>
    <t>53.5人日に内包</t>
  </si>
  <si>
    <t>採用</t>
  </si>
  <si>
    <t>SFD-01～06</t>
  </si>
  <si>
    <t>Object・Field・件数・更新特性はNiFi設計の前提</t>
  </si>
  <si>
    <t>全体設計</t>
  </si>
  <si>
    <t>グランドデザイン</t>
  </si>
  <si>
    <t>Kudu参照用TB向けに読み替え</t>
  </si>
  <si>
    <t>ARC-01～03</t>
  </si>
  <si>
    <t>ADF・ADLS・Power BIレイヤーは対象外。Salesforce→NiFi→KuduのE2E構成のみ必要</t>
  </si>
  <si>
    <t>非機能・運用方針</t>
  </si>
  <si>
    <t>ARC-04～07、OPS-01～06</t>
  </si>
  <si>
    <t>採用・内包</t>
  </si>
  <si>
    <t>Retry、Recovery、監視、履歴は先行検証でも必要</t>
  </si>
  <si>
    <t>追加計上しない</t>
  </si>
  <si>
    <t>セキュリティ</t>
  </si>
  <si>
    <t>認証・認可設計</t>
  </si>
  <si>
    <t>NiFi・Kudu向けに読み替え</t>
  </si>
  <si>
    <t>SEC-01～06</t>
  </si>
  <si>
    <t>Azure固有方式は除外し、Salesforce・NiFi・Kuduを対象</t>
  </si>
  <si>
    <t>9.5人日枠に内包</t>
  </si>
  <si>
    <t>ネットワーク</t>
  </si>
  <si>
    <t>接続・通信設計</t>
  </si>
  <si>
    <t>Salesforce→NiFi→Kuduの関連経路だけ採用</t>
  </si>
  <si>
    <t>NW-01～07</t>
  </si>
  <si>
    <t>ADF・ADLS・Power BI区間は対象外</t>
  </si>
  <si>
    <t>IF設計</t>
  </si>
  <si>
    <t>データ連携方式設計</t>
  </si>
  <si>
    <t>基本方式は採用、増分・削除は条件付き</t>
  </si>
  <si>
    <t>IF-01～07、OPT-01～09</t>
  </si>
  <si>
    <t>Full/Incremental等は対象データ確定後に採否判断</t>
  </si>
  <si>
    <t>基本設計に内包／条件確定後再見積</t>
  </si>
  <si>
    <t>格納設計</t>
  </si>
  <si>
    <t>ADLSデータ配置設計</t>
  </si>
  <si>
    <t>Kudu参照用TB設計へ読み替え</t>
  </si>
  <si>
    <t>DAT-01～03、SCP-01</t>
  </si>
  <si>
    <t>ADLSは対象外。Kuduの列・型・キー・保存方式のみ整理</t>
  </si>
  <si>
    <t>データ設計</t>
  </si>
  <si>
    <t>CDPデータモデル設計</t>
  </si>
  <si>
    <t>Kudu参照用TBの列・Key設計のみ採用</t>
  </si>
  <si>
    <t>DAT-01～03、SCP-02～04</t>
  </si>
  <si>
    <t>Bronze／Silver／Goldは今回の作業スコープ外</t>
  </si>
  <si>
    <t>データ収集</t>
  </si>
  <si>
    <t>Salesforce接続</t>
  </si>
  <si>
    <t>NiFi接続として採用</t>
  </si>
  <si>
    <t>CON-01～04</t>
  </si>
  <si>
    <t>ADF ConnectionではなくNiFi接続を実施</t>
  </si>
  <si>
    <t>ADF共通Pipeline</t>
  </si>
  <si>
    <t>NiFi共通取得・保存フローへ置換</t>
  </si>
  <si>
    <t>DEV-01～07</t>
  </si>
  <si>
    <t>置換採用</t>
  </si>
  <si>
    <t>製品は異なるが、共通処理・Parameter化の考え方は利用</t>
  </si>
  <si>
    <t>13人日枠に内包</t>
  </si>
  <si>
    <t>増分取得実装</t>
  </si>
  <si>
    <t>OPT-01～06</t>
  </si>
  <si>
    <t>差分要件が確定していない</t>
  </si>
  <si>
    <t>採用時に再見積</t>
  </si>
  <si>
    <t>データ格納</t>
  </si>
  <si>
    <t>ADLS Landing/Raw</t>
  </si>
  <si>
    <t>基準外</t>
  </si>
  <si>
    <t>ADLS Landing／Rawは実施しない</t>
  </si>
  <si>
    <t>基準工数に加算しない</t>
  </si>
  <si>
    <t>Bronze構築</t>
  </si>
  <si>
    <t>Bronze構築は実施しない</t>
  </si>
  <si>
    <t>Silver構築</t>
  </si>
  <si>
    <t>Silver構築は実施しない</t>
  </si>
  <si>
    <t>Gold構築</t>
  </si>
  <si>
    <t>Gold構築は実施しない</t>
  </si>
  <si>
    <t>可視化</t>
  </si>
  <si>
    <t>SCP-05～08</t>
  </si>
  <si>
    <t>Power BIは今回の先行検証対象外</t>
  </si>
  <si>
    <t>NiFi・Kudu範囲へ読み替え</t>
  </si>
  <si>
    <t>UT-01～06、ST-01～06</t>
  </si>
  <si>
    <t>取得・Kudu保存・主要データ確認を対象</t>
  </si>
  <si>
    <t>見積のデータソース2＋Security/NW1.5に対応</t>
  </si>
  <si>
    <t>Salesforce→NiFi→Kuduへ読み替え</t>
  </si>
  <si>
    <t>IT-01～06</t>
  </si>
  <si>
    <t>先行1販社のSalesforce→NiFi→Kuduの整合を確認</t>
  </si>
  <si>
    <t>結合テスト4人日内</t>
  </si>
  <si>
    <t>Security/NW試験</t>
  </si>
  <si>
    <t>Security/NW1.5人日内</t>
  </si>
  <si>
    <t>運用</t>
  </si>
  <si>
    <t>運用・障害対応設計</t>
  </si>
  <si>
    <t>採用するが追加計上しない</t>
  </si>
  <si>
    <t>OPS-01～06</t>
  </si>
  <si>
    <t>内包</t>
  </si>
  <si>
    <t>1販社見積の基本設計・詳細設計・結合試験で吸収</t>
  </si>
  <si>
    <t>本番移行</t>
  </si>
  <si>
    <t>今回の議事録では号口実施が未確定</t>
  </si>
  <si>
    <t>別途4人日を条件付き</t>
  </si>
  <si>
    <t>PM/PL</t>
  </si>
  <si>
    <t>1販社見積ではPM5＋PL5を基準とする</t>
  </si>
  <si>
    <t>10人日を採用</t>
  </si>
  <si>
    <t>【絶対に必要｜並行可】 実際の設定変更主体は未確定</t>
  </si>
  <si>
    <t>Salesforceデータ連携 1販社先行検証 — 1.5か月実行方針</t>
  </si>
  <si>
    <t>仮納期2026/09/18から逆算し、Salesforce→NiFi→Kudu（参照用TB）への連携成立を最優先とします。Bronze→Silver→Gold、ADLS、Power BIは今回の作業スコープ外です。</t>
  </si>
  <si>
    <t>暫定省略可</t>
  </si>
  <si>
    <t>並行可能</t>
  </si>
  <si>
    <t>1.5か月の基準作業</t>
  </si>
  <si>
    <t>簡略化・後続化候補</t>
  </si>
  <si>
    <t>今回の実行計画から除外</t>
  </si>
  <si>
    <t>並行可＋一部並行可</t>
  </si>
  <si>
    <t>優先順</t>
  </si>
  <si>
    <t>工程</t>
  </si>
  <si>
    <t>主な内容</t>
  </si>
  <si>
    <t>並行できる内容</t>
  </si>
  <si>
    <t>目安期間</t>
  </si>
  <si>
    <t>遅延時の対応</t>
  </si>
  <si>
    <t>関連ID例</t>
  </si>
  <si>
    <t>着手条件・対象確定</t>
  </si>
  <si>
    <t>先行販社、Org、認証、対象Object／Field、Kudu参照用TBを確定</t>
  </si>
  <si>
    <t>要件整理とSalesforceデータ調査を並行</t>
  </si>
  <si>
    <t>接続・設計へ着手できる</t>
  </si>
  <si>
    <t>8月上～中旬</t>
  </si>
  <si>
    <t>必須項目以外の文書化を後続化</t>
  </si>
  <si>
    <t>EXT、REQ、SFD</t>
  </si>
  <si>
    <t>接続・設計</t>
  </si>
  <si>
    <t>Salesforce→NiFi→Kuduの構成、Security／NW、IF、Kuduテーブルを設計</t>
  </si>
  <si>
    <t>Security／NW／IF／Kudu設計を並行</t>
  </si>
  <si>
    <t>サンプル取得と保存設計が成立</t>
  </si>
  <si>
    <t>8月中～下旬</t>
  </si>
  <si>
    <t>標準化・詳細運用設計を簡略化</t>
  </si>
  <si>
    <t>ARC、SEC、NW、IF、DAT、CON</t>
  </si>
  <si>
    <t>NiFi実装</t>
  </si>
  <si>
    <t>Salesforce取得、Kudu保存、エラー・再実行の最小機能を実装</t>
  </si>
  <si>
    <t>取得・保存処理は担当分離できる場合に一部並行</t>
  </si>
  <si>
    <t>対象データをKudu参照用TBへ保存できる</t>
  </si>
  <si>
    <t>8月下旬～9月上旬</t>
  </si>
  <si>
    <t>外部化・追加メタデータは最小化</t>
  </si>
  <si>
    <t>試験</t>
  </si>
  <si>
    <t>取得・保存・データ一致・権限・疎通・再実行を確認</t>
  </si>
  <si>
    <t>単体試験とSecurity／NW試験を並行</t>
  </si>
  <si>
    <t>SalesforceとKuduの主要データが一致</t>
  </si>
  <si>
    <t>9月上～中旬</t>
  </si>
  <si>
    <t>網羅的境界試験・正式報告書を簡略化</t>
  </si>
  <si>
    <t>UT、ST、IT</t>
  </si>
  <si>
    <t>Evidence、残課題、号口／2販社目のGo／No-Goを整理</t>
  </si>
  <si>
    <t>残課題整理は試験終盤から並行</t>
  </si>
  <si>
    <t>先行検証完了判定が記録される</t>
  </si>
  <si>
    <t>9月18日</t>
  </si>
  <si>
    <t>後続作業を明示して切り離す</t>
  </si>
  <si>
    <t>A. 絶対に必要な項目 — 1.5か月で連携成立させるため削れない作業</t>
  </si>
  <si>
    <t>理由・短縮方針</t>
  </si>
  <si>
    <t>B. 暫定対応であれば省略・簡略化できる項目 — 仮納期優先時の調整候補</t>
  </si>
  <si>
    <t>暫定対応</t>
  </si>
  <si>
    <t>C. 並行できる項目 — 1.5か月に収めるため同時進行する作業</t>
  </si>
  <si>
    <t>実行区分</t>
  </si>
  <si>
    <t>今回スコープ外・後続 — 1.5か月の実行計画には含めない</t>
  </si>
  <si>
    <t>【暫定対応なら省略可｜並行可】 1販社先行。追加販社で変更できる設計とする</t>
  </si>
  <si>
    <t>【絶対に必要｜一部並行可】 先行対象販社・検証環境で実施</t>
  </si>
  <si>
    <t>【絶対に必要｜一部並行可】 NiFi基準</t>
  </si>
  <si>
    <t>【絶対に必要｜一部並行可】</t>
  </si>
  <si>
    <t>【絶対に必要｜一部並行可】 M3に対応</t>
  </si>
  <si>
    <t>【絶対に必要｜一部並行可】 保存先確定後に具体化</t>
  </si>
  <si>
    <t>【暫定対応なら省略可｜並行可】 複数販社向けの最終標準化ではなく、先行検証に必要な範囲</t>
  </si>
  <si>
    <t>【絶対に必要｜一部並行可】 先行販社名・対象Objectは未確定</t>
  </si>
  <si>
    <t>【今回スコープ外・後続｜対象外】 実施条件：先行検証完了・2販社目展開のGo判断</t>
  </si>
  <si>
    <t>【絶対に必要｜並行可】 先行対象1販社で実施</t>
  </si>
  <si>
    <t>【暫定対応なら省略可｜並行可】 変換実装範囲に応じる</t>
  </si>
  <si>
    <t>【暫定対応なら省略可｜並行可】 M5に対応</t>
  </si>
  <si>
    <t>【絶対に必要｜一部並行可】 先行対象1販社で実施</t>
  </si>
  <si>
    <t>【暫定対応なら省略可｜並行可】 M6に対応</t>
  </si>
  <si>
    <t>【暫定対応なら省略可｜後続／必要時】 精緻化見積への明記弱</t>
  </si>
  <si>
    <t>【暫定対応なら省略可｜後続／必要時】</t>
  </si>
  <si>
    <t>【暫定対応なら省略可｜後続／必要時】 先行検証完了判定の確認資料</t>
  </si>
  <si>
    <t>【暫定対応なら省略可｜後続／必要時】 実施条件：1販社先行検証完了・関係者のGo判断</t>
  </si>
  <si>
    <t>【絶対に必要｜一部並行可】 先行検証の最終マイルストーン。日付は仮</t>
  </si>
  <si>
    <t>【暫定対応なら省略可｜後続／必要時】 採用条件：差分連携を採用</t>
  </si>
  <si>
    <t>【暫定対応なら省略可｜後続／必要時】 採用条件：初回全件取得を行う</t>
  </si>
  <si>
    <t>【暫定対応なら省略可｜後続／必要時】 採用条件：Watermark方式を採用</t>
  </si>
  <si>
    <t>【暫定対応なら省略可｜後続／必要時】 採用条件：削除データを対象とする</t>
  </si>
  <si>
    <t>【暫定対応なら省略可｜後続／必要時】 採用条件：新規Private接続が必要</t>
  </si>
  <si>
    <t>【暫定対応なら省略可｜後続／必要時】 採用条件：既存設定変更が必要</t>
  </si>
  <si>
    <t>【今回スコープ外・後続｜対象外】 基準WBSでは未採用</t>
  </si>
  <si>
    <t>【今回スコープ外・後続｜対象外】 1販社先行検証の必須範囲外。PBIP運用ヒアリングとは別途管理</t>
  </si>
  <si>
    <t>【暫定対応なら省略可｜後続／必要時】 方針整理のみ。実装しない</t>
  </si>
  <si>
    <t>【暫定対応なら省略可｜後続／必要時】 先行検証結果を受けて後続で実施</t>
  </si>
  <si>
    <t>【暫定対応なら省略可｜後続／必要時】 先行検証完了時に整理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</si>
</sst>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7">
    <numFmt numFmtId="164" formatCode="m&quot;月&quot;d&quot;日&quot;"/>
    <numFmt numFmtId="165" formatCode="m/d"/>
    <numFmt numFmtId="166" formatCode="yyyy-mm-dd"/>
    <numFmt numFmtId="167" formatCode="0.0&quot;人日&quot;"/>
    <numFmt numFmtId="168" formatCode="&quot;週初 &quot;m/d"/>
    <numFmt numFmtId="169" formatCode="yyyy/m/d"/>
    <numFmt numFmtId="170" formatCode=";;;"/>
  </numFmts>
  <fonts count="46">
    <font>
      <sz val="11.0"/>
      <color theme="1"/>
      <name val="Calibri"/>
      <scheme val="minor"/>
    </font>
    <font>
      <sz val="11.0"/>
      <color theme="1"/>
      <name val="Yu Gothic UI"/>
    </font>
    <font>
      <b/>
      <sz val="10.0"/>
      <color rgb="FFFFFFFF"/>
      <name val="Aptos"/>
    </font>
    <font>
      <b/>
      <sz val="10.0"/>
      <color rgb="FF1F1F1F"/>
      <name val="Aptos"/>
    </font>
    <font>
      <sz val="10.0"/>
      <color theme="1"/>
      <name val="Aptos"/>
    </font>
    <font>
      <sz val="9.0"/>
      <color theme="1"/>
      <name val="Aptos"/>
    </font>
    <font>
      <sz val="9.0"/>
      <color rgb="FF002060"/>
      <name val="Yu Gothic UI"/>
    </font>
    <font>
      <b/>
      <sz val="11.0"/>
      <color theme="1"/>
      <name val="Yu Gothic UI"/>
    </font>
    <font>
      <b/>
      <sz val="11.0"/>
      <color rgb="FFC55A11"/>
      <name val="Yu Gothic UI"/>
    </font>
    <font>
      <b/>
      <sz val="11.0"/>
      <color rgb="FF1F4E78"/>
      <name val="游ゴシック"/>
    </font>
    <font>
      <sz val="11.0"/>
      <color theme="1"/>
      <name val="游ゴシック"/>
    </font>
    <font>
      <b/>
      <sz val="11.0"/>
      <color rgb="FFC00000"/>
      <name val="Yu Gothic UI"/>
    </font>
    <font>
      <b/>
      <sz val="11.0"/>
      <color rgb="FF385723"/>
      <name val="游ゴシック"/>
    </font>
    <font>
      <sz val="8.0"/>
      <color rgb="FF000000"/>
      <name val="Yu Gothic UI"/>
    </font>
    <font>
      <sz val="9.0"/>
      <color rgb="FF002060"/>
      <name val="Aptos"/>
    </font>
    <font>
      <b/>
      <sz val="9.0"/>
      <color rgb="FFFFFFFF"/>
      <name val="Aptos"/>
    </font>
    <font>
      <b/>
      <sz val="8.0"/>
      <color rgb="FF1F1F1F"/>
      <name val="Aptos"/>
    </font>
    <font>
      <b/>
      <sz val="9.0"/>
      <color rgb="FF1F1F1F"/>
      <name val="Aptos"/>
    </font>
    <font>
      <sz val="11.0"/>
      <color rgb="FF000000"/>
      <name val="Yu Gothic UI"/>
    </font>
    <font>
      <sz val="11.0"/>
      <color theme="10"/>
      <name val="游ゴシック"/>
    </font>
    <font>
      <b/>
      <sz val="9.0"/>
      <color rgb="FF9C5700"/>
      <name val="Aptos"/>
    </font>
    <font>
      <sz val="9.0"/>
      <color rgb="FF1F1F1F"/>
      <name val="Aptos"/>
    </font>
    <font>
      <i/>
      <sz val="9.0"/>
      <color theme="1"/>
      <name val="Aptos"/>
    </font>
    <font>
      <b/>
      <sz val="11.0"/>
      <color rgb="FFFFFFFF"/>
      <name val="游ゴシック"/>
    </font>
    <font>
      <sz val="11.0"/>
      <color rgb="FF385723"/>
      <name val="游ゴシック"/>
    </font>
    <font>
      <sz val="11.0"/>
      <color rgb="FF7F6000"/>
      <name val="游ゴシック"/>
    </font>
    <font>
      <sz val="11.0"/>
      <color rgb="FF595959"/>
      <name val="游ゴシック"/>
    </font>
    <font>
      <b/>
      <sz val="16.0"/>
      <color rgb="FFFFFFFF"/>
      <name val="Aptos"/>
    </font>
    <font>
      <b/>
      <sz val="10.0"/>
      <color rgb="FF1F4E78"/>
      <name val="Aptos"/>
    </font>
    <font>
      <b/>
      <sz val="10.0"/>
      <color rgb="FF385723"/>
      <name val="Aptos"/>
    </font>
    <font>
      <b/>
      <sz val="10.0"/>
      <color rgb="FF9C5700"/>
      <name val="Aptos"/>
    </font>
    <font>
      <b/>
      <sz val="10.0"/>
      <color rgb="FF404040"/>
      <name val="Aptos"/>
    </font>
    <font>
      <b/>
      <sz val="11.0"/>
      <color rgb="FF1F4E78"/>
      <name val="Aptos"/>
    </font>
    <font>
      <b/>
      <sz val="11.0"/>
      <color rgb="FF385723"/>
      <name val="Aptos"/>
    </font>
    <font>
      <b/>
      <sz val="11.0"/>
      <color rgb="FF7F6000"/>
      <name val="Aptos"/>
    </font>
    <font>
      <b/>
      <sz val="11.0"/>
      <color rgb="FF595959"/>
      <name val="Aptos"/>
    </font>
    <font>
      <b/>
      <sz val="9.0"/>
      <color rgb="FF274E13"/>
      <name val="Aptos"/>
    </font>
    <font>
      <b/>
      <sz val="11.0"/>
      <color rgb="FF9C5700"/>
      <name val="游ゴシック"/>
    </font>
    <font>
      <i/>
      <sz val="10.0"/>
      <color rgb="FF1F1F1F"/>
      <name val="Aptos"/>
    </font>
    <font>
      <b/>
      <sz val="11.0"/>
      <color rgb="FF9C5700"/>
      <name val="Aptos"/>
    </font>
    <font>
      <sz val="9.0"/>
      <color rgb="FF385723"/>
      <name val="Aptos"/>
    </font>
    <font>
      <sz val="9.0"/>
      <color rgb="FF7F6000"/>
      <name val="Aptos"/>
    </font>
    <font>
      <color theme="1"/>
      <name val="Calibri"/>
      <scheme val="minor"/>
    </font>
    <font>
      <b/>
      <sz val="11.0"/>
      <color rgb="FF7F6000"/>
      <name val="游ゴシック"/>
    </font>
    <font>
      <b/>
      <sz val="11.0"/>
      <color rgb="FF595959"/>
      <name val="游ゴシック"/>
    </font>
    <font>
      <sz val="9.0"/>
      <color rgb="FF595959"/>
      <name val="Aptos"/>
    </font>
  </fonts>
  <fills count="23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D6DCE4"/>
        <bgColor rgb="FFD6DCE4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E2F0D9"/>
        <bgColor rgb="FFE2F0D9"/>
      </patternFill>
    </fill>
    <fill>
      <patternFill patternType="solid">
        <fgColor rgb="FF5B9BD5"/>
        <bgColor rgb="FF5B9BD5"/>
      </patternFill>
    </fill>
    <fill>
      <patternFill patternType="solid">
        <fgColor rgb="FF4472C4"/>
        <bgColor rgb="FF4472C4"/>
      </patternFill>
    </fill>
    <fill>
      <patternFill patternType="solid">
        <fgColor rgb="FFD9E2F3"/>
        <bgColor rgb="FFD9E2F3"/>
      </patternFill>
    </fill>
    <fill>
      <patternFill patternType="solid">
        <fgColor rgb="FFEAF2F8"/>
        <bgColor rgb="FFEAF2F8"/>
      </patternFill>
    </fill>
    <fill>
      <patternFill patternType="solid">
        <fgColor rgb="FFFCE4D6"/>
        <bgColor rgb="FFFCE4D6"/>
      </patternFill>
    </fill>
    <fill>
      <patternFill patternType="solid">
        <fgColor rgb="FFF7F9FC"/>
        <bgColor rgb="FFF7F9FC"/>
      </patternFill>
    </fill>
    <fill>
      <patternFill patternType="solid">
        <fgColor rgb="FFF3F6FA"/>
        <bgColor rgb="FFF3F6FA"/>
      </patternFill>
    </fill>
    <fill>
      <patternFill patternType="solid">
        <fgColor rgb="FFDDEBF7"/>
        <bgColor rgb="FFDDEBF7"/>
      </patternFill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E7E6E6"/>
        <bgColor rgb="FFE7E6E6"/>
      </patternFill>
    </fill>
    <fill>
      <patternFill patternType="solid">
        <fgColor rgb="FFEDEDED"/>
        <bgColor rgb="FFEDEDED"/>
      </patternFill>
    </fill>
    <fill>
      <patternFill patternType="solid">
        <fgColor rgb="FFD9EAD3"/>
        <bgColor rgb="FFD9EAD3"/>
      </patternFill>
    </fill>
    <fill>
      <patternFill patternType="solid">
        <fgColor rgb="FFED7D31"/>
        <bgColor rgb="FFED7D31"/>
      </patternFill>
    </fill>
    <fill>
      <patternFill patternType="solid">
        <fgColor rgb="FFF4B183"/>
        <bgColor rgb="FFF4B183"/>
      </patternFill>
    </fill>
  </fills>
  <borders count="51">
    <border/>
    <border>
      <bottom style="thin">
        <color rgb="FFD2D2D2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right style="dotted">
        <color rgb="FF000000"/>
      </right>
      <bottom style="dotted">
        <color rgb="FF000000"/>
      </bottom>
    </border>
    <border>
      <left style="dotted">
        <color rgb="FF000000"/>
      </left>
      <right style="dotted">
        <color rgb="FF000000"/>
      </right>
      <bottom style="dotted">
        <color rgb="FF000000"/>
      </bottom>
    </border>
    <border>
      <left style="dotted">
        <color rgb="FF000000"/>
      </left>
      <right style="thin">
        <color rgb="FF000000"/>
      </right>
      <bottom style="dotted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top style="dotted">
        <color rgb="FF000000"/>
      </top>
      <bottom style="double">
        <color rgb="FF000000"/>
      </bottom>
    </border>
    <border>
      <left style="thin">
        <color rgb="FF000000"/>
      </left>
      <right style="dotted">
        <color rgb="FF000000"/>
      </right>
      <top style="dotted">
        <color rgb="FF000000"/>
      </top>
      <bottom style="double">
        <color rgb="FF000000"/>
      </bottom>
    </border>
    <border>
      <right style="dotted">
        <color rgb="FF000000"/>
      </right>
      <top style="dotted">
        <color rgb="FF000000"/>
      </top>
      <bottom style="double">
        <color rgb="FF000000"/>
      </bottom>
    </border>
    <border>
      <right style="thin">
        <color rgb="FF000000"/>
      </right>
      <top style="dotted">
        <color rgb="FF000000"/>
      </top>
      <bottom style="double">
        <color rgb="FF000000"/>
      </bottom>
    </border>
    <border>
      <left style="dotted">
        <color rgb="FF000000"/>
      </left>
      <right style="thin">
        <color rgb="FF000000"/>
      </right>
      <top style="dotted">
        <color rgb="FF000000"/>
      </top>
      <bottom style="double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</border>
    <border>
      <right style="dotted">
        <color rgb="FF000000"/>
      </right>
    </border>
    <border>
      <right style="dotted">
        <color rgb="FF000000"/>
      </right>
      <top style="dotted">
        <color rgb="FF000000"/>
      </top>
    </border>
    <border>
      <right style="thin">
        <color rgb="FF000000"/>
      </right>
      <top style="dotted">
        <color rgb="FF000000"/>
      </top>
    </border>
    <border>
      <left style="dotted">
        <color rgb="FF000000"/>
      </left>
      <right style="thin">
        <color rgb="FF000000"/>
      </right>
      <top style="dotted">
        <color rgb="FF000000"/>
      </top>
    </border>
    <border>
      <left style="dotted">
        <color rgb="FF000000"/>
      </left>
      <right style="dotted">
        <color rgb="FF000000"/>
      </right>
      <top style="dotted">
        <color rgb="FF000000"/>
      </top>
    </border>
    <border>
      <right style="dotted">
        <color rgb="FF000000"/>
      </right>
      <top style="thin">
        <color rgb="FF000000"/>
      </top>
      <bottom style="dotted">
        <color rgb="FF000000"/>
      </bottom>
    </border>
    <border>
      <right style="dotted">
        <color rgb="FF000000"/>
      </right>
      <top style="thin">
        <color rgb="FF000000"/>
      </top>
    </border>
    <border>
      <right style="thin">
        <color rgb="FF000000"/>
      </right>
      <top style="thin">
        <color rgb="FF000000"/>
      </top>
      <bottom style="dotted">
        <color rgb="FF000000"/>
      </bottom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</border>
    <border>
      <left style="dotted">
        <color rgb="FF000000"/>
      </left>
      <right style="dotted">
        <color rgb="FF000000"/>
      </right>
      <top style="thin">
        <color rgb="FF000000"/>
      </top>
      <bottom style="dotted">
        <color rgb="FF000000"/>
      </bottom>
    </border>
    <border>
      <right style="dotted">
        <color rgb="FF000000"/>
      </right>
      <top style="dotted">
        <color rgb="FF000000"/>
      </top>
      <bottom style="thin">
        <color rgb="FF000000"/>
      </bottom>
    </border>
    <border>
      <right style="dotted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thin">
        <color rgb="FF000000"/>
      </bottom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right style="thin">
        <color rgb="FF000000"/>
      </right>
    </border>
    <border>
      <left style="dotted">
        <color rgb="FF000000"/>
      </left>
      <right style="thin">
        <color rgb="FF000000"/>
      </right>
    </border>
    <border>
      <left style="dotted">
        <color rgb="FF000000"/>
      </left>
      <right style="dotted">
        <color rgb="FF000000"/>
      </right>
    </border>
    <border>
      <left style="dotted">
        <color rgb="FF000000"/>
      </left>
      <right style="thin">
        <color rgb="FF000000"/>
      </right>
      <top style="thin">
        <color rgb="FF000000"/>
      </top>
    </border>
    <border>
      <left style="dotted">
        <color rgb="FF000000"/>
      </left>
      <right style="dotted">
        <color rgb="FF000000"/>
      </right>
      <top style="thin">
        <color rgb="FF000000"/>
      </top>
    </border>
    <border>
      <right style="dotted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top style="dotted">
        <color rgb="FF000000"/>
      </top>
      <bottom style="double">
        <color rgb="FF000000"/>
      </bottom>
    </border>
    <border>
      <left style="dotted">
        <color rgb="FF000000"/>
      </left>
      <top style="dotted">
        <color rgb="FF000000"/>
      </top>
      <bottom style="double">
        <color rgb="FF000000"/>
      </bottom>
    </border>
    <border>
      <right style="dotted">
        <color rgb="FF000000"/>
      </right>
      <top style="thin">
        <color rgb="FF000000"/>
      </top>
      <bottom style="thin">
        <color rgb="FF000000"/>
      </bottom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303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0" fillId="2" fontId="2" numFmtId="0" xfId="0" applyAlignment="1" applyFill="1" applyFont="1">
      <alignment horizontal="center" vertical="center"/>
    </xf>
    <xf borderId="0" fillId="0" fontId="1" numFmtId="0" xfId="0" applyFont="1"/>
    <xf borderId="0" fillId="3" fontId="3" numFmtId="0" xfId="0" applyAlignment="1" applyFill="1" applyFont="1">
      <alignment horizontal="center" vertical="center"/>
    </xf>
    <xf borderId="0" fillId="0" fontId="1" numFmtId="0" xfId="0" applyAlignment="1" applyFont="1">
      <alignment shrinkToFit="0" wrapText="1"/>
    </xf>
    <xf borderId="1" fillId="0" fontId="1" numFmtId="164" xfId="0" applyBorder="1" applyFont="1" applyNumberFormat="1"/>
    <xf borderId="0" fillId="0" fontId="4" numFmtId="0" xfId="0" applyAlignment="1" applyFont="1">
      <alignment shrinkToFit="0" vertical="center" wrapText="1"/>
    </xf>
    <xf borderId="0" fillId="2" fontId="2" numFmtId="165" xfId="0" applyAlignment="1" applyFont="1" applyNumberFormat="1">
      <alignment horizontal="center" vertical="center"/>
    </xf>
    <xf borderId="0" fillId="0" fontId="5" numFmtId="0" xfId="0" applyFont="1"/>
    <xf borderId="0" fillId="0" fontId="1" numFmtId="165" xfId="0" applyFont="1" applyNumberFormat="1"/>
    <xf borderId="0" fillId="0" fontId="6" numFmtId="0" xfId="0" applyFont="1"/>
    <xf borderId="2" fillId="4" fontId="7" numFmtId="0" xfId="0" applyBorder="1" applyFill="1" applyFont="1"/>
    <xf borderId="3" fillId="4" fontId="7" numFmtId="0" xfId="0" applyBorder="1" applyFont="1"/>
    <xf borderId="4" fillId="4" fontId="7" numFmtId="0" xfId="0" applyBorder="1" applyFont="1"/>
    <xf borderId="3" fillId="4" fontId="1" numFmtId="0" xfId="0" applyBorder="1" applyFont="1"/>
    <xf borderId="3" fillId="4" fontId="8" numFmtId="0" xfId="0" applyBorder="1" applyFont="1"/>
    <xf borderId="4" fillId="4" fontId="8" numFmtId="0" xfId="0" applyBorder="1" applyFont="1"/>
    <xf borderId="0" fillId="3" fontId="9" numFmtId="0" xfId="0" applyAlignment="1" applyFont="1">
      <alignment shrinkToFit="0" wrapText="1"/>
    </xf>
    <xf borderId="0" fillId="0" fontId="10" numFmtId="0" xfId="0" applyAlignment="1" applyFont="1">
      <alignment shrinkToFit="0" wrapText="1"/>
    </xf>
    <xf borderId="5" fillId="0" fontId="7" numFmtId="0" xfId="0" applyBorder="1" applyFont="1"/>
    <xf borderId="6" fillId="0" fontId="7" numFmtId="0" xfId="0" applyBorder="1" applyFont="1"/>
    <xf borderId="7" fillId="0" fontId="7" numFmtId="0" xfId="0" applyAlignment="1" applyBorder="1" applyFont="1">
      <alignment shrinkToFit="0" wrapText="1"/>
    </xf>
    <xf borderId="7" fillId="0" fontId="7" numFmtId="0" xfId="0" applyBorder="1" applyFont="1"/>
    <xf borderId="6" fillId="0" fontId="7" numFmtId="165" xfId="0" applyBorder="1" applyFont="1" applyNumberFormat="1"/>
    <xf borderId="7" fillId="0" fontId="7" numFmtId="165" xfId="0" applyBorder="1" applyFont="1" applyNumberFormat="1"/>
    <xf borderId="8" fillId="0" fontId="1" numFmtId="165" xfId="0" applyAlignment="1" applyBorder="1" applyFont="1" applyNumberFormat="1">
      <alignment horizontal="center"/>
    </xf>
    <xf borderId="9" fillId="0" fontId="1" numFmtId="165" xfId="0" applyAlignment="1" applyBorder="1" applyFont="1" applyNumberFormat="1">
      <alignment horizontal="center"/>
    </xf>
    <xf borderId="9" fillId="0" fontId="11" numFmtId="165" xfId="0" applyAlignment="1" applyBorder="1" applyFont="1" applyNumberFormat="1">
      <alignment horizontal="center"/>
    </xf>
    <xf borderId="0" fillId="0" fontId="1" numFmtId="164" xfId="0" applyFont="1" applyNumberFormat="1"/>
    <xf borderId="10" fillId="0" fontId="1" numFmtId="165" xfId="0" applyAlignment="1" applyBorder="1" applyFont="1" applyNumberFormat="1">
      <alignment horizontal="center"/>
    </xf>
    <xf borderId="8" fillId="5" fontId="1" numFmtId="165" xfId="0" applyAlignment="1" applyBorder="1" applyFill="1" applyFont="1" applyNumberFormat="1">
      <alignment horizontal="center"/>
    </xf>
    <xf borderId="9" fillId="6" fontId="1" numFmtId="165" xfId="0" applyAlignment="1" applyBorder="1" applyFill="1" applyFont="1" applyNumberFormat="1">
      <alignment horizontal="center"/>
    </xf>
    <xf borderId="9" fillId="5" fontId="1" numFmtId="165" xfId="0" applyAlignment="1" applyBorder="1" applyFont="1" applyNumberFormat="1">
      <alignment horizontal="center"/>
    </xf>
    <xf borderId="0" fillId="7" fontId="12" numFmtId="0" xfId="0" applyAlignment="1" applyFill="1" applyFont="1">
      <alignment shrinkToFit="0" wrapText="1"/>
    </xf>
    <xf borderId="11" fillId="0" fontId="1" numFmtId="165" xfId="0" applyAlignment="1" applyBorder="1" applyFont="1" applyNumberFormat="1">
      <alignment horizontal="center"/>
    </xf>
    <xf borderId="0" fillId="0" fontId="13" numFmtId="0" xfId="0" applyFont="1"/>
    <xf borderId="12" fillId="0" fontId="1" numFmtId="0" xfId="0" applyBorder="1" applyFont="1"/>
    <xf borderId="13" fillId="0" fontId="1" numFmtId="0" xfId="0" applyBorder="1" applyFont="1"/>
    <xf borderId="14" fillId="0" fontId="1" numFmtId="0" xfId="0" applyBorder="1" applyFont="1"/>
    <xf borderId="15" fillId="0" fontId="1" numFmtId="0" xfId="0" applyAlignment="1" applyBorder="1" applyFont="1">
      <alignment shrinkToFit="0" wrapText="1"/>
    </xf>
    <xf borderId="16" fillId="0" fontId="1" numFmtId="0" xfId="0" applyBorder="1" applyFont="1"/>
    <xf borderId="15" fillId="0" fontId="1" numFmtId="0" xfId="0" applyBorder="1" applyFont="1"/>
    <xf borderId="14" fillId="0" fontId="1" numFmtId="165" xfId="0" applyBorder="1" applyFont="1" applyNumberFormat="1"/>
    <xf borderId="16" fillId="0" fontId="1" numFmtId="165" xfId="0" applyBorder="1" applyFont="1" applyNumberFormat="1"/>
    <xf borderId="14" fillId="0" fontId="1" numFmtId="0" xfId="0" applyAlignment="1" applyBorder="1" applyFont="1">
      <alignment horizontal="center"/>
    </xf>
    <xf borderId="17" fillId="0" fontId="1" numFmtId="0" xfId="0" applyAlignment="1" applyBorder="1" applyFont="1">
      <alignment horizontal="center"/>
    </xf>
    <xf borderId="17" fillId="0" fontId="11" numFmtId="0" xfId="0" applyAlignment="1" applyBorder="1" applyFont="1">
      <alignment horizontal="center"/>
    </xf>
    <xf borderId="16" fillId="0" fontId="1" numFmtId="0" xfId="0" applyAlignment="1" applyBorder="1" applyFont="1">
      <alignment horizontal="center"/>
    </xf>
    <xf borderId="14" fillId="5" fontId="1" numFmtId="0" xfId="0" applyAlignment="1" applyBorder="1" applyFont="1">
      <alignment horizontal="center"/>
    </xf>
    <xf borderId="17" fillId="6" fontId="1" numFmtId="0" xfId="0" applyAlignment="1" applyBorder="1" applyFont="1">
      <alignment horizontal="center"/>
    </xf>
    <xf borderId="17" fillId="5" fontId="1" numFmtId="0" xfId="0" applyAlignment="1" applyBorder="1" applyFont="1">
      <alignment horizontal="center"/>
    </xf>
    <xf borderId="15" fillId="0" fontId="1" numFmtId="0" xfId="0" applyAlignment="1" applyBorder="1" applyFont="1">
      <alignment horizontal="center"/>
    </xf>
    <xf borderId="18" fillId="0" fontId="1" numFmtId="0" xfId="0" applyBorder="1" applyFont="1"/>
    <xf borderId="8" fillId="0" fontId="1" numFmtId="0" xfId="0" applyAlignment="1" applyBorder="1" applyFont="1">
      <alignment horizontal="right" vertical="top"/>
    </xf>
    <xf borderId="19" fillId="0" fontId="1" numFmtId="0" xfId="0" applyBorder="1" applyFont="1"/>
    <xf borderId="11" fillId="0" fontId="1" numFmtId="0" xfId="0" applyAlignment="1" applyBorder="1" applyFont="1">
      <alignment shrinkToFit="0" wrapText="1"/>
    </xf>
    <xf borderId="8" fillId="0" fontId="1" numFmtId="0" xfId="0" applyBorder="1" applyFont="1"/>
    <xf borderId="10" fillId="0" fontId="1" numFmtId="0" xfId="0" applyBorder="1" applyFont="1"/>
    <xf borderId="11" fillId="0" fontId="1" numFmtId="0" xfId="0" applyBorder="1" applyFont="1"/>
    <xf borderId="11" fillId="0" fontId="1" numFmtId="0" xfId="0" applyAlignment="1" applyBorder="1" applyFont="1">
      <alignment horizontal="center"/>
    </xf>
    <xf borderId="9" fillId="0" fontId="1" numFmtId="0" xfId="0" applyBorder="1" applyFont="1"/>
    <xf borderId="0" fillId="0" fontId="14" numFmtId="0" xfId="0" applyFont="1"/>
    <xf borderId="8" fillId="5" fontId="1" numFmtId="0" xfId="0" applyBorder="1" applyFont="1"/>
    <xf borderId="0" fillId="0" fontId="5" numFmtId="165" xfId="0" applyFont="1" applyNumberFormat="1"/>
    <xf borderId="0" fillId="8" fontId="15" numFmtId="0" xfId="0" applyAlignment="1" applyFill="1" applyFont="1">
      <alignment horizontal="center" vertical="center"/>
    </xf>
    <xf borderId="9" fillId="6" fontId="1" numFmtId="0" xfId="0" applyBorder="1" applyFont="1"/>
    <xf borderId="9" fillId="5" fontId="1" numFmtId="0" xfId="0" applyBorder="1" applyFont="1"/>
    <xf borderId="20" fillId="0" fontId="1" numFmtId="0" xfId="0" applyAlignment="1" applyBorder="1" applyFont="1">
      <alignment horizontal="right" vertical="top"/>
    </xf>
    <xf borderId="21" fillId="0" fontId="1" numFmtId="0" xfId="0" applyAlignment="1" applyBorder="1" applyFont="1">
      <alignment shrinkToFit="0" wrapText="1"/>
    </xf>
    <xf borderId="20" fillId="0" fontId="1" numFmtId="0" xfId="0" applyBorder="1" applyFont="1"/>
    <xf borderId="22" fillId="0" fontId="1" numFmtId="0" xfId="0" applyBorder="1" applyFont="1"/>
    <xf borderId="21" fillId="0" fontId="1" numFmtId="0" xfId="0" applyBorder="1" applyFont="1"/>
    <xf borderId="20" fillId="0" fontId="1" numFmtId="165" xfId="0" applyAlignment="1" applyBorder="1" applyFont="1" applyNumberFormat="1">
      <alignment horizontal="center"/>
    </xf>
    <xf borderId="22" fillId="0" fontId="1" numFmtId="165" xfId="0" applyAlignment="1" applyBorder="1" applyFont="1" applyNumberFormat="1">
      <alignment horizontal="center"/>
    </xf>
    <xf borderId="21" fillId="0" fontId="1" numFmtId="0" xfId="0" applyAlignment="1" applyBorder="1" applyFont="1">
      <alignment horizontal="center"/>
    </xf>
    <xf borderId="23" fillId="0" fontId="1" numFmtId="0" xfId="0" applyBorder="1" applyFont="1"/>
    <xf borderId="20" fillId="5" fontId="1" numFmtId="0" xfId="0" applyBorder="1" applyFont="1"/>
    <xf borderId="23" fillId="6" fontId="1" numFmtId="0" xfId="0" applyBorder="1" applyFont="1"/>
    <xf borderId="23" fillId="5" fontId="1" numFmtId="0" xfId="0" applyBorder="1" applyFont="1"/>
    <xf borderId="18" fillId="0" fontId="1" numFmtId="0" xfId="0" applyAlignment="1" applyBorder="1" applyFont="1">
      <alignment shrinkToFit="0" wrapText="1"/>
    </xf>
    <xf borderId="24" fillId="0" fontId="1" numFmtId="0" xfId="0" applyAlignment="1" applyBorder="1" applyFont="1">
      <alignment horizontal="right" vertical="top"/>
    </xf>
    <xf borderId="25" fillId="0" fontId="1" numFmtId="0" xfId="0" applyBorder="1" applyFont="1"/>
    <xf borderId="26" fillId="0" fontId="1" numFmtId="0" xfId="0" applyAlignment="1" applyBorder="1" applyFont="1">
      <alignment shrinkToFit="0" wrapText="1"/>
    </xf>
    <xf borderId="24" fillId="0" fontId="1" numFmtId="0" xfId="0" applyBorder="1" applyFont="1"/>
    <xf borderId="27" fillId="0" fontId="1" numFmtId="0" xfId="0" applyBorder="1" applyFont="1"/>
    <xf borderId="26" fillId="0" fontId="1" numFmtId="0" xfId="0" applyBorder="1" applyFont="1"/>
    <xf borderId="24" fillId="0" fontId="1" numFmtId="165" xfId="0" applyAlignment="1" applyBorder="1" applyFont="1" applyNumberFormat="1">
      <alignment horizontal="center"/>
    </xf>
    <xf borderId="27" fillId="0" fontId="1" numFmtId="165" xfId="0" applyAlignment="1" applyBorder="1" applyFont="1" applyNumberFormat="1">
      <alignment horizontal="center"/>
    </xf>
    <xf borderId="26" fillId="0" fontId="1" numFmtId="0" xfId="0" applyAlignment="1" applyBorder="1" applyFont="1">
      <alignment horizontal="center"/>
    </xf>
    <xf borderId="28" fillId="0" fontId="1" numFmtId="0" xfId="0" applyBorder="1" applyFont="1"/>
    <xf borderId="24" fillId="5" fontId="1" numFmtId="0" xfId="0" applyBorder="1" applyFont="1"/>
    <xf borderId="28" fillId="6" fontId="1" numFmtId="0" xfId="0" applyBorder="1" applyFont="1"/>
    <xf borderId="28" fillId="5" fontId="1" numFmtId="0" xfId="0" applyBorder="1" applyFont="1"/>
    <xf borderId="29" fillId="0" fontId="1" numFmtId="0" xfId="0" applyAlignment="1" applyBorder="1" applyFont="1">
      <alignment horizontal="right" vertical="top"/>
    </xf>
    <xf borderId="30" fillId="0" fontId="1" numFmtId="0" xfId="0" applyBorder="1" applyFont="1"/>
    <xf borderId="31" fillId="0" fontId="1" numFmtId="0" xfId="0" applyAlignment="1" applyBorder="1" applyFont="1">
      <alignment shrinkToFit="0" wrapText="1"/>
    </xf>
    <xf borderId="29" fillId="0" fontId="1" numFmtId="0" xfId="0" applyBorder="1" applyFont="1"/>
    <xf borderId="32" fillId="0" fontId="1" numFmtId="0" xfId="0" applyBorder="1" applyFont="1"/>
    <xf borderId="31" fillId="0" fontId="1" numFmtId="0" xfId="0" applyBorder="1" applyFont="1"/>
    <xf borderId="29" fillId="0" fontId="1" numFmtId="165" xfId="0" applyAlignment="1" applyBorder="1" applyFont="1" applyNumberFormat="1">
      <alignment horizontal="center"/>
    </xf>
    <xf borderId="32" fillId="0" fontId="1" numFmtId="165" xfId="0" applyAlignment="1" applyBorder="1" applyFont="1" applyNumberFormat="1">
      <alignment horizontal="center"/>
    </xf>
    <xf borderId="31" fillId="0" fontId="1" numFmtId="0" xfId="0" applyAlignment="1" applyBorder="1" applyFont="1">
      <alignment horizontal="center"/>
    </xf>
    <xf borderId="33" fillId="0" fontId="1" numFmtId="0" xfId="0" applyBorder="1" applyFont="1"/>
    <xf borderId="29" fillId="5" fontId="1" numFmtId="0" xfId="0" applyBorder="1" applyFont="1"/>
    <xf borderId="33" fillId="6" fontId="1" numFmtId="0" xfId="0" applyBorder="1" applyFont="1"/>
    <xf borderId="33" fillId="5" fontId="1" numFmtId="0" xfId="0" applyBorder="1" applyFont="1"/>
    <xf borderId="0" fillId="9" fontId="15" numFmtId="0" xfId="0" applyAlignment="1" applyFill="1" applyFont="1">
      <alignment horizontal="center" shrinkToFit="0" vertical="center" wrapText="1"/>
    </xf>
    <xf borderId="34" fillId="9" fontId="15" numFmtId="0" xfId="0" applyAlignment="1" applyBorder="1" applyFont="1">
      <alignment horizontal="center" shrinkToFit="0" vertical="center" wrapText="1"/>
    </xf>
    <xf borderId="6" fillId="9" fontId="15" numFmtId="0" xfId="0" applyAlignment="1" applyBorder="1" applyFont="1">
      <alignment horizontal="center" shrinkToFit="0" vertical="center" wrapText="1"/>
    </xf>
    <xf borderId="7" fillId="9" fontId="15" numFmtId="0" xfId="0" applyAlignment="1" applyBorder="1" applyFont="1">
      <alignment horizontal="center" shrinkToFit="0" vertical="center" wrapText="1"/>
    </xf>
    <xf borderId="5" fillId="9" fontId="15" numFmtId="0" xfId="0" applyAlignment="1" applyBorder="1" applyFont="1">
      <alignment horizontal="center" shrinkToFit="0" vertical="center" wrapText="1"/>
    </xf>
    <xf borderId="5" fillId="9" fontId="15" numFmtId="165" xfId="0" applyAlignment="1" applyBorder="1" applyFont="1" applyNumberFormat="1">
      <alignment horizontal="center" shrinkToFit="0" vertical="center" wrapText="1"/>
    </xf>
    <xf borderId="19" fillId="0" fontId="1" numFmtId="0" xfId="0" applyAlignment="1" applyBorder="1" applyFont="1">
      <alignment horizontal="right" vertical="top"/>
    </xf>
    <xf borderId="7" fillId="9" fontId="15" numFmtId="165" xfId="0" applyAlignment="1" applyBorder="1" applyFont="1" applyNumberFormat="1">
      <alignment horizontal="center" shrinkToFit="0" vertical="center" wrapText="1"/>
    </xf>
    <xf borderId="0" fillId="10" fontId="16" numFmtId="165" xfId="0" applyAlignment="1" applyFill="1" applyFont="1" applyNumberFormat="1">
      <alignment horizontal="center" vertical="center"/>
    </xf>
    <xf borderId="35" fillId="0" fontId="1" numFmtId="0" xfId="0" applyAlignment="1" applyBorder="1" applyFont="1">
      <alignment shrinkToFit="0" wrapText="1"/>
    </xf>
    <xf borderId="36" fillId="0" fontId="1" numFmtId="0" xfId="0" applyBorder="1" applyFont="1"/>
    <xf borderId="35" fillId="0" fontId="1" numFmtId="0" xfId="0" applyBorder="1" applyFont="1"/>
    <xf borderId="19" fillId="0" fontId="1" numFmtId="165" xfId="0" applyAlignment="1" applyBorder="1" applyFont="1" applyNumberFormat="1">
      <alignment horizontal="center"/>
    </xf>
    <xf borderId="36" fillId="0" fontId="1" numFmtId="165" xfId="0" applyAlignment="1" applyBorder="1" applyFont="1" applyNumberFormat="1">
      <alignment horizontal="center"/>
    </xf>
    <xf borderId="35" fillId="0" fontId="1" numFmtId="0" xfId="0" applyAlignment="1" applyBorder="1" applyFont="1">
      <alignment horizontal="center"/>
    </xf>
    <xf borderId="37" fillId="0" fontId="1" numFmtId="0" xfId="0" applyBorder="1" applyFont="1"/>
    <xf borderId="19" fillId="5" fontId="1" numFmtId="0" xfId="0" applyBorder="1" applyFont="1"/>
    <xf borderId="37" fillId="6" fontId="1" numFmtId="0" xfId="0" applyBorder="1" applyFont="1"/>
    <xf borderId="37" fillId="5" fontId="1" numFmtId="0" xfId="0" applyBorder="1" applyFont="1"/>
    <xf borderId="25" fillId="0" fontId="1" numFmtId="0" xfId="0" applyAlignment="1" applyBorder="1" applyFont="1">
      <alignment horizontal="right" vertical="top"/>
    </xf>
    <xf borderId="7" fillId="0" fontId="1" numFmtId="0" xfId="0" applyAlignment="1" applyBorder="1" applyFont="1">
      <alignment shrinkToFit="0" wrapText="1"/>
    </xf>
    <xf borderId="38" fillId="0" fontId="1" numFmtId="0" xfId="0" applyBorder="1" applyFont="1"/>
    <xf borderId="7" fillId="0" fontId="1" numFmtId="0" xfId="0" applyBorder="1" applyFont="1"/>
    <xf borderId="25" fillId="0" fontId="1" numFmtId="165" xfId="0" applyAlignment="1" applyBorder="1" applyFont="1" applyNumberFormat="1">
      <alignment horizontal="center"/>
    </xf>
    <xf borderId="38" fillId="0" fontId="1" numFmtId="165" xfId="0" applyAlignment="1" applyBorder="1" applyFont="1" applyNumberFormat="1">
      <alignment horizontal="center"/>
    </xf>
    <xf borderId="7" fillId="0" fontId="1" numFmtId="0" xfId="0" applyAlignment="1" applyBorder="1" applyFont="1">
      <alignment horizontal="center"/>
    </xf>
    <xf borderId="39" fillId="0" fontId="1" numFmtId="0" xfId="0" applyBorder="1" applyFont="1"/>
    <xf borderId="25" fillId="5" fontId="1" numFmtId="0" xfId="0" applyBorder="1" applyFont="1"/>
    <xf borderId="39" fillId="6" fontId="1" numFmtId="0" xfId="0" applyBorder="1" applyFont="1"/>
    <xf borderId="39" fillId="5" fontId="1" numFmtId="0" xfId="0" applyBorder="1" applyFont="1"/>
    <xf borderId="40" fillId="0" fontId="1" numFmtId="0" xfId="0" applyAlignment="1" applyBorder="1" applyFont="1">
      <alignment horizontal="right" vertical="top"/>
    </xf>
    <xf borderId="41" fillId="0" fontId="1" numFmtId="0" xfId="0" applyAlignment="1" applyBorder="1" applyFont="1">
      <alignment shrinkToFit="0" wrapText="1"/>
    </xf>
    <xf borderId="40" fillId="0" fontId="1" numFmtId="0" xfId="0" applyBorder="1" applyFont="1"/>
    <xf borderId="42" fillId="0" fontId="1" numFmtId="0" xfId="0" applyBorder="1" applyFont="1"/>
    <xf borderId="41" fillId="0" fontId="1" numFmtId="0" xfId="0" applyBorder="1" applyFont="1"/>
    <xf borderId="40" fillId="0" fontId="1" numFmtId="165" xfId="0" applyAlignment="1" applyBorder="1" applyFont="1" applyNumberFormat="1">
      <alignment horizontal="center"/>
    </xf>
    <xf borderId="42" fillId="0" fontId="1" numFmtId="165" xfId="0" applyAlignment="1" applyBorder="1" applyFont="1" applyNumberFormat="1">
      <alignment horizontal="center"/>
    </xf>
    <xf borderId="41" fillId="0" fontId="1" numFmtId="0" xfId="0" applyAlignment="1" applyBorder="1" applyFont="1">
      <alignment horizontal="center"/>
    </xf>
    <xf borderId="43" fillId="0" fontId="1" numFmtId="0" xfId="0" applyBorder="1" applyFont="1"/>
    <xf borderId="40" fillId="5" fontId="1" numFmtId="0" xfId="0" applyBorder="1" applyFont="1"/>
    <xf borderId="43" fillId="6" fontId="1" numFmtId="0" xfId="0" applyBorder="1" applyFont="1"/>
    <xf borderId="43" fillId="5" fontId="1" numFmtId="0" xfId="0" applyBorder="1" applyFont="1"/>
    <xf borderId="0" fillId="10" fontId="17" numFmtId="0" xfId="0" applyAlignment="1" applyFont="1">
      <alignment horizontal="center" shrinkToFit="0" vertical="center" wrapText="1"/>
    </xf>
    <xf borderId="44" fillId="10" fontId="17" numFmtId="0" xfId="0" applyAlignment="1" applyBorder="1" applyFont="1">
      <alignment horizontal="center" shrinkToFit="0" vertical="center" wrapText="1"/>
    </xf>
    <xf borderId="14" fillId="10" fontId="17" numFmtId="0" xfId="0" applyAlignment="1" applyBorder="1" applyFont="1">
      <alignment horizontal="center" shrinkToFit="0" vertical="center" wrapText="1"/>
    </xf>
    <xf borderId="45" fillId="10" fontId="17" numFmtId="0" xfId="0" applyAlignment="1" applyBorder="1" applyFont="1">
      <alignment horizontal="center" shrinkToFit="0" vertical="center" wrapText="1"/>
    </xf>
    <xf borderId="16" fillId="10" fontId="17" numFmtId="0" xfId="0" applyAlignment="1" applyBorder="1" applyFont="1">
      <alignment horizontal="center" shrinkToFit="0" vertical="center" wrapText="1"/>
    </xf>
    <xf borderId="46" fillId="10" fontId="17" numFmtId="0" xfId="0" applyAlignment="1" applyBorder="1" applyFont="1">
      <alignment horizontal="center" shrinkToFit="0" vertical="center" wrapText="1"/>
    </xf>
    <xf borderId="13" fillId="10" fontId="17" numFmtId="0" xfId="0" applyAlignment="1" applyBorder="1" applyFont="1">
      <alignment horizontal="center" shrinkToFit="0" vertical="center" wrapText="1"/>
    </xf>
    <xf borderId="13" fillId="10" fontId="17" numFmtId="165" xfId="0" applyAlignment="1" applyBorder="1" applyFont="1" applyNumberFormat="1">
      <alignment horizontal="center" shrinkToFit="0" vertical="center" wrapText="1"/>
    </xf>
    <xf borderId="16" fillId="10" fontId="17" numFmtId="165" xfId="0" applyAlignment="1" applyBorder="1" applyFont="1" applyNumberFormat="1">
      <alignment horizontal="center" shrinkToFit="0" vertical="center" wrapText="1"/>
    </xf>
    <xf borderId="0" fillId="11" fontId="16" numFmtId="0" xfId="0" applyAlignment="1" applyFill="1" applyFont="1">
      <alignment horizontal="center" vertical="center"/>
    </xf>
    <xf borderId="0" fillId="0" fontId="18" numFmtId="0" xfId="0" applyAlignment="1" applyFont="1">
      <alignment horizontal="center"/>
    </xf>
    <xf borderId="26" fillId="0" fontId="19" numFmtId="0" xfId="0" applyBorder="1" applyFont="1"/>
    <xf borderId="31" fillId="0" fontId="19" numFmtId="0" xfId="0" applyBorder="1" applyFont="1"/>
    <xf borderId="0" fillId="12" fontId="17" numFmtId="0" xfId="0" applyAlignment="1" applyFill="1" applyFont="1">
      <alignment shrinkToFit="0" vertical="center" wrapText="1"/>
    </xf>
    <xf borderId="0" fillId="12" fontId="17" numFmtId="0" xfId="0" applyAlignment="1" applyFont="1">
      <alignment horizontal="center" shrinkToFit="0" vertical="center" wrapText="1"/>
    </xf>
    <xf borderId="0" fillId="13" fontId="17" numFmtId="0" xfId="0" applyAlignment="1" applyFill="1" applyFont="1">
      <alignment shrinkToFit="0" vertical="center" wrapText="1"/>
    </xf>
    <xf borderId="0" fillId="14" fontId="17" numFmtId="0" xfId="0" applyAlignment="1" applyFill="1" applyFont="1">
      <alignment shrinkToFit="0" vertical="center" wrapText="1"/>
    </xf>
    <xf borderId="0" fillId="12" fontId="17" numFmtId="165" xfId="0" applyAlignment="1" applyFont="1" applyNumberFormat="1">
      <alignment horizontal="center" vertical="center"/>
    </xf>
    <xf borderId="0" fillId="12" fontId="20" numFmtId="0" xfId="0" applyAlignment="1" applyFont="1">
      <alignment horizontal="center" vertical="center"/>
    </xf>
    <xf borderId="0" fillId="5" fontId="5" numFmtId="0" xfId="0" applyFont="1"/>
    <xf borderId="0" fillId="6" fontId="5" numFmtId="0" xfId="0" applyFont="1"/>
    <xf borderId="40" fillId="0" fontId="18" numFmtId="0" xfId="0" applyBorder="1" applyFont="1"/>
    <xf borderId="42" fillId="0" fontId="11" numFmtId="0" xfId="0" applyBorder="1" applyFont="1"/>
    <xf borderId="29" fillId="0" fontId="18" numFmtId="0" xfId="0" applyBorder="1" applyFont="1"/>
    <xf borderId="0" fillId="12" fontId="21" numFmtId="0" xfId="0" applyAlignment="1" applyFont="1">
      <alignment shrinkToFit="0" vertical="center" wrapText="1"/>
    </xf>
    <xf borderId="0" fillId="12" fontId="21" numFmtId="0" xfId="0" applyAlignment="1" applyFont="1">
      <alignment horizontal="center" shrinkToFit="0" vertical="center" wrapText="1"/>
    </xf>
    <xf borderId="0" fillId="13" fontId="21" numFmtId="0" xfId="0" applyAlignment="1" applyFont="1">
      <alignment shrinkToFit="0" vertical="center" wrapText="1"/>
    </xf>
    <xf borderId="0" fillId="14" fontId="21" numFmtId="0" xfId="0" applyAlignment="1" applyFont="1">
      <alignment shrinkToFit="0" vertical="center" wrapText="1"/>
    </xf>
    <xf borderId="0" fillId="12" fontId="21" numFmtId="165" xfId="0" applyAlignment="1" applyFont="1" applyNumberFormat="1">
      <alignment horizontal="center" vertical="center"/>
    </xf>
    <xf borderId="8" fillId="0" fontId="18" numFmtId="0" xfId="0" applyBorder="1" applyFont="1"/>
    <xf borderId="10" fillId="0" fontId="11" numFmtId="0" xfId="0" applyBorder="1" applyFont="1"/>
    <xf borderId="47" fillId="0" fontId="1" numFmtId="0" xfId="0" applyBorder="1" applyFont="1"/>
    <xf borderId="48" fillId="0" fontId="1" numFmtId="0" xfId="0" applyBorder="1" applyFont="1"/>
    <xf borderId="4" fillId="0" fontId="1" numFmtId="0" xfId="0" applyBorder="1" applyFont="1"/>
    <xf borderId="47" fillId="0" fontId="1" numFmtId="165" xfId="0" applyAlignment="1" applyBorder="1" applyFont="1" applyNumberFormat="1">
      <alignment horizontal="center"/>
    </xf>
    <xf borderId="48" fillId="0" fontId="1" numFmtId="165" xfId="0" applyAlignment="1" applyBorder="1" applyFont="1" applyNumberFormat="1">
      <alignment horizontal="center"/>
    </xf>
    <xf borderId="4" fillId="0" fontId="1" numFmtId="0" xfId="0" applyAlignment="1" applyBorder="1" applyFont="1">
      <alignment horizontal="center"/>
    </xf>
    <xf borderId="49" fillId="0" fontId="1" numFmtId="0" xfId="0" applyBorder="1" applyFont="1"/>
    <xf borderId="47" fillId="5" fontId="1" numFmtId="0" xfId="0" applyBorder="1" applyFont="1"/>
    <xf borderId="49" fillId="6" fontId="1" numFmtId="0" xfId="0" applyBorder="1" applyFont="1"/>
    <xf borderId="49" fillId="5" fontId="1" numFmtId="0" xfId="0" applyBorder="1" applyFont="1"/>
    <xf borderId="50" fillId="0" fontId="1" numFmtId="0" xfId="0" applyBorder="1" applyFont="1"/>
    <xf borderId="0" fillId="0" fontId="1" numFmtId="0" xfId="0" applyAlignment="1" applyFont="1">
      <alignment horizontal="right" vertical="top"/>
    </xf>
    <xf borderId="0" fillId="0" fontId="1" numFmtId="165" xfId="0" applyAlignment="1" applyFont="1" applyNumberFormat="1">
      <alignment horizontal="center"/>
    </xf>
    <xf borderId="0" fillId="0" fontId="1" numFmtId="0" xfId="0" applyAlignment="1" applyFont="1">
      <alignment horizontal="center"/>
    </xf>
    <xf borderId="0" fillId="7" fontId="17" numFmtId="0" xfId="0" applyAlignment="1" applyFont="1">
      <alignment shrinkToFit="0" vertical="center" wrapText="1"/>
    </xf>
    <xf borderId="0" fillId="7" fontId="17" numFmtId="0" xfId="0" applyAlignment="1" applyFont="1">
      <alignment horizontal="center" shrinkToFit="0" vertical="center" wrapText="1"/>
    </xf>
    <xf borderId="0" fillId="7" fontId="17" numFmtId="165" xfId="0" applyAlignment="1" applyFont="1" applyNumberFormat="1">
      <alignment horizontal="center" vertical="center"/>
    </xf>
    <xf borderId="0" fillId="15" fontId="17" numFmtId="0" xfId="0" applyAlignment="1" applyFill="1" applyFont="1">
      <alignment shrinkToFit="0" vertical="center" wrapText="1"/>
    </xf>
    <xf borderId="0" fillId="15" fontId="17" numFmtId="0" xfId="0" applyAlignment="1" applyFont="1">
      <alignment horizontal="center" shrinkToFit="0" vertical="center" wrapText="1"/>
    </xf>
    <xf borderId="0" fillId="15" fontId="17" numFmtId="165" xfId="0" applyAlignment="1" applyFont="1" applyNumberFormat="1">
      <alignment horizontal="center" vertical="center"/>
    </xf>
    <xf borderId="0" fillId="16" fontId="21" numFmtId="0" xfId="0" applyAlignment="1" applyFill="1" applyFont="1">
      <alignment shrinkToFit="0" vertical="center" wrapText="1"/>
    </xf>
    <xf borderId="0" fillId="13" fontId="21" numFmtId="0" xfId="0" applyAlignment="1" applyFont="1">
      <alignment horizontal="center" shrinkToFit="0" vertical="center" wrapText="1"/>
    </xf>
    <xf borderId="0" fillId="16" fontId="21" numFmtId="165" xfId="0" applyAlignment="1" applyFont="1" applyNumberFormat="1">
      <alignment horizontal="center" vertical="center"/>
    </xf>
    <xf borderId="0" fillId="2" fontId="15" numFmtId="0" xfId="0" applyAlignment="1" applyFont="1">
      <alignment horizontal="center" vertical="center"/>
    </xf>
    <xf borderId="0" fillId="3" fontId="22" numFmtId="0" xfId="0" applyAlignment="1" applyFont="1">
      <alignment shrinkToFit="0" wrapText="1"/>
    </xf>
    <xf borderId="0" fillId="12" fontId="17" numFmtId="0" xfId="0" applyAlignment="1" applyFont="1">
      <alignment horizontal="center" vertical="center"/>
    </xf>
    <xf borderId="0" fillId="17" fontId="17" numFmtId="0" xfId="0" applyAlignment="1" applyFill="1" applyFont="1">
      <alignment horizontal="center" vertical="center"/>
    </xf>
    <xf borderId="0" fillId="15" fontId="17" numFmtId="0" xfId="0" applyAlignment="1" applyFont="1">
      <alignment horizontal="center" vertical="center"/>
    </xf>
    <xf borderId="0" fillId="7" fontId="17" numFmtId="0" xfId="0" applyAlignment="1" applyFont="1">
      <alignment horizontal="center" vertical="center"/>
    </xf>
    <xf borderId="0" fillId="16" fontId="17" numFmtId="0" xfId="0" applyAlignment="1" applyFont="1">
      <alignment horizontal="center" vertical="center"/>
    </xf>
    <xf borderId="0" fillId="9" fontId="15" numFmtId="0" xfId="0" applyAlignment="1" applyFont="1">
      <alignment horizontal="center" readingOrder="0" shrinkToFit="0" vertical="center" wrapText="1"/>
    </xf>
    <xf borderId="0" fillId="9" fontId="23" numFmtId="0" xfId="0" applyAlignment="1" applyFont="1">
      <alignment horizontal="center" shrinkToFit="0" vertical="center" wrapText="1"/>
    </xf>
    <xf borderId="0" fillId="0" fontId="5" numFmtId="0" xfId="0" applyAlignment="1" applyFont="1">
      <alignment horizontal="center" shrinkToFit="0" vertical="center" wrapText="1"/>
    </xf>
    <xf borderId="0" fillId="0" fontId="5" numFmtId="0" xfId="0" applyAlignment="1" applyFont="1">
      <alignment shrinkToFit="0" vertical="center" wrapText="1"/>
    </xf>
    <xf borderId="0" fillId="0" fontId="5" numFmtId="0" xfId="0" applyAlignment="1" applyFont="1">
      <alignment shrinkToFit="0" vertical="top" wrapText="1"/>
    </xf>
    <xf borderId="0" fillId="0" fontId="5" numFmtId="166" xfId="0" applyAlignment="1" applyFont="1" applyNumberFormat="1">
      <alignment horizontal="center" shrinkToFit="0" vertical="center" wrapText="1"/>
    </xf>
    <xf borderId="0" fillId="7" fontId="24" numFmtId="0" xfId="0" applyAlignment="1" applyFont="1">
      <alignment shrinkToFit="0" vertical="center" wrapText="1"/>
    </xf>
    <xf borderId="0" fillId="17" fontId="25" numFmtId="0" xfId="0" applyAlignment="1" applyFont="1">
      <alignment shrinkToFit="0" vertical="center" wrapText="1"/>
    </xf>
    <xf borderId="0" fillId="18" fontId="26" numFmtId="0" xfId="0" applyAlignment="1" applyFill="1" applyFont="1">
      <alignment shrinkToFit="0" vertical="center" wrapText="1"/>
    </xf>
    <xf borderId="0" fillId="2" fontId="27" numFmtId="0" xfId="0" applyAlignment="1" applyFont="1">
      <alignment horizontal="center" vertical="center"/>
    </xf>
    <xf borderId="0" fillId="3" fontId="28" numFmtId="0" xfId="0" applyAlignment="1" applyFont="1">
      <alignment shrinkToFit="0" vertical="center" wrapText="1"/>
    </xf>
    <xf borderId="0" fillId="3" fontId="28" numFmtId="0" xfId="0" applyAlignment="1" applyFont="1">
      <alignment horizontal="center" vertical="center"/>
    </xf>
    <xf borderId="0" fillId="7" fontId="29" numFmtId="0" xfId="0" applyAlignment="1" applyFont="1">
      <alignment horizontal="center" vertical="center"/>
    </xf>
    <xf borderId="0" fillId="17" fontId="30" numFmtId="0" xfId="0" applyAlignment="1" applyFont="1">
      <alignment horizontal="center" vertical="center"/>
    </xf>
    <xf borderId="0" fillId="19" fontId="31" numFmtId="0" xfId="0" applyAlignment="1" applyFill="1" applyFont="1">
      <alignment horizontal="center" vertical="center"/>
    </xf>
    <xf borderId="0" fillId="3" fontId="32" numFmtId="0" xfId="0" applyAlignment="1" applyFont="1">
      <alignment horizontal="center" readingOrder="0" shrinkToFit="0" vertical="center" wrapText="1"/>
    </xf>
    <xf borderId="0" fillId="7" fontId="33" numFmtId="0" xfId="0" applyAlignment="1" applyFont="1">
      <alignment horizontal="center" readingOrder="0" shrinkToFit="0" vertical="center" wrapText="1"/>
    </xf>
    <xf borderId="0" fillId="17" fontId="34" numFmtId="0" xfId="0" applyAlignment="1" applyFont="1">
      <alignment horizontal="center" readingOrder="0" shrinkToFit="0" vertical="center" wrapText="1"/>
    </xf>
    <xf borderId="0" fillId="18" fontId="35" numFmtId="0" xfId="0" applyAlignment="1" applyFont="1">
      <alignment horizontal="center" readingOrder="0" shrinkToFit="0" vertical="center" wrapText="1"/>
    </xf>
    <xf borderId="0" fillId="3" fontId="32" numFmtId="0" xfId="0" applyAlignment="1" applyFont="1">
      <alignment horizontal="center" shrinkToFit="0" vertical="center" wrapText="1"/>
    </xf>
    <xf borderId="0" fillId="7" fontId="33" numFmtId="167" xfId="0" applyAlignment="1" applyFont="1" applyNumberFormat="1">
      <alignment horizontal="center" shrinkToFit="0" vertical="center" wrapText="1"/>
    </xf>
    <xf borderId="0" fillId="7" fontId="33" numFmtId="0" xfId="0" applyAlignment="1" applyFont="1">
      <alignment horizontal="center" shrinkToFit="0" vertical="center" wrapText="1"/>
    </xf>
    <xf borderId="0" fillId="17" fontId="34" numFmtId="0" xfId="0" applyAlignment="1" applyFont="1">
      <alignment horizontal="center" shrinkToFit="0" vertical="center" wrapText="1"/>
    </xf>
    <xf borderId="0" fillId="17" fontId="34" numFmtId="167" xfId="0" applyAlignment="1" applyFont="1" applyNumberFormat="1">
      <alignment horizontal="center" shrinkToFit="0" vertical="center" wrapText="1"/>
    </xf>
    <xf borderId="0" fillId="18" fontId="35" numFmtId="167" xfId="0" applyAlignment="1" applyFont="1" applyNumberFormat="1">
      <alignment horizontal="center" shrinkToFit="0" vertical="center" wrapText="1"/>
    </xf>
    <xf borderId="0" fillId="18" fontId="35" numFmtId="0" xfId="0" applyAlignment="1" applyFont="1">
      <alignment horizontal="center" shrinkToFit="0" vertical="center" wrapText="1"/>
    </xf>
    <xf borderId="0" fillId="0" fontId="5" numFmtId="167" xfId="0" applyAlignment="1" applyFont="1" applyNumberFormat="1">
      <alignment horizontal="right" shrinkToFit="0" vertical="center" wrapText="1"/>
    </xf>
    <xf borderId="0" fillId="0" fontId="5" numFmtId="167" xfId="0" applyAlignment="1" applyFont="1" applyNumberFormat="1">
      <alignment horizontal="center" shrinkToFit="0" vertical="center" wrapText="1"/>
    </xf>
    <xf borderId="0" fillId="9" fontId="15" numFmtId="0" xfId="0" applyAlignment="1" applyFont="1">
      <alignment horizontal="center" shrinkToFit="0" vertical="center" wrapText="1"/>
    </xf>
    <xf borderId="0" fillId="9" fontId="15" numFmtId="167" xfId="0" applyAlignment="1" applyFont="1" applyNumberFormat="1">
      <alignment horizontal="center" shrinkToFit="0" vertical="center" wrapText="1"/>
    </xf>
    <xf borderId="0" fillId="0" fontId="21" numFmtId="0" xfId="0" applyAlignment="1" applyFont="1">
      <alignment shrinkToFit="0" vertical="center" wrapText="1"/>
    </xf>
    <xf borderId="0" fillId="0" fontId="21" numFmtId="167" xfId="0" applyAlignment="1" applyFont="1" applyNumberFormat="1">
      <alignment shrinkToFit="0" vertical="center" wrapText="1"/>
    </xf>
    <xf borderId="0" fillId="0" fontId="21" numFmtId="167" xfId="0" applyAlignment="1" applyFont="1" applyNumberFormat="1">
      <alignment horizontal="right" shrinkToFit="0" vertical="center" wrapText="1"/>
    </xf>
    <xf borderId="0" fillId="0" fontId="21" numFmtId="0" xfId="0" applyAlignment="1" applyFont="1">
      <alignment horizontal="center" shrinkToFit="0" vertical="center" wrapText="1"/>
    </xf>
    <xf borderId="0" fillId="0" fontId="21" numFmtId="167" xfId="0" applyAlignment="1" applyFont="1" applyNumberFormat="1">
      <alignment horizontal="center" shrinkToFit="0" vertical="center" wrapText="1"/>
    </xf>
    <xf borderId="0" fillId="20" fontId="17" numFmtId="0" xfId="0" applyAlignment="1" applyFill="1" applyFont="1">
      <alignment shrinkToFit="0" vertical="center" wrapText="1"/>
    </xf>
    <xf borderId="0" fillId="20" fontId="17" numFmtId="167" xfId="0" applyAlignment="1" applyFont="1" applyNumberFormat="1">
      <alignment horizontal="right" shrinkToFit="0" vertical="center" wrapText="1"/>
    </xf>
    <xf borderId="0" fillId="20" fontId="17" numFmtId="167" xfId="0" applyAlignment="1" applyFont="1" applyNumberFormat="1">
      <alignment shrinkToFit="0" vertical="center" wrapText="1"/>
    </xf>
    <xf borderId="0" fillId="20" fontId="17" numFmtId="0" xfId="0" applyAlignment="1" applyFont="1">
      <alignment horizontal="center" shrinkToFit="0" vertical="center" wrapText="1"/>
    </xf>
    <xf borderId="0" fillId="20" fontId="17" numFmtId="167" xfId="0" applyAlignment="1" applyFont="1" applyNumberFormat="1">
      <alignment horizontal="center" shrinkToFit="0" vertical="center" wrapText="1"/>
    </xf>
    <xf borderId="0" fillId="0" fontId="21" numFmtId="0" xfId="0" applyAlignment="1" applyFont="1">
      <alignment shrinkToFit="0" vertical="center" wrapText="1"/>
    </xf>
    <xf borderId="0" fillId="0" fontId="21" numFmtId="167" xfId="0" applyAlignment="1" applyFont="1" applyNumberFormat="1">
      <alignment shrinkToFit="0" vertical="center" wrapText="1"/>
    </xf>
    <xf borderId="0" fillId="9" fontId="17" numFmtId="0" xfId="0" applyAlignment="1" applyFont="1">
      <alignment horizontal="center" shrinkToFit="0" vertical="center" wrapText="1"/>
    </xf>
    <xf borderId="0" fillId="3" fontId="17" numFmtId="0" xfId="0" applyAlignment="1" applyFont="1">
      <alignment shrinkToFit="0" vertical="center" wrapText="1"/>
    </xf>
    <xf borderId="0" fillId="3" fontId="17" numFmtId="167" xfId="0" applyAlignment="1" applyFont="1" applyNumberFormat="1">
      <alignment shrinkToFit="0" vertical="center" wrapText="1"/>
    </xf>
    <xf borderId="0" fillId="20" fontId="36" numFmtId="0" xfId="0" applyAlignment="1" applyFont="1">
      <alignment shrinkToFit="0" vertical="center" wrapText="1"/>
    </xf>
    <xf borderId="0" fillId="21" fontId="23" numFmtId="0" xfId="0" applyAlignment="1" applyFill="1" applyFont="1">
      <alignment shrinkToFit="0" wrapText="1"/>
    </xf>
    <xf borderId="0" fillId="21" fontId="23" numFmtId="0" xfId="0" applyFont="1"/>
    <xf borderId="0" fillId="12" fontId="37" numFmtId="0" xfId="0" applyAlignment="1" applyFont="1">
      <alignment shrinkToFit="0" wrapText="1"/>
    </xf>
    <xf borderId="0" fillId="3" fontId="38" numFmtId="0" xfId="0" applyAlignment="1" applyFont="1">
      <alignment horizontal="left" shrinkToFit="0" vertical="center" wrapText="1"/>
    </xf>
    <xf borderId="0" fillId="3" fontId="32" numFmtId="0" xfId="0" applyAlignment="1" applyFont="1">
      <alignment horizontal="center" shrinkToFit="0" vertical="center" wrapText="1"/>
    </xf>
    <xf borderId="0" fillId="7" fontId="33" numFmtId="0" xfId="0" applyAlignment="1" applyFont="1">
      <alignment horizontal="center" shrinkToFit="0" vertical="center" wrapText="1"/>
    </xf>
    <xf borderId="0" fillId="12" fontId="39" numFmtId="0" xfId="0" applyAlignment="1" applyFont="1">
      <alignment horizontal="center" shrinkToFit="0" vertical="center" wrapText="1"/>
    </xf>
    <xf borderId="0" fillId="17" fontId="39" numFmtId="0" xfId="0" applyAlignment="1" applyFont="1">
      <alignment horizontal="center" shrinkToFit="0" vertical="center" wrapText="1"/>
    </xf>
    <xf borderId="0" fillId="15" fontId="32" numFmtId="0" xfId="0" applyAlignment="1" applyFont="1">
      <alignment horizontal="center" shrinkToFit="0" vertical="center" wrapText="1"/>
    </xf>
    <xf borderId="0" fillId="22" fontId="34" numFmtId="0" xfId="0" applyAlignment="1" applyFill="1" applyFont="1">
      <alignment horizontal="center" shrinkToFit="0" vertical="center" wrapText="1"/>
    </xf>
    <xf borderId="0" fillId="9" fontId="2" numFmtId="0" xfId="0" applyAlignment="1" applyFont="1">
      <alignment horizontal="center" vertical="center"/>
    </xf>
    <xf borderId="0" fillId="8" fontId="2" numFmtId="0" xfId="0" applyAlignment="1" applyFont="1">
      <alignment horizontal="center" vertical="center"/>
    </xf>
    <xf borderId="0" fillId="10" fontId="17" numFmtId="0" xfId="0" applyAlignment="1" applyFont="1">
      <alignment horizontal="center" readingOrder="0" shrinkToFit="0" vertical="center" wrapText="1"/>
    </xf>
    <xf borderId="0" fillId="10" fontId="17" numFmtId="168" xfId="0" applyAlignment="1" applyFont="1" applyNumberFormat="1">
      <alignment horizontal="center" shrinkToFit="0" vertical="center" wrapText="1"/>
    </xf>
    <xf borderId="0" fillId="0" fontId="21" numFmtId="169" xfId="0" applyAlignment="1" applyFont="1" applyNumberFormat="1">
      <alignment horizontal="center" shrinkToFit="0" vertical="center" wrapText="1"/>
    </xf>
    <xf borderId="0" fillId="7" fontId="40" numFmtId="0" xfId="0" applyAlignment="1" applyFont="1">
      <alignment shrinkToFit="0" vertical="center" wrapText="1"/>
    </xf>
    <xf borderId="0" fillId="0" fontId="10" numFmtId="170" xfId="0" applyFont="1" applyNumberFormat="1"/>
    <xf borderId="0" fillId="17" fontId="41" numFmtId="0" xfId="0" applyAlignment="1" applyFont="1">
      <alignment shrinkToFit="0" vertical="center" wrapText="1"/>
    </xf>
    <xf borderId="0" fillId="17" fontId="37" numFmtId="0" xfId="0" applyAlignment="1" applyFont="1">
      <alignment readingOrder="0" shrinkToFit="0" vertical="center" wrapText="1"/>
    </xf>
    <xf borderId="0" fillId="9" fontId="23" numFmtId="0" xfId="0" applyAlignment="1" applyFont="1">
      <alignment horizontal="center" shrinkToFit="0" wrapText="1"/>
    </xf>
    <xf borderId="0" fillId="0" fontId="42" numFmtId="0" xfId="0" applyFont="1"/>
    <xf borderId="0" fillId="2" fontId="27" numFmtId="0" xfId="0" applyAlignment="1" applyFont="1">
      <alignment horizontal="center"/>
    </xf>
    <xf borderId="0" fillId="17" fontId="37" numFmtId="0" xfId="0" applyAlignment="1" applyFont="1">
      <alignment shrinkToFit="0" wrapText="1"/>
    </xf>
    <xf borderId="0" fillId="2" fontId="27" numFmtId="0" xfId="0" applyAlignment="1" applyFont="1">
      <alignment horizontal="center" shrinkToFit="0" vertical="center" wrapText="1"/>
    </xf>
    <xf borderId="0" fillId="3" fontId="9" numFmtId="0" xfId="0" applyAlignment="1" applyFont="1">
      <alignment shrinkToFit="0" vertical="center" wrapText="1"/>
    </xf>
    <xf borderId="0" fillId="7" fontId="12" numFmtId="0" xfId="0" applyAlignment="1" applyFont="1">
      <alignment horizontal="center" shrinkToFit="0" vertical="center" wrapText="1"/>
    </xf>
    <xf borderId="0" fillId="17" fontId="43" numFmtId="0" xfId="0" applyAlignment="1" applyFont="1">
      <alignment horizontal="center" shrinkToFit="0" vertical="center" wrapText="1"/>
    </xf>
    <xf borderId="0" fillId="18" fontId="44" numFmtId="0" xfId="0" applyAlignment="1" applyFont="1">
      <alignment horizontal="center" shrinkToFit="0" vertical="center" wrapText="1"/>
    </xf>
    <xf borderId="0" fillId="3" fontId="9" numFmtId="0" xfId="0" applyAlignment="1" applyFont="1">
      <alignment horizontal="center" shrinkToFit="0" vertical="center" wrapText="1"/>
    </xf>
    <xf borderId="0" fillId="0" fontId="5" numFmtId="0" xfId="0" applyAlignment="1" applyFont="1">
      <alignment shrinkToFit="0" vertical="center" wrapText="1"/>
    </xf>
    <xf borderId="0" fillId="17" fontId="43" numFmtId="0" xfId="0" applyAlignment="1" applyFont="1">
      <alignment shrinkToFit="0" wrapText="1"/>
    </xf>
    <xf borderId="0" fillId="18" fontId="44" numFmtId="0" xfId="0" applyAlignment="1" applyFont="1">
      <alignment shrinkToFit="0" wrapText="1"/>
    </xf>
    <xf borderId="0" fillId="18" fontId="45" numFmtId="0" xfId="0" applyAlignment="1" applyFont="1">
      <alignment shrinkToFit="0" vertical="center" wrapText="1"/>
    </xf>
    <xf borderId="0" fillId="17" fontId="17" numFmtId="0" xfId="0" applyAlignment="1" applyFont="1">
      <alignment shrinkToFit="0" vertical="center" wrapText="1"/>
    </xf>
    <xf borderId="0" fillId="17" fontId="17" numFmtId="0" xfId="0" applyAlignment="1" applyFont="1">
      <alignment horizontal="center" shrinkToFit="0" vertical="center" wrapText="1"/>
    </xf>
    <xf borderId="0" fillId="17" fontId="17" numFmtId="165" xfId="0" applyAlignment="1" applyFont="1" applyNumberFormat="1">
      <alignment horizontal="center" vertical="center"/>
    </xf>
    <xf borderId="0" fillId="17" fontId="21" numFmtId="0" xfId="0" applyAlignment="1" applyFont="1">
      <alignment shrinkToFit="0" vertical="center" wrapText="1"/>
    </xf>
    <xf borderId="0" fillId="17" fontId="21" numFmtId="0" xfId="0" applyAlignment="1" applyFont="1">
      <alignment horizontal="center" shrinkToFit="0" vertical="center" wrapText="1"/>
    </xf>
    <xf borderId="0" fillId="17" fontId="21" numFmtId="165" xfId="0" applyAlignment="1" applyFont="1" applyNumberFormat="1">
      <alignment horizontal="center" vertical="center"/>
    </xf>
    <xf borderId="0" fillId="15" fontId="21" numFmtId="0" xfId="0" applyAlignment="1" applyFont="1">
      <alignment shrinkToFit="0" vertical="center" wrapText="1"/>
    </xf>
    <xf borderId="0" fillId="15" fontId="21" numFmtId="0" xfId="0" applyAlignment="1" applyFont="1">
      <alignment horizontal="center" shrinkToFit="0" vertical="center" wrapText="1"/>
    </xf>
    <xf borderId="0" fillId="15" fontId="21" numFmtId="165" xfId="0" applyAlignment="1" applyFont="1" applyNumberFormat="1">
      <alignment horizontal="center" vertical="center"/>
    </xf>
    <xf borderId="0" fillId="7" fontId="21" numFmtId="0" xfId="0" applyAlignment="1" applyFont="1">
      <alignment shrinkToFit="0" vertical="center" wrapText="1"/>
    </xf>
    <xf borderId="0" fillId="7" fontId="21" numFmtId="0" xfId="0" applyAlignment="1" applyFont="1">
      <alignment horizontal="center" shrinkToFit="0" vertical="center" wrapText="1"/>
    </xf>
    <xf borderId="0" fillId="7" fontId="21" numFmtId="165" xfId="0" applyAlignment="1" applyFont="1" applyNumberFormat="1">
      <alignment horizontal="center" vertical="center"/>
    </xf>
    <xf borderId="0" fillId="0" fontId="5" numFmtId="0" xfId="0" applyAlignment="1" applyFont="1">
      <alignment horizontal="right" vertical="top"/>
    </xf>
    <xf borderId="0" fillId="0" fontId="5" numFmtId="0" xfId="0" applyAlignment="1" applyFont="1">
      <alignment shrinkToFit="0" wrapText="1"/>
    </xf>
  </cellXfs>
  <cellStyles count="1">
    <cellStyle xfId="0" name="Normal" builtinId="0"/>
  </cellStyles>
  <dxfs count="41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9C5700"/>
      </font>
      <fill>
        <patternFill patternType="solid">
          <fgColor rgb="FFFFF2CC"/>
          <bgColor rgb="FFFFF2CC"/>
        </patternFill>
      </fill>
      <border/>
    </dxf>
    <dxf>
      <font>
        <b/>
        <color rgb="FF1F4E78"/>
      </font>
      <fill>
        <patternFill patternType="solid">
          <fgColor rgb="FFD9EAF7"/>
          <bgColor rgb="FFD9EAF7"/>
        </patternFill>
      </fill>
      <border/>
    </dxf>
    <dxf>
      <font>
        <b/>
        <color rgb="FF385723"/>
      </font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DDEBF7"/>
          <bgColor rgb="FFDDEBF7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  <dxf>
      <font>
        <color rgb="FFA5A5A5"/>
      </font>
      <fill>
        <patternFill patternType="none"/>
      </fill>
      <border/>
    </dxf>
    <dxf>
      <font>
        <color theme="1"/>
      </font>
      <fill>
        <patternFill patternType="solid">
          <fgColor rgb="FFF2F2F2"/>
          <bgColor rgb="FFF2F2F2"/>
        </patternFill>
      </fill>
      <border/>
    </dxf>
    <dxf>
      <font>
        <color theme="1"/>
      </font>
      <fill>
        <patternFill patternType="solid">
          <fgColor rgb="FFD8D8D8"/>
          <bgColor rgb="FFD8D8D8"/>
        </patternFill>
      </fill>
      <border/>
    </dxf>
    <dxf>
      <font>
        <color theme="1"/>
      </font>
      <fill>
        <patternFill patternType="solid">
          <fgColor rgb="FFD9E2F3"/>
          <bgColor rgb="FFD9E2F3"/>
        </patternFill>
      </fill>
      <border/>
    </dxf>
    <dxf>
      <font>
        <color theme="1"/>
      </font>
      <fill>
        <patternFill patternType="solid">
          <fgColor rgb="FFFFF2CB"/>
          <bgColor rgb="FFFFF2CB"/>
        </patternFill>
      </fill>
      <border/>
    </dxf>
    <dxf>
      <font>
        <b/>
        <color rgb="FFC00000"/>
      </font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FBE4D5"/>
          <bgColor rgb="FFFBE4D5"/>
        </patternFill>
      </fill>
      <border/>
    </dxf>
    <dxf>
      <font>
        <color rgb="FF006100"/>
      </font>
      <fill>
        <patternFill patternType="solid">
          <fgColor rgb="FFC6EFCE"/>
          <bgColor rgb="FFC6EFCE"/>
        </patternFill>
      </fill>
      <border/>
    </dxf>
    <dxf>
      <font>
        <color rgb="FF002060"/>
      </font>
      <fill>
        <patternFill patternType="solid">
          <fgColor rgb="FFDEEAF6"/>
          <bgColor rgb="FFDEEAF6"/>
        </patternFill>
      </fill>
      <border/>
    </dxf>
    <dxf>
      <font>
        <b/>
      </font>
      <fill>
        <patternFill patternType="solid">
          <fgColor rgb="FFE2F0D9"/>
          <bgColor rgb="FFE2F0D9"/>
        </patternFill>
      </fill>
      <border/>
    </dxf>
    <dxf>
      <font>
        <b/>
        <color rgb="FF9C5700"/>
      </font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F4B183"/>
          <bgColor rgb="FFF4B183"/>
        </patternFill>
      </fill>
      <border/>
    </dxf>
    <dxf>
      <font/>
      <fill>
        <patternFill patternType="solid">
          <fgColor rgb="FF5B9BD5"/>
          <bgColor rgb="FF5B9BD5"/>
        </patternFill>
      </fill>
      <border/>
    </dxf>
    <dxf>
      <font/>
      <fill>
        <patternFill patternType="solid">
          <fgColor rgb="FF70AD47"/>
          <bgColor rgb="FF70AD47"/>
        </patternFill>
      </fill>
      <border/>
    </dxf>
    <dxf>
      <font>
        <b/>
        <color rgb="FF9C0006"/>
      </font>
      <fill>
        <patternFill patternType="solid">
          <fgColor rgb="FFF4CCCC"/>
          <bgColor rgb="FFF4CCCC"/>
        </patternFill>
      </fill>
      <border/>
    </dxf>
    <dxf>
      <font>
        <color theme="1"/>
      </font>
      <fill>
        <patternFill patternType="solid">
          <fgColor rgb="FFFBE4D5"/>
          <bgColor rgb="FFFBE4D5"/>
        </patternFill>
      </fill>
      <border/>
    </dxf>
    <dxf>
      <font>
        <color theme="1"/>
      </font>
      <fill>
        <patternFill patternType="solid">
          <fgColor rgb="FFE2EFD9"/>
          <bgColor rgb="FFE2EFD9"/>
        </patternFill>
      </fill>
      <border/>
    </dxf>
    <dxf>
      <font>
        <color theme="1"/>
      </font>
      <fill>
        <patternFill patternType="solid">
          <fgColor theme="0"/>
          <bgColor theme="0"/>
        </patternFill>
      </fill>
      <border>
        <left style="dotted">
          <color rgb="FF000000"/>
        </left>
        <right style="dotted">
          <color rgb="FF000000"/>
        </right>
        <bottom style="dotted">
          <color rgb="FF000000"/>
        </bottom>
      </border>
    </dxf>
    <dxf>
      <font/>
      <fill>
        <patternFill patternType="none"/>
      </fill>
      <border>
        <right style="thin">
          <color rgb="FF000000"/>
        </right>
      </border>
    </dxf>
    <dxf>
      <font/>
      <fill>
        <patternFill patternType="none"/>
      </fill>
      <border>
        <left style="thin">
          <color rgb="FF000000"/>
        </left>
      </border>
    </dxf>
    <dxf>
      <font/>
      <fill>
        <patternFill patternType="none"/>
      </fill>
      <border>
        <left style="thin">
          <color rgb="FF000000"/>
        </left>
        <right style="dotted">
          <color rgb="FF000000"/>
        </right>
      </border>
    </dxf>
    <dxf>
      <font/>
      <fill>
        <patternFill patternType="none"/>
      </fill>
      <border>
        <bottom style="thin">
          <color rgb="FF000000"/>
        </bottom>
      </border>
    </dxf>
    <dxf>
      <font/>
      <fill>
        <patternFill patternType="none"/>
      </fill>
      <border>
        <top style="thin">
          <color rgb="FF000000"/>
        </top>
        <bottom style="dotted">
          <color rgb="FF000000"/>
        </bottom>
      </border>
    </dxf>
    <dxf>
      <font/>
      <fill>
        <patternFill patternType="none"/>
      </fill>
      <border>
        <top style="thin">
          <color rgb="FF000000"/>
        </top>
      </border>
    </dxf>
    <dxf>
      <font/>
      <fill>
        <patternFill patternType="none"/>
      </fill>
      <border>
        <right style="dotted">
          <color rgb="FF000000"/>
        </right>
      </border>
    </dxf>
    <dxf>
      <font>
        <b/>
        <color rgb="FF9C0006"/>
      </font>
      <fill>
        <patternFill patternType="none"/>
      </fill>
      <border/>
    </dxf>
    <dxf>
      <font>
        <b/>
      </font>
      <fill>
        <patternFill patternType="solid">
          <fgColor rgb="FFD9E2F3"/>
          <bgColor rgb="FFD9E2F3"/>
        </patternFill>
      </fill>
      <border/>
    </dxf>
    <dxf>
      <font/>
      <fill>
        <patternFill patternType="solid">
          <fgColor rgb="FFE7E6E6"/>
          <bgColor rgb="FFE7E6E6"/>
        </patternFill>
      </fill>
      <border/>
    </dxf>
    <dxf>
      <font>
        <color rgb="FF595959"/>
      </font>
      <fill>
        <patternFill patternType="solid">
          <fgColor rgb="FFD9D9D9"/>
          <bgColor rgb="FFD9D9D9"/>
        </patternFill>
      </fill>
      <border/>
    </dxf>
  </dxfs>
  <tableStyles count="3">
    <tableStyle count="4" pivot="0" name="WBS_タスク補足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見積工数対応表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WBS_閲覧用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customschemas.google.com/relationships/workbookmetadata" Target="metadata"/><Relationship Id="rId14" Type="http://schemas.openxmlformats.org/officeDocument/2006/relationships/worksheet" Target="worksheets/sheet1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5:O126" displayName="TaskDetailTable" name="TaskDetailTable" id="1">
  <tableColumns count="15">
    <tableColumn name="ID" id="1"/>
    <tableColumn name="大項目" id="2"/>
    <tableColumn name="中項目" id="3"/>
    <tableColumn name="小項目" id="4"/>
    <tableColumn name="区分" id="5"/>
    <tableColumn name="主な作業内容" id="6"/>
    <tableColumn name="完了条件" id="7"/>
    <tableColumn name="チーム" id="8"/>
    <tableColumn name="担当者" id="9"/>
    <tableColumn name="工数区分" id="10"/>
    <tableColumn name="開始日" id="11"/>
    <tableColumn name="終了日" id="12"/>
    <tableColumn name="根拠資料" id="13"/>
    <tableColumn name="備考" id="14"/>
    <tableColumn name="WBS行" id="15"/>
  </tableColumns>
  <tableStyleInfo name="WBS_タスク補足-style" showColumnStripes="0" showFirstColumn="1" showLastColumn="1" showRowStripes="1"/>
</table>
</file>

<file path=xl/tables/table2.xml><?xml version="1.0" encoding="utf-8"?>
<table xmlns="http://schemas.openxmlformats.org/spreadsheetml/2006/main" ref="A4:H11" displayName="EstimateAllocationTable" name="EstimateAllocationTable" id="2">
  <tableColumns count="8">
    <tableColumn name="元見積合計" id="1"/>
    <tableColumn name="列 1" id="2"/>
    <tableColumn name="先行検証基準" id="3"/>
    <tableColumn name="列 2" id="4"/>
    <tableColumn name="条件付き工数" id="5"/>
    <tableColumn name="列 3" id="6"/>
    <tableColumn name="作業L/T" id="7"/>
    <tableColumn name="列 4" id="8"/>
  </tableColumns>
  <tableStyleInfo name="見積工数対応表-style" showColumnStripes="0" showFirstColumn="1" showLastColumn="1" showRowStripes="1"/>
</table>
</file>

<file path=xl/tables/table3.xml><?xml version="1.0" encoding="utf-8"?>
<table xmlns="http://schemas.openxmlformats.org/spreadsheetml/2006/main" ref="A6:K127" displayName="WBSViewTable" name="WBSViewTable" id="3">
  <tableColumns count="11">
    <tableColumn name="No." id="1"/>
    <tableColumn name="ID" id="2"/>
    <tableColumn name="中項目" id="3"/>
    <tableColumn name="小項目" id="4"/>
    <tableColumn name="区分" id="5"/>
    <tableColumn name="チーム" id="6"/>
    <tableColumn name="担当者" id="7"/>
    <tableColumn name="開始日" id="8"/>
    <tableColumn name="終了日" id="9"/>
    <tableColumn name="ステータス" id="10"/>
    <tableColumn name="備考" id="11"/>
  </tableColumns>
  <tableStyleInfo name="WBS_閲覧用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1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2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3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7.86"/>
    <col customWidth="1" min="2" max="2" width="99.29"/>
    <col customWidth="1" min="3" max="6" width="9.0"/>
    <col customWidth="1" min="7" max="26" width="8.71"/>
  </cols>
  <sheetData>
    <row r="1" ht="25.5" customHeight="1">
      <c r="A1" s="2" t="s">
        <v>1</v>
      </c>
      <c r="B1" s="2" t="s">
        <v>4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24.75" customHeight="1">
      <c r="A2" s="7" t="s">
        <v>8</v>
      </c>
      <c r="B2" s="7" t="s">
        <v>11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ht="24.75" customHeight="1">
      <c r="A3" s="7" t="s">
        <v>12</v>
      </c>
      <c r="B3" s="7" t="s">
        <v>14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24.75" customHeight="1">
      <c r="A4" s="7" t="s">
        <v>16</v>
      </c>
      <c r="B4" s="7" t="s">
        <v>18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24.75" customHeight="1">
      <c r="A5" s="7" t="s">
        <v>20</v>
      </c>
      <c r="B5" s="7" t="s">
        <v>21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24.75" customHeight="1">
      <c r="A6" s="7" t="s">
        <v>23</v>
      </c>
      <c r="B6" s="7" t="s">
        <v>24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24.75" customHeight="1">
      <c r="A7" s="7" t="s">
        <v>27</v>
      </c>
      <c r="B7" s="7" t="s">
        <v>28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24.75" customHeight="1">
      <c r="A8" s="7" t="s">
        <v>30</v>
      </c>
      <c r="B8" s="7" t="s">
        <v>31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ht="24.75" customHeight="1">
      <c r="A9" s="7" t="s">
        <v>35</v>
      </c>
      <c r="B9" s="7" t="s">
        <v>36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24.75" customHeight="1">
      <c r="A10" s="7" t="s">
        <v>39</v>
      </c>
      <c r="B10" s="7" t="s">
        <v>40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24.75" customHeight="1">
      <c r="A11" s="7" t="s">
        <v>43</v>
      </c>
      <c r="B11" s="7" t="s">
        <v>44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24.75" customHeight="1">
      <c r="A12" s="7" t="s">
        <v>47</v>
      </c>
      <c r="B12" s="7" t="s">
        <v>48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27.75" customHeight="1">
      <c r="A13" s="7" t="s">
        <v>51</v>
      </c>
      <c r="B13" s="7" t="s">
        <v>52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27.75" customHeight="1">
      <c r="A14" s="7" t="s">
        <v>56</v>
      </c>
      <c r="B14" s="7" t="s">
        <v>57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ht="36.0" customHeight="1">
      <c r="A15" s="18" t="s">
        <v>60</v>
      </c>
      <c r="B15" s="19" t="s">
        <v>62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36.0" customHeight="1">
      <c r="A16" s="18" t="s">
        <v>64</v>
      </c>
      <c r="B16" s="19" t="s">
        <v>65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36.0" customHeight="1">
      <c r="A17" s="18" t="s">
        <v>68</v>
      </c>
      <c r="B17" s="19" t="s">
        <v>69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36.0" customHeight="1">
      <c r="A18" s="18" t="s">
        <v>72</v>
      </c>
      <c r="B18" s="19" t="s">
        <v>74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36.0" customHeight="1">
      <c r="A19" s="18" t="s">
        <v>82</v>
      </c>
      <c r="B19" s="19" t="s">
        <v>83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36.0" customHeight="1">
      <c r="A20" s="18" t="s">
        <v>88</v>
      </c>
      <c r="B20" s="19" t="s">
        <v>89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36.0" customHeight="1">
      <c r="A21" s="18" t="s">
        <v>91</v>
      </c>
      <c r="B21" s="19" t="s">
        <v>92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36.0" customHeight="1">
      <c r="A22" s="18" t="s">
        <v>94</v>
      </c>
      <c r="B22" s="19" t="s">
        <v>95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33.75" customHeight="1">
      <c r="A23" s="34" t="s">
        <v>96</v>
      </c>
      <c r="B23" s="19" t="s">
        <v>97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33.75" customHeight="1">
      <c r="A24" s="34" t="s">
        <v>98</v>
      </c>
      <c r="B24" s="19" t="s">
        <v>99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33.75" customHeight="1">
      <c r="A25" s="34" t="s">
        <v>100</v>
      </c>
      <c r="B25" s="19" t="s">
        <v>101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33.75" customHeight="1">
      <c r="A26" s="34" t="s">
        <v>103</v>
      </c>
      <c r="B26" s="19" t="s">
        <v>104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33.75" customHeight="1">
      <c r="A27" s="34" t="s">
        <v>110</v>
      </c>
      <c r="B27" s="19" t="s">
        <v>111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36.0" customHeight="1">
      <c r="A28" s="34" t="s">
        <v>113</v>
      </c>
      <c r="B28" s="19" t="s">
        <v>114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36.0" customHeight="1">
      <c r="A29" s="34" t="s">
        <v>115</v>
      </c>
      <c r="B29" s="19" t="s">
        <v>116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36.0" customHeight="1">
      <c r="A30" s="34" t="s">
        <v>117</v>
      </c>
      <c r="B30" s="19" t="s">
        <v>118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36.0" customHeight="1">
      <c r="A31" s="34" t="s">
        <v>119</v>
      </c>
      <c r="B31" s="19" t="s">
        <v>120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36.0" customHeight="1">
      <c r="A32" s="34" t="s">
        <v>121</v>
      </c>
      <c r="B32" s="19" t="s">
        <v>122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36.0" customHeight="1">
      <c r="A33" s="34" t="s">
        <v>43</v>
      </c>
      <c r="B33" s="19" t="s">
        <v>123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6.5" customHeight="1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6.5" customHeight="1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6.5" customHeight="1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6.5" customHeigh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6.5" customHeight="1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6.5" customHeight="1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6.5" customHeight="1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6.5" customHeight="1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6.5" customHeight="1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6.5" customHeight="1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6.5" customHeight="1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6.5" customHeigh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6.5" customHeight="1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6.5" customHeight="1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6.5" customHeight="1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6.5" customHeight="1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6.5" customHeight="1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6.5" customHeight="1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6.5" customHeight="1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6.5" customHeight="1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6.5" customHeigh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6.5" customHeight="1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6.5" customHeight="1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6.5" customHeight="1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6.5" customHeight="1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6.5" customHeight="1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6.5" customHeight="1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6.5" customHeight="1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6.5" customHeight="1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6.5" customHeight="1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6.5" customHeight="1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6.5" customHeight="1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6.5" customHeigh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6.5" customHeight="1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6.5" customHeight="1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6.5" customHeight="1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6.5" customHeight="1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6.5" customHeight="1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6.5" customHeight="1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6.5" customHeight="1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6.5" customHeight="1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6.5" customHeight="1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6.5" customHeight="1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6.5" customHeight="1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6.5" customHeight="1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6.5" customHeight="1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6.5" customHeight="1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6.5" customHeight="1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6.5" customHeight="1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6.5" customHeight="1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6.5" customHeight="1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6.5" customHeight="1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6.5" customHeight="1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6.5" customHeight="1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6.5" customHeight="1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6.5" customHeight="1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6.5" customHeight="1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6.5" customHeight="1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6.5" customHeight="1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6.5" customHeight="1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6.5" customHeight="1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6.5" customHeight="1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6.5" customHeight="1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6.5" customHeight="1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6.5" customHeight="1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6.5" customHeight="1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6.5" customHeight="1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6.5" customHeight="1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6.5" customHeight="1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6.5" customHeight="1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6.5" customHeight="1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6.5" customHeight="1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6.5" customHeight="1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6.5" customHeight="1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6.5" customHeight="1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6.5" customHeight="1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6.5" customHeight="1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6.5" customHeight="1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6.5" customHeight="1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6.5" customHeight="1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6.5" customHeight="1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6.5" customHeight="1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6.5" customHeight="1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6.5" customHeight="1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6.5" customHeight="1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6.5" customHeight="1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6.5" customHeight="1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6.5" customHeight="1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6.5" customHeight="1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6.5" customHeight="1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6.5" customHeight="1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6.5" customHeight="1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6.5" customHeight="1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6.5" customHeight="1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6.5" customHeight="1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6.5" customHeight="1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6.5" customHeight="1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6.5" customHeight="1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6.5" customHeight="1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6.5" customHeight="1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6.5" customHeight="1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6.5" customHeight="1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6.5" customHeight="1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6.5" customHeight="1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6.5" customHeight="1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6.5" customHeight="1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6.5" customHeight="1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6.5" customHeight="1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6.5" customHeight="1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6.5" customHeight="1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6.5" customHeight="1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6.5" customHeight="1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6.5" customHeight="1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6.5" customHeight="1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6.5" customHeight="1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6.5" customHeight="1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6.5" customHeight="1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6.5" customHeight="1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6.5" customHeight="1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6.5" customHeight="1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6.5" customHeight="1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6.5" customHeight="1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6.5" customHeight="1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6.5" customHeight="1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6.5" customHeight="1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6.5" customHeight="1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6.5" customHeight="1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6.5" customHeight="1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6.5" customHeight="1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6.5" customHeight="1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6.5" customHeight="1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6.5" customHeight="1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6.5" customHeight="1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6.5" customHeight="1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6.5" customHeight="1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6.5" customHeight="1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6.5" customHeight="1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6.5" customHeight="1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6.5" customHeight="1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6.5" customHeight="1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6.5" customHeight="1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6.5" customHeight="1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6.5" customHeight="1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6.5" customHeight="1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6.5" customHeight="1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6.5" customHeight="1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6.5" customHeight="1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6.5" customHeight="1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6.5" customHeight="1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6.5" customHeight="1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6.5" customHeight="1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6.5" customHeight="1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6.5" customHeight="1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6.5" customHeight="1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6.5" customHeight="1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6.5" customHeight="1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6.5" customHeight="1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6.5" customHeight="1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6.5" customHeight="1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6.5" customHeight="1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6.5" customHeight="1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6.5" customHeight="1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6.5" customHeight="1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6.5" customHeight="1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6.5" customHeight="1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6.5" customHeight="1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6.5" customHeight="1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6.5" customHeight="1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6.5" customHeight="1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6.5" customHeight="1"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6.5" customHeight="1"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6.5" customHeight="1"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6.5" customHeight="1"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6.5" customHeight="1"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6.5" customHeight="1"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6.5" customHeight="1"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6.5" customHeight="1"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6.5" customHeight="1"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6.5" customHeight="1"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6.5" customHeight="1"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6.5" customHeight="1"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6.5" customHeight="1"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6.5" customHeight="1"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6.5" customHeight="1"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6.5" customHeight="1"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6.5" customHeight="1"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6.5" customHeight="1"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6.5" customHeight="1"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6.5" customHeight="1"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6.5" customHeight="1"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6.5" customHeight="1"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6.5" customHeight="1"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6.5" customHeight="1"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6.5" customHeight="1"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6.5" customHeight="1"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6.5" customHeight="1"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6.5" customHeight="1"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6.5" customHeight="1"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6.5" customHeight="1"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6.5" customHeight="1"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6.5" customHeight="1"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6.5" customHeight="1"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6.5" customHeight="1"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6.5" customHeight="1"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6.5" customHeight="1"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6.5" customHeight="1"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6.5" customHeight="1"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6.5" customHeight="1"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6.5" customHeight="1"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6.5" customHeight="1"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6.5" customHeight="1"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6.5" customHeight="1"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6.5" customHeight="1"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6.5" customHeight="1"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6.5" customHeight="1"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6.5" customHeight="1"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6.5" customHeight="1"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6.5" customHeight="1"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6.5" customHeight="1"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6.5" customHeight="1"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6.5" customHeight="1"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6.5" customHeight="1"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6.5" customHeight="1"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6.5" customHeight="1"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6.5" customHeight="1"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6.5" customHeight="1"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6.5" customHeight="1"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6.5" customHeight="1"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6.5" customHeight="1"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6.5" customHeight="1"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6.5" customHeight="1"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6.5" customHeight="1"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6.5" customHeight="1"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6.5" customHeight="1"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6.5" customHeight="1"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6.5" customHeight="1"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6.5" customHeight="1"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6.5" customHeight="1"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6.5" customHeight="1"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6.5" customHeight="1"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6.5" customHeight="1"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6.5" customHeight="1"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6.5" customHeight="1"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6.5" customHeight="1"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6.5" customHeight="1"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6.5" customHeight="1"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6.5" customHeight="1"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6.5" customHeight="1"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6.5" customHeight="1"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6.5" customHeight="1"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6.5" customHeight="1"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6.5" customHeight="1"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6.5" customHeight="1"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6.5" customHeight="1"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6.5" customHeight="1"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6.5" customHeight="1"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6.5" customHeight="1"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6.5" customHeight="1"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6.5" customHeight="1"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6.5" customHeight="1"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6.5" customHeight="1"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6.5" customHeight="1"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6.5" customHeight="1"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6.5" customHeight="1"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6.5" customHeight="1"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6.5" customHeight="1"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6.5" customHeight="1"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6.5" customHeight="1"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6.5" customHeight="1"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6.5" customHeight="1"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6.5" customHeight="1"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6.5" customHeight="1"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6.5" customHeight="1"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6.5" customHeight="1"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6.5" customHeight="1"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6.5" customHeight="1"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6.5" customHeight="1"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6.5" customHeight="1"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6.5" customHeight="1"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6.5" customHeight="1"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6.5" customHeight="1"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6.5" customHeight="1"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6.5" customHeight="1"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6.5" customHeight="1"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6.5" customHeight="1"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6.5" customHeight="1"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6.5" customHeight="1"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6.5" customHeight="1"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6.5" customHeight="1"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6.5" customHeight="1"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6.5" customHeight="1"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6.5" customHeight="1"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6.5" customHeight="1"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6.5" customHeight="1"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6.5" customHeight="1"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6.5" customHeight="1"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6.5" customHeight="1"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6.5" customHeight="1"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6.5" customHeight="1"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6.5" customHeight="1"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6.5" customHeight="1"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6.5" customHeight="1"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6.5" customHeight="1"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6.5" customHeight="1"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6.5" customHeight="1"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6.5" customHeight="1"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6.5" customHeight="1"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6.5" customHeight="1"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6.5" customHeight="1"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6.5" customHeight="1"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6.5" customHeight="1"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6.5" customHeight="1"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6.5" customHeight="1"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6.5" customHeight="1"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6.5" customHeight="1"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6.5" customHeight="1"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6.5" customHeight="1"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6.5" customHeight="1"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6.5" customHeight="1"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6.5" customHeight="1"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6.5" customHeight="1"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6.5" customHeight="1"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6.5" customHeight="1"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6.5" customHeight="1"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6.5" customHeight="1"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6.5" customHeight="1"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6.5" customHeight="1"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6.5" customHeight="1"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6.5" customHeight="1"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6.5" customHeight="1"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6.5" customHeight="1"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6.5" customHeight="1"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6.5" customHeight="1"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6.5" customHeight="1"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6.5" customHeight="1"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6.5" customHeight="1"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6.5" customHeight="1"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6.5" customHeight="1"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6.5" customHeight="1"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6.5" customHeight="1"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6.5" customHeight="1"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6.5" customHeight="1"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6.5" customHeight="1"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6.5" customHeight="1"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6.5" customHeight="1"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6.5" customHeight="1"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6.5" customHeight="1"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6.5" customHeight="1"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6.5" customHeight="1"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6.5" customHeight="1"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6.5" customHeight="1"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6.5" customHeight="1"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6.5" customHeight="1"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6.5" customHeight="1"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6.5" customHeight="1"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6.5" customHeight="1"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6.5" customHeight="1"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6.5" customHeight="1"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6.5" customHeight="1"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6.5" customHeight="1"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6.5" customHeight="1"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6.5" customHeight="1"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6.5" customHeight="1"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6.5" customHeight="1"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6.5" customHeight="1"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6.5" customHeight="1"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6.5" customHeight="1"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6.5" customHeight="1"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6.5" customHeight="1"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6.5" customHeight="1"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6.5" customHeight="1"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6.5" customHeight="1"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6.5" customHeight="1"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6.5" customHeight="1"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6.5" customHeight="1"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6.5" customHeight="1"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6.5" customHeight="1"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6.5" customHeight="1"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6.5" customHeight="1"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6.5" customHeight="1"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6.5" customHeight="1"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6.5" customHeight="1"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6.5" customHeight="1"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6.5" customHeight="1"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6.5" customHeight="1"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6.5" customHeight="1"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6.5" customHeight="1"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6.5" customHeight="1"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6.5" customHeight="1"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6.5" customHeight="1"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6.5" customHeight="1"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6.5" customHeight="1"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6.5" customHeight="1"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6.5" customHeight="1"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6.5" customHeight="1"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6.5" customHeight="1"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6.5" customHeight="1"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6.5" customHeight="1"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6.5" customHeight="1"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6.5" customHeight="1"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6.5" customHeight="1"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6.5" customHeight="1"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6.5" customHeight="1"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6.5" customHeight="1"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6.5" customHeight="1"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6.5" customHeight="1"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6.5" customHeight="1"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6.5" customHeight="1"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6.5" customHeight="1"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6.5" customHeight="1"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6.5" customHeight="1"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6.5" customHeight="1"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6.5" customHeight="1"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6.5" customHeight="1"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6.5" customHeight="1"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6.5" customHeight="1"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6.5" customHeight="1"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6.5" customHeight="1"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6.5" customHeight="1"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6.5" customHeight="1"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6.5" customHeight="1"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6.5" customHeight="1"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6.5" customHeight="1"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6.5" customHeight="1"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6.5" customHeight="1"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6.5" customHeight="1"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6.5" customHeight="1"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6.5" customHeight="1"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6.5" customHeight="1"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6.5" customHeight="1"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6.5" customHeight="1"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6.5" customHeight="1"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6.5" customHeight="1"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6.5" customHeight="1"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6.5" customHeight="1"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6.5" customHeight="1"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6.5" customHeight="1"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6.5" customHeight="1"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6.5" customHeight="1"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6.5" customHeight="1"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6.5" customHeight="1"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6.5" customHeight="1"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6.5" customHeight="1"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6.5" customHeight="1"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6.5" customHeight="1"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6.5" customHeight="1"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6.5" customHeight="1"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6.5" customHeight="1"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6.5" customHeight="1"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6.5" customHeight="1"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6.5" customHeight="1"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6.5" customHeight="1"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6.5" customHeight="1"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6.5" customHeight="1"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6.5" customHeight="1"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6.5" customHeight="1"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6.5" customHeight="1"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6.5" customHeight="1"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6.5" customHeight="1"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6.5" customHeight="1"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6.5" customHeight="1"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6.5" customHeight="1"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6.5" customHeight="1"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6.5" customHeight="1"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6.5" customHeight="1"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6.5" customHeight="1"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6.5" customHeight="1"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6.5" customHeight="1"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6.5" customHeight="1"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6.5" customHeight="1"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6.5" customHeight="1"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6.5" customHeight="1"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6.5" customHeight="1"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6.5" customHeight="1"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6.5" customHeight="1"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6.5" customHeight="1"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6.5" customHeight="1"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6.5" customHeight="1"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6.5" customHeight="1"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6.5" customHeight="1"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6.5" customHeight="1"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6.5" customHeight="1"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6.5" customHeight="1"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6.5" customHeight="1"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6.5" customHeight="1"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6.5" customHeight="1"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6.5" customHeight="1"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6.5" customHeight="1"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6.5" customHeight="1"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6.5" customHeight="1"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6.5" customHeight="1"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6.5" customHeight="1"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6.5" customHeight="1"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6.5" customHeight="1"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6.5" customHeight="1"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6.5" customHeight="1"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6.5" customHeight="1"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6.5" customHeight="1"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6.5" customHeight="1"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6.5" customHeight="1"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6.5" customHeight="1"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6.5" customHeight="1"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6.5" customHeight="1"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6.5" customHeight="1"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6.5" customHeight="1"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6.5" customHeight="1"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6.5" customHeight="1"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6.5" customHeight="1"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6.5" customHeight="1"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6.5" customHeight="1"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6.5" customHeight="1"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6.5" customHeight="1"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6.5" customHeight="1"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6.5" customHeight="1"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6.5" customHeight="1"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6.5" customHeight="1"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6.5" customHeight="1"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6.5" customHeight="1"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6.5" customHeight="1"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6.5" customHeight="1"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6.5" customHeight="1"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6.5" customHeight="1"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6.5" customHeight="1"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6.5" customHeight="1"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6.5" customHeight="1"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6.5" customHeight="1"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6.5" customHeight="1"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6.5" customHeight="1"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6.5" customHeight="1"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6.5" customHeight="1"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6.5" customHeight="1"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6.5" customHeight="1"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6.5" customHeight="1"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6.5" customHeight="1"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6.5" customHeight="1"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6.5" customHeight="1"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6.5" customHeight="1"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6.5" customHeight="1"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6.5" customHeight="1"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6.5" customHeight="1"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6.5" customHeight="1"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6.5" customHeight="1"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6.5" customHeight="1"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6.5" customHeight="1"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6.5" customHeight="1"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6.5" customHeight="1"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6.5" customHeight="1"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6.5" customHeight="1"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6.5" customHeight="1"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6.5" customHeight="1"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6.5" customHeight="1"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6.5" customHeight="1"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6.5" customHeight="1"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6.5" customHeight="1"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6.5" customHeight="1"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6.5" customHeight="1"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6.5" customHeight="1"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6.5" customHeight="1"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6.5" customHeight="1"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6.5" customHeight="1"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6.5" customHeight="1"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6.5" customHeight="1"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6.5" customHeight="1"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6.5" customHeight="1"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6.5" customHeight="1"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6.5" customHeight="1"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6.5" customHeight="1"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6.5" customHeight="1"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6.5" customHeight="1"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6.5" customHeight="1"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6.5" customHeight="1"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6.5" customHeight="1"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6.5" customHeight="1"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6.5" customHeight="1"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6.5" customHeight="1"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6.5" customHeight="1"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6.5" customHeight="1"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6.5" customHeight="1"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6.5" customHeight="1"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6.5" customHeight="1"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6.5" customHeight="1"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6.5" customHeight="1"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6.5" customHeight="1"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6.5" customHeight="1"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6.5" customHeight="1"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6.5" customHeight="1"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6.5" customHeight="1"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6.5" customHeight="1"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6.5" customHeight="1"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6.5" customHeight="1"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6.5" customHeight="1"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6.5" customHeight="1"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6.5" customHeight="1"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6.5" customHeight="1"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6.5" customHeight="1"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6.5" customHeight="1"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6.5" customHeight="1"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6.5" customHeight="1"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6.5" customHeight="1"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6.5" customHeight="1"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6.5" customHeight="1"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6.5" customHeight="1"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6.5" customHeight="1"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6.5" customHeight="1"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6.5" customHeight="1"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6.5" customHeight="1"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6.5" customHeight="1"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6.5" customHeight="1"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6.5" customHeight="1"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6.5" customHeight="1"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6.5" customHeight="1"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6.5" customHeight="1"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6.5" customHeight="1"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6.5" customHeight="1"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6.5" customHeight="1"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6.5" customHeight="1"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6.5" customHeight="1"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6.5" customHeight="1"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6.5" customHeight="1"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6.5" customHeight="1"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6.5" customHeight="1"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6.5" customHeight="1"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6.5" customHeight="1"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6.5" customHeight="1"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6.5" customHeight="1"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6.5" customHeight="1"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6.5" customHeight="1"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6.5" customHeight="1"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6.5" customHeight="1"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6.5" customHeight="1"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6.5" customHeight="1"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6.5" customHeight="1"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6.5" customHeight="1"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6.5" customHeight="1"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6.5" customHeight="1"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6.5" customHeight="1"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6.5" customHeight="1"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6.5" customHeight="1"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6.5" customHeight="1"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6.5" customHeight="1"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6.5" customHeight="1"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6.5" customHeight="1"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6.5" customHeight="1"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6.5" customHeight="1"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6.5" customHeight="1"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6.5" customHeight="1"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6.5" customHeight="1"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6.5" customHeight="1"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6.5" customHeight="1"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6.5" customHeight="1"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6.5" customHeight="1"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6.5" customHeight="1"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6.5" customHeight="1"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6.5" customHeight="1"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6.5" customHeight="1"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6.5" customHeight="1"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6.5" customHeight="1"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6.5" customHeight="1"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6.5" customHeight="1"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6.5" customHeight="1"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6.5" customHeight="1"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6.5" customHeight="1"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6.5" customHeight="1"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6.5" customHeight="1"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6.5" customHeight="1"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6.5" customHeight="1"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6.5" customHeight="1"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6.5" customHeight="1"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6.5" customHeight="1"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6.5" customHeight="1"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6.5" customHeight="1"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6.5" customHeight="1"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6.5" customHeight="1"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6.5" customHeight="1"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6.5" customHeight="1"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6.5" customHeight="1"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6.5" customHeight="1"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6.5" customHeight="1"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6.5" customHeight="1"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6.5" customHeight="1"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6.5" customHeight="1"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6.5" customHeight="1"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6.5" customHeight="1"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6.5" customHeight="1"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6.5" customHeight="1"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6.5" customHeight="1"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6.5" customHeight="1"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6.5" customHeight="1"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6.5" customHeight="1"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6.5" customHeight="1"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6.5" customHeight="1"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6.5" customHeight="1"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6.5" customHeight="1"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6.5" customHeight="1"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6.5" customHeight="1"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6.5" customHeight="1"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6.5" customHeight="1"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6.5" customHeight="1"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6.5" customHeight="1"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6.5" customHeight="1"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6.5" customHeight="1"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6.5" customHeight="1"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6.5" customHeight="1"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6.5" customHeight="1"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6.5" customHeight="1"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6.5" customHeight="1"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6.5" customHeight="1"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6.5" customHeight="1"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6.5" customHeight="1"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6.5" customHeight="1"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6.5" customHeight="1"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6.5" customHeight="1"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6.5" customHeight="1"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6.5" customHeight="1"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6.5" customHeight="1"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6.5" customHeight="1"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6.5" customHeight="1"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6.5" customHeight="1"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6.5" customHeight="1"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6.5" customHeight="1"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6.5" customHeight="1"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6.5" customHeight="1"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6.5" customHeight="1"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6.5" customHeight="1"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6.5" customHeight="1"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6.5" customHeight="1"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6.5" customHeight="1"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6.5" customHeight="1"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6.5" customHeight="1"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6.5" customHeight="1"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6.5" customHeight="1"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6.5" customHeight="1"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6.5" customHeight="1"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6.5" customHeight="1"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6.5" customHeight="1"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6.5" customHeight="1"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6.5" customHeight="1"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6.5" customHeight="1"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6.5" customHeight="1"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6.5" customHeight="1"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6.5" customHeight="1"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6.5" customHeight="1"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6.5" customHeight="1"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6.5" customHeight="1"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6.5" customHeight="1"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6.5" customHeight="1"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6.5" customHeight="1"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6.5" customHeight="1"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6.5" customHeight="1"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6.5" customHeight="1"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6.5" customHeight="1"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6.5" customHeight="1"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6.5" customHeight="1"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6.5" customHeight="1"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6.5" customHeight="1"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6.5" customHeight="1"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6.5" customHeight="1"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6.5" customHeight="1"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6.5" customHeight="1"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6.5" customHeight="1"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6.5" customHeight="1"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6.5" customHeight="1"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6.5" customHeight="1"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6.5" customHeight="1"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6.5" customHeight="1"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6.5" customHeight="1"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6.5" customHeight="1"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6.5" customHeight="1"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6.5" customHeight="1"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6.5" customHeight="1"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6.5" customHeight="1"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6.5" customHeight="1"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6.5" customHeight="1"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6.5" customHeight="1"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6.5" customHeight="1"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6.5" customHeight="1"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6.5" customHeight="1"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6.5" customHeight="1"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6.5" customHeight="1"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6.5" customHeight="1"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6.5" customHeight="1"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6.5" customHeight="1"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6.5" customHeight="1"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6.5" customHeight="1"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6.5" customHeight="1"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6.5" customHeight="1"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6.5" customHeight="1"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6.5" customHeight="1"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6.5" customHeight="1"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6.5" customHeight="1"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6.5" customHeight="1"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6.5" customHeight="1"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6.5" customHeight="1"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6.5" customHeight="1"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6.5" customHeight="1"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6.5" customHeight="1"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6.5" customHeight="1"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6.5" customHeight="1"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6.5" customHeight="1"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6.5" customHeight="1"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6.5" customHeight="1"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6.5" customHeight="1"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6.5" customHeight="1"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6.5" customHeight="1"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6.5" customHeight="1"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6.5" customHeight="1"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6.5" customHeight="1"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6.5" customHeight="1"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6.5" customHeight="1"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6.5" customHeight="1"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6.5" customHeight="1"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6.5" customHeight="1"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6.5" customHeight="1"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6.5" customHeight="1"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6.5" customHeight="1"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6.5" customHeight="1"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6.5" customHeight="1"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6.5" customHeight="1"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6.5" customHeight="1"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6.5" customHeight="1"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6.5" customHeight="1"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6.5" customHeight="1"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6.5" customHeight="1"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6.5" customHeight="1"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6.5" customHeight="1"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6.5" customHeight="1"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6.5" customHeight="1"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6.5" customHeight="1"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6.5" customHeight="1"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6.5" customHeight="1"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6.5" customHeight="1"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6.5" customHeight="1"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6.5" customHeight="1"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6.5" customHeight="1"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6.5" customHeight="1"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6.5" customHeight="1"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6.5" customHeight="1"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6.5" customHeight="1"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6.5" customHeight="1"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6.5" customHeight="1"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6.5" customHeight="1"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6.5" customHeight="1"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6.5" customHeight="1"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6.5" customHeight="1"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6.5" customHeight="1"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6.5" customHeight="1"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6.5" customHeight="1"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6.5" customHeight="1"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6.5" customHeight="1"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6.5" customHeight="1"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6.5" customHeight="1"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6.5" customHeight="1"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6.5" customHeight="1"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6.5" customHeight="1"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6.5" customHeight="1"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6.5" customHeight="1"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6.5" customHeight="1"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6.5" customHeight="1"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6.5" customHeight="1"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6.5" customHeight="1"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6.5" customHeight="1"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6.5" customHeight="1"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6.5" customHeight="1"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6.5" customHeight="1"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6.5" customHeight="1"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6.5" customHeight="1"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6.5" customHeight="1"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6.5" customHeight="1"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6.5" customHeight="1"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6.5" customHeight="1"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6.5" customHeight="1"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6.5" customHeight="1"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6.5" customHeight="1"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6.5" customHeight="1"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6.5" customHeight="1"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6.5" customHeight="1"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6.5" customHeight="1"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6.5" customHeight="1"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6.5" customHeight="1"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6.5" customHeight="1"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6.5" customHeight="1"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6.5" customHeight="1"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6.5" customHeight="1"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6.5" customHeight="1"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6.5" customHeight="1"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6.5" customHeight="1"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6.5" customHeight="1"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6.5" customHeight="1"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6.5" customHeight="1"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6.5" customHeight="1"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6.5" customHeight="1"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6.5" customHeight="1"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6.5" customHeight="1"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6.5" customHeight="1"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6.5" customHeight="1"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6.5" customHeight="1"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6.5" customHeight="1"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6.5" customHeight="1"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6.5" customHeight="1"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6.5" customHeight="1"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6.5" customHeight="1"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6.5" customHeight="1"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6.5" customHeight="1"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6.5" customHeight="1"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6.5" customHeight="1"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6.5" customHeight="1"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6.5" customHeight="1"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6.5" customHeight="1"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6.5" customHeight="1"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6.5" customHeight="1"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6.5" customHeight="1"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6.5" customHeight="1"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6.5" customHeight="1"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6.5" customHeight="1"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6.5" customHeight="1"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6.5" customHeight="1"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6.5" customHeight="1"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6.5" customHeight="1"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6.5" customHeight="1"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6.5" customHeight="1"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6.5" customHeight="1"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6.5" customHeight="1"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6.5" customHeight="1"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6.5" customHeight="1"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6.5" customHeight="1"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6.5" customHeight="1"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6.5" customHeight="1"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6.5" customHeight="1"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6.5" customHeight="1"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6.5" customHeight="1"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6.5" customHeight="1"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6.5" customHeight="1"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6.5" customHeight="1"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6.5" customHeight="1"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6.5" customHeight="1"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6.5" customHeight="1"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6.5" customHeight="1"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6.5" customHeight="1"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6.5" customHeight="1"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6.5" customHeight="1"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6.5" customHeight="1"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6.5" customHeight="1"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6.5" customHeight="1"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6.5" customHeight="1"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6.5" customHeight="1"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6.5" customHeight="1"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6.5" customHeight="1"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6.5" customHeight="1"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6.5" customHeight="1"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6.5" customHeight="1"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6.5" customHeight="1"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6.5" customHeight="1"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6.5" customHeight="1"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6.5" customHeight="1"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6.5" customHeight="1"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6.5" customHeight="1"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6.5" customHeight="1"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6.5" customHeight="1"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6.5" customHeight="1"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6.5" customHeight="1"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6.5" customHeight="1"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6.5" customHeight="1"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6.5" customHeight="1"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6.5" customHeight="1"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6.5" customHeight="1"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6.5" customHeight="1"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6.5" customHeight="1"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7.0"/>
    <col customWidth="1" min="2" max="2" width="24.0"/>
    <col customWidth="1" min="3" max="3" width="40.0"/>
    <col customWidth="1" min="4" max="4" width="26.0"/>
    <col customWidth="1" min="5" max="5" width="7.0"/>
    <col customWidth="1" min="6" max="6" width="23.0"/>
    <col customWidth="1" min="7" max="7" width="7.0"/>
    <col customWidth="1" min="8" max="8" width="38.0"/>
    <col customWidth="1" min="9" max="10" width="11.57"/>
    <col customWidth="1" min="11" max="11" width="18.0"/>
    <col customWidth="1" min="12" max="12" width="48.0"/>
    <col customWidth="1" min="13" max="14" width="6.43"/>
    <col customWidth="1" min="15" max="15" width="11.0"/>
    <col customWidth="1" min="16" max="100" width="4.43"/>
    <col customWidth="1" min="101" max="702" width="9.0"/>
  </cols>
  <sheetData>
    <row r="1" ht="21.75" customHeight="1">
      <c r="A1" s="4" t="s">
        <v>5</v>
      </c>
      <c r="B1" s="4"/>
      <c r="C1" s="4"/>
      <c r="D1" s="2" t="s">
        <v>6</v>
      </c>
      <c r="E1" s="2"/>
      <c r="F1" s="2"/>
      <c r="G1" s="2"/>
      <c r="H1" s="2"/>
      <c r="I1" s="2"/>
      <c r="J1" s="2"/>
      <c r="K1" s="2"/>
      <c r="L1" s="2"/>
      <c r="M1" s="8"/>
      <c r="N1" s="8"/>
      <c r="O1" s="2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ht="21.0" customHeight="1">
      <c r="A2" s="9"/>
      <c r="B2" s="9"/>
      <c r="C2" s="9"/>
      <c r="D2" s="9"/>
      <c r="E2" s="62"/>
      <c r="F2" s="9"/>
      <c r="G2" s="9"/>
      <c r="H2" s="9"/>
      <c r="I2" s="9"/>
      <c r="J2" s="9"/>
      <c r="K2" s="9"/>
      <c r="L2" s="9"/>
      <c r="M2" s="64"/>
      <c r="N2" s="64"/>
      <c r="O2" s="9"/>
      <c r="P2" s="65" t="s">
        <v>38</v>
      </c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 t="s">
        <v>45</v>
      </c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 t="s">
        <v>49</v>
      </c>
      <c r="AS2" s="65"/>
      <c r="AT2" s="65"/>
      <c r="AU2" s="65"/>
      <c r="AV2" s="65"/>
      <c r="AW2" s="65" t="s">
        <v>129</v>
      </c>
      <c r="AX2" s="65"/>
      <c r="AY2" s="65"/>
      <c r="AZ2" s="65"/>
      <c r="BA2" s="65"/>
      <c r="BB2" s="65"/>
      <c r="BC2" s="65"/>
      <c r="BD2" s="65"/>
      <c r="BE2" s="65"/>
      <c r="BF2" s="65" t="s">
        <v>59</v>
      </c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 t="s">
        <v>63</v>
      </c>
      <c r="CH2" s="65" t="s">
        <v>67</v>
      </c>
      <c r="CV2" s="65" t="s">
        <v>71</v>
      </c>
      <c r="DJ2" s="65" t="s">
        <v>131</v>
      </c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ht="24.75" customHeight="1">
      <c r="A3" s="107" t="s">
        <v>73</v>
      </c>
      <c r="B3" s="107" t="s">
        <v>76</v>
      </c>
      <c r="C3" s="107" t="s">
        <v>77</v>
      </c>
      <c r="D3" s="108" t="s">
        <v>78</v>
      </c>
      <c r="E3" s="109" t="s">
        <v>80</v>
      </c>
      <c r="F3" s="109"/>
      <c r="G3" s="109"/>
      <c r="H3" s="110"/>
      <c r="I3" s="109" t="s">
        <v>81</v>
      </c>
      <c r="J3" s="109"/>
      <c r="K3" s="111" t="s">
        <v>136</v>
      </c>
      <c r="L3" s="109"/>
      <c r="M3" s="112" t="s">
        <v>85</v>
      </c>
      <c r="N3" s="114"/>
      <c r="O3" s="109" t="s">
        <v>87</v>
      </c>
      <c r="P3" s="115">
        <v>46209.0</v>
      </c>
      <c r="Q3" s="115">
        <v>46210.0</v>
      </c>
      <c r="R3" s="115">
        <v>46211.0</v>
      </c>
      <c r="S3" s="115">
        <v>46212.0</v>
      </c>
      <c r="T3" s="115">
        <v>46213.0</v>
      </c>
      <c r="U3" s="115">
        <v>46214.0</v>
      </c>
      <c r="V3" s="115">
        <v>46215.0</v>
      </c>
      <c r="W3" s="115">
        <v>46216.0</v>
      </c>
      <c r="X3" s="115">
        <v>46217.0</v>
      </c>
      <c r="Y3" s="115">
        <v>46218.0</v>
      </c>
      <c r="Z3" s="115">
        <v>46219.0</v>
      </c>
      <c r="AA3" s="115">
        <v>46220.0</v>
      </c>
      <c r="AB3" s="115">
        <v>46221.0</v>
      </c>
      <c r="AC3" s="115">
        <v>46222.0</v>
      </c>
      <c r="AD3" s="115">
        <v>46223.0</v>
      </c>
      <c r="AE3" s="115">
        <v>46224.0</v>
      </c>
      <c r="AF3" s="115">
        <v>46225.0</v>
      </c>
      <c r="AG3" s="115">
        <v>46226.0</v>
      </c>
      <c r="AH3" s="115">
        <v>46227.0</v>
      </c>
      <c r="AI3" s="115">
        <v>46228.0</v>
      </c>
      <c r="AJ3" s="115">
        <v>46229.0</v>
      </c>
      <c r="AK3" s="115">
        <v>46230.0</v>
      </c>
      <c r="AL3" s="115">
        <v>46231.0</v>
      </c>
      <c r="AM3" s="115">
        <v>46232.0</v>
      </c>
      <c r="AN3" s="115">
        <v>46233.0</v>
      </c>
      <c r="AO3" s="115">
        <v>46234.0</v>
      </c>
      <c r="AP3" s="115">
        <v>46235.0</v>
      </c>
      <c r="AQ3" s="115">
        <v>46236.0</v>
      </c>
      <c r="AR3" s="115">
        <v>46237.0</v>
      </c>
      <c r="AS3" s="115">
        <v>46238.0</v>
      </c>
      <c r="AT3" s="115">
        <v>46239.0</v>
      </c>
      <c r="AU3" s="115">
        <v>46240.0</v>
      </c>
      <c r="AV3" s="115">
        <v>46241.0</v>
      </c>
      <c r="AW3" s="115">
        <v>46242.0</v>
      </c>
      <c r="AX3" s="115">
        <v>46243.0</v>
      </c>
      <c r="AY3" s="115">
        <v>46244.0</v>
      </c>
      <c r="AZ3" s="115">
        <v>46245.0</v>
      </c>
      <c r="BA3" s="115">
        <v>46246.0</v>
      </c>
      <c r="BB3" s="115">
        <v>46247.0</v>
      </c>
      <c r="BC3" s="115">
        <v>46248.0</v>
      </c>
      <c r="BD3" s="115">
        <v>46249.0</v>
      </c>
      <c r="BE3" s="115">
        <v>46250.0</v>
      </c>
      <c r="BF3" s="115">
        <v>46251.0</v>
      </c>
      <c r="BG3" s="115">
        <v>46252.0</v>
      </c>
      <c r="BH3" s="115">
        <v>46253.0</v>
      </c>
      <c r="BI3" s="115">
        <v>46254.0</v>
      </c>
      <c r="BJ3" s="115">
        <v>46255.0</v>
      </c>
      <c r="BK3" s="115">
        <v>46256.0</v>
      </c>
      <c r="BL3" s="115">
        <v>46257.0</v>
      </c>
      <c r="BM3" s="115">
        <v>46258.0</v>
      </c>
      <c r="BN3" s="115">
        <v>46259.0</v>
      </c>
      <c r="BO3" s="115">
        <v>46260.0</v>
      </c>
      <c r="BP3" s="115">
        <v>46261.0</v>
      </c>
      <c r="BQ3" s="115">
        <v>46262.0</v>
      </c>
      <c r="BR3" s="115">
        <v>46263.0</v>
      </c>
      <c r="BS3" s="115">
        <v>46264.0</v>
      </c>
      <c r="BT3" s="115">
        <v>46265.0</v>
      </c>
      <c r="BU3" s="115">
        <v>46266.0</v>
      </c>
      <c r="BV3" s="115">
        <v>46267.0</v>
      </c>
      <c r="BW3" s="115">
        <v>46268.0</v>
      </c>
      <c r="BX3" s="115">
        <v>46269.0</v>
      </c>
      <c r="BY3" s="115">
        <v>46270.0</v>
      </c>
      <c r="BZ3" s="115">
        <v>46271.0</v>
      </c>
      <c r="CA3" s="115">
        <v>46272.0</v>
      </c>
      <c r="CB3" s="115">
        <v>46273.0</v>
      </c>
      <c r="CC3" s="115">
        <v>46274.0</v>
      </c>
      <c r="CD3" s="115">
        <v>46275.0</v>
      </c>
      <c r="CE3" s="115">
        <v>46276.0</v>
      </c>
      <c r="CF3" s="115">
        <v>46277.0</v>
      </c>
      <c r="CG3" s="115">
        <v>46278.0</v>
      </c>
      <c r="CH3" s="115">
        <v>46279.0</v>
      </c>
      <c r="CI3" s="115">
        <v>46280.0</v>
      </c>
      <c r="CJ3" s="115">
        <v>46281.0</v>
      </c>
      <c r="CK3" s="115">
        <v>46282.0</v>
      </c>
      <c r="CL3" s="115">
        <v>46283.0</v>
      </c>
      <c r="CM3" s="115">
        <v>46284.0</v>
      </c>
      <c r="CN3" s="115">
        <v>46285.0</v>
      </c>
      <c r="CO3" s="115">
        <v>46286.0</v>
      </c>
      <c r="CP3" s="115">
        <v>46287.0</v>
      </c>
      <c r="CQ3" s="115">
        <v>46288.0</v>
      </c>
      <c r="CR3" s="115">
        <v>46289.0</v>
      </c>
      <c r="CS3" s="115">
        <v>46290.0</v>
      </c>
      <c r="CT3" s="115">
        <v>46291.0</v>
      </c>
      <c r="CU3" s="115">
        <v>46292.0</v>
      </c>
      <c r="CV3" s="115">
        <v>46293.0</v>
      </c>
      <c r="CW3" s="115">
        <v>46294.0</v>
      </c>
      <c r="CX3" s="115">
        <v>46295.0</v>
      </c>
      <c r="CY3" s="115">
        <v>46296.0</v>
      </c>
      <c r="CZ3" s="115">
        <v>46297.0</v>
      </c>
      <c r="DA3" s="115">
        <v>46298.0</v>
      </c>
      <c r="DB3" s="115">
        <v>46299.0</v>
      </c>
      <c r="DC3" s="115">
        <v>46300.0</v>
      </c>
      <c r="DD3" s="115">
        <v>46301.0</v>
      </c>
      <c r="DE3" s="115">
        <v>46302.0</v>
      </c>
      <c r="DF3" s="115">
        <v>46303.0</v>
      </c>
      <c r="DG3" s="115">
        <v>46304.0</v>
      </c>
      <c r="DH3" s="115">
        <v>46305.0</v>
      </c>
      <c r="DI3" s="115">
        <v>46306.0</v>
      </c>
      <c r="DJ3" s="115">
        <v>46307.0</v>
      </c>
      <c r="DK3" s="115">
        <v>46308.0</v>
      </c>
      <c r="DL3" s="115">
        <v>46309.0</v>
      </c>
      <c r="DM3" s="115">
        <v>46310.0</v>
      </c>
      <c r="DN3" s="115">
        <v>46311.0</v>
      </c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ht="27.0" customHeight="1">
      <c r="A4" s="149"/>
      <c r="B4" s="149" t="s">
        <v>102</v>
      </c>
      <c r="C4" s="149" t="s">
        <v>102</v>
      </c>
      <c r="D4" s="150" t="s">
        <v>73</v>
      </c>
      <c r="E4" s="151" t="s">
        <v>143</v>
      </c>
      <c r="F4" s="151" t="s">
        <v>76</v>
      </c>
      <c r="G4" s="152" t="s">
        <v>144</v>
      </c>
      <c r="H4" s="153" t="s">
        <v>77</v>
      </c>
      <c r="I4" s="151" t="s">
        <v>105</v>
      </c>
      <c r="J4" s="154" t="s">
        <v>106</v>
      </c>
      <c r="K4" s="155" t="s">
        <v>145</v>
      </c>
      <c r="L4" s="154" t="s">
        <v>146</v>
      </c>
      <c r="M4" s="156" t="s">
        <v>108</v>
      </c>
      <c r="N4" s="157" t="s">
        <v>109</v>
      </c>
      <c r="O4" s="152" t="s">
        <v>107</v>
      </c>
      <c r="P4" s="158" t="str">
        <f t="shared" ref="P4:ZZ4" si="1">IF(P3="","",TEXT(P3,"aaa"))</f>
        <v>aaa</v>
      </c>
      <c r="Q4" s="158" t="str">
        <f t="shared" si="1"/>
        <v>aaa</v>
      </c>
      <c r="R4" s="158" t="str">
        <f t="shared" si="1"/>
        <v>aaa</v>
      </c>
      <c r="S4" s="158" t="str">
        <f t="shared" si="1"/>
        <v>aaa</v>
      </c>
      <c r="T4" s="158" t="str">
        <f t="shared" si="1"/>
        <v>aaa</v>
      </c>
      <c r="U4" s="158" t="str">
        <f t="shared" si="1"/>
        <v>aaa</v>
      </c>
      <c r="V4" s="158" t="str">
        <f t="shared" si="1"/>
        <v>aaa</v>
      </c>
      <c r="W4" s="158" t="str">
        <f t="shared" si="1"/>
        <v>aaa</v>
      </c>
      <c r="X4" s="158" t="str">
        <f t="shared" si="1"/>
        <v>aaa</v>
      </c>
      <c r="Y4" s="158" t="str">
        <f t="shared" si="1"/>
        <v>aaa</v>
      </c>
      <c r="Z4" s="158" t="str">
        <f t="shared" si="1"/>
        <v>aaa</v>
      </c>
      <c r="AA4" s="158" t="str">
        <f t="shared" si="1"/>
        <v>aaa</v>
      </c>
      <c r="AB4" s="158" t="str">
        <f t="shared" si="1"/>
        <v>aaa</v>
      </c>
      <c r="AC4" s="158" t="str">
        <f t="shared" si="1"/>
        <v>aaa</v>
      </c>
      <c r="AD4" s="158" t="str">
        <f t="shared" si="1"/>
        <v>aaa</v>
      </c>
      <c r="AE4" s="158" t="str">
        <f t="shared" si="1"/>
        <v>aaa</v>
      </c>
      <c r="AF4" s="158" t="str">
        <f t="shared" si="1"/>
        <v>aaa</v>
      </c>
      <c r="AG4" s="158" t="str">
        <f t="shared" si="1"/>
        <v>aaa</v>
      </c>
      <c r="AH4" s="158" t="str">
        <f t="shared" si="1"/>
        <v>aaa</v>
      </c>
      <c r="AI4" s="158" t="str">
        <f t="shared" si="1"/>
        <v>aaa</v>
      </c>
      <c r="AJ4" s="158" t="str">
        <f t="shared" si="1"/>
        <v>aaa</v>
      </c>
      <c r="AK4" s="158" t="str">
        <f t="shared" si="1"/>
        <v>aaa</v>
      </c>
      <c r="AL4" s="158" t="str">
        <f t="shared" si="1"/>
        <v>aaa</v>
      </c>
      <c r="AM4" s="158" t="str">
        <f t="shared" si="1"/>
        <v>aaa</v>
      </c>
      <c r="AN4" s="158" t="str">
        <f t="shared" si="1"/>
        <v>aaa</v>
      </c>
      <c r="AO4" s="158" t="str">
        <f t="shared" si="1"/>
        <v>aaa</v>
      </c>
      <c r="AP4" s="158" t="str">
        <f t="shared" si="1"/>
        <v>aaa</v>
      </c>
      <c r="AQ4" s="158" t="str">
        <f t="shared" si="1"/>
        <v>aaa</v>
      </c>
      <c r="AR4" s="158" t="str">
        <f t="shared" si="1"/>
        <v>aaa</v>
      </c>
      <c r="AS4" s="158" t="str">
        <f t="shared" si="1"/>
        <v>aaa</v>
      </c>
      <c r="AT4" s="158" t="str">
        <f t="shared" si="1"/>
        <v>aaa</v>
      </c>
      <c r="AU4" s="158" t="str">
        <f t="shared" si="1"/>
        <v>aaa</v>
      </c>
      <c r="AV4" s="158" t="str">
        <f t="shared" si="1"/>
        <v>aaa</v>
      </c>
      <c r="AW4" s="158" t="str">
        <f t="shared" si="1"/>
        <v>aaa</v>
      </c>
      <c r="AX4" s="158" t="str">
        <f t="shared" si="1"/>
        <v>aaa</v>
      </c>
      <c r="AY4" s="158" t="str">
        <f t="shared" si="1"/>
        <v>aaa</v>
      </c>
      <c r="AZ4" s="158" t="str">
        <f t="shared" si="1"/>
        <v>aaa</v>
      </c>
      <c r="BA4" s="158" t="str">
        <f t="shared" si="1"/>
        <v>aaa</v>
      </c>
      <c r="BB4" s="158" t="str">
        <f t="shared" si="1"/>
        <v>aaa</v>
      </c>
      <c r="BC4" s="158" t="str">
        <f t="shared" si="1"/>
        <v>aaa</v>
      </c>
      <c r="BD4" s="158" t="str">
        <f t="shared" si="1"/>
        <v>aaa</v>
      </c>
      <c r="BE4" s="158" t="str">
        <f t="shared" si="1"/>
        <v>aaa</v>
      </c>
      <c r="BF4" s="158" t="str">
        <f t="shared" si="1"/>
        <v>aaa</v>
      </c>
      <c r="BG4" s="158" t="str">
        <f t="shared" si="1"/>
        <v>aaa</v>
      </c>
      <c r="BH4" s="158" t="str">
        <f t="shared" si="1"/>
        <v>aaa</v>
      </c>
      <c r="BI4" s="158" t="str">
        <f t="shared" si="1"/>
        <v>aaa</v>
      </c>
      <c r="BJ4" s="158" t="str">
        <f t="shared" si="1"/>
        <v>aaa</v>
      </c>
      <c r="BK4" s="158" t="str">
        <f t="shared" si="1"/>
        <v>aaa</v>
      </c>
      <c r="BL4" s="158" t="str">
        <f t="shared" si="1"/>
        <v>aaa</v>
      </c>
      <c r="BM4" s="158" t="str">
        <f t="shared" si="1"/>
        <v>aaa</v>
      </c>
      <c r="BN4" s="158" t="str">
        <f t="shared" si="1"/>
        <v>aaa</v>
      </c>
      <c r="BO4" s="158" t="str">
        <f t="shared" si="1"/>
        <v>aaa</v>
      </c>
      <c r="BP4" s="158" t="str">
        <f t="shared" si="1"/>
        <v>aaa</v>
      </c>
      <c r="BQ4" s="158" t="str">
        <f t="shared" si="1"/>
        <v>aaa</v>
      </c>
      <c r="BR4" s="158" t="str">
        <f t="shared" si="1"/>
        <v>aaa</v>
      </c>
      <c r="BS4" s="158" t="str">
        <f t="shared" si="1"/>
        <v>aaa</v>
      </c>
      <c r="BT4" s="158" t="str">
        <f t="shared" si="1"/>
        <v>aaa</v>
      </c>
      <c r="BU4" s="158" t="str">
        <f t="shared" si="1"/>
        <v>aaa</v>
      </c>
      <c r="BV4" s="158" t="str">
        <f t="shared" si="1"/>
        <v>aaa</v>
      </c>
      <c r="BW4" s="158" t="str">
        <f t="shared" si="1"/>
        <v>aaa</v>
      </c>
      <c r="BX4" s="158" t="str">
        <f t="shared" si="1"/>
        <v>aaa</v>
      </c>
      <c r="BY4" s="158" t="str">
        <f t="shared" si="1"/>
        <v>aaa</v>
      </c>
      <c r="BZ4" s="158" t="str">
        <f t="shared" si="1"/>
        <v>aaa</v>
      </c>
      <c r="CA4" s="158" t="str">
        <f t="shared" si="1"/>
        <v>aaa</v>
      </c>
      <c r="CB4" s="158" t="str">
        <f t="shared" si="1"/>
        <v>aaa</v>
      </c>
      <c r="CC4" s="158" t="str">
        <f t="shared" si="1"/>
        <v>aaa</v>
      </c>
      <c r="CD4" s="158" t="str">
        <f t="shared" si="1"/>
        <v>aaa</v>
      </c>
      <c r="CE4" s="158" t="str">
        <f t="shared" si="1"/>
        <v>aaa</v>
      </c>
      <c r="CF4" s="158" t="str">
        <f t="shared" si="1"/>
        <v>aaa</v>
      </c>
      <c r="CG4" s="158" t="str">
        <f t="shared" si="1"/>
        <v>aaa</v>
      </c>
      <c r="CH4" s="158" t="str">
        <f t="shared" si="1"/>
        <v>aaa</v>
      </c>
      <c r="CI4" s="158" t="str">
        <f t="shared" si="1"/>
        <v>aaa</v>
      </c>
      <c r="CJ4" s="158" t="str">
        <f t="shared" si="1"/>
        <v>aaa</v>
      </c>
      <c r="CK4" s="158" t="str">
        <f t="shared" si="1"/>
        <v>aaa</v>
      </c>
      <c r="CL4" s="158" t="str">
        <f t="shared" si="1"/>
        <v>aaa</v>
      </c>
      <c r="CM4" s="158" t="str">
        <f t="shared" si="1"/>
        <v>aaa</v>
      </c>
      <c r="CN4" s="158" t="str">
        <f t="shared" si="1"/>
        <v>aaa</v>
      </c>
      <c r="CO4" s="158" t="str">
        <f t="shared" si="1"/>
        <v>aaa</v>
      </c>
      <c r="CP4" s="158" t="str">
        <f t="shared" si="1"/>
        <v>aaa</v>
      </c>
      <c r="CQ4" s="158" t="str">
        <f t="shared" si="1"/>
        <v>aaa</v>
      </c>
      <c r="CR4" s="158" t="str">
        <f t="shared" si="1"/>
        <v>aaa</v>
      </c>
      <c r="CS4" s="158" t="str">
        <f t="shared" si="1"/>
        <v>aaa</v>
      </c>
      <c r="CT4" s="158" t="str">
        <f t="shared" si="1"/>
        <v>aaa</v>
      </c>
      <c r="CU4" s="158" t="str">
        <f t="shared" si="1"/>
        <v>aaa</v>
      </c>
      <c r="CV4" s="158" t="str">
        <f t="shared" si="1"/>
        <v>aaa</v>
      </c>
      <c r="CW4" s="158" t="str">
        <f t="shared" si="1"/>
        <v>aaa</v>
      </c>
      <c r="CX4" s="158" t="str">
        <f t="shared" si="1"/>
        <v>aaa</v>
      </c>
      <c r="CY4" s="158" t="str">
        <f t="shared" si="1"/>
        <v>aaa</v>
      </c>
      <c r="CZ4" s="158" t="str">
        <f t="shared" si="1"/>
        <v>aaa</v>
      </c>
      <c r="DA4" s="158" t="str">
        <f t="shared" si="1"/>
        <v>aaa</v>
      </c>
      <c r="DB4" s="158" t="str">
        <f t="shared" si="1"/>
        <v>aaa</v>
      </c>
      <c r="DC4" s="158" t="str">
        <f t="shared" si="1"/>
        <v>aaa</v>
      </c>
      <c r="DD4" s="158" t="str">
        <f t="shared" si="1"/>
        <v>aaa</v>
      </c>
      <c r="DE4" s="158" t="str">
        <f t="shared" si="1"/>
        <v>aaa</v>
      </c>
      <c r="DF4" s="158" t="str">
        <f t="shared" si="1"/>
        <v>aaa</v>
      </c>
      <c r="DG4" s="158" t="str">
        <f t="shared" si="1"/>
        <v>aaa</v>
      </c>
      <c r="DH4" s="158" t="str">
        <f t="shared" si="1"/>
        <v>aaa</v>
      </c>
      <c r="DI4" s="158" t="str">
        <f t="shared" si="1"/>
        <v>aaa</v>
      </c>
      <c r="DJ4" s="158" t="str">
        <f t="shared" si="1"/>
        <v>aaa</v>
      </c>
      <c r="DK4" s="158" t="str">
        <f t="shared" si="1"/>
        <v>aaa</v>
      </c>
      <c r="DL4" s="158" t="str">
        <f t="shared" si="1"/>
        <v>aaa</v>
      </c>
      <c r="DM4" s="158" t="str">
        <f t="shared" si="1"/>
        <v>aaa</v>
      </c>
      <c r="DN4" s="158" t="str">
        <f t="shared" si="1"/>
        <v>aaa</v>
      </c>
      <c r="DO4" s="159" t="str">
        <f t="shared" si="1"/>
        <v/>
      </c>
      <c r="DP4" s="159" t="str">
        <f t="shared" si="1"/>
        <v/>
      </c>
      <c r="DQ4" s="159" t="str">
        <f t="shared" si="1"/>
        <v/>
      </c>
      <c r="DR4" s="159" t="str">
        <f t="shared" si="1"/>
        <v/>
      </c>
      <c r="DS4" s="159" t="str">
        <f t="shared" si="1"/>
        <v/>
      </c>
      <c r="DT4" s="159" t="str">
        <f t="shared" si="1"/>
        <v/>
      </c>
      <c r="DU4" s="159" t="str">
        <f t="shared" si="1"/>
        <v/>
      </c>
      <c r="DV4" s="159" t="str">
        <f t="shared" si="1"/>
        <v/>
      </c>
      <c r="DW4" s="159" t="str">
        <f t="shared" si="1"/>
        <v/>
      </c>
      <c r="DX4" s="159" t="str">
        <f t="shared" si="1"/>
        <v/>
      </c>
      <c r="DY4" s="159" t="str">
        <f t="shared" si="1"/>
        <v/>
      </c>
      <c r="DZ4" s="159" t="str">
        <f t="shared" si="1"/>
        <v/>
      </c>
      <c r="EA4" s="159" t="str">
        <f t="shared" si="1"/>
        <v/>
      </c>
      <c r="EB4" s="159" t="str">
        <f t="shared" si="1"/>
        <v/>
      </c>
      <c r="EC4" s="159" t="str">
        <f t="shared" si="1"/>
        <v/>
      </c>
      <c r="ED4" s="159" t="str">
        <f t="shared" si="1"/>
        <v/>
      </c>
      <c r="EE4" s="159" t="str">
        <f t="shared" si="1"/>
        <v/>
      </c>
      <c r="EF4" s="159" t="str">
        <f t="shared" si="1"/>
        <v/>
      </c>
      <c r="EG4" s="159" t="str">
        <f t="shared" si="1"/>
        <v/>
      </c>
      <c r="EH4" s="159" t="str">
        <f t="shared" si="1"/>
        <v/>
      </c>
      <c r="EI4" s="159" t="str">
        <f t="shared" si="1"/>
        <v/>
      </c>
      <c r="EJ4" s="159" t="str">
        <f t="shared" si="1"/>
        <v/>
      </c>
      <c r="EK4" s="159" t="str">
        <f t="shared" si="1"/>
        <v/>
      </c>
      <c r="EL4" s="159" t="str">
        <f t="shared" si="1"/>
        <v/>
      </c>
      <c r="EM4" s="159" t="str">
        <f t="shared" si="1"/>
        <v/>
      </c>
      <c r="EN4" s="159" t="str">
        <f t="shared" si="1"/>
        <v/>
      </c>
      <c r="EO4" s="159" t="str">
        <f t="shared" si="1"/>
        <v/>
      </c>
      <c r="EP4" s="159" t="str">
        <f t="shared" si="1"/>
        <v/>
      </c>
      <c r="EQ4" s="159" t="str">
        <f t="shared" si="1"/>
        <v/>
      </c>
      <c r="ER4" s="159" t="str">
        <f t="shared" si="1"/>
        <v/>
      </c>
      <c r="ES4" s="159" t="str">
        <f t="shared" si="1"/>
        <v/>
      </c>
      <c r="ET4" s="159" t="str">
        <f t="shared" si="1"/>
        <v/>
      </c>
      <c r="EU4" s="159" t="str">
        <f t="shared" si="1"/>
        <v/>
      </c>
      <c r="EV4" s="159" t="str">
        <f t="shared" si="1"/>
        <v/>
      </c>
      <c r="EW4" s="159" t="str">
        <f t="shared" si="1"/>
        <v/>
      </c>
      <c r="EX4" s="159" t="str">
        <f t="shared" si="1"/>
        <v/>
      </c>
      <c r="EY4" s="159" t="str">
        <f t="shared" si="1"/>
        <v/>
      </c>
      <c r="EZ4" s="159" t="str">
        <f t="shared" si="1"/>
        <v/>
      </c>
      <c r="FA4" s="159" t="str">
        <f t="shared" si="1"/>
        <v/>
      </c>
      <c r="FB4" s="159" t="str">
        <f t="shared" si="1"/>
        <v/>
      </c>
      <c r="FC4" s="159" t="str">
        <f t="shared" si="1"/>
        <v/>
      </c>
      <c r="FD4" s="159" t="str">
        <f t="shared" si="1"/>
        <v/>
      </c>
      <c r="FE4" s="159" t="str">
        <f t="shared" si="1"/>
        <v/>
      </c>
      <c r="FF4" s="159" t="str">
        <f t="shared" si="1"/>
        <v/>
      </c>
      <c r="FG4" s="159" t="str">
        <f t="shared" si="1"/>
        <v/>
      </c>
      <c r="FH4" s="159" t="str">
        <f t="shared" si="1"/>
        <v/>
      </c>
      <c r="FI4" s="159" t="str">
        <f t="shared" si="1"/>
        <v/>
      </c>
      <c r="FJ4" s="159" t="str">
        <f t="shared" si="1"/>
        <v/>
      </c>
      <c r="FK4" s="159" t="str">
        <f t="shared" si="1"/>
        <v/>
      </c>
      <c r="FL4" s="159" t="str">
        <f t="shared" si="1"/>
        <v/>
      </c>
      <c r="FM4" s="159" t="str">
        <f t="shared" si="1"/>
        <v/>
      </c>
      <c r="FN4" s="159" t="str">
        <f t="shared" si="1"/>
        <v/>
      </c>
      <c r="FO4" s="159" t="str">
        <f t="shared" si="1"/>
        <v/>
      </c>
      <c r="FP4" s="159" t="str">
        <f t="shared" si="1"/>
        <v/>
      </c>
      <c r="FQ4" s="159" t="str">
        <f t="shared" si="1"/>
        <v/>
      </c>
      <c r="FR4" s="159" t="str">
        <f t="shared" si="1"/>
        <v/>
      </c>
      <c r="FS4" s="159" t="str">
        <f t="shared" si="1"/>
        <v/>
      </c>
      <c r="FT4" s="159" t="str">
        <f t="shared" si="1"/>
        <v/>
      </c>
      <c r="FU4" s="159" t="str">
        <f t="shared" si="1"/>
        <v/>
      </c>
      <c r="FV4" s="159" t="str">
        <f t="shared" si="1"/>
        <v/>
      </c>
      <c r="FW4" s="159" t="str">
        <f t="shared" si="1"/>
        <v/>
      </c>
      <c r="FX4" s="159" t="str">
        <f t="shared" si="1"/>
        <v/>
      </c>
      <c r="FY4" s="159" t="str">
        <f t="shared" si="1"/>
        <v/>
      </c>
      <c r="FZ4" s="159" t="str">
        <f t="shared" si="1"/>
        <v/>
      </c>
      <c r="GA4" s="159" t="str">
        <f t="shared" si="1"/>
        <v/>
      </c>
      <c r="GB4" s="159" t="str">
        <f t="shared" si="1"/>
        <v/>
      </c>
      <c r="GC4" s="159" t="str">
        <f t="shared" si="1"/>
        <v/>
      </c>
      <c r="GD4" s="159" t="str">
        <f t="shared" si="1"/>
        <v/>
      </c>
      <c r="GE4" s="159" t="str">
        <f t="shared" si="1"/>
        <v/>
      </c>
      <c r="GF4" s="159" t="str">
        <f t="shared" si="1"/>
        <v/>
      </c>
      <c r="GG4" s="159" t="str">
        <f t="shared" si="1"/>
        <v/>
      </c>
      <c r="GH4" s="159" t="str">
        <f t="shared" si="1"/>
        <v/>
      </c>
      <c r="GI4" s="159" t="str">
        <f t="shared" si="1"/>
        <v/>
      </c>
      <c r="GJ4" s="159" t="str">
        <f t="shared" si="1"/>
        <v/>
      </c>
      <c r="GK4" s="159" t="str">
        <f t="shared" si="1"/>
        <v/>
      </c>
      <c r="GL4" s="159" t="str">
        <f t="shared" si="1"/>
        <v/>
      </c>
      <c r="GM4" s="159" t="str">
        <f t="shared" si="1"/>
        <v/>
      </c>
      <c r="GN4" s="159" t="str">
        <f t="shared" si="1"/>
        <v/>
      </c>
      <c r="GO4" s="159" t="str">
        <f t="shared" si="1"/>
        <v/>
      </c>
      <c r="GP4" s="159" t="str">
        <f t="shared" si="1"/>
        <v/>
      </c>
      <c r="GQ4" s="159" t="str">
        <f t="shared" si="1"/>
        <v/>
      </c>
      <c r="GR4" s="159" t="str">
        <f t="shared" si="1"/>
        <v/>
      </c>
      <c r="GS4" s="159" t="str">
        <f t="shared" si="1"/>
        <v/>
      </c>
      <c r="GT4" s="159" t="str">
        <f t="shared" si="1"/>
        <v/>
      </c>
      <c r="GU4" s="159" t="str">
        <f t="shared" si="1"/>
        <v/>
      </c>
      <c r="GV4" s="159" t="str">
        <f t="shared" si="1"/>
        <v/>
      </c>
      <c r="GW4" s="159" t="str">
        <f t="shared" si="1"/>
        <v/>
      </c>
      <c r="GX4" s="159" t="str">
        <f t="shared" si="1"/>
        <v/>
      </c>
      <c r="GY4" s="159" t="str">
        <f t="shared" si="1"/>
        <v/>
      </c>
      <c r="GZ4" s="159" t="str">
        <f t="shared" si="1"/>
        <v/>
      </c>
      <c r="HA4" s="159" t="str">
        <f t="shared" si="1"/>
        <v/>
      </c>
      <c r="HB4" s="159" t="str">
        <f t="shared" si="1"/>
        <v/>
      </c>
      <c r="HC4" s="159" t="str">
        <f t="shared" si="1"/>
        <v/>
      </c>
      <c r="HD4" s="159" t="str">
        <f t="shared" si="1"/>
        <v/>
      </c>
      <c r="HE4" s="159" t="str">
        <f t="shared" si="1"/>
        <v/>
      </c>
      <c r="HF4" s="159" t="str">
        <f t="shared" si="1"/>
        <v/>
      </c>
      <c r="HG4" s="159" t="str">
        <f t="shared" si="1"/>
        <v/>
      </c>
      <c r="HH4" s="159" t="str">
        <f t="shared" si="1"/>
        <v/>
      </c>
      <c r="HI4" s="159" t="str">
        <f t="shared" si="1"/>
        <v/>
      </c>
      <c r="HJ4" s="159" t="str">
        <f t="shared" si="1"/>
        <v/>
      </c>
      <c r="HK4" s="159" t="str">
        <f t="shared" si="1"/>
        <v/>
      </c>
      <c r="HL4" s="159" t="str">
        <f t="shared" si="1"/>
        <v/>
      </c>
      <c r="HM4" s="159" t="str">
        <f t="shared" si="1"/>
        <v/>
      </c>
      <c r="HN4" s="159" t="str">
        <f t="shared" si="1"/>
        <v/>
      </c>
      <c r="HO4" s="159" t="str">
        <f t="shared" si="1"/>
        <v/>
      </c>
      <c r="HP4" s="159" t="str">
        <f t="shared" si="1"/>
        <v/>
      </c>
      <c r="HQ4" s="159" t="str">
        <f t="shared" si="1"/>
        <v/>
      </c>
      <c r="HR4" s="159" t="str">
        <f t="shared" si="1"/>
        <v/>
      </c>
      <c r="HS4" s="159" t="str">
        <f t="shared" si="1"/>
        <v/>
      </c>
      <c r="HT4" s="159" t="str">
        <f t="shared" si="1"/>
        <v/>
      </c>
      <c r="HU4" s="159" t="str">
        <f t="shared" si="1"/>
        <v/>
      </c>
      <c r="HV4" s="159" t="str">
        <f t="shared" si="1"/>
        <v/>
      </c>
      <c r="HW4" s="159" t="str">
        <f t="shared" si="1"/>
        <v/>
      </c>
      <c r="HX4" s="159" t="str">
        <f t="shared" si="1"/>
        <v/>
      </c>
      <c r="HY4" s="159" t="str">
        <f t="shared" si="1"/>
        <v/>
      </c>
      <c r="HZ4" s="159" t="str">
        <f t="shared" si="1"/>
        <v/>
      </c>
      <c r="IA4" s="159" t="str">
        <f t="shared" si="1"/>
        <v/>
      </c>
      <c r="IB4" s="159" t="str">
        <f t="shared" si="1"/>
        <v/>
      </c>
      <c r="IC4" s="159" t="str">
        <f t="shared" si="1"/>
        <v/>
      </c>
      <c r="ID4" s="159" t="str">
        <f t="shared" si="1"/>
        <v/>
      </c>
      <c r="IE4" s="159" t="str">
        <f t="shared" si="1"/>
        <v/>
      </c>
      <c r="IF4" s="159" t="str">
        <f t="shared" si="1"/>
        <v/>
      </c>
      <c r="IG4" s="159" t="str">
        <f t="shared" si="1"/>
        <v/>
      </c>
      <c r="IH4" s="159" t="str">
        <f t="shared" si="1"/>
        <v/>
      </c>
      <c r="II4" s="159" t="str">
        <f t="shared" si="1"/>
        <v/>
      </c>
      <c r="IJ4" s="159" t="str">
        <f t="shared" si="1"/>
        <v/>
      </c>
      <c r="IK4" s="159" t="str">
        <f t="shared" si="1"/>
        <v/>
      </c>
      <c r="IL4" s="159" t="str">
        <f t="shared" si="1"/>
        <v/>
      </c>
      <c r="IM4" s="159" t="str">
        <f t="shared" si="1"/>
        <v/>
      </c>
      <c r="IN4" s="159" t="str">
        <f t="shared" si="1"/>
        <v/>
      </c>
      <c r="IO4" s="159" t="str">
        <f t="shared" si="1"/>
        <v/>
      </c>
      <c r="IP4" s="159" t="str">
        <f t="shared" si="1"/>
        <v/>
      </c>
      <c r="IQ4" s="159" t="str">
        <f t="shared" si="1"/>
        <v/>
      </c>
      <c r="IR4" s="159" t="str">
        <f t="shared" si="1"/>
        <v/>
      </c>
      <c r="IS4" s="159" t="str">
        <f t="shared" si="1"/>
        <v/>
      </c>
      <c r="IT4" s="159" t="str">
        <f t="shared" si="1"/>
        <v/>
      </c>
      <c r="IU4" s="159" t="str">
        <f t="shared" si="1"/>
        <v/>
      </c>
      <c r="IV4" s="159" t="str">
        <f t="shared" si="1"/>
        <v/>
      </c>
      <c r="IW4" s="159" t="str">
        <f t="shared" si="1"/>
        <v/>
      </c>
      <c r="IX4" s="159" t="str">
        <f t="shared" si="1"/>
        <v/>
      </c>
      <c r="IY4" s="159" t="str">
        <f t="shared" si="1"/>
        <v/>
      </c>
      <c r="IZ4" s="159" t="str">
        <f t="shared" si="1"/>
        <v/>
      </c>
      <c r="JA4" s="159" t="str">
        <f t="shared" si="1"/>
        <v/>
      </c>
      <c r="JB4" s="159" t="str">
        <f t="shared" si="1"/>
        <v/>
      </c>
      <c r="JC4" s="159" t="str">
        <f t="shared" si="1"/>
        <v/>
      </c>
      <c r="JD4" s="159" t="str">
        <f t="shared" si="1"/>
        <v/>
      </c>
      <c r="JE4" s="159" t="str">
        <f t="shared" si="1"/>
        <v/>
      </c>
      <c r="JF4" s="159" t="str">
        <f t="shared" si="1"/>
        <v/>
      </c>
      <c r="JG4" s="159" t="str">
        <f t="shared" si="1"/>
        <v/>
      </c>
      <c r="JH4" s="159" t="str">
        <f t="shared" si="1"/>
        <v/>
      </c>
      <c r="JI4" s="159" t="str">
        <f t="shared" si="1"/>
        <v/>
      </c>
      <c r="JJ4" s="159" t="str">
        <f t="shared" si="1"/>
        <v/>
      </c>
      <c r="JK4" s="159" t="str">
        <f t="shared" si="1"/>
        <v/>
      </c>
      <c r="JL4" s="159" t="str">
        <f t="shared" si="1"/>
        <v/>
      </c>
      <c r="JM4" s="159" t="str">
        <f t="shared" si="1"/>
        <v/>
      </c>
      <c r="JN4" s="159" t="str">
        <f t="shared" si="1"/>
        <v/>
      </c>
      <c r="JO4" s="159" t="str">
        <f t="shared" si="1"/>
        <v/>
      </c>
      <c r="JP4" s="159" t="str">
        <f t="shared" si="1"/>
        <v/>
      </c>
      <c r="JQ4" s="159" t="str">
        <f t="shared" si="1"/>
        <v/>
      </c>
      <c r="JR4" s="159" t="str">
        <f t="shared" si="1"/>
        <v/>
      </c>
      <c r="JS4" s="159" t="str">
        <f t="shared" si="1"/>
        <v/>
      </c>
      <c r="JT4" s="159" t="str">
        <f t="shared" si="1"/>
        <v/>
      </c>
      <c r="JU4" s="159" t="str">
        <f t="shared" si="1"/>
        <v/>
      </c>
      <c r="JV4" s="159" t="str">
        <f t="shared" si="1"/>
        <v/>
      </c>
      <c r="JW4" s="159" t="str">
        <f t="shared" si="1"/>
        <v/>
      </c>
      <c r="JX4" s="159" t="str">
        <f t="shared" si="1"/>
        <v/>
      </c>
      <c r="JY4" s="159" t="str">
        <f t="shared" si="1"/>
        <v/>
      </c>
      <c r="JZ4" s="159" t="str">
        <f t="shared" si="1"/>
        <v/>
      </c>
      <c r="KA4" s="159" t="str">
        <f t="shared" si="1"/>
        <v/>
      </c>
      <c r="KB4" s="159" t="str">
        <f t="shared" si="1"/>
        <v/>
      </c>
      <c r="KC4" s="159" t="str">
        <f t="shared" si="1"/>
        <v/>
      </c>
      <c r="KD4" s="159" t="str">
        <f t="shared" si="1"/>
        <v/>
      </c>
      <c r="KE4" s="159" t="str">
        <f t="shared" si="1"/>
        <v/>
      </c>
      <c r="KF4" s="159" t="str">
        <f t="shared" si="1"/>
        <v/>
      </c>
      <c r="KG4" s="159" t="str">
        <f t="shared" si="1"/>
        <v/>
      </c>
      <c r="KH4" s="159" t="str">
        <f t="shared" si="1"/>
        <v/>
      </c>
      <c r="KI4" s="159" t="str">
        <f t="shared" si="1"/>
        <v/>
      </c>
      <c r="KJ4" s="159" t="str">
        <f t="shared" si="1"/>
        <v/>
      </c>
      <c r="KK4" s="159" t="str">
        <f t="shared" si="1"/>
        <v/>
      </c>
      <c r="KL4" s="159" t="str">
        <f t="shared" si="1"/>
        <v/>
      </c>
      <c r="KM4" s="159" t="str">
        <f t="shared" si="1"/>
        <v/>
      </c>
      <c r="KN4" s="159" t="str">
        <f t="shared" si="1"/>
        <v/>
      </c>
      <c r="KO4" s="159" t="str">
        <f t="shared" si="1"/>
        <v/>
      </c>
      <c r="KP4" s="159" t="str">
        <f t="shared" si="1"/>
        <v/>
      </c>
      <c r="KQ4" s="159" t="str">
        <f t="shared" si="1"/>
        <v/>
      </c>
      <c r="KR4" s="159" t="str">
        <f t="shared" si="1"/>
        <v/>
      </c>
      <c r="KS4" s="159" t="str">
        <f t="shared" si="1"/>
        <v/>
      </c>
      <c r="KT4" s="159" t="str">
        <f t="shared" si="1"/>
        <v/>
      </c>
      <c r="KU4" s="159" t="str">
        <f t="shared" si="1"/>
        <v/>
      </c>
      <c r="KV4" s="159" t="str">
        <f t="shared" si="1"/>
        <v/>
      </c>
      <c r="KW4" s="159" t="str">
        <f t="shared" si="1"/>
        <v/>
      </c>
      <c r="KX4" s="159" t="str">
        <f t="shared" si="1"/>
        <v/>
      </c>
      <c r="KY4" s="159" t="str">
        <f t="shared" si="1"/>
        <v/>
      </c>
      <c r="KZ4" s="159" t="str">
        <f t="shared" si="1"/>
        <v/>
      </c>
      <c r="LA4" s="159" t="str">
        <f t="shared" si="1"/>
        <v/>
      </c>
      <c r="LB4" s="159" t="str">
        <f t="shared" si="1"/>
        <v/>
      </c>
      <c r="LC4" s="159" t="str">
        <f t="shared" si="1"/>
        <v/>
      </c>
      <c r="LD4" s="159" t="str">
        <f t="shared" si="1"/>
        <v/>
      </c>
      <c r="LE4" s="159" t="str">
        <f t="shared" si="1"/>
        <v/>
      </c>
      <c r="LF4" s="159" t="str">
        <f t="shared" si="1"/>
        <v/>
      </c>
      <c r="LG4" s="159" t="str">
        <f t="shared" si="1"/>
        <v/>
      </c>
      <c r="LH4" s="159" t="str">
        <f t="shared" si="1"/>
        <v/>
      </c>
      <c r="LI4" s="159" t="str">
        <f t="shared" si="1"/>
        <v/>
      </c>
      <c r="LJ4" s="159" t="str">
        <f t="shared" si="1"/>
        <v/>
      </c>
      <c r="LK4" s="159" t="str">
        <f t="shared" si="1"/>
        <v/>
      </c>
      <c r="LL4" s="159" t="str">
        <f t="shared" si="1"/>
        <v/>
      </c>
      <c r="LM4" s="159" t="str">
        <f t="shared" si="1"/>
        <v/>
      </c>
      <c r="LN4" s="159" t="str">
        <f t="shared" si="1"/>
        <v/>
      </c>
      <c r="LO4" s="159" t="str">
        <f t="shared" si="1"/>
        <v/>
      </c>
      <c r="LP4" s="159" t="str">
        <f t="shared" si="1"/>
        <v/>
      </c>
      <c r="LQ4" s="159" t="str">
        <f t="shared" si="1"/>
        <v/>
      </c>
      <c r="LR4" s="159" t="str">
        <f t="shared" si="1"/>
        <v/>
      </c>
      <c r="LS4" s="159" t="str">
        <f t="shared" si="1"/>
        <v/>
      </c>
      <c r="LT4" s="159" t="str">
        <f t="shared" si="1"/>
        <v/>
      </c>
      <c r="LU4" s="159" t="str">
        <f t="shared" si="1"/>
        <v/>
      </c>
      <c r="LV4" s="159" t="str">
        <f t="shared" si="1"/>
        <v/>
      </c>
      <c r="LW4" s="159" t="str">
        <f t="shared" si="1"/>
        <v/>
      </c>
      <c r="LX4" s="159" t="str">
        <f t="shared" si="1"/>
        <v/>
      </c>
      <c r="LY4" s="159" t="str">
        <f t="shared" si="1"/>
        <v/>
      </c>
      <c r="LZ4" s="159" t="str">
        <f t="shared" si="1"/>
        <v/>
      </c>
      <c r="MA4" s="159" t="str">
        <f t="shared" si="1"/>
        <v/>
      </c>
      <c r="MB4" s="159" t="str">
        <f t="shared" si="1"/>
        <v/>
      </c>
      <c r="MC4" s="159" t="str">
        <f t="shared" si="1"/>
        <v/>
      </c>
      <c r="MD4" s="159" t="str">
        <f t="shared" si="1"/>
        <v/>
      </c>
      <c r="ME4" s="159" t="str">
        <f t="shared" si="1"/>
        <v/>
      </c>
      <c r="MF4" s="159" t="str">
        <f t="shared" si="1"/>
        <v/>
      </c>
      <c r="MG4" s="159" t="str">
        <f t="shared" si="1"/>
        <v/>
      </c>
      <c r="MH4" s="159" t="str">
        <f t="shared" si="1"/>
        <v/>
      </c>
      <c r="MI4" s="159" t="str">
        <f t="shared" si="1"/>
        <v/>
      </c>
      <c r="MJ4" s="159" t="str">
        <f t="shared" si="1"/>
        <v/>
      </c>
      <c r="MK4" s="159" t="str">
        <f t="shared" si="1"/>
        <v/>
      </c>
      <c r="ML4" s="159" t="str">
        <f t="shared" si="1"/>
        <v/>
      </c>
      <c r="MM4" s="159" t="str">
        <f t="shared" si="1"/>
        <v/>
      </c>
      <c r="MN4" s="159" t="str">
        <f t="shared" si="1"/>
        <v/>
      </c>
      <c r="MO4" s="159" t="str">
        <f t="shared" si="1"/>
        <v/>
      </c>
      <c r="MP4" s="159" t="str">
        <f t="shared" si="1"/>
        <v/>
      </c>
      <c r="MQ4" s="159" t="str">
        <f t="shared" si="1"/>
        <v/>
      </c>
      <c r="MR4" s="159" t="str">
        <f t="shared" si="1"/>
        <v/>
      </c>
      <c r="MS4" s="159" t="str">
        <f t="shared" si="1"/>
        <v/>
      </c>
      <c r="MT4" s="159" t="str">
        <f t="shared" si="1"/>
        <v/>
      </c>
      <c r="MU4" s="159" t="str">
        <f t="shared" si="1"/>
        <v/>
      </c>
      <c r="MV4" s="159" t="str">
        <f t="shared" si="1"/>
        <v/>
      </c>
      <c r="MW4" s="159" t="str">
        <f t="shared" si="1"/>
        <v/>
      </c>
      <c r="MX4" s="159" t="str">
        <f t="shared" si="1"/>
        <v/>
      </c>
      <c r="MY4" s="159" t="str">
        <f t="shared" si="1"/>
        <v/>
      </c>
      <c r="MZ4" s="159" t="str">
        <f t="shared" si="1"/>
        <v/>
      </c>
      <c r="NA4" s="159" t="str">
        <f t="shared" si="1"/>
        <v/>
      </c>
      <c r="NB4" s="159" t="str">
        <f t="shared" si="1"/>
        <v/>
      </c>
      <c r="NC4" s="159" t="str">
        <f t="shared" si="1"/>
        <v/>
      </c>
      <c r="ND4" s="159" t="str">
        <f t="shared" si="1"/>
        <v/>
      </c>
      <c r="NE4" s="159" t="str">
        <f t="shared" si="1"/>
        <v/>
      </c>
      <c r="NF4" s="159" t="str">
        <f t="shared" si="1"/>
        <v/>
      </c>
      <c r="NG4" s="159" t="str">
        <f t="shared" si="1"/>
        <v/>
      </c>
      <c r="NH4" s="159" t="str">
        <f t="shared" si="1"/>
        <v/>
      </c>
      <c r="NI4" s="159" t="str">
        <f t="shared" si="1"/>
        <v/>
      </c>
      <c r="NJ4" s="159" t="str">
        <f t="shared" si="1"/>
        <v/>
      </c>
      <c r="NK4" s="159" t="str">
        <f t="shared" si="1"/>
        <v/>
      </c>
      <c r="NL4" s="159" t="str">
        <f t="shared" si="1"/>
        <v/>
      </c>
      <c r="NM4" s="159" t="str">
        <f t="shared" si="1"/>
        <v/>
      </c>
      <c r="NN4" s="159" t="str">
        <f t="shared" si="1"/>
        <v/>
      </c>
      <c r="NO4" s="159" t="str">
        <f t="shared" si="1"/>
        <v/>
      </c>
      <c r="NP4" s="159" t="str">
        <f t="shared" si="1"/>
        <v/>
      </c>
      <c r="NQ4" s="159" t="str">
        <f t="shared" si="1"/>
        <v/>
      </c>
      <c r="NR4" s="159" t="str">
        <f t="shared" si="1"/>
        <v/>
      </c>
      <c r="NS4" s="159" t="str">
        <f t="shared" si="1"/>
        <v/>
      </c>
      <c r="NT4" s="159" t="str">
        <f t="shared" si="1"/>
        <v/>
      </c>
      <c r="NU4" s="159" t="str">
        <f t="shared" si="1"/>
        <v/>
      </c>
      <c r="NV4" s="159" t="str">
        <f t="shared" si="1"/>
        <v/>
      </c>
      <c r="NW4" s="159" t="str">
        <f t="shared" si="1"/>
        <v/>
      </c>
      <c r="NX4" s="159" t="str">
        <f t="shared" si="1"/>
        <v/>
      </c>
      <c r="NY4" s="159" t="str">
        <f t="shared" si="1"/>
        <v/>
      </c>
      <c r="NZ4" s="159" t="str">
        <f t="shared" si="1"/>
        <v/>
      </c>
      <c r="OA4" s="159" t="str">
        <f t="shared" si="1"/>
        <v/>
      </c>
      <c r="OB4" s="159" t="str">
        <f t="shared" si="1"/>
        <v/>
      </c>
      <c r="OC4" s="159" t="str">
        <f t="shared" si="1"/>
        <v/>
      </c>
      <c r="OD4" s="159" t="str">
        <f t="shared" si="1"/>
        <v/>
      </c>
      <c r="OE4" s="159" t="str">
        <f t="shared" si="1"/>
        <v/>
      </c>
      <c r="OF4" s="159" t="str">
        <f t="shared" si="1"/>
        <v/>
      </c>
      <c r="OG4" s="159" t="str">
        <f t="shared" si="1"/>
        <v/>
      </c>
      <c r="OH4" s="159" t="str">
        <f t="shared" si="1"/>
        <v/>
      </c>
      <c r="OI4" s="159" t="str">
        <f t="shared" si="1"/>
        <v/>
      </c>
      <c r="OJ4" s="159" t="str">
        <f t="shared" si="1"/>
        <v/>
      </c>
      <c r="OK4" s="159" t="str">
        <f t="shared" si="1"/>
        <v/>
      </c>
      <c r="OL4" s="159" t="str">
        <f t="shared" si="1"/>
        <v/>
      </c>
      <c r="OM4" s="159" t="str">
        <f t="shared" si="1"/>
        <v/>
      </c>
      <c r="ON4" s="159" t="str">
        <f t="shared" si="1"/>
        <v/>
      </c>
      <c r="OO4" s="159" t="str">
        <f t="shared" si="1"/>
        <v/>
      </c>
      <c r="OP4" s="159" t="str">
        <f t="shared" si="1"/>
        <v/>
      </c>
      <c r="OQ4" s="159" t="str">
        <f t="shared" si="1"/>
        <v/>
      </c>
      <c r="OR4" s="159" t="str">
        <f t="shared" si="1"/>
        <v/>
      </c>
      <c r="OS4" s="159" t="str">
        <f t="shared" si="1"/>
        <v/>
      </c>
      <c r="OT4" s="159" t="str">
        <f t="shared" si="1"/>
        <v/>
      </c>
      <c r="OU4" s="159" t="str">
        <f t="shared" si="1"/>
        <v/>
      </c>
      <c r="OV4" s="159" t="str">
        <f t="shared" si="1"/>
        <v/>
      </c>
      <c r="OW4" s="159" t="str">
        <f t="shared" si="1"/>
        <v/>
      </c>
      <c r="OX4" s="159" t="str">
        <f t="shared" si="1"/>
        <v/>
      </c>
      <c r="OY4" s="159" t="str">
        <f t="shared" si="1"/>
        <v/>
      </c>
      <c r="OZ4" s="159" t="str">
        <f t="shared" si="1"/>
        <v/>
      </c>
      <c r="PA4" s="159" t="str">
        <f t="shared" si="1"/>
        <v/>
      </c>
      <c r="PB4" s="159" t="str">
        <f t="shared" si="1"/>
        <v/>
      </c>
      <c r="PC4" s="159" t="str">
        <f t="shared" si="1"/>
        <v/>
      </c>
      <c r="PD4" s="159" t="str">
        <f t="shared" si="1"/>
        <v/>
      </c>
      <c r="PE4" s="159" t="str">
        <f t="shared" si="1"/>
        <v/>
      </c>
      <c r="PF4" s="159" t="str">
        <f t="shared" si="1"/>
        <v/>
      </c>
      <c r="PG4" s="159" t="str">
        <f t="shared" si="1"/>
        <v/>
      </c>
      <c r="PH4" s="159" t="str">
        <f t="shared" si="1"/>
        <v/>
      </c>
      <c r="PI4" s="159" t="str">
        <f t="shared" si="1"/>
        <v/>
      </c>
      <c r="PJ4" s="159" t="str">
        <f t="shared" si="1"/>
        <v/>
      </c>
      <c r="PK4" s="159" t="str">
        <f t="shared" si="1"/>
        <v/>
      </c>
      <c r="PL4" s="159" t="str">
        <f t="shared" si="1"/>
        <v/>
      </c>
      <c r="PM4" s="159" t="str">
        <f t="shared" si="1"/>
        <v/>
      </c>
      <c r="PN4" s="159" t="str">
        <f t="shared" si="1"/>
        <v/>
      </c>
      <c r="PO4" s="159" t="str">
        <f t="shared" si="1"/>
        <v/>
      </c>
      <c r="PP4" s="159" t="str">
        <f t="shared" si="1"/>
        <v/>
      </c>
      <c r="PQ4" s="159" t="str">
        <f t="shared" si="1"/>
        <v/>
      </c>
      <c r="PR4" s="159" t="str">
        <f t="shared" si="1"/>
        <v/>
      </c>
      <c r="PS4" s="159" t="str">
        <f t="shared" si="1"/>
        <v/>
      </c>
      <c r="PT4" s="159" t="str">
        <f t="shared" si="1"/>
        <v/>
      </c>
      <c r="PU4" s="159" t="str">
        <f t="shared" si="1"/>
        <v/>
      </c>
      <c r="PV4" s="159" t="str">
        <f t="shared" si="1"/>
        <v/>
      </c>
      <c r="PW4" s="159" t="str">
        <f t="shared" si="1"/>
        <v/>
      </c>
      <c r="PX4" s="159" t="str">
        <f t="shared" si="1"/>
        <v/>
      </c>
      <c r="PY4" s="159" t="str">
        <f t="shared" si="1"/>
        <v/>
      </c>
      <c r="PZ4" s="159" t="str">
        <f t="shared" si="1"/>
        <v/>
      </c>
      <c r="QA4" s="159" t="str">
        <f t="shared" si="1"/>
        <v/>
      </c>
      <c r="QB4" s="159" t="str">
        <f t="shared" si="1"/>
        <v/>
      </c>
      <c r="QC4" s="159" t="str">
        <f t="shared" si="1"/>
        <v/>
      </c>
      <c r="QD4" s="159" t="str">
        <f t="shared" si="1"/>
        <v/>
      </c>
      <c r="QE4" s="159" t="str">
        <f t="shared" si="1"/>
        <v/>
      </c>
      <c r="QF4" s="159" t="str">
        <f t="shared" si="1"/>
        <v/>
      </c>
      <c r="QG4" s="159" t="str">
        <f t="shared" si="1"/>
        <v/>
      </c>
      <c r="QH4" s="159" t="str">
        <f t="shared" si="1"/>
        <v/>
      </c>
      <c r="QI4" s="159" t="str">
        <f t="shared" si="1"/>
        <v/>
      </c>
      <c r="QJ4" s="159" t="str">
        <f t="shared" si="1"/>
        <v/>
      </c>
      <c r="QK4" s="159" t="str">
        <f t="shared" si="1"/>
        <v/>
      </c>
      <c r="QL4" s="159" t="str">
        <f t="shared" si="1"/>
        <v/>
      </c>
      <c r="QM4" s="159" t="str">
        <f t="shared" si="1"/>
        <v/>
      </c>
      <c r="QN4" s="159" t="str">
        <f t="shared" si="1"/>
        <v/>
      </c>
      <c r="QO4" s="159" t="str">
        <f t="shared" si="1"/>
        <v/>
      </c>
      <c r="QP4" s="159" t="str">
        <f t="shared" si="1"/>
        <v/>
      </c>
      <c r="QQ4" s="159" t="str">
        <f t="shared" si="1"/>
        <v/>
      </c>
      <c r="QR4" s="159" t="str">
        <f t="shared" si="1"/>
        <v/>
      </c>
      <c r="QS4" s="159" t="str">
        <f t="shared" si="1"/>
        <v/>
      </c>
      <c r="QT4" s="159" t="str">
        <f t="shared" si="1"/>
        <v/>
      </c>
      <c r="QU4" s="159" t="str">
        <f t="shared" si="1"/>
        <v/>
      </c>
      <c r="QV4" s="159" t="str">
        <f t="shared" si="1"/>
        <v/>
      </c>
      <c r="QW4" s="159" t="str">
        <f t="shared" si="1"/>
        <v/>
      </c>
      <c r="QX4" s="159" t="str">
        <f t="shared" si="1"/>
        <v/>
      </c>
      <c r="QY4" s="159" t="str">
        <f t="shared" si="1"/>
        <v/>
      </c>
      <c r="QZ4" s="159" t="str">
        <f t="shared" si="1"/>
        <v/>
      </c>
      <c r="RA4" s="159" t="str">
        <f t="shared" si="1"/>
        <v/>
      </c>
      <c r="RB4" s="159" t="str">
        <f t="shared" si="1"/>
        <v/>
      </c>
      <c r="RC4" s="159" t="str">
        <f t="shared" si="1"/>
        <v/>
      </c>
      <c r="RD4" s="159" t="str">
        <f t="shared" si="1"/>
        <v/>
      </c>
      <c r="RE4" s="159" t="str">
        <f t="shared" si="1"/>
        <v/>
      </c>
      <c r="RF4" s="159" t="str">
        <f t="shared" si="1"/>
        <v/>
      </c>
      <c r="RG4" s="159" t="str">
        <f t="shared" si="1"/>
        <v/>
      </c>
      <c r="RH4" s="159" t="str">
        <f t="shared" si="1"/>
        <v/>
      </c>
      <c r="RI4" s="159" t="str">
        <f t="shared" si="1"/>
        <v/>
      </c>
      <c r="RJ4" s="159" t="str">
        <f t="shared" si="1"/>
        <v/>
      </c>
      <c r="RK4" s="159" t="str">
        <f t="shared" si="1"/>
        <v/>
      </c>
      <c r="RL4" s="159" t="str">
        <f t="shared" si="1"/>
        <v/>
      </c>
      <c r="RM4" s="159" t="str">
        <f t="shared" si="1"/>
        <v/>
      </c>
      <c r="RN4" s="159" t="str">
        <f t="shared" si="1"/>
        <v/>
      </c>
      <c r="RO4" s="159" t="str">
        <f t="shared" si="1"/>
        <v/>
      </c>
      <c r="RP4" s="159" t="str">
        <f t="shared" si="1"/>
        <v/>
      </c>
      <c r="RQ4" s="159" t="str">
        <f t="shared" si="1"/>
        <v/>
      </c>
      <c r="RR4" s="159" t="str">
        <f t="shared" si="1"/>
        <v/>
      </c>
      <c r="RS4" s="159" t="str">
        <f t="shared" si="1"/>
        <v/>
      </c>
      <c r="RT4" s="159" t="str">
        <f t="shared" si="1"/>
        <v/>
      </c>
      <c r="RU4" s="159" t="str">
        <f t="shared" si="1"/>
        <v/>
      </c>
      <c r="RV4" s="159" t="str">
        <f t="shared" si="1"/>
        <v/>
      </c>
      <c r="RW4" s="159" t="str">
        <f t="shared" si="1"/>
        <v/>
      </c>
      <c r="RX4" s="159" t="str">
        <f t="shared" si="1"/>
        <v/>
      </c>
      <c r="RY4" s="159" t="str">
        <f t="shared" si="1"/>
        <v/>
      </c>
      <c r="RZ4" s="159" t="str">
        <f t="shared" si="1"/>
        <v/>
      </c>
      <c r="SA4" s="159" t="str">
        <f t="shared" si="1"/>
        <v/>
      </c>
      <c r="SB4" s="159" t="str">
        <f t="shared" si="1"/>
        <v/>
      </c>
      <c r="SC4" s="159" t="str">
        <f t="shared" si="1"/>
        <v/>
      </c>
      <c r="SD4" s="159" t="str">
        <f t="shared" si="1"/>
        <v/>
      </c>
      <c r="SE4" s="159" t="str">
        <f t="shared" si="1"/>
        <v/>
      </c>
      <c r="SF4" s="159" t="str">
        <f t="shared" si="1"/>
        <v/>
      </c>
      <c r="SG4" s="159" t="str">
        <f t="shared" si="1"/>
        <v/>
      </c>
      <c r="SH4" s="159" t="str">
        <f t="shared" si="1"/>
        <v/>
      </c>
      <c r="SI4" s="159" t="str">
        <f t="shared" si="1"/>
        <v/>
      </c>
      <c r="SJ4" s="159" t="str">
        <f t="shared" si="1"/>
        <v/>
      </c>
      <c r="SK4" s="159" t="str">
        <f t="shared" si="1"/>
        <v/>
      </c>
      <c r="SL4" s="159" t="str">
        <f t="shared" si="1"/>
        <v/>
      </c>
      <c r="SM4" s="159" t="str">
        <f t="shared" si="1"/>
        <v/>
      </c>
      <c r="SN4" s="159" t="str">
        <f t="shared" si="1"/>
        <v/>
      </c>
      <c r="SO4" s="159" t="str">
        <f t="shared" si="1"/>
        <v/>
      </c>
      <c r="SP4" s="159" t="str">
        <f t="shared" si="1"/>
        <v/>
      </c>
      <c r="SQ4" s="159" t="str">
        <f t="shared" si="1"/>
        <v/>
      </c>
      <c r="SR4" s="159" t="str">
        <f t="shared" si="1"/>
        <v/>
      </c>
      <c r="SS4" s="159" t="str">
        <f t="shared" si="1"/>
        <v/>
      </c>
      <c r="ST4" s="159" t="str">
        <f t="shared" si="1"/>
        <v/>
      </c>
      <c r="SU4" s="159" t="str">
        <f t="shared" si="1"/>
        <v/>
      </c>
      <c r="SV4" s="159" t="str">
        <f t="shared" si="1"/>
        <v/>
      </c>
      <c r="SW4" s="159" t="str">
        <f t="shared" si="1"/>
        <v/>
      </c>
      <c r="SX4" s="159" t="str">
        <f t="shared" si="1"/>
        <v/>
      </c>
      <c r="SY4" s="159" t="str">
        <f t="shared" si="1"/>
        <v/>
      </c>
      <c r="SZ4" s="159" t="str">
        <f t="shared" si="1"/>
        <v/>
      </c>
      <c r="TA4" s="159" t="str">
        <f t="shared" si="1"/>
        <v/>
      </c>
      <c r="TB4" s="159" t="str">
        <f t="shared" si="1"/>
        <v/>
      </c>
      <c r="TC4" s="159" t="str">
        <f t="shared" si="1"/>
        <v/>
      </c>
      <c r="TD4" s="159" t="str">
        <f t="shared" si="1"/>
        <v/>
      </c>
      <c r="TE4" s="159" t="str">
        <f t="shared" si="1"/>
        <v/>
      </c>
      <c r="TF4" s="159" t="str">
        <f t="shared" si="1"/>
        <v/>
      </c>
      <c r="TG4" s="159" t="str">
        <f t="shared" si="1"/>
        <v/>
      </c>
      <c r="TH4" s="159" t="str">
        <f t="shared" si="1"/>
        <v/>
      </c>
      <c r="TI4" s="159" t="str">
        <f t="shared" si="1"/>
        <v/>
      </c>
      <c r="TJ4" s="159" t="str">
        <f t="shared" si="1"/>
        <v/>
      </c>
      <c r="TK4" s="159" t="str">
        <f t="shared" si="1"/>
        <v/>
      </c>
      <c r="TL4" s="159" t="str">
        <f t="shared" si="1"/>
        <v/>
      </c>
      <c r="TM4" s="159" t="str">
        <f t="shared" si="1"/>
        <v/>
      </c>
      <c r="TN4" s="159" t="str">
        <f t="shared" si="1"/>
        <v/>
      </c>
      <c r="TO4" s="159" t="str">
        <f t="shared" si="1"/>
        <v/>
      </c>
      <c r="TP4" s="159" t="str">
        <f t="shared" si="1"/>
        <v/>
      </c>
      <c r="TQ4" s="159" t="str">
        <f t="shared" si="1"/>
        <v/>
      </c>
      <c r="TR4" s="159" t="str">
        <f t="shared" si="1"/>
        <v/>
      </c>
      <c r="TS4" s="159" t="str">
        <f t="shared" si="1"/>
        <v/>
      </c>
      <c r="TT4" s="159" t="str">
        <f t="shared" si="1"/>
        <v/>
      </c>
      <c r="TU4" s="159" t="str">
        <f t="shared" si="1"/>
        <v/>
      </c>
      <c r="TV4" s="159" t="str">
        <f t="shared" si="1"/>
        <v/>
      </c>
      <c r="TW4" s="159" t="str">
        <f t="shared" si="1"/>
        <v/>
      </c>
      <c r="TX4" s="159" t="str">
        <f t="shared" si="1"/>
        <v/>
      </c>
      <c r="TY4" s="159" t="str">
        <f t="shared" si="1"/>
        <v/>
      </c>
      <c r="TZ4" s="159" t="str">
        <f t="shared" si="1"/>
        <v/>
      </c>
      <c r="UA4" s="159" t="str">
        <f t="shared" si="1"/>
        <v/>
      </c>
      <c r="UB4" s="159" t="str">
        <f t="shared" si="1"/>
        <v/>
      </c>
      <c r="UC4" s="159" t="str">
        <f t="shared" si="1"/>
        <v/>
      </c>
      <c r="UD4" s="159" t="str">
        <f t="shared" si="1"/>
        <v/>
      </c>
      <c r="UE4" s="159" t="str">
        <f t="shared" si="1"/>
        <v/>
      </c>
      <c r="UF4" s="159" t="str">
        <f t="shared" si="1"/>
        <v/>
      </c>
      <c r="UG4" s="159" t="str">
        <f t="shared" si="1"/>
        <v/>
      </c>
      <c r="UH4" s="159" t="str">
        <f t="shared" si="1"/>
        <v/>
      </c>
      <c r="UI4" s="159" t="str">
        <f t="shared" si="1"/>
        <v/>
      </c>
      <c r="UJ4" s="159" t="str">
        <f t="shared" si="1"/>
        <v/>
      </c>
      <c r="UK4" s="159" t="str">
        <f t="shared" si="1"/>
        <v/>
      </c>
      <c r="UL4" s="159" t="str">
        <f t="shared" si="1"/>
        <v/>
      </c>
      <c r="UM4" s="159" t="str">
        <f t="shared" si="1"/>
        <v/>
      </c>
      <c r="UN4" s="159" t="str">
        <f t="shared" si="1"/>
        <v/>
      </c>
      <c r="UO4" s="159" t="str">
        <f t="shared" si="1"/>
        <v/>
      </c>
      <c r="UP4" s="159" t="str">
        <f t="shared" si="1"/>
        <v/>
      </c>
      <c r="UQ4" s="159" t="str">
        <f t="shared" si="1"/>
        <v/>
      </c>
      <c r="UR4" s="159" t="str">
        <f t="shared" si="1"/>
        <v/>
      </c>
      <c r="US4" s="159" t="str">
        <f t="shared" si="1"/>
        <v/>
      </c>
      <c r="UT4" s="159" t="str">
        <f t="shared" si="1"/>
        <v/>
      </c>
      <c r="UU4" s="159" t="str">
        <f t="shared" si="1"/>
        <v/>
      </c>
      <c r="UV4" s="159" t="str">
        <f t="shared" si="1"/>
        <v/>
      </c>
      <c r="UW4" s="159" t="str">
        <f t="shared" si="1"/>
        <v/>
      </c>
      <c r="UX4" s="159" t="str">
        <f t="shared" si="1"/>
        <v/>
      </c>
      <c r="UY4" s="159" t="str">
        <f t="shared" si="1"/>
        <v/>
      </c>
      <c r="UZ4" s="159" t="str">
        <f t="shared" si="1"/>
        <v/>
      </c>
      <c r="VA4" s="159" t="str">
        <f t="shared" si="1"/>
        <v/>
      </c>
      <c r="VB4" s="159" t="str">
        <f t="shared" si="1"/>
        <v/>
      </c>
      <c r="VC4" s="159" t="str">
        <f t="shared" si="1"/>
        <v/>
      </c>
      <c r="VD4" s="159" t="str">
        <f t="shared" si="1"/>
        <v/>
      </c>
      <c r="VE4" s="159" t="str">
        <f t="shared" si="1"/>
        <v/>
      </c>
      <c r="VF4" s="159" t="str">
        <f t="shared" si="1"/>
        <v/>
      </c>
      <c r="VG4" s="159" t="str">
        <f t="shared" si="1"/>
        <v/>
      </c>
      <c r="VH4" s="159" t="str">
        <f t="shared" si="1"/>
        <v/>
      </c>
      <c r="VI4" s="159" t="str">
        <f t="shared" si="1"/>
        <v/>
      </c>
      <c r="VJ4" s="159" t="str">
        <f t="shared" si="1"/>
        <v/>
      </c>
      <c r="VK4" s="159" t="str">
        <f t="shared" si="1"/>
        <v/>
      </c>
      <c r="VL4" s="159" t="str">
        <f t="shared" si="1"/>
        <v/>
      </c>
      <c r="VM4" s="159" t="str">
        <f t="shared" si="1"/>
        <v/>
      </c>
      <c r="VN4" s="159" t="str">
        <f t="shared" si="1"/>
        <v/>
      </c>
      <c r="VO4" s="159" t="str">
        <f t="shared" si="1"/>
        <v/>
      </c>
      <c r="VP4" s="159" t="str">
        <f t="shared" si="1"/>
        <v/>
      </c>
      <c r="VQ4" s="159" t="str">
        <f t="shared" si="1"/>
        <v/>
      </c>
      <c r="VR4" s="159" t="str">
        <f t="shared" si="1"/>
        <v/>
      </c>
      <c r="VS4" s="159" t="str">
        <f t="shared" si="1"/>
        <v/>
      </c>
      <c r="VT4" s="159" t="str">
        <f t="shared" si="1"/>
        <v/>
      </c>
      <c r="VU4" s="159" t="str">
        <f t="shared" si="1"/>
        <v/>
      </c>
      <c r="VV4" s="159" t="str">
        <f t="shared" si="1"/>
        <v/>
      </c>
      <c r="VW4" s="159" t="str">
        <f t="shared" si="1"/>
        <v/>
      </c>
      <c r="VX4" s="159" t="str">
        <f t="shared" si="1"/>
        <v/>
      </c>
      <c r="VY4" s="159" t="str">
        <f t="shared" si="1"/>
        <v/>
      </c>
      <c r="VZ4" s="159" t="str">
        <f t="shared" si="1"/>
        <v/>
      </c>
      <c r="WA4" s="159" t="str">
        <f t="shared" si="1"/>
        <v/>
      </c>
      <c r="WB4" s="159" t="str">
        <f t="shared" si="1"/>
        <v/>
      </c>
      <c r="WC4" s="159" t="str">
        <f t="shared" si="1"/>
        <v/>
      </c>
      <c r="WD4" s="159" t="str">
        <f t="shared" si="1"/>
        <v/>
      </c>
      <c r="WE4" s="159" t="str">
        <f t="shared" si="1"/>
        <v/>
      </c>
      <c r="WF4" s="159" t="str">
        <f t="shared" si="1"/>
        <v/>
      </c>
      <c r="WG4" s="159" t="str">
        <f t="shared" si="1"/>
        <v/>
      </c>
      <c r="WH4" s="159" t="str">
        <f t="shared" si="1"/>
        <v/>
      </c>
      <c r="WI4" s="159" t="str">
        <f t="shared" si="1"/>
        <v/>
      </c>
      <c r="WJ4" s="159" t="str">
        <f t="shared" si="1"/>
        <v/>
      </c>
      <c r="WK4" s="159" t="str">
        <f t="shared" si="1"/>
        <v/>
      </c>
      <c r="WL4" s="159" t="str">
        <f t="shared" si="1"/>
        <v/>
      </c>
      <c r="WM4" s="159" t="str">
        <f t="shared" si="1"/>
        <v/>
      </c>
      <c r="WN4" s="159" t="str">
        <f t="shared" si="1"/>
        <v/>
      </c>
      <c r="WO4" s="159" t="str">
        <f t="shared" si="1"/>
        <v/>
      </c>
      <c r="WP4" s="159" t="str">
        <f t="shared" si="1"/>
        <v/>
      </c>
      <c r="WQ4" s="159" t="str">
        <f t="shared" si="1"/>
        <v/>
      </c>
      <c r="WR4" s="159" t="str">
        <f t="shared" si="1"/>
        <v/>
      </c>
      <c r="WS4" s="159" t="str">
        <f t="shared" si="1"/>
        <v/>
      </c>
      <c r="WT4" s="159" t="str">
        <f t="shared" si="1"/>
        <v/>
      </c>
      <c r="WU4" s="159" t="str">
        <f t="shared" si="1"/>
        <v/>
      </c>
      <c r="WV4" s="159" t="str">
        <f t="shared" si="1"/>
        <v/>
      </c>
      <c r="WW4" s="159" t="str">
        <f t="shared" si="1"/>
        <v/>
      </c>
      <c r="WX4" s="159" t="str">
        <f t="shared" si="1"/>
        <v/>
      </c>
      <c r="WY4" s="159" t="str">
        <f t="shared" si="1"/>
        <v/>
      </c>
      <c r="WZ4" s="159" t="str">
        <f t="shared" si="1"/>
        <v/>
      </c>
      <c r="XA4" s="159" t="str">
        <f t="shared" si="1"/>
        <v/>
      </c>
      <c r="XB4" s="159" t="str">
        <f t="shared" si="1"/>
        <v/>
      </c>
      <c r="XC4" s="159" t="str">
        <f t="shared" si="1"/>
        <v/>
      </c>
      <c r="XD4" s="159" t="str">
        <f t="shared" si="1"/>
        <v/>
      </c>
      <c r="XE4" s="159" t="str">
        <f t="shared" si="1"/>
        <v/>
      </c>
      <c r="XF4" s="159" t="str">
        <f t="shared" si="1"/>
        <v/>
      </c>
      <c r="XG4" s="159" t="str">
        <f t="shared" si="1"/>
        <v/>
      </c>
      <c r="XH4" s="159" t="str">
        <f t="shared" si="1"/>
        <v/>
      </c>
      <c r="XI4" s="159" t="str">
        <f t="shared" si="1"/>
        <v/>
      </c>
      <c r="XJ4" s="159" t="str">
        <f t="shared" si="1"/>
        <v/>
      </c>
      <c r="XK4" s="159" t="str">
        <f t="shared" si="1"/>
        <v/>
      </c>
      <c r="XL4" s="159" t="str">
        <f t="shared" si="1"/>
        <v/>
      </c>
      <c r="XM4" s="159" t="str">
        <f t="shared" si="1"/>
        <v/>
      </c>
      <c r="XN4" s="159" t="str">
        <f t="shared" si="1"/>
        <v/>
      </c>
      <c r="XO4" s="159" t="str">
        <f t="shared" si="1"/>
        <v/>
      </c>
      <c r="XP4" s="159" t="str">
        <f t="shared" si="1"/>
        <v/>
      </c>
      <c r="XQ4" s="159" t="str">
        <f t="shared" si="1"/>
        <v/>
      </c>
      <c r="XR4" s="159" t="str">
        <f t="shared" si="1"/>
        <v/>
      </c>
      <c r="XS4" s="159" t="str">
        <f t="shared" si="1"/>
        <v/>
      </c>
      <c r="XT4" s="159" t="str">
        <f t="shared" si="1"/>
        <v/>
      </c>
      <c r="XU4" s="159" t="str">
        <f t="shared" si="1"/>
        <v/>
      </c>
      <c r="XV4" s="159" t="str">
        <f t="shared" si="1"/>
        <v/>
      </c>
      <c r="XW4" s="159" t="str">
        <f t="shared" si="1"/>
        <v/>
      </c>
      <c r="XX4" s="159" t="str">
        <f t="shared" si="1"/>
        <v/>
      </c>
      <c r="XY4" s="159" t="str">
        <f t="shared" si="1"/>
        <v/>
      </c>
      <c r="XZ4" s="159" t="str">
        <f t="shared" si="1"/>
        <v/>
      </c>
      <c r="YA4" s="159" t="str">
        <f t="shared" si="1"/>
        <v/>
      </c>
      <c r="YB4" s="159" t="str">
        <f t="shared" si="1"/>
        <v/>
      </c>
      <c r="YC4" s="159" t="str">
        <f t="shared" si="1"/>
        <v/>
      </c>
      <c r="YD4" s="159" t="str">
        <f t="shared" si="1"/>
        <v/>
      </c>
      <c r="YE4" s="159" t="str">
        <f t="shared" si="1"/>
        <v/>
      </c>
      <c r="YF4" s="159" t="str">
        <f t="shared" si="1"/>
        <v/>
      </c>
      <c r="YG4" s="159" t="str">
        <f t="shared" si="1"/>
        <v/>
      </c>
      <c r="YH4" s="159" t="str">
        <f t="shared" si="1"/>
        <v/>
      </c>
      <c r="YI4" s="159" t="str">
        <f t="shared" si="1"/>
        <v/>
      </c>
      <c r="YJ4" s="159" t="str">
        <f t="shared" si="1"/>
        <v/>
      </c>
      <c r="YK4" s="159" t="str">
        <f t="shared" si="1"/>
        <v/>
      </c>
      <c r="YL4" s="159" t="str">
        <f t="shared" si="1"/>
        <v/>
      </c>
      <c r="YM4" s="159" t="str">
        <f t="shared" si="1"/>
        <v/>
      </c>
      <c r="YN4" s="159" t="str">
        <f t="shared" si="1"/>
        <v/>
      </c>
      <c r="YO4" s="159" t="str">
        <f t="shared" si="1"/>
        <v/>
      </c>
      <c r="YP4" s="159" t="str">
        <f t="shared" si="1"/>
        <v/>
      </c>
      <c r="YQ4" s="159" t="str">
        <f t="shared" si="1"/>
        <v/>
      </c>
      <c r="YR4" s="159" t="str">
        <f t="shared" si="1"/>
        <v/>
      </c>
      <c r="YS4" s="159" t="str">
        <f t="shared" si="1"/>
        <v/>
      </c>
      <c r="YT4" s="159" t="str">
        <f t="shared" si="1"/>
        <v/>
      </c>
      <c r="YU4" s="159" t="str">
        <f t="shared" si="1"/>
        <v/>
      </c>
      <c r="YV4" s="159" t="str">
        <f t="shared" si="1"/>
        <v/>
      </c>
      <c r="YW4" s="159" t="str">
        <f t="shared" si="1"/>
        <v/>
      </c>
      <c r="YX4" s="159" t="str">
        <f t="shared" si="1"/>
        <v/>
      </c>
      <c r="YY4" s="159" t="str">
        <f t="shared" si="1"/>
        <v/>
      </c>
      <c r="YZ4" s="159" t="str">
        <f t="shared" si="1"/>
        <v/>
      </c>
      <c r="ZA4" s="159" t="str">
        <f t="shared" si="1"/>
        <v/>
      </c>
      <c r="ZB4" s="159" t="str">
        <f t="shared" si="1"/>
        <v/>
      </c>
      <c r="ZC4" s="159" t="str">
        <f t="shared" si="1"/>
        <v/>
      </c>
      <c r="ZD4" s="159" t="str">
        <f t="shared" si="1"/>
        <v/>
      </c>
      <c r="ZE4" s="159" t="str">
        <f t="shared" si="1"/>
        <v/>
      </c>
      <c r="ZF4" s="159" t="str">
        <f t="shared" si="1"/>
        <v/>
      </c>
      <c r="ZG4" s="159" t="str">
        <f t="shared" si="1"/>
        <v/>
      </c>
      <c r="ZH4" s="159" t="str">
        <f t="shared" si="1"/>
        <v/>
      </c>
      <c r="ZI4" s="159" t="str">
        <f t="shared" si="1"/>
        <v/>
      </c>
      <c r="ZJ4" s="159" t="str">
        <f t="shared" si="1"/>
        <v/>
      </c>
      <c r="ZK4" s="159" t="str">
        <f t="shared" si="1"/>
        <v/>
      </c>
      <c r="ZL4" s="159" t="str">
        <f t="shared" si="1"/>
        <v/>
      </c>
      <c r="ZM4" s="159" t="str">
        <f t="shared" si="1"/>
        <v/>
      </c>
      <c r="ZN4" s="159" t="str">
        <f t="shared" si="1"/>
        <v/>
      </c>
      <c r="ZO4" s="159" t="str">
        <f t="shared" si="1"/>
        <v/>
      </c>
      <c r="ZP4" s="159" t="str">
        <f t="shared" si="1"/>
        <v/>
      </c>
      <c r="ZQ4" s="159" t="str">
        <f t="shared" si="1"/>
        <v/>
      </c>
      <c r="ZR4" s="159" t="str">
        <f t="shared" si="1"/>
        <v/>
      </c>
      <c r="ZS4" s="159" t="str">
        <f t="shared" si="1"/>
        <v/>
      </c>
      <c r="ZT4" s="159" t="str">
        <f t="shared" si="1"/>
        <v/>
      </c>
      <c r="ZU4" s="159" t="str">
        <f t="shared" si="1"/>
        <v/>
      </c>
      <c r="ZV4" s="159" t="str">
        <f t="shared" si="1"/>
        <v/>
      </c>
      <c r="ZW4" s="159" t="str">
        <f t="shared" si="1"/>
        <v/>
      </c>
      <c r="ZX4" s="159" t="str">
        <f t="shared" si="1"/>
        <v/>
      </c>
      <c r="ZY4" s="159" t="str">
        <f t="shared" si="1"/>
        <v/>
      </c>
      <c r="ZZ4" s="159" t="str">
        <f t="shared" si="1"/>
        <v/>
      </c>
    </row>
    <row r="5" ht="39.75" customHeight="1">
      <c r="A5" s="162" t="s">
        <v>163</v>
      </c>
      <c r="B5" s="162" t="s">
        <v>164</v>
      </c>
      <c r="C5" s="162" t="s">
        <v>165</v>
      </c>
      <c r="D5" s="162" t="str">
        <f t="shared" ref="D5:D200" si="2">IF(A5&lt;&gt;"",IF(A5=A4,"",A5),"")</f>
        <v>Salesforceデータ連携（1販社先行検証）</v>
      </c>
      <c r="E5" s="163">
        <f t="array" ref="E5">IF(B5="","",IF(B5&lt;&gt;B4,SUMPRODUCT(($B$5:B5&lt;&gt;$B$4:B4)*($B$5:B5&lt;&gt;"")),""))</f>
        <v>1</v>
      </c>
      <c r="F5" s="163" t="str">
        <f t="shared" ref="F5:F200" si="3">IF(B5&lt;&gt;"",IF(B5=B4,"",B5),"")</f>
        <v>外部依存・着手条件</v>
      </c>
      <c r="G5" s="163">
        <f t="shared" ref="G5:G200" si="4">IF(C5="","",COUNTIF($B$5:B5,B5))</f>
        <v>1</v>
      </c>
      <c r="H5" s="164" t="str">
        <f t="shared" ref="H5:H200" si="5">IF(AND(C5&lt;&gt;"",OR(C5&lt;&gt;C4,B5&lt;&gt;B4)),C5,"")</f>
        <v>Salesforce Sandbox環境の準備</v>
      </c>
      <c r="I5" s="162"/>
      <c r="J5" s="162"/>
      <c r="K5" s="162"/>
      <c r="L5" s="165" t="str">
        <f t="shared" ref="L5:L200" si="6">IF(C5="","","【"&amp;A5&amp;"】"&amp;MAX($E$5:E5)&amp;"-"&amp;G5&amp;"_"&amp;B5&amp;"_"&amp;C5)</f>
        <v>【Salesforceデータ連携（1販社先行検証）】1-1_外部依存・着手条件_Salesforce Sandbox環境の準備</v>
      </c>
      <c r="M5" s="166">
        <v>46237.0</v>
      </c>
      <c r="N5" s="166">
        <v>46248.0</v>
      </c>
      <c r="O5" s="167" t="s">
        <v>141</v>
      </c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168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169"/>
      <c r="AZ5" s="168"/>
      <c r="BA5" s="169"/>
      <c r="BB5" s="169"/>
      <c r="BC5" s="16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ht="36.0" customHeight="1">
      <c r="A6" s="173" t="s">
        <v>163</v>
      </c>
      <c r="B6" s="173" t="s">
        <v>164</v>
      </c>
      <c r="C6" s="173" t="s">
        <v>173</v>
      </c>
      <c r="D6" s="173" t="str">
        <f t="shared" si="2"/>
        <v/>
      </c>
      <c r="E6" s="174" t="str">
        <f t="array" ref="E6">IF(B6="","",IF(B6&lt;&gt;B5,SUMPRODUCT(($B$5:B6&lt;&gt;$B$4:B5)*($B$5:B6&lt;&gt;"")),""))</f>
        <v/>
      </c>
      <c r="F6" s="174" t="str">
        <f t="shared" si="3"/>
        <v/>
      </c>
      <c r="G6" s="174">
        <f t="shared" si="4"/>
        <v>2</v>
      </c>
      <c r="H6" s="175" t="str">
        <f t="shared" si="5"/>
        <v>TMCセキュリティ要件・個人情報取扱条件の提示</v>
      </c>
      <c r="I6" s="173"/>
      <c r="J6" s="173"/>
      <c r="K6" s="173"/>
      <c r="L6" s="176" t="str">
        <f t="shared" si="6"/>
        <v>【Salesforceデータ連携（1販社先行検証）】1-2_外部依存・着手条件_TMCセキュリティ要件・個人情報取扱条件の提示</v>
      </c>
      <c r="M6" s="177">
        <v>46237.0</v>
      </c>
      <c r="N6" s="177">
        <v>46246.0</v>
      </c>
      <c r="O6" s="167" t="s">
        <v>141</v>
      </c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ht="36.0" customHeight="1">
      <c r="A7" s="173" t="s">
        <v>163</v>
      </c>
      <c r="B7" s="173" t="s">
        <v>164</v>
      </c>
      <c r="C7" s="173" t="s">
        <v>182</v>
      </c>
      <c r="D7" s="173" t="str">
        <f t="shared" si="2"/>
        <v/>
      </c>
      <c r="E7" s="174" t="str">
        <f t="array" ref="E7">IF(B7="","",IF(B7&lt;&gt;B6,SUMPRODUCT(($B$5:B7&lt;&gt;$B$4:B6)*($B$5:B7&lt;&gt;"")),""))</f>
        <v/>
      </c>
      <c r="F7" s="174" t="str">
        <f t="shared" si="3"/>
        <v/>
      </c>
      <c r="G7" s="174">
        <f t="shared" si="4"/>
        <v>3</v>
      </c>
      <c r="H7" s="175" t="str">
        <f t="shared" si="5"/>
        <v>Salesforceアカウント・認証情報の準備</v>
      </c>
      <c r="I7" s="173"/>
      <c r="J7" s="173"/>
      <c r="K7" s="173"/>
      <c r="L7" s="176" t="str">
        <f t="shared" si="6"/>
        <v>【Salesforceデータ連携（1販社先行検証）】1-3_外部依存・着手条件_Salesforceアカウント・認証情報の準備</v>
      </c>
      <c r="M7" s="177">
        <v>46237.0</v>
      </c>
      <c r="N7" s="177">
        <v>46248.0</v>
      </c>
      <c r="O7" s="167" t="s">
        <v>141</v>
      </c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ht="36.0" customHeight="1">
      <c r="A8" s="173" t="s">
        <v>163</v>
      </c>
      <c r="B8" s="173" t="s">
        <v>164</v>
      </c>
      <c r="C8" s="173" t="s">
        <v>191</v>
      </c>
      <c r="D8" s="173" t="str">
        <f t="shared" si="2"/>
        <v/>
      </c>
      <c r="E8" s="174" t="str">
        <f t="array" ref="E8">IF(B8="","",IF(B8&lt;&gt;B7,SUMPRODUCT(($B$5:B8&lt;&gt;$B$4:B7)*($B$5:B8&lt;&gt;"")),""))</f>
        <v/>
      </c>
      <c r="F8" s="174" t="str">
        <f t="shared" si="3"/>
        <v/>
      </c>
      <c r="G8" s="174">
        <f t="shared" si="4"/>
        <v>4</v>
      </c>
      <c r="H8" s="175" t="str">
        <f t="shared" si="5"/>
        <v>先行対象1販社・検証環境・Salesforce Orgの確定</v>
      </c>
      <c r="I8" s="173"/>
      <c r="J8" s="173"/>
      <c r="K8" s="173"/>
      <c r="L8" s="176" t="str">
        <f t="shared" si="6"/>
        <v>【Salesforceデータ連携（1販社先行検証）】1-4_外部依存・着手条件_先行対象1販社・検証環境・Salesforce Orgの確定</v>
      </c>
      <c r="M8" s="177">
        <v>46237.0</v>
      </c>
      <c r="N8" s="177">
        <v>46241.0</v>
      </c>
      <c r="O8" s="167" t="s">
        <v>141</v>
      </c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ht="36.0" customHeight="1">
      <c r="A9" s="173" t="s">
        <v>163</v>
      </c>
      <c r="B9" s="173" t="s">
        <v>164</v>
      </c>
      <c r="C9" s="173" t="s">
        <v>195</v>
      </c>
      <c r="D9" s="173" t="str">
        <f t="shared" si="2"/>
        <v/>
      </c>
      <c r="E9" s="174" t="str">
        <f t="array" ref="E9">IF(B9="","",IF(B9&lt;&gt;B8,SUMPRODUCT(($B$5:B9&lt;&gt;$B$4:B8)*($B$5:B9&lt;&gt;"")),""))</f>
        <v/>
      </c>
      <c r="F9" s="174" t="str">
        <f t="shared" si="3"/>
        <v/>
      </c>
      <c r="G9" s="174">
        <f t="shared" si="4"/>
        <v>5</v>
      </c>
      <c r="H9" s="175" t="str">
        <f t="shared" si="5"/>
        <v>NiFi連携方式・Kudu参照用TB・先行検証範囲の確定</v>
      </c>
      <c r="I9" s="173"/>
      <c r="J9" s="173"/>
      <c r="K9" s="173"/>
      <c r="L9" s="176" t="str">
        <f t="shared" si="6"/>
        <v>【Salesforceデータ連携（1販社先行検証）】1-5_外部依存・着手条件_NiFi連携方式・Kudu参照用TB・先行検証範囲の確定</v>
      </c>
      <c r="M9" s="177">
        <v>46237.0</v>
      </c>
      <c r="N9" s="177">
        <v>46246.0</v>
      </c>
      <c r="O9" s="167" t="s">
        <v>141</v>
      </c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ht="36.0" customHeight="1">
      <c r="A10" s="194" t="s">
        <v>163</v>
      </c>
      <c r="B10" s="194" t="s">
        <v>164</v>
      </c>
      <c r="C10" s="194" t="s">
        <v>196</v>
      </c>
      <c r="D10" s="194" t="str">
        <f t="shared" si="2"/>
        <v/>
      </c>
      <c r="E10" s="195" t="str">
        <f t="array" ref="E10">IF(B10="","",IF(B10&lt;&gt;B9,SUMPRODUCT(($B$5:B10&lt;&gt;$B$4:B9)*($B$5:B10&lt;&gt;"")),""))</f>
        <v/>
      </c>
      <c r="F10" s="195" t="str">
        <f t="shared" si="3"/>
        <v/>
      </c>
      <c r="G10" s="195">
        <f t="shared" si="4"/>
        <v>6</v>
      </c>
      <c r="H10" s="164" t="str">
        <f t="shared" si="5"/>
        <v>1販社先行検証の着手判定</v>
      </c>
      <c r="I10" s="194"/>
      <c r="J10" s="194"/>
      <c r="K10" s="194"/>
      <c r="L10" s="165" t="str">
        <f t="shared" si="6"/>
        <v>【Salesforceデータ連携（1販社先行検証）】1-6_外部依存・着手条件_1販社先行検証の着手判定</v>
      </c>
      <c r="M10" s="196">
        <v>46248.0</v>
      </c>
      <c r="N10" s="196">
        <v>46248.0</v>
      </c>
      <c r="O10" s="167" t="s">
        <v>141</v>
      </c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ht="39.75" customHeight="1">
      <c r="A11" s="197" t="s">
        <v>163</v>
      </c>
      <c r="B11" s="197" t="s">
        <v>125</v>
      </c>
      <c r="C11" s="197" t="s">
        <v>197</v>
      </c>
      <c r="D11" s="197" t="str">
        <f t="shared" si="2"/>
        <v/>
      </c>
      <c r="E11" s="198">
        <f t="array" ref="E11">IF(B11="","",IF(B11&lt;&gt;B10,SUMPRODUCT(($B$5:B11&lt;&gt;$B$4:B10)*($B$5:B11&lt;&gt;"")),""))</f>
        <v>2</v>
      </c>
      <c r="F11" s="198" t="str">
        <f t="shared" si="3"/>
        <v>プロジェクト管理</v>
      </c>
      <c r="G11" s="198">
        <f t="shared" si="4"/>
        <v>1</v>
      </c>
      <c r="H11" s="164" t="str">
        <f t="shared" si="5"/>
        <v>WBS・スケジュール・進捗管理</v>
      </c>
      <c r="I11" s="197"/>
      <c r="J11" s="197"/>
      <c r="K11" s="197"/>
      <c r="L11" s="165" t="str">
        <f t="shared" si="6"/>
        <v>【Salesforceデータ連携（1販社先行検証）】2-1_プロジェクト管理_WBS・スケジュール・進捗管理</v>
      </c>
      <c r="M11" s="199">
        <v>46237.0</v>
      </c>
      <c r="N11" s="199">
        <v>46283.0</v>
      </c>
      <c r="O11" s="167" t="s">
        <v>141</v>
      </c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ht="36.0" customHeight="1">
      <c r="A12" s="200" t="s">
        <v>163</v>
      </c>
      <c r="B12" s="200" t="s">
        <v>125</v>
      </c>
      <c r="C12" s="200" t="s">
        <v>198</v>
      </c>
      <c r="D12" s="175" t="str">
        <f t="shared" si="2"/>
        <v/>
      </c>
      <c r="E12" s="201" t="str">
        <f t="array" ref="E12">IF(B12="","",IF(B12&lt;&gt;B11,SUMPRODUCT(($B$5:B12&lt;&gt;$B$4:B11)*($B$5:B12&lt;&gt;"")),""))</f>
        <v/>
      </c>
      <c r="F12" s="201" t="str">
        <f t="shared" si="3"/>
        <v/>
      </c>
      <c r="G12" s="201">
        <f t="shared" si="4"/>
        <v>2</v>
      </c>
      <c r="H12" s="175" t="str">
        <f t="shared" si="5"/>
        <v>課題・リスク管理</v>
      </c>
      <c r="I12" s="200"/>
      <c r="J12" s="200"/>
      <c r="K12" s="200"/>
      <c r="L12" s="176" t="str">
        <f t="shared" si="6"/>
        <v>【Salesforceデータ連携（1販社先行検証）】2-2_プロジェクト管理_課題・リスク管理</v>
      </c>
      <c r="M12" s="202">
        <v>46237.0</v>
      </c>
      <c r="N12" s="202">
        <v>46283.0</v>
      </c>
      <c r="O12" s="167" t="s">
        <v>141</v>
      </c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ht="36.0" customHeight="1">
      <c r="A13" s="200" t="s">
        <v>163</v>
      </c>
      <c r="B13" s="200" t="s">
        <v>125</v>
      </c>
      <c r="C13" s="200" t="s">
        <v>199</v>
      </c>
      <c r="D13" s="175" t="str">
        <f t="shared" si="2"/>
        <v/>
      </c>
      <c r="E13" s="201" t="str">
        <f t="array" ref="E13">IF(B13="","",IF(B13&lt;&gt;B12,SUMPRODUCT(($B$5:B13&lt;&gt;$B$4:B12)*($B$5:B13&lt;&gt;"")),""))</f>
        <v/>
      </c>
      <c r="F13" s="201" t="str">
        <f t="shared" si="3"/>
        <v/>
      </c>
      <c r="G13" s="201">
        <f t="shared" si="4"/>
        <v>3</v>
      </c>
      <c r="H13" s="175" t="str">
        <f t="shared" si="5"/>
        <v>Salesforce・基盤関係者調整</v>
      </c>
      <c r="I13" s="200"/>
      <c r="J13" s="200"/>
      <c r="K13" s="200"/>
      <c r="L13" s="176" t="str">
        <f t="shared" si="6"/>
        <v>【Salesforceデータ連携（1販社先行検証）】2-3_プロジェクト管理_Salesforce・基盤関係者調整</v>
      </c>
      <c r="M13" s="202">
        <v>46237.0</v>
      </c>
      <c r="N13" s="202">
        <v>46283.0</v>
      </c>
      <c r="O13" s="167" t="s">
        <v>141</v>
      </c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ht="36.0" customHeight="1">
      <c r="A14" s="200" t="s">
        <v>163</v>
      </c>
      <c r="B14" s="200" t="s">
        <v>125</v>
      </c>
      <c r="C14" s="200" t="s">
        <v>200</v>
      </c>
      <c r="D14" s="175" t="str">
        <f t="shared" si="2"/>
        <v/>
      </c>
      <c r="E14" s="201" t="str">
        <f t="array" ref="E14">IF(B14="","",IF(B14&lt;&gt;B13,SUMPRODUCT(($B$5:B14&lt;&gt;$B$4:B13)*($B$5:B14&lt;&gt;"")),""))</f>
        <v/>
      </c>
      <c r="F14" s="201" t="str">
        <f t="shared" si="3"/>
        <v/>
      </c>
      <c r="G14" s="201">
        <f t="shared" si="4"/>
        <v>4</v>
      </c>
      <c r="H14" s="175" t="str">
        <f t="shared" si="5"/>
        <v>設計・成果物レビュー管理</v>
      </c>
      <c r="I14" s="200"/>
      <c r="J14" s="200"/>
      <c r="K14" s="200"/>
      <c r="L14" s="176" t="str">
        <f t="shared" si="6"/>
        <v>【Salesforceデータ連携（1販社先行検証）】2-4_プロジェクト管理_設計・成果物レビュー管理</v>
      </c>
      <c r="M14" s="202">
        <v>46244.0</v>
      </c>
      <c r="N14" s="202">
        <v>46281.0</v>
      </c>
      <c r="O14" s="167" t="s">
        <v>141</v>
      </c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ht="36.0" customHeight="1">
      <c r="A15" s="200" t="s">
        <v>163</v>
      </c>
      <c r="B15" s="200" t="s">
        <v>125</v>
      </c>
      <c r="C15" s="200" t="s">
        <v>201</v>
      </c>
      <c r="D15" s="175" t="str">
        <f t="shared" si="2"/>
        <v/>
      </c>
      <c r="E15" s="201" t="str">
        <f t="array" ref="E15">IF(B15="","",IF(B15&lt;&gt;B14,SUMPRODUCT(($B$5:B15&lt;&gt;$B$4:B14)*($B$5:B15&lt;&gt;"")),""))</f>
        <v/>
      </c>
      <c r="F15" s="201" t="str">
        <f t="shared" si="3"/>
        <v/>
      </c>
      <c r="G15" s="201">
        <f t="shared" si="4"/>
        <v>5</v>
      </c>
      <c r="H15" s="175" t="str">
        <f t="shared" si="5"/>
        <v>試験・先行検証完了判定管理</v>
      </c>
      <c r="I15" s="200"/>
      <c r="J15" s="200"/>
      <c r="K15" s="200"/>
      <c r="L15" s="176" t="str">
        <f t="shared" si="6"/>
        <v>【Salesforceデータ連携（1販社先行検証）】2-5_プロジェクト管理_試験・先行検証完了判定管理</v>
      </c>
      <c r="M15" s="202">
        <v>46265.0</v>
      </c>
      <c r="N15" s="202">
        <v>46283.0</v>
      </c>
      <c r="O15" s="167" t="s">
        <v>141</v>
      </c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ht="36.0" customHeight="1">
      <c r="A16" s="200" t="s">
        <v>163</v>
      </c>
      <c r="B16" s="200" t="s">
        <v>125</v>
      </c>
      <c r="C16" s="200" t="s">
        <v>202</v>
      </c>
      <c r="D16" s="175" t="str">
        <f t="shared" si="2"/>
        <v/>
      </c>
      <c r="E16" s="201" t="str">
        <f t="array" ref="E16">IF(B16="","",IF(B16&lt;&gt;B15,SUMPRODUCT(($B$5:B16&lt;&gt;$B$4:B15)*($B$5:B16&lt;&gt;"")),""))</f>
        <v/>
      </c>
      <c r="F16" s="201" t="str">
        <f t="shared" si="3"/>
        <v/>
      </c>
      <c r="G16" s="201">
        <f t="shared" si="4"/>
        <v>6</v>
      </c>
      <c r="H16" s="175" t="str">
        <f t="shared" si="5"/>
        <v>スコープ変更・後続展開課題管理</v>
      </c>
      <c r="I16" s="200"/>
      <c r="J16" s="200"/>
      <c r="K16" s="200"/>
      <c r="L16" s="176" t="str">
        <f t="shared" si="6"/>
        <v>【Salesforceデータ連携（1販社先行検証）】2-6_プロジェクト管理_スコープ変更・後続展開課題管理</v>
      </c>
      <c r="M16" s="202"/>
      <c r="N16" s="202"/>
      <c r="O16" s="167" t="s">
        <v>141</v>
      </c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ht="39.75" customHeight="1">
      <c r="A17" s="197" t="s">
        <v>163</v>
      </c>
      <c r="B17" s="197" t="s">
        <v>203</v>
      </c>
      <c r="C17" s="197" t="s">
        <v>204</v>
      </c>
      <c r="D17" s="197" t="str">
        <f t="shared" si="2"/>
        <v/>
      </c>
      <c r="E17" s="198">
        <f t="array" ref="E17">IF(B17="","",IF(B17&lt;&gt;B16,SUMPRODUCT(($B$5:B17&lt;&gt;$B$4:B16)*($B$5:B17&lt;&gt;"")),""))</f>
        <v>3</v>
      </c>
      <c r="F17" s="198" t="str">
        <f t="shared" si="3"/>
        <v>要件定義</v>
      </c>
      <c r="G17" s="198">
        <f t="shared" si="4"/>
        <v>1</v>
      </c>
      <c r="H17" s="164" t="str">
        <f t="shared" si="5"/>
        <v>1販社先行検証の目的・対象範囲の整理</v>
      </c>
      <c r="I17" s="197"/>
      <c r="J17" s="197"/>
      <c r="K17" s="197"/>
      <c r="L17" s="165" t="str">
        <f t="shared" si="6"/>
        <v>【Salesforceデータ連携（1販社先行検証）】3-1_要件定義_1販社先行検証の目的・対象範囲の整理</v>
      </c>
      <c r="M17" s="199">
        <v>46237.0</v>
      </c>
      <c r="N17" s="199">
        <v>46246.0</v>
      </c>
      <c r="O17" s="167" t="s">
        <v>141</v>
      </c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ht="36.0" customHeight="1">
      <c r="A18" s="200" t="s">
        <v>163</v>
      </c>
      <c r="B18" s="200" t="s">
        <v>203</v>
      </c>
      <c r="C18" s="200" t="s">
        <v>205</v>
      </c>
      <c r="D18" s="175" t="str">
        <f t="shared" si="2"/>
        <v/>
      </c>
      <c r="E18" s="201" t="str">
        <f t="array" ref="E18">IF(B18="","",IF(B18&lt;&gt;B17,SUMPRODUCT(($B$5:B18&lt;&gt;$B$4:B17)*($B$5:B18&lt;&gt;"")),""))</f>
        <v/>
      </c>
      <c r="F18" s="201" t="str">
        <f t="shared" si="3"/>
        <v/>
      </c>
      <c r="G18" s="201">
        <f t="shared" si="4"/>
        <v>2</v>
      </c>
      <c r="H18" s="175" t="str">
        <f t="shared" si="5"/>
        <v>先行対象販社・Org・利用者の整理</v>
      </c>
      <c r="I18" s="200"/>
      <c r="J18" s="200"/>
      <c r="K18" s="200"/>
      <c r="L18" s="176" t="str">
        <f t="shared" si="6"/>
        <v>【Salesforceデータ連携（1販社先行検証）】3-2_要件定義_先行対象販社・Org・利用者の整理</v>
      </c>
      <c r="M18" s="202">
        <v>46237.0</v>
      </c>
      <c r="N18" s="202">
        <v>46246.0</v>
      </c>
      <c r="O18" s="167" t="s">
        <v>141</v>
      </c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ht="36.0" customHeight="1">
      <c r="A19" s="200" t="s">
        <v>163</v>
      </c>
      <c r="B19" s="200" t="s">
        <v>203</v>
      </c>
      <c r="C19" s="200" t="s">
        <v>206</v>
      </c>
      <c r="D19" s="175" t="str">
        <f t="shared" si="2"/>
        <v/>
      </c>
      <c r="E19" s="201" t="str">
        <f t="array" ref="E19">IF(B19="","",IF(B19&lt;&gt;B18,SUMPRODUCT(($B$5:B19&lt;&gt;$B$4:B18)*($B$5:B19&lt;&gt;"")),""))</f>
        <v/>
      </c>
      <c r="F19" s="201" t="str">
        <f t="shared" si="3"/>
        <v/>
      </c>
      <c r="G19" s="201">
        <f t="shared" si="4"/>
        <v>3</v>
      </c>
      <c r="H19" s="175" t="str">
        <f t="shared" si="5"/>
        <v>データ鮮度・更新頻度・保持期間の整理</v>
      </c>
      <c r="I19" s="200"/>
      <c r="J19" s="200"/>
      <c r="K19" s="200"/>
      <c r="L19" s="176" t="str">
        <f t="shared" si="6"/>
        <v>【Salesforceデータ連携（1販社先行検証）】3-3_要件定義_データ鮮度・更新頻度・保持期間の整理</v>
      </c>
      <c r="M19" s="202">
        <v>46237.0</v>
      </c>
      <c r="N19" s="202">
        <v>46246.0</v>
      </c>
      <c r="O19" s="167" t="s">
        <v>141</v>
      </c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ht="36.0" customHeight="1">
      <c r="A20" s="200" t="s">
        <v>163</v>
      </c>
      <c r="B20" s="200" t="s">
        <v>203</v>
      </c>
      <c r="C20" s="200" t="s">
        <v>207</v>
      </c>
      <c r="D20" s="175" t="str">
        <f t="shared" si="2"/>
        <v/>
      </c>
      <c r="E20" s="201" t="str">
        <f t="array" ref="E20">IF(B20="","",IF(B20&lt;&gt;B19,SUMPRODUCT(($B$5:B20&lt;&gt;$B$4:B19)*($B$5:B20&lt;&gt;"")),""))</f>
        <v/>
      </c>
      <c r="F20" s="201" t="str">
        <f t="shared" si="3"/>
        <v/>
      </c>
      <c r="G20" s="201">
        <f t="shared" si="4"/>
        <v>4</v>
      </c>
      <c r="H20" s="175" t="str">
        <f t="shared" si="5"/>
        <v>先行検証・号口反映・追加販社展開の境界整理</v>
      </c>
      <c r="I20" s="200"/>
      <c r="J20" s="200"/>
      <c r="K20" s="200"/>
      <c r="L20" s="176" t="str">
        <f t="shared" si="6"/>
        <v>【Salesforceデータ連携（1販社先行検証）】3-4_要件定義_先行検証・号口反映・追加販社展開の境界整理</v>
      </c>
      <c r="M20" s="202"/>
      <c r="N20" s="202"/>
      <c r="O20" s="167" t="s">
        <v>141</v>
      </c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ht="36.0" customHeight="1">
      <c r="A21" s="200" t="s">
        <v>163</v>
      </c>
      <c r="B21" s="200" t="s">
        <v>203</v>
      </c>
      <c r="C21" s="200" t="s">
        <v>242</v>
      </c>
      <c r="D21" s="175" t="str">
        <f t="shared" si="2"/>
        <v/>
      </c>
      <c r="E21" s="201" t="str">
        <f t="array" ref="E21">IF(B21="","",IF(B21&lt;&gt;B20,SUMPRODUCT(($B$5:B21&lt;&gt;$B$4:B20)*($B$5:B21&lt;&gt;"")),""))</f>
        <v/>
      </c>
      <c r="F21" s="201" t="str">
        <f t="shared" si="3"/>
        <v/>
      </c>
      <c r="G21" s="201">
        <f t="shared" si="4"/>
        <v>5</v>
      </c>
      <c r="H21" s="175" t="str">
        <f t="shared" si="5"/>
        <v>1販社先行検証要件書の作成・レビュー</v>
      </c>
      <c r="I21" s="200"/>
      <c r="J21" s="200"/>
      <c r="K21" s="200"/>
      <c r="L21" s="176" t="str">
        <f t="shared" si="6"/>
        <v>【Salesforceデータ連携（1販社先行検証）】3-5_要件定義_1販社先行検証要件書の作成・レビュー</v>
      </c>
      <c r="M21" s="202"/>
      <c r="N21" s="202"/>
      <c r="O21" s="167" t="s">
        <v>141</v>
      </c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ht="39.75" customHeight="1">
      <c r="A22" s="197" t="s">
        <v>163</v>
      </c>
      <c r="B22" s="197" t="s">
        <v>307</v>
      </c>
      <c r="C22" s="197" t="s">
        <v>308</v>
      </c>
      <c r="D22" s="197" t="str">
        <f t="shared" si="2"/>
        <v/>
      </c>
      <c r="E22" s="198">
        <f t="array" ref="E22">IF(B22="","",IF(B22&lt;&gt;B21,SUMPRODUCT(($B$5:B22&lt;&gt;$B$4:B21)*($B$5:B22&lt;&gt;"")),""))</f>
        <v>4</v>
      </c>
      <c r="F22" s="198" t="str">
        <f t="shared" si="3"/>
        <v>Salesforceデータ調査</v>
      </c>
      <c r="G22" s="198">
        <f t="shared" si="4"/>
        <v>1</v>
      </c>
      <c r="H22" s="164" t="str">
        <f t="shared" si="5"/>
        <v>対象Object・Fieldの洗い出し</v>
      </c>
      <c r="I22" s="197"/>
      <c r="J22" s="197"/>
      <c r="K22" s="197"/>
      <c r="L22" s="165" t="str">
        <f t="shared" si="6"/>
        <v>【Salesforceデータ連携（1販社先行検証）】4-1_Salesforceデータ調査_対象Object・Fieldの洗い出し</v>
      </c>
      <c r="M22" s="199">
        <v>46237.0</v>
      </c>
      <c r="N22" s="199">
        <v>46246.0</v>
      </c>
      <c r="O22" s="167" t="s">
        <v>141</v>
      </c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ht="36.0" customHeight="1">
      <c r="A23" s="200" t="s">
        <v>163</v>
      </c>
      <c r="B23" s="200" t="s">
        <v>307</v>
      </c>
      <c r="C23" s="200" t="s">
        <v>316</v>
      </c>
      <c r="D23" s="175" t="str">
        <f t="shared" si="2"/>
        <v/>
      </c>
      <c r="E23" s="201" t="str">
        <f t="array" ref="E23">IF(B23="","",IF(B23&lt;&gt;B22,SUMPRODUCT(($B$5:B23&lt;&gt;$B$4:B22)*($B$5:B23&lt;&gt;"")),""))</f>
        <v/>
      </c>
      <c r="F23" s="201" t="str">
        <f t="shared" si="3"/>
        <v/>
      </c>
      <c r="G23" s="201">
        <f t="shared" si="4"/>
        <v>2</v>
      </c>
      <c r="H23" s="175" t="str">
        <f t="shared" si="5"/>
        <v>キー・参照関係の調査</v>
      </c>
      <c r="I23" s="200"/>
      <c r="J23" s="200"/>
      <c r="K23" s="200"/>
      <c r="L23" s="176" t="str">
        <f t="shared" si="6"/>
        <v>【Salesforceデータ連携（1販社先行検証）】4-2_Salesforceデータ調査_キー・参照関係の調査</v>
      </c>
      <c r="M23" s="202">
        <v>46237.0</v>
      </c>
      <c r="N23" s="202">
        <v>46246.0</v>
      </c>
      <c r="O23" s="167" t="s">
        <v>141</v>
      </c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ht="36.0" customHeight="1">
      <c r="A24" s="200" t="s">
        <v>163</v>
      </c>
      <c r="B24" s="200" t="s">
        <v>307</v>
      </c>
      <c r="C24" s="200" t="s">
        <v>320</v>
      </c>
      <c r="D24" s="175" t="str">
        <f t="shared" si="2"/>
        <v/>
      </c>
      <c r="E24" s="201" t="str">
        <f t="array" ref="E24">IF(B24="","",IF(B24&lt;&gt;B23,SUMPRODUCT(($B$5:B24&lt;&gt;$B$4:B23)*($B$5:B24&lt;&gt;"")),""))</f>
        <v/>
      </c>
      <c r="F24" s="201" t="str">
        <f t="shared" si="3"/>
        <v/>
      </c>
      <c r="G24" s="201">
        <f t="shared" si="4"/>
        <v>3</v>
      </c>
      <c r="H24" s="175" t="str">
        <f t="shared" si="5"/>
        <v>データ件数・増加量・更新特性の調査</v>
      </c>
      <c r="I24" s="200"/>
      <c r="J24" s="200"/>
      <c r="K24" s="200"/>
      <c r="L24" s="176" t="str">
        <f t="shared" si="6"/>
        <v>【Salesforceデータ連携（1販社先行検証）】4-3_Salesforceデータ調査_データ件数・増加量・更新特性の調査</v>
      </c>
      <c r="M24" s="202">
        <v>46237.0</v>
      </c>
      <c r="N24" s="202">
        <v>46246.0</v>
      </c>
      <c r="O24" s="167" t="s">
        <v>141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ht="36.0" customHeight="1">
      <c r="A25" s="200" t="s">
        <v>163</v>
      </c>
      <c r="B25" s="200" t="s">
        <v>307</v>
      </c>
      <c r="C25" s="200" t="s">
        <v>325</v>
      </c>
      <c r="D25" s="175" t="str">
        <f t="shared" si="2"/>
        <v/>
      </c>
      <c r="E25" s="201" t="str">
        <f t="array" ref="E25">IF(B25="","",IF(B25&lt;&gt;B24,SUMPRODUCT(($B$5:B25&lt;&gt;$B$4:B24)*($B$5:B25&lt;&gt;"")),""))</f>
        <v/>
      </c>
      <c r="F25" s="201" t="str">
        <f t="shared" si="3"/>
        <v/>
      </c>
      <c r="G25" s="201">
        <f t="shared" si="4"/>
        <v>4</v>
      </c>
      <c r="H25" s="175" t="str">
        <f t="shared" si="5"/>
        <v>増分抽出候補項目の調査</v>
      </c>
      <c r="I25" s="200"/>
      <c r="J25" s="200"/>
      <c r="K25" s="200"/>
      <c r="L25" s="176" t="str">
        <f t="shared" si="6"/>
        <v>【Salesforceデータ連携（1販社先行検証）】4-4_Salesforceデータ調査_増分抽出候補項目の調査</v>
      </c>
      <c r="M25" s="202">
        <v>46237.0</v>
      </c>
      <c r="N25" s="202">
        <v>46246.0</v>
      </c>
      <c r="O25" s="167" t="s">
        <v>141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ht="36.0" customHeight="1">
      <c r="A26" s="200" t="s">
        <v>163</v>
      </c>
      <c r="B26" s="200" t="s">
        <v>307</v>
      </c>
      <c r="C26" s="200" t="s">
        <v>330</v>
      </c>
      <c r="D26" s="175" t="str">
        <f t="shared" si="2"/>
        <v/>
      </c>
      <c r="E26" s="201" t="str">
        <f t="array" ref="E26">IF(B26="","",IF(B26&lt;&gt;B25,SUMPRODUCT(($B$5:B26&lt;&gt;$B$4:B25)*($B$5:B26&lt;&gt;"")),""))</f>
        <v/>
      </c>
      <c r="F26" s="201" t="str">
        <f t="shared" si="3"/>
        <v/>
      </c>
      <c r="G26" s="201">
        <f t="shared" si="4"/>
        <v>5</v>
      </c>
      <c r="H26" s="175" t="str">
        <f t="shared" si="5"/>
        <v>削除データ・個人情報・機密項目の調査</v>
      </c>
      <c r="I26" s="200"/>
      <c r="J26" s="200"/>
      <c r="K26" s="200"/>
      <c r="L26" s="176" t="str">
        <f t="shared" si="6"/>
        <v>【Salesforceデータ連携（1販社先行検証）】4-5_Salesforceデータ調査_削除データ・個人情報・機密項目の調査</v>
      </c>
      <c r="M26" s="202">
        <v>46237.0</v>
      </c>
      <c r="N26" s="202">
        <v>46246.0</v>
      </c>
      <c r="O26" s="167" t="s">
        <v>141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ht="36.0" customHeight="1">
      <c r="A27" s="200" t="s">
        <v>163</v>
      </c>
      <c r="B27" s="200" t="s">
        <v>307</v>
      </c>
      <c r="C27" s="200" t="s">
        <v>335</v>
      </c>
      <c r="D27" s="175" t="str">
        <f t="shared" si="2"/>
        <v/>
      </c>
      <c r="E27" s="201" t="str">
        <f t="array" ref="E27">IF(B27="","",IF(B27&lt;&gt;B26,SUMPRODUCT(($B$5:B27&lt;&gt;$B$4:B26)*($B$5:B27&lt;&gt;"")),""))</f>
        <v/>
      </c>
      <c r="F27" s="201" t="str">
        <f t="shared" si="3"/>
        <v/>
      </c>
      <c r="G27" s="201">
        <f t="shared" si="4"/>
        <v>6</v>
      </c>
      <c r="H27" s="175" t="str">
        <f t="shared" si="5"/>
        <v>Salesforce調査結果一覧の作成・レビュー</v>
      </c>
      <c r="I27" s="200"/>
      <c r="J27" s="200"/>
      <c r="K27" s="200"/>
      <c r="L27" s="176" t="str">
        <f t="shared" si="6"/>
        <v>【Salesforceデータ連携（1販社先行検証）】4-6_Salesforceデータ調査_Salesforce調査結果一覧の作成・レビュー</v>
      </c>
      <c r="M27" s="202"/>
      <c r="N27" s="202"/>
      <c r="O27" s="167" t="s">
        <v>141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ht="39.75" customHeight="1">
      <c r="A28" s="197" t="s">
        <v>163</v>
      </c>
      <c r="B28" s="197" t="s">
        <v>339</v>
      </c>
      <c r="C28" s="197" t="s">
        <v>340</v>
      </c>
      <c r="D28" s="197" t="str">
        <f t="shared" si="2"/>
        <v/>
      </c>
      <c r="E28" s="198">
        <f t="array" ref="E28">IF(B28="","",IF(B28&lt;&gt;B27,SUMPRODUCT(($B$5:B28&lt;&gt;$B$4:B27)*($B$5:B28&lt;&gt;"")),""))</f>
        <v>5</v>
      </c>
      <c r="F28" s="198" t="str">
        <f t="shared" si="3"/>
        <v>全体・非機能設計</v>
      </c>
      <c r="G28" s="198">
        <f t="shared" si="4"/>
        <v>1</v>
      </c>
      <c r="H28" s="164" t="str">
        <f t="shared" si="5"/>
        <v>Salesforce→NiFi→Kudu（参照用TB）のE2E構成・責務分界設計</v>
      </c>
      <c r="I28" s="197"/>
      <c r="J28" s="197"/>
      <c r="K28" s="197"/>
      <c r="L28" s="165" t="str">
        <f t="shared" si="6"/>
        <v>【Salesforceデータ連携（1販社先行検証）】5-1_全体・非機能設計_Salesforce→NiFi→Kudu（参照用TB）のE2E構成・責務分界設計</v>
      </c>
      <c r="M28" s="199">
        <v>46244.0</v>
      </c>
      <c r="N28" s="199">
        <v>46253.0</v>
      </c>
      <c r="O28" s="167" t="s">
        <v>141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ht="36.0" customHeight="1">
      <c r="A29" s="200" t="s">
        <v>163</v>
      </c>
      <c r="B29" s="200" t="s">
        <v>339</v>
      </c>
      <c r="C29" s="200" t="s">
        <v>346</v>
      </c>
      <c r="D29" s="175" t="str">
        <f t="shared" si="2"/>
        <v/>
      </c>
      <c r="E29" s="201" t="str">
        <f t="array" ref="E29">IF(B29="","",IF(B29&lt;&gt;B28,SUMPRODUCT(($B$5:B29&lt;&gt;$B$4:B28)*($B$5:B29&lt;&gt;"")),""))</f>
        <v/>
      </c>
      <c r="F29" s="201" t="str">
        <f t="shared" si="3"/>
        <v/>
      </c>
      <c r="G29" s="201">
        <f t="shared" si="4"/>
        <v>2</v>
      </c>
      <c r="H29" s="175" t="str">
        <f t="shared" si="5"/>
        <v>システム構成図の作成・レビュー</v>
      </c>
      <c r="I29" s="200"/>
      <c r="J29" s="200"/>
      <c r="K29" s="200"/>
      <c r="L29" s="176" t="str">
        <f t="shared" si="6"/>
        <v>【Salesforceデータ連携（1販社先行検証）】5-2_全体・非機能設計_システム構成図の作成・レビュー</v>
      </c>
      <c r="M29" s="202">
        <v>46244.0</v>
      </c>
      <c r="N29" s="202">
        <v>46253.0</v>
      </c>
      <c r="O29" s="167" t="s">
        <v>141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ht="36.0" customHeight="1">
      <c r="A30" s="200" t="s">
        <v>163</v>
      </c>
      <c r="B30" s="200" t="s">
        <v>339</v>
      </c>
      <c r="C30" s="200" t="s">
        <v>350</v>
      </c>
      <c r="D30" s="175" t="str">
        <f t="shared" si="2"/>
        <v/>
      </c>
      <c r="E30" s="201" t="str">
        <f t="array" ref="E30">IF(B30="","",IF(B30&lt;&gt;B29,SUMPRODUCT(($B$5:B30&lt;&gt;$B$4:B29)*($B$5:B30&lt;&gt;"")),""))</f>
        <v/>
      </c>
      <c r="F30" s="201" t="str">
        <f t="shared" si="3"/>
        <v/>
      </c>
      <c r="G30" s="201">
        <f t="shared" si="4"/>
        <v>3</v>
      </c>
      <c r="H30" s="175" t="str">
        <f t="shared" si="5"/>
        <v>先行検証で確認する共通化・販社固有観点の整理</v>
      </c>
      <c r="I30" s="200"/>
      <c r="J30" s="200"/>
      <c r="K30" s="200"/>
      <c r="L30" s="176" t="str">
        <f t="shared" si="6"/>
        <v>【Salesforceデータ連携（1販社先行検証）】5-3_全体・非機能設計_先行検証で確認する共通化・販社固有観点の整理</v>
      </c>
      <c r="M30" s="202"/>
      <c r="N30" s="202"/>
      <c r="O30" s="167" t="s">
        <v>141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ht="36.0" customHeight="1">
      <c r="A31" s="200" t="s">
        <v>163</v>
      </c>
      <c r="B31" s="200" t="s">
        <v>339</v>
      </c>
      <c r="C31" s="200" t="s">
        <v>356</v>
      </c>
      <c r="D31" s="175" t="str">
        <f t="shared" si="2"/>
        <v/>
      </c>
      <c r="E31" s="201" t="str">
        <f t="array" ref="E31">IF(B31="","",IF(B31&lt;&gt;B30,SUMPRODUCT(($B$5:B31&lt;&gt;$B$4:B30)*($B$5:B31&lt;&gt;"")),""))</f>
        <v/>
      </c>
      <c r="F31" s="201" t="str">
        <f t="shared" si="3"/>
        <v/>
      </c>
      <c r="G31" s="201">
        <f t="shared" si="4"/>
        <v>4</v>
      </c>
      <c r="H31" s="175" t="str">
        <f t="shared" si="5"/>
        <v>データ鮮度・処理時間目標の整理</v>
      </c>
      <c r="I31" s="200"/>
      <c r="J31" s="200"/>
      <c r="K31" s="200"/>
      <c r="L31" s="176" t="str">
        <f t="shared" si="6"/>
        <v>【Salesforceデータ連携（1販社先行検証）】5-4_全体・非機能設計_データ鮮度・処理時間目標の整理</v>
      </c>
      <c r="M31" s="202"/>
      <c r="N31" s="202"/>
      <c r="O31" s="167" t="s">
        <v>141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ht="36.0" customHeight="1">
      <c r="A32" s="200" t="s">
        <v>163</v>
      </c>
      <c r="B32" s="200" t="s">
        <v>339</v>
      </c>
      <c r="C32" s="200" t="s">
        <v>361</v>
      </c>
      <c r="D32" s="175" t="str">
        <f t="shared" si="2"/>
        <v/>
      </c>
      <c r="E32" s="201" t="str">
        <f t="array" ref="E32">IF(B32="","",IF(B32&lt;&gt;B31,SUMPRODUCT(($B$5:B32&lt;&gt;$B$4:B31)*($B$5:B32&lt;&gt;"")),""))</f>
        <v/>
      </c>
      <c r="F32" s="201" t="str">
        <f t="shared" si="3"/>
        <v/>
      </c>
      <c r="G32" s="201">
        <f t="shared" si="4"/>
        <v>5</v>
      </c>
      <c r="H32" s="175" t="str">
        <f t="shared" si="5"/>
        <v>再実行・障害復旧・再取得方針の設計</v>
      </c>
      <c r="I32" s="200"/>
      <c r="J32" s="200"/>
      <c r="K32" s="200"/>
      <c r="L32" s="176" t="str">
        <f t="shared" si="6"/>
        <v>【Salesforceデータ連携（1販社先行検証）】5-5_全体・非機能設計_再実行・障害復旧・再取得方針の設計</v>
      </c>
      <c r="M32" s="202">
        <v>46244.0</v>
      </c>
      <c r="N32" s="202">
        <v>46253.0</v>
      </c>
      <c r="O32" s="167" t="s">
        <v>141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ht="36.0" customHeight="1">
      <c r="A33" s="200" t="s">
        <v>163</v>
      </c>
      <c r="B33" s="200" t="s">
        <v>339</v>
      </c>
      <c r="C33" s="200" t="s">
        <v>365</v>
      </c>
      <c r="D33" s="175" t="str">
        <f t="shared" si="2"/>
        <v/>
      </c>
      <c r="E33" s="201" t="str">
        <f t="array" ref="E33">IF(B33="","",IF(B33&lt;&gt;B32,SUMPRODUCT(($B$5:B33&lt;&gt;$B$4:B32)*($B$5:B33&lt;&gt;"")),""))</f>
        <v/>
      </c>
      <c r="F33" s="201" t="str">
        <f t="shared" si="3"/>
        <v/>
      </c>
      <c r="G33" s="201">
        <f t="shared" si="4"/>
        <v>6</v>
      </c>
      <c r="H33" s="175" t="str">
        <f t="shared" si="5"/>
        <v>監視・通知・ログ・処理履歴方針の設計</v>
      </c>
      <c r="I33" s="200"/>
      <c r="J33" s="200"/>
      <c r="K33" s="200"/>
      <c r="L33" s="176" t="str">
        <f t="shared" si="6"/>
        <v>【Salesforceデータ連携（1販社先行検証）】5-6_全体・非機能設計_監視・通知・ログ・処理履歴方針の設計</v>
      </c>
      <c r="M33" s="202"/>
      <c r="N33" s="202"/>
      <c r="O33" s="167" t="s">
        <v>141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ht="36.0" customHeight="1">
      <c r="A34" s="200" t="s">
        <v>163</v>
      </c>
      <c r="B34" s="200" t="s">
        <v>339</v>
      </c>
      <c r="C34" s="200" t="s">
        <v>370</v>
      </c>
      <c r="D34" s="175" t="str">
        <f t="shared" si="2"/>
        <v/>
      </c>
      <c r="E34" s="201" t="str">
        <f t="array" ref="E34">IF(B34="","",IF(B34&lt;&gt;B33,SUMPRODUCT(($B$5:B34&lt;&gt;$B$4:B33)*($B$5:B34&lt;&gt;"")),""))</f>
        <v/>
      </c>
      <c r="F34" s="201" t="str">
        <f t="shared" si="3"/>
        <v/>
      </c>
      <c r="G34" s="201">
        <f t="shared" si="4"/>
        <v>7</v>
      </c>
      <c r="H34" s="175" t="str">
        <f t="shared" si="5"/>
        <v>非機能・運用方針書の作成・レビュー</v>
      </c>
      <c r="I34" s="200"/>
      <c r="J34" s="200"/>
      <c r="K34" s="200"/>
      <c r="L34" s="176" t="str">
        <f t="shared" si="6"/>
        <v>【Salesforceデータ連携（1販社先行検証）】5-7_全体・非機能設計_非機能・運用方針書の作成・レビュー</v>
      </c>
      <c r="M34" s="202"/>
      <c r="N34" s="202"/>
      <c r="O34" s="167" t="s">
        <v>141</v>
      </c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ht="39.75" customHeight="1">
      <c r="A35" s="197" t="s">
        <v>163</v>
      </c>
      <c r="B35" s="197" t="s">
        <v>374</v>
      </c>
      <c r="C35" s="197" t="s">
        <v>375</v>
      </c>
      <c r="D35" s="197" t="str">
        <f t="shared" si="2"/>
        <v/>
      </c>
      <c r="E35" s="198">
        <f t="array" ref="E35">IF(B35="","",IF(B35&lt;&gt;B34,SUMPRODUCT(($B$5:B35&lt;&gt;$B$4:B34)*($B$5:B35&lt;&gt;"")),""))</f>
        <v>6</v>
      </c>
      <c r="F35" s="198" t="str">
        <f t="shared" si="3"/>
        <v>セキュリティ設計</v>
      </c>
      <c r="G35" s="198">
        <f t="shared" si="4"/>
        <v>1</v>
      </c>
      <c r="H35" s="164" t="str">
        <f t="shared" si="5"/>
        <v>Salesforce認証方式の設計</v>
      </c>
      <c r="I35" s="197"/>
      <c r="J35" s="197"/>
      <c r="K35" s="197"/>
      <c r="L35" s="165" t="str">
        <f t="shared" si="6"/>
        <v>【Salesforceデータ連携（1販社先行検証）】6-1_セキュリティ設計_Salesforce認証方式の設計</v>
      </c>
      <c r="M35" s="199">
        <v>46244.0</v>
      </c>
      <c r="N35" s="199">
        <v>46253.0</v>
      </c>
      <c r="O35" s="167" t="s">
        <v>141</v>
      </c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ht="36.0" customHeight="1">
      <c r="A36" s="200" t="s">
        <v>163</v>
      </c>
      <c r="B36" s="200" t="s">
        <v>374</v>
      </c>
      <c r="C36" s="200" t="s">
        <v>381</v>
      </c>
      <c r="D36" s="175" t="str">
        <f t="shared" si="2"/>
        <v/>
      </c>
      <c r="E36" s="201" t="str">
        <f t="array" ref="E36">IF(B36="","",IF(B36&lt;&gt;B35,SUMPRODUCT(($B$5:B36&lt;&gt;$B$4:B35)*($B$5:B36&lt;&gt;"")),""))</f>
        <v/>
      </c>
      <c r="F36" s="201" t="str">
        <f t="shared" si="3"/>
        <v/>
      </c>
      <c r="G36" s="201">
        <f t="shared" si="4"/>
        <v>2</v>
      </c>
      <c r="H36" s="175" t="str">
        <f t="shared" si="5"/>
        <v>連携基盤・保存先の認証認可設計</v>
      </c>
      <c r="I36" s="200"/>
      <c r="J36" s="200"/>
      <c r="K36" s="200"/>
      <c r="L36" s="176" t="str">
        <f t="shared" si="6"/>
        <v>【Salesforceデータ連携（1販社先行検証）】6-2_セキュリティ設計_連携基盤・保存先の認証認可設計</v>
      </c>
      <c r="M36" s="202">
        <v>46244.0</v>
      </c>
      <c r="N36" s="202">
        <v>46253.0</v>
      </c>
      <c r="O36" s="167" t="s">
        <v>141</v>
      </c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ht="36.0" customHeight="1">
      <c r="A37" s="200" t="s">
        <v>163</v>
      </c>
      <c r="B37" s="200" t="s">
        <v>374</v>
      </c>
      <c r="C37" s="200" t="s">
        <v>386</v>
      </c>
      <c r="D37" s="175" t="str">
        <f t="shared" si="2"/>
        <v/>
      </c>
      <c r="E37" s="201" t="str">
        <f t="array" ref="E37">IF(B37="","",IF(B37&lt;&gt;B36,SUMPRODUCT(($B$5:B37&lt;&gt;$B$4:B36)*($B$5:B37&lt;&gt;"")),""))</f>
        <v/>
      </c>
      <c r="F37" s="201" t="str">
        <f t="shared" si="3"/>
        <v/>
      </c>
      <c r="G37" s="201">
        <f t="shared" si="4"/>
        <v>3</v>
      </c>
      <c r="H37" s="175" t="str">
        <f t="shared" si="5"/>
        <v>Credential・Secret管理方式の設計</v>
      </c>
      <c r="I37" s="200"/>
      <c r="J37" s="200"/>
      <c r="K37" s="200"/>
      <c r="L37" s="176" t="str">
        <f t="shared" si="6"/>
        <v>【Salesforceデータ連携（1販社先行検証）】6-3_セキュリティ設計_Credential・Secret管理方式の設計</v>
      </c>
      <c r="M37" s="202">
        <v>46244.0</v>
      </c>
      <c r="N37" s="202">
        <v>46253.0</v>
      </c>
      <c r="O37" s="167" t="s">
        <v>141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ht="36.0" customHeight="1">
      <c r="A38" s="200" t="s">
        <v>163</v>
      </c>
      <c r="B38" s="200" t="s">
        <v>374</v>
      </c>
      <c r="C38" s="200" t="s">
        <v>391</v>
      </c>
      <c r="D38" s="175" t="str">
        <f t="shared" si="2"/>
        <v/>
      </c>
      <c r="E38" s="201" t="str">
        <f t="array" ref="E38">IF(B38="","",IF(B38&lt;&gt;B37,SUMPRODUCT(($B$5:B38&lt;&gt;$B$4:B37)*($B$5:B38&lt;&gt;"")),""))</f>
        <v/>
      </c>
      <c r="F38" s="201" t="str">
        <f t="shared" si="3"/>
        <v/>
      </c>
      <c r="G38" s="201">
        <f t="shared" si="4"/>
        <v>4</v>
      </c>
      <c r="H38" s="175" t="str">
        <f t="shared" si="5"/>
        <v>暗号化・機密データアクセス権の設計</v>
      </c>
      <c r="I38" s="200"/>
      <c r="J38" s="200"/>
      <c r="K38" s="200"/>
      <c r="L38" s="176" t="str">
        <f t="shared" si="6"/>
        <v>【Salesforceデータ連携（1販社先行検証）】6-4_セキュリティ設計_暗号化・機密データアクセス権の設計</v>
      </c>
      <c r="M38" s="202">
        <v>46244.0</v>
      </c>
      <c r="N38" s="202">
        <v>46253.0</v>
      </c>
      <c r="O38" s="167" t="s">
        <v>141</v>
      </c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ht="36.0" customHeight="1">
      <c r="A39" s="200" t="s">
        <v>163</v>
      </c>
      <c r="B39" s="200" t="s">
        <v>374</v>
      </c>
      <c r="C39" s="200" t="s">
        <v>395</v>
      </c>
      <c r="D39" s="175" t="str">
        <f t="shared" si="2"/>
        <v/>
      </c>
      <c r="E39" s="201" t="str">
        <f t="array" ref="E39">IF(B39="","",IF(B39&lt;&gt;B38,SUMPRODUCT(($B$5:B39&lt;&gt;$B$4:B38)*($B$5:B39&lt;&gt;"")),""))</f>
        <v/>
      </c>
      <c r="F39" s="201" t="str">
        <f t="shared" si="3"/>
        <v/>
      </c>
      <c r="G39" s="201">
        <f t="shared" si="4"/>
        <v>5</v>
      </c>
      <c r="H39" s="175" t="str">
        <f t="shared" si="5"/>
        <v>監査ログ・アクセスログ方針の設計</v>
      </c>
      <c r="I39" s="200"/>
      <c r="J39" s="200"/>
      <c r="K39" s="200"/>
      <c r="L39" s="176" t="str">
        <f t="shared" si="6"/>
        <v>【Salesforceデータ連携（1販社先行検証）】6-5_セキュリティ設計_監査ログ・アクセスログ方針の設計</v>
      </c>
      <c r="M39" s="202"/>
      <c r="N39" s="202"/>
      <c r="O39" s="167" t="s">
        <v>141</v>
      </c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ht="36.0" customHeight="1">
      <c r="A40" s="200" t="s">
        <v>163</v>
      </c>
      <c r="B40" s="200" t="s">
        <v>374</v>
      </c>
      <c r="C40" s="200" t="s">
        <v>399</v>
      </c>
      <c r="D40" s="175" t="str">
        <f t="shared" si="2"/>
        <v/>
      </c>
      <c r="E40" s="201" t="str">
        <f t="array" ref="E40">IF(B40="","",IF(B40&lt;&gt;B39,SUMPRODUCT(($B$5:B40&lt;&gt;$B$4:B39)*($B$5:B40&lt;&gt;"")),""))</f>
        <v/>
      </c>
      <c r="F40" s="201" t="str">
        <f t="shared" si="3"/>
        <v/>
      </c>
      <c r="G40" s="201">
        <f t="shared" si="4"/>
        <v>6</v>
      </c>
      <c r="H40" s="175" t="str">
        <f t="shared" si="5"/>
        <v>セキュリティ設計書の作成・レビュー</v>
      </c>
      <c r="I40" s="200"/>
      <c r="J40" s="200"/>
      <c r="K40" s="200"/>
      <c r="L40" s="176" t="str">
        <f t="shared" si="6"/>
        <v>【Salesforceデータ連携（1販社先行検証）】6-6_セキュリティ設計_セキュリティ設計書の作成・レビュー</v>
      </c>
      <c r="M40" s="202"/>
      <c r="N40" s="202"/>
      <c r="O40" s="167" t="s">
        <v>141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ht="39.75" customHeight="1">
      <c r="A41" s="197" t="s">
        <v>163</v>
      </c>
      <c r="B41" s="197" t="s">
        <v>403</v>
      </c>
      <c r="C41" s="197" t="s">
        <v>404</v>
      </c>
      <c r="D41" s="197" t="str">
        <f t="shared" si="2"/>
        <v/>
      </c>
      <c r="E41" s="198">
        <f t="array" ref="E41">IF(B41="","",IF(B41&lt;&gt;B40,SUMPRODUCT(($B$5:B41&lt;&gt;$B$4:B40)*($B$5:B41&lt;&gt;"")),""))</f>
        <v>7</v>
      </c>
      <c r="F41" s="198" t="str">
        <f t="shared" si="3"/>
        <v>ネットワーク設計</v>
      </c>
      <c r="G41" s="198">
        <f t="shared" si="4"/>
        <v>1</v>
      </c>
      <c r="H41" s="164" t="str">
        <f t="shared" si="5"/>
        <v>既存通信経路・接続方式の調査</v>
      </c>
      <c r="I41" s="197" t="s">
        <v>154</v>
      </c>
      <c r="J41" s="197"/>
      <c r="K41" s="197"/>
      <c r="L41" s="165" t="str">
        <f t="shared" si="6"/>
        <v>【Salesforceデータ連携（1販社先行検証）】7-1_ネットワーク設計_既存通信経路・接続方式の調査</v>
      </c>
      <c r="M41" s="199">
        <v>46244.0</v>
      </c>
      <c r="N41" s="199">
        <v>46248.0</v>
      </c>
      <c r="O41" s="167" t="s">
        <v>141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ht="36.0" customHeight="1">
      <c r="A42" s="200" t="s">
        <v>163</v>
      </c>
      <c r="B42" s="200" t="s">
        <v>403</v>
      </c>
      <c r="C42" s="200" t="s">
        <v>408</v>
      </c>
      <c r="D42" s="175" t="str">
        <f t="shared" si="2"/>
        <v/>
      </c>
      <c r="E42" s="201" t="str">
        <f t="array" ref="E42">IF(B42="","",IF(B42&lt;&gt;B41,SUMPRODUCT(($B$5:B42&lt;&gt;$B$4:B41)*($B$5:B42&lt;&gt;"")),""))</f>
        <v/>
      </c>
      <c r="F42" s="201" t="str">
        <f t="shared" si="3"/>
        <v/>
      </c>
      <c r="G42" s="201">
        <f t="shared" si="4"/>
        <v>2</v>
      </c>
      <c r="H42" s="175" t="str">
        <f t="shared" si="5"/>
        <v>Public／Private接続方式の決定</v>
      </c>
      <c r="I42" s="200" t="s">
        <v>154</v>
      </c>
      <c r="J42" s="200"/>
      <c r="K42" s="200"/>
      <c r="L42" s="176" t="str">
        <f t="shared" si="6"/>
        <v>【Salesforceデータ連携（1販社先行検証）】7-2_ネットワーク設計_Public／Private接続方式の決定</v>
      </c>
      <c r="M42" s="202">
        <v>46244.0</v>
      </c>
      <c r="N42" s="202">
        <v>46248.0</v>
      </c>
      <c r="O42" s="167" t="s">
        <v>141</v>
      </c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ht="36.0" customHeight="1">
      <c r="A43" s="200" t="s">
        <v>163</v>
      </c>
      <c r="B43" s="200" t="s">
        <v>403</v>
      </c>
      <c r="C43" s="200" t="s">
        <v>412</v>
      </c>
      <c r="D43" s="175" t="str">
        <f t="shared" si="2"/>
        <v/>
      </c>
      <c r="E43" s="201" t="str">
        <f t="array" ref="E43">IF(B43="","",IF(B43&lt;&gt;B42,SUMPRODUCT(($B$5:B43&lt;&gt;$B$4:B42)*($B$5:B43&lt;&gt;"")),""))</f>
        <v/>
      </c>
      <c r="F43" s="201" t="str">
        <f t="shared" si="3"/>
        <v/>
      </c>
      <c r="G43" s="201">
        <f t="shared" si="4"/>
        <v>3</v>
      </c>
      <c r="H43" s="175" t="str">
        <f t="shared" si="5"/>
        <v>接続先・Port・Protocolの整理</v>
      </c>
      <c r="I43" s="200" t="s">
        <v>154</v>
      </c>
      <c r="J43" s="200"/>
      <c r="K43" s="200"/>
      <c r="L43" s="176" t="str">
        <f t="shared" si="6"/>
        <v>【Salesforceデータ連携（1販社先行検証）】7-3_ネットワーク設計_接続先・Port・Protocolの整理</v>
      </c>
      <c r="M43" s="202">
        <v>46244.0</v>
      </c>
      <c r="N43" s="202">
        <v>46248.0</v>
      </c>
      <c r="O43" s="167" t="s">
        <v>141</v>
      </c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ht="36.0" customHeight="1">
      <c r="A44" s="200" t="s">
        <v>163</v>
      </c>
      <c r="B44" s="200" t="s">
        <v>403</v>
      </c>
      <c r="C44" s="200" t="s">
        <v>416</v>
      </c>
      <c r="D44" s="175" t="str">
        <f t="shared" si="2"/>
        <v/>
      </c>
      <c r="E44" s="201" t="str">
        <f t="array" ref="E44">IF(B44="","",IF(B44&lt;&gt;B43,SUMPRODUCT(($B$5:B44&lt;&gt;$B$4:B43)*($B$5:B44&lt;&gt;"")),""))</f>
        <v/>
      </c>
      <c r="F44" s="201" t="str">
        <f t="shared" si="3"/>
        <v/>
      </c>
      <c r="G44" s="201">
        <f t="shared" si="4"/>
        <v>4</v>
      </c>
      <c r="H44" s="175" t="str">
        <f t="shared" si="5"/>
        <v>ネットワーク設定変更依頼内容の整理</v>
      </c>
      <c r="I44" s="200" t="s">
        <v>154</v>
      </c>
      <c r="J44" s="200"/>
      <c r="K44" s="200"/>
      <c r="L44" s="176" t="str">
        <f t="shared" si="6"/>
        <v>【Salesforceデータ連携（1販社先行検証）】7-4_ネットワーク設計_ネットワーク設定変更依頼内容の整理</v>
      </c>
      <c r="M44" s="202">
        <v>46251.0</v>
      </c>
      <c r="N44" s="202">
        <v>46255.0</v>
      </c>
      <c r="O44" s="167" t="s">
        <v>141</v>
      </c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ht="36.0" customHeight="1">
      <c r="A45" s="200" t="s">
        <v>163</v>
      </c>
      <c r="B45" s="200" t="s">
        <v>403</v>
      </c>
      <c r="C45" s="200" t="s">
        <v>421</v>
      </c>
      <c r="D45" s="175" t="str">
        <f t="shared" si="2"/>
        <v/>
      </c>
      <c r="E45" s="201" t="str">
        <f t="array" ref="E45">IF(B45="","",IF(B45&lt;&gt;B44,SUMPRODUCT(($B$5:B45&lt;&gt;$B$4:B44)*($B$5:B45&lt;&gt;"")),""))</f>
        <v/>
      </c>
      <c r="F45" s="201" t="str">
        <f t="shared" si="3"/>
        <v/>
      </c>
      <c r="G45" s="201">
        <f t="shared" si="4"/>
        <v>5</v>
      </c>
      <c r="H45" s="175" t="str">
        <f t="shared" si="5"/>
        <v>区間別疎通試験方法の設計</v>
      </c>
      <c r="I45" s="200" t="s">
        <v>154</v>
      </c>
      <c r="J45" s="200"/>
      <c r="K45" s="200"/>
      <c r="L45" s="176" t="str">
        <f t="shared" si="6"/>
        <v>【Salesforceデータ連携（1販社先行検証）】7-5_ネットワーク設計_区間別疎通試験方法の設計</v>
      </c>
      <c r="M45" s="202">
        <v>46251.0</v>
      </c>
      <c r="N45" s="202">
        <v>46255.0</v>
      </c>
      <c r="O45" s="167" t="s">
        <v>141</v>
      </c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ht="36.0" customHeight="1">
      <c r="A46" s="200" t="s">
        <v>163</v>
      </c>
      <c r="B46" s="200" t="s">
        <v>403</v>
      </c>
      <c r="C46" s="200" t="s">
        <v>425</v>
      </c>
      <c r="D46" s="175" t="str">
        <f t="shared" si="2"/>
        <v/>
      </c>
      <c r="E46" s="201" t="str">
        <f t="array" ref="E46">IF(B46="","",IF(B46&lt;&gt;B45,SUMPRODUCT(($B$5:B46&lt;&gt;$B$4:B45)*($B$5:B46&lt;&gt;"")),""))</f>
        <v/>
      </c>
      <c r="F46" s="201" t="str">
        <f t="shared" si="3"/>
        <v/>
      </c>
      <c r="G46" s="201">
        <f t="shared" si="4"/>
        <v>6</v>
      </c>
      <c r="H46" s="175" t="str">
        <f t="shared" si="5"/>
        <v>ネットワーク・アプリ障害切り分け方式の設計</v>
      </c>
      <c r="I46" s="200" t="s">
        <v>154</v>
      </c>
      <c r="J46" s="200"/>
      <c r="K46" s="200"/>
      <c r="L46" s="176" t="str">
        <f t="shared" si="6"/>
        <v>【Salesforceデータ連携（1販社先行検証）】7-6_ネットワーク設計_ネットワーク・アプリ障害切り分け方式の設計</v>
      </c>
      <c r="M46" s="202"/>
      <c r="N46" s="202"/>
      <c r="O46" s="167" t="s">
        <v>141</v>
      </c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ht="36.0" customHeight="1">
      <c r="A47" s="200" t="s">
        <v>163</v>
      </c>
      <c r="B47" s="200" t="s">
        <v>403</v>
      </c>
      <c r="C47" s="200" t="s">
        <v>429</v>
      </c>
      <c r="D47" s="175" t="str">
        <f t="shared" si="2"/>
        <v/>
      </c>
      <c r="E47" s="201" t="str">
        <f t="array" ref="E47">IF(B47="","",IF(B47&lt;&gt;B46,SUMPRODUCT(($B$5:B47&lt;&gt;$B$4:B46)*($B$5:B47&lt;&gt;"")),""))</f>
        <v/>
      </c>
      <c r="F47" s="201" t="str">
        <f t="shared" si="3"/>
        <v/>
      </c>
      <c r="G47" s="201">
        <f t="shared" si="4"/>
        <v>7</v>
      </c>
      <c r="H47" s="175" t="str">
        <f t="shared" si="5"/>
        <v>ネットワーク接続設計書の作成・レビュー</v>
      </c>
      <c r="I47" s="200" t="s">
        <v>154</v>
      </c>
      <c r="J47" s="200"/>
      <c r="K47" s="200"/>
      <c r="L47" s="176" t="str">
        <f t="shared" si="6"/>
        <v>【Salesforceデータ連携（1販社先行検証）】7-7_ネットワーク設計_ネットワーク接続設計書の作成・レビュー</v>
      </c>
      <c r="M47" s="202"/>
      <c r="N47" s="202"/>
      <c r="O47" s="167" t="s">
        <v>141</v>
      </c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ht="39.75" customHeight="1">
      <c r="A48" s="197" t="s">
        <v>163</v>
      </c>
      <c r="B48" s="197" t="s">
        <v>432</v>
      </c>
      <c r="C48" s="197" t="s">
        <v>433</v>
      </c>
      <c r="D48" s="197" t="str">
        <f t="shared" si="2"/>
        <v/>
      </c>
      <c r="E48" s="198">
        <f t="array" ref="E48">IF(B48="","",IF(B48&lt;&gt;B47,SUMPRODUCT(($B$5:B48&lt;&gt;$B$4:B47)*($B$5:B48&lt;&gt;"")),""))</f>
        <v>8</v>
      </c>
      <c r="F48" s="198" t="str">
        <f t="shared" si="3"/>
        <v>データ連携・IF設計</v>
      </c>
      <c r="G48" s="198">
        <f t="shared" si="4"/>
        <v>1</v>
      </c>
      <c r="H48" s="164" t="str">
        <f t="shared" si="5"/>
        <v>Objectごとの取得方式・Load Typeの設計</v>
      </c>
      <c r="I48" s="197"/>
      <c r="J48" s="197"/>
      <c r="K48" s="197"/>
      <c r="L48" s="165" t="str">
        <f t="shared" si="6"/>
        <v>【Salesforceデータ連携（1販社先行検証）】8-1_データ連携・IF設計_Objectごとの取得方式・Load Typeの設計</v>
      </c>
      <c r="M48" s="199">
        <v>46251.0</v>
      </c>
      <c r="N48" s="199">
        <v>46260.0</v>
      </c>
      <c r="O48" s="167" t="s">
        <v>141</v>
      </c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ht="36.0" customHeight="1">
      <c r="A49" s="200" t="s">
        <v>163</v>
      </c>
      <c r="B49" s="200" t="s">
        <v>432</v>
      </c>
      <c r="C49" s="200" t="s">
        <v>439</v>
      </c>
      <c r="D49" s="175" t="str">
        <f t="shared" si="2"/>
        <v/>
      </c>
      <c r="E49" s="201" t="str">
        <f t="array" ref="E49">IF(B49="","",IF(B49&lt;&gt;B48,SUMPRODUCT(($B$5:B49&lt;&gt;$B$4:B48)*($B$5:B49&lt;&gt;"")),""))</f>
        <v/>
      </c>
      <c r="F49" s="201" t="str">
        <f t="shared" si="3"/>
        <v/>
      </c>
      <c r="G49" s="201">
        <f t="shared" si="4"/>
        <v>2</v>
      </c>
      <c r="H49" s="175" t="str">
        <f t="shared" si="5"/>
        <v>Salesforce API制約を考慮した取得方式の設計</v>
      </c>
      <c r="I49" s="200"/>
      <c r="J49" s="200"/>
      <c r="K49" s="200"/>
      <c r="L49" s="176" t="str">
        <f t="shared" si="6"/>
        <v>【Salesforceデータ連携（1販社先行検証）】8-2_データ連携・IF設計_Salesforce API制約を考慮した取得方式の設計</v>
      </c>
      <c r="M49" s="202">
        <v>46251.0</v>
      </c>
      <c r="N49" s="202">
        <v>46260.0</v>
      </c>
      <c r="O49" s="167" t="s">
        <v>141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ht="36.0" customHeight="1">
      <c r="A50" s="200" t="s">
        <v>163</v>
      </c>
      <c r="B50" s="200" t="s">
        <v>432</v>
      </c>
      <c r="C50" s="200" t="s">
        <v>443</v>
      </c>
      <c r="D50" s="175" t="str">
        <f t="shared" si="2"/>
        <v/>
      </c>
      <c r="E50" s="201" t="str">
        <f t="array" ref="E50">IF(B50="","",IF(B50&lt;&gt;B49,SUMPRODUCT(($B$5:B50&lt;&gt;$B$4:B49)*($B$5:B50&lt;&gt;"")),""))</f>
        <v/>
      </c>
      <c r="F50" s="201" t="str">
        <f t="shared" si="3"/>
        <v/>
      </c>
      <c r="G50" s="201">
        <f t="shared" si="4"/>
        <v>3</v>
      </c>
      <c r="H50" s="175" t="str">
        <f t="shared" si="5"/>
        <v>冪等性・重複排除方式の設計</v>
      </c>
      <c r="I50" s="200"/>
      <c r="J50" s="200"/>
      <c r="K50" s="200"/>
      <c r="L50" s="176" t="str">
        <f t="shared" si="6"/>
        <v>【Salesforceデータ連携（1販社先行検証）】8-3_データ連携・IF設計_冪等性・重複排除方式の設計</v>
      </c>
      <c r="M50" s="202">
        <v>46251.0</v>
      </c>
      <c r="N50" s="202">
        <v>46260.0</v>
      </c>
      <c r="O50" s="167" t="s">
        <v>141</v>
      </c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ht="36.0" customHeight="1">
      <c r="A51" s="200" t="s">
        <v>163</v>
      </c>
      <c r="B51" s="200" t="s">
        <v>432</v>
      </c>
      <c r="C51" s="200" t="s">
        <v>447</v>
      </c>
      <c r="D51" s="175" t="str">
        <f t="shared" si="2"/>
        <v/>
      </c>
      <c r="E51" s="201" t="str">
        <f t="array" ref="E51">IF(B51="","",IF(B51&lt;&gt;B50,SUMPRODUCT(($B$5:B51&lt;&gt;$B$4:B50)*($B$5:B51&lt;&gt;"")),""))</f>
        <v/>
      </c>
      <c r="F51" s="201" t="str">
        <f t="shared" si="3"/>
        <v/>
      </c>
      <c r="G51" s="201">
        <f t="shared" si="4"/>
        <v>4</v>
      </c>
      <c r="H51" s="175" t="str">
        <f t="shared" si="5"/>
        <v>データマッピング設計</v>
      </c>
      <c r="I51" s="200"/>
      <c r="J51" s="200"/>
      <c r="K51" s="200"/>
      <c r="L51" s="176" t="str">
        <f t="shared" si="6"/>
        <v>【Salesforceデータ連携（1販社先行検証）】8-4_データ連携・IF設計_データマッピング設計</v>
      </c>
      <c r="M51" s="202">
        <v>46251.0</v>
      </c>
      <c r="N51" s="202">
        <v>46260.0</v>
      </c>
      <c r="O51" s="167" t="s">
        <v>141</v>
      </c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ht="36.0" customHeight="1">
      <c r="A52" s="200" t="s">
        <v>163</v>
      </c>
      <c r="B52" s="200" t="s">
        <v>432</v>
      </c>
      <c r="C52" s="200" t="s">
        <v>452</v>
      </c>
      <c r="D52" s="175" t="str">
        <f t="shared" si="2"/>
        <v/>
      </c>
      <c r="E52" s="201" t="str">
        <f t="array" ref="E52">IF(B52="","",IF(B52&lt;&gt;B51,SUMPRODUCT(($B$5:B52&lt;&gt;$B$4:B51)*($B$5:B52&lt;&gt;"")),""))</f>
        <v/>
      </c>
      <c r="F52" s="201" t="str">
        <f t="shared" si="3"/>
        <v/>
      </c>
      <c r="G52" s="201">
        <f t="shared" si="4"/>
        <v>5</v>
      </c>
      <c r="H52" s="175" t="str">
        <f t="shared" si="5"/>
        <v>データ変換ルールの設計</v>
      </c>
      <c r="I52" s="200"/>
      <c r="J52" s="200"/>
      <c r="K52" s="200"/>
      <c r="L52" s="176" t="str">
        <f t="shared" si="6"/>
        <v>【Salesforceデータ連携（1販社先行検証）】8-5_データ連携・IF設計_データ変換ルールの設計</v>
      </c>
      <c r="M52" s="202"/>
      <c r="N52" s="202"/>
      <c r="O52" s="167" t="s">
        <v>141</v>
      </c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ht="36.0" customHeight="1">
      <c r="A53" s="200" t="s">
        <v>163</v>
      </c>
      <c r="B53" s="200" t="s">
        <v>432</v>
      </c>
      <c r="C53" s="200" t="s">
        <v>457</v>
      </c>
      <c r="D53" s="175" t="str">
        <f t="shared" si="2"/>
        <v/>
      </c>
      <c r="E53" s="201" t="str">
        <f t="array" ref="E53">IF(B53="","",IF(B53&lt;&gt;B52,SUMPRODUCT(($B$5:B53&lt;&gt;$B$4:B52)*($B$5:B53&lt;&gt;"")),""))</f>
        <v/>
      </c>
      <c r="F53" s="201" t="str">
        <f t="shared" si="3"/>
        <v/>
      </c>
      <c r="G53" s="201">
        <f t="shared" si="4"/>
        <v>6</v>
      </c>
      <c r="H53" s="175" t="str">
        <f t="shared" si="5"/>
        <v>インターフェース設計書の作成・レビュー</v>
      </c>
      <c r="I53" s="200"/>
      <c r="J53" s="200"/>
      <c r="K53" s="200"/>
      <c r="L53" s="176" t="str">
        <f t="shared" si="6"/>
        <v>【Salesforceデータ連携（1販社先行検証）】8-6_データ連携・IF設計_インターフェース設計書の作成・レビュー</v>
      </c>
      <c r="M53" s="202"/>
      <c r="N53" s="202"/>
      <c r="O53" s="167" t="s">
        <v>141</v>
      </c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ht="36.0" customHeight="1">
      <c r="A54" s="200" t="s">
        <v>163</v>
      </c>
      <c r="B54" s="200" t="s">
        <v>432</v>
      </c>
      <c r="C54" s="200" t="s">
        <v>460</v>
      </c>
      <c r="D54" s="175" t="str">
        <f t="shared" si="2"/>
        <v/>
      </c>
      <c r="E54" s="201" t="str">
        <f t="array" ref="E54">IF(B54="","",IF(B54&lt;&gt;B53,SUMPRODUCT(($B$5:B54&lt;&gt;$B$4:B53)*($B$5:B54&lt;&gt;"")),""))</f>
        <v/>
      </c>
      <c r="F54" s="201" t="str">
        <f t="shared" si="3"/>
        <v/>
      </c>
      <c r="G54" s="201">
        <f t="shared" si="4"/>
        <v>7</v>
      </c>
      <c r="H54" s="175" t="str">
        <f t="shared" si="5"/>
        <v>データマッピング設計書の作成・レビュー</v>
      </c>
      <c r="I54" s="200"/>
      <c r="J54" s="200"/>
      <c r="K54" s="200"/>
      <c r="L54" s="176" t="str">
        <f t="shared" si="6"/>
        <v>【Salesforceデータ連携（1販社先行検証）】8-7_データ連携・IF設計_データマッピング設計書の作成・レビュー</v>
      </c>
      <c r="M54" s="202">
        <v>46258.0</v>
      </c>
      <c r="N54" s="202">
        <v>46262.0</v>
      </c>
      <c r="O54" s="167" t="s">
        <v>141</v>
      </c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ht="39.75" customHeight="1">
      <c r="A55" s="197" t="s">
        <v>163</v>
      </c>
      <c r="B55" s="197" t="s">
        <v>463</v>
      </c>
      <c r="C55" s="197" t="s">
        <v>464</v>
      </c>
      <c r="D55" s="197" t="str">
        <f t="shared" si="2"/>
        <v/>
      </c>
      <c r="E55" s="198">
        <f t="array" ref="E55">IF(B55="","",IF(B55&lt;&gt;B54,SUMPRODUCT(($B$5:B55&lt;&gt;$B$4:B54)*($B$5:B55&lt;&gt;"")),""))</f>
        <v>9</v>
      </c>
      <c r="F55" s="198" t="str">
        <f t="shared" si="3"/>
        <v>データ保存・テーブル設計</v>
      </c>
      <c r="G55" s="198">
        <f t="shared" si="4"/>
        <v>1</v>
      </c>
      <c r="H55" s="164" t="str">
        <f t="shared" si="5"/>
        <v>Salesforce項目とKudu参照用TB項目の対応設計</v>
      </c>
      <c r="I55" s="197"/>
      <c r="J55" s="197"/>
      <c r="K55" s="197"/>
      <c r="L55" s="165" t="str">
        <f t="shared" si="6"/>
        <v>【Salesforceデータ連携（1販社先行検証）】9-1_データ保存・テーブル設計_Salesforce項目とKudu参照用TB項目の対応設計</v>
      </c>
      <c r="M55" s="199">
        <v>46251.0</v>
      </c>
      <c r="N55" s="199">
        <v>46262.0</v>
      </c>
      <c r="O55" s="167" t="s">
        <v>141</v>
      </c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ht="36.0" customHeight="1">
      <c r="A56" s="200" t="s">
        <v>163</v>
      </c>
      <c r="B56" s="200" t="s">
        <v>463</v>
      </c>
      <c r="C56" s="200" t="s">
        <v>468</v>
      </c>
      <c r="D56" s="175" t="str">
        <f t="shared" si="2"/>
        <v/>
      </c>
      <c r="E56" s="201" t="str">
        <f t="array" ref="E56">IF(B56="","",IF(B56&lt;&gt;B55,SUMPRODUCT(($B$5:B56&lt;&gt;$B$4:B55)*($B$5:B56&lt;&gt;"")),""))</f>
        <v/>
      </c>
      <c r="F56" s="201" t="str">
        <f t="shared" si="3"/>
        <v/>
      </c>
      <c r="G56" s="201">
        <f t="shared" si="4"/>
        <v>2</v>
      </c>
      <c r="H56" s="175" t="str">
        <f t="shared" si="5"/>
        <v>販社識別子・レコードキーの設計</v>
      </c>
      <c r="I56" s="200"/>
      <c r="J56" s="200"/>
      <c r="K56" s="200"/>
      <c r="L56" s="176" t="str">
        <f t="shared" si="6"/>
        <v>【Salesforceデータ連携（1販社先行検証）】9-2_データ保存・テーブル設計_販社識別子・レコードキーの設計</v>
      </c>
      <c r="M56" s="202"/>
      <c r="N56" s="202"/>
      <c r="O56" s="167" t="s">
        <v>141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ht="36.0" customHeight="1">
      <c r="A57" s="200" t="s">
        <v>163</v>
      </c>
      <c r="B57" s="200" t="s">
        <v>463</v>
      </c>
      <c r="C57" s="200" t="s">
        <v>473</v>
      </c>
      <c r="D57" s="175" t="str">
        <f t="shared" si="2"/>
        <v/>
      </c>
      <c r="E57" s="201" t="str">
        <f t="array" ref="E57">IF(B57="","",IF(B57&lt;&gt;B56,SUMPRODUCT(($B$5:B57&lt;&gt;$B$4:B56)*($B$5:B57&lt;&gt;"")),""))</f>
        <v/>
      </c>
      <c r="F57" s="201" t="str">
        <f t="shared" si="3"/>
        <v/>
      </c>
      <c r="G57" s="201">
        <f t="shared" si="4"/>
        <v>3</v>
      </c>
      <c r="H57" s="175" t="str">
        <f t="shared" si="5"/>
        <v>Kudu参照用TB定義書の作成・レビュー</v>
      </c>
      <c r="I57" s="200"/>
      <c r="J57" s="200"/>
      <c r="K57" s="200"/>
      <c r="L57" s="176" t="str">
        <f t="shared" si="6"/>
        <v>【Salesforceデータ連携（1販社先行検証）】9-3_データ保存・テーブル設計_Kudu参照用TB定義書の作成・レビュー</v>
      </c>
      <c r="M57" s="202">
        <v>46251.0</v>
      </c>
      <c r="N57" s="202">
        <v>46262.0</v>
      </c>
      <c r="O57" s="167" t="s">
        <v>141</v>
      </c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ht="39.75" customHeight="1">
      <c r="A58" s="197" t="s">
        <v>163</v>
      </c>
      <c r="B58" s="197" t="s">
        <v>477</v>
      </c>
      <c r="C58" s="197" t="s">
        <v>478</v>
      </c>
      <c r="D58" s="197" t="str">
        <f t="shared" si="2"/>
        <v/>
      </c>
      <c r="E58" s="198">
        <f t="array" ref="E58">IF(B58="","",IF(B58&lt;&gt;B57,SUMPRODUCT(($B$5:B58&lt;&gt;$B$4:B57)*($B$5:B58&lt;&gt;"")),""))</f>
        <v>10</v>
      </c>
      <c r="F58" s="198" t="str">
        <f t="shared" si="3"/>
        <v>Salesforce接続設定</v>
      </c>
      <c r="G58" s="198">
        <f t="shared" si="4"/>
        <v>1</v>
      </c>
      <c r="H58" s="164" t="str">
        <f t="shared" si="5"/>
        <v>Salesforce接続Credential・権限設定</v>
      </c>
      <c r="I58" s="197"/>
      <c r="J58" s="197"/>
      <c r="K58" s="197"/>
      <c r="L58" s="165" t="str">
        <f t="shared" si="6"/>
        <v>【Salesforceデータ連携（1販社先行検証）】10-1_Salesforce接続設定_Salesforce接続Credential・権限設定</v>
      </c>
      <c r="M58" s="199">
        <v>46251.0</v>
      </c>
      <c r="N58" s="199">
        <v>46255.0</v>
      </c>
      <c r="O58" s="167" t="s">
        <v>141</v>
      </c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ht="36.0" customHeight="1">
      <c r="A59" s="200" t="s">
        <v>163</v>
      </c>
      <c r="B59" s="200" t="s">
        <v>477</v>
      </c>
      <c r="C59" s="200" t="s">
        <v>484</v>
      </c>
      <c r="D59" s="175" t="str">
        <f t="shared" si="2"/>
        <v/>
      </c>
      <c r="E59" s="201" t="str">
        <f t="array" ref="E59">IF(B59="","",IF(B59&lt;&gt;B58,SUMPRODUCT(($B$5:B59&lt;&gt;$B$4:B58)*($B$5:B59&lt;&gt;"")),""))</f>
        <v/>
      </c>
      <c r="F59" s="201" t="str">
        <f t="shared" si="3"/>
        <v/>
      </c>
      <c r="G59" s="201">
        <f t="shared" si="4"/>
        <v>2</v>
      </c>
      <c r="H59" s="175" t="str">
        <f t="shared" si="5"/>
        <v>NiFi for Salesforce接続設定</v>
      </c>
      <c r="I59" s="200"/>
      <c r="J59" s="200"/>
      <c r="K59" s="200"/>
      <c r="L59" s="176" t="str">
        <f t="shared" si="6"/>
        <v>【Salesforceデータ連携（1販社先行検証）】10-2_Salesforce接続設定_NiFi for Salesforce接続設定</v>
      </c>
      <c r="M59" s="202">
        <v>46251.0</v>
      </c>
      <c r="N59" s="202">
        <v>46255.0</v>
      </c>
      <c r="O59" s="167" t="s">
        <v>141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ht="36.0" customHeight="1">
      <c r="A60" s="200" t="s">
        <v>163</v>
      </c>
      <c r="B60" s="200" t="s">
        <v>477</v>
      </c>
      <c r="C60" s="200" t="s">
        <v>489</v>
      </c>
      <c r="D60" s="175" t="str">
        <f t="shared" si="2"/>
        <v/>
      </c>
      <c r="E60" s="201" t="str">
        <f t="array" ref="E60">IF(B60="","",IF(B60&lt;&gt;B59,SUMPRODUCT(($B$5:B60&lt;&gt;$B$4:B59)*($B$5:B60&lt;&gt;"")),""))</f>
        <v/>
      </c>
      <c r="F60" s="201" t="str">
        <f t="shared" si="3"/>
        <v/>
      </c>
      <c r="G60" s="201">
        <f t="shared" si="4"/>
        <v>3</v>
      </c>
      <c r="H60" s="175" t="str">
        <f t="shared" si="5"/>
        <v>対象Objectアクセス・サンプル取得確認</v>
      </c>
      <c r="I60" s="200"/>
      <c r="J60" s="200"/>
      <c r="K60" s="200"/>
      <c r="L60" s="176" t="str">
        <f t="shared" si="6"/>
        <v>【Salesforceデータ連携（1販社先行検証）】10-3_Salesforce接続設定_対象Objectアクセス・サンプル取得確認</v>
      </c>
      <c r="M60" s="202">
        <v>46251.0</v>
      </c>
      <c r="N60" s="202">
        <v>46255.0</v>
      </c>
      <c r="O60" s="167" t="s">
        <v>141</v>
      </c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ht="36.0" customHeight="1">
      <c r="A61" s="200" t="s">
        <v>163</v>
      </c>
      <c r="B61" s="200" t="s">
        <v>477</v>
      </c>
      <c r="C61" s="200" t="s">
        <v>493</v>
      </c>
      <c r="D61" s="175" t="str">
        <f t="shared" si="2"/>
        <v/>
      </c>
      <c r="E61" s="201" t="str">
        <f t="array" ref="E61">IF(B61="","",IF(B61&lt;&gt;B60,SUMPRODUCT(($B$5:B61&lt;&gt;$B$4:B60)*($B$5:B61&lt;&gt;"")),""))</f>
        <v/>
      </c>
      <c r="F61" s="201" t="str">
        <f t="shared" si="3"/>
        <v/>
      </c>
      <c r="G61" s="201">
        <f t="shared" si="4"/>
        <v>4</v>
      </c>
      <c r="H61" s="175" t="str">
        <f t="shared" si="5"/>
        <v>API接続・基本エラー動作確認</v>
      </c>
      <c r="I61" s="200"/>
      <c r="J61" s="200"/>
      <c r="K61" s="200"/>
      <c r="L61" s="176" t="str">
        <f t="shared" si="6"/>
        <v>【Salesforceデータ連携（1販社先行検証）】10-4_Salesforce接続設定_API接続・基本エラー動作確認</v>
      </c>
      <c r="M61" s="202">
        <v>46251.0</v>
      </c>
      <c r="N61" s="202">
        <v>46255.0</v>
      </c>
      <c r="O61" s="167" t="s">
        <v>141</v>
      </c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ht="39.75" customHeight="1">
      <c r="A62" s="197" t="s">
        <v>163</v>
      </c>
      <c r="B62" s="197" t="s">
        <v>498</v>
      </c>
      <c r="C62" s="197" t="s">
        <v>499</v>
      </c>
      <c r="D62" s="197" t="str">
        <f t="shared" si="2"/>
        <v/>
      </c>
      <c r="E62" s="198">
        <f t="array" ref="E62">IF(B62="","",IF(B62&lt;&gt;B61,SUMPRODUCT(($B$5:B62&lt;&gt;$B$4:B61)*($B$5:B62&lt;&gt;"")),""))</f>
        <v>11</v>
      </c>
      <c r="F62" s="198" t="str">
        <f t="shared" si="3"/>
        <v>データ取得・保存開発</v>
      </c>
      <c r="G62" s="198">
        <f t="shared" si="4"/>
        <v>1</v>
      </c>
      <c r="H62" s="164" t="str">
        <f t="shared" si="5"/>
        <v>NiFi共通データ取得フローの設計・実装</v>
      </c>
      <c r="I62" s="197"/>
      <c r="J62" s="197"/>
      <c r="K62" s="197"/>
      <c r="L62" s="165" t="str">
        <f t="shared" si="6"/>
        <v>【Salesforceデータ連携（1販社先行検証）】11-1_データ取得・保存開発_NiFi共通データ取得フローの設計・実装</v>
      </c>
      <c r="M62" s="199">
        <v>46258.0</v>
      </c>
      <c r="N62" s="199">
        <v>46267.0</v>
      </c>
      <c r="O62" s="167" t="s">
        <v>141</v>
      </c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ht="36.0" customHeight="1">
      <c r="A63" s="200" t="s">
        <v>163</v>
      </c>
      <c r="B63" s="200" t="s">
        <v>498</v>
      </c>
      <c r="C63" s="200" t="s">
        <v>504</v>
      </c>
      <c r="D63" s="175" t="str">
        <f t="shared" si="2"/>
        <v/>
      </c>
      <c r="E63" s="201" t="str">
        <f t="array" ref="E63">IF(B63="","",IF(B63&lt;&gt;B62,SUMPRODUCT(($B$5:B63&lt;&gt;$B$4:B62)*($B$5:B63&lt;&gt;"")),""))</f>
        <v/>
      </c>
      <c r="F63" s="201" t="str">
        <f t="shared" si="3"/>
        <v/>
      </c>
      <c r="G63" s="201">
        <f t="shared" si="4"/>
        <v>2</v>
      </c>
      <c r="H63" s="175" t="str">
        <f t="shared" si="5"/>
        <v>NiFi Kudu保存フローの設計・実装</v>
      </c>
      <c r="I63" s="200"/>
      <c r="J63" s="200"/>
      <c r="K63" s="200"/>
      <c r="L63" s="176" t="str">
        <f t="shared" si="6"/>
        <v>【Salesforceデータ連携（1販社先行検証）】11-2_データ取得・保存開発_NiFi Kudu保存フローの設計・実装</v>
      </c>
      <c r="M63" s="202">
        <v>46258.0</v>
      </c>
      <c r="N63" s="202">
        <v>46267.0</v>
      </c>
      <c r="O63" s="167" t="s">
        <v>141</v>
      </c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ht="36.0" customHeight="1">
      <c r="A64" s="200" t="s">
        <v>163</v>
      </c>
      <c r="B64" s="200" t="s">
        <v>498</v>
      </c>
      <c r="C64" s="200" t="s">
        <v>508</v>
      </c>
      <c r="D64" s="175" t="str">
        <f t="shared" si="2"/>
        <v/>
      </c>
      <c r="E64" s="201" t="str">
        <f t="array" ref="E64">IF(B64="","",IF(B64&lt;&gt;B63,SUMPRODUCT(($B$5:B64&lt;&gt;$B$4:B63)*($B$5:B64&lt;&gt;"")),""))</f>
        <v/>
      </c>
      <c r="F64" s="201" t="str">
        <f t="shared" si="3"/>
        <v/>
      </c>
      <c r="G64" s="201">
        <f t="shared" si="4"/>
        <v>3</v>
      </c>
      <c r="H64" s="175" t="str">
        <f t="shared" si="5"/>
        <v>技術メタデータ付与処理の実装</v>
      </c>
      <c r="I64" s="200"/>
      <c r="J64" s="200"/>
      <c r="K64" s="200"/>
      <c r="L64" s="176" t="str">
        <f t="shared" si="6"/>
        <v>【Salesforceデータ連携（1販社先行検証）】11-3_データ取得・保存開発_技術メタデータ付与処理の実装</v>
      </c>
      <c r="M64" s="202"/>
      <c r="N64" s="202"/>
      <c r="O64" s="167" t="s">
        <v>141</v>
      </c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ht="36.0" customHeight="1">
      <c r="A65" s="200" t="s">
        <v>163</v>
      </c>
      <c r="B65" s="200" t="s">
        <v>498</v>
      </c>
      <c r="C65" s="200" t="s">
        <v>513</v>
      </c>
      <c r="D65" s="175" t="str">
        <f t="shared" si="2"/>
        <v/>
      </c>
      <c r="E65" s="201" t="str">
        <f t="array" ref="E65">IF(B65="","",IF(B65&lt;&gt;B64,SUMPRODUCT(($B$5:B65&lt;&gt;$B$4:B64)*($B$5:B65&lt;&gt;"")),""))</f>
        <v/>
      </c>
      <c r="F65" s="201" t="str">
        <f t="shared" si="3"/>
        <v/>
      </c>
      <c r="G65" s="201">
        <f t="shared" si="4"/>
        <v>4</v>
      </c>
      <c r="H65" s="175" t="str">
        <f t="shared" si="5"/>
        <v>成功・失敗ステータス管理の実装</v>
      </c>
      <c r="I65" s="200"/>
      <c r="J65" s="200"/>
      <c r="K65" s="200"/>
      <c r="L65" s="176" t="str">
        <f t="shared" si="6"/>
        <v>【Salesforceデータ連携（1販社先行検証）】11-4_データ取得・保存開発_成功・失敗ステータス管理の実装</v>
      </c>
      <c r="M65" s="202">
        <v>46258.0</v>
      </c>
      <c r="N65" s="202">
        <v>46267.0</v>
      </c>
      <c r="O65" s="167" t="s">
        <v>141</v>
      </c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ht="36.0" customHeight="1">
      <c r="A66" s="200" t="s">
        <v>163</v>
      </c>
      <c r="B66" s="200" t="s">
        <v>498</v>
      </c>
      <c r="C66" s="200" t="s">
        <v>517</v>
      </c>
      <c r="D66" s="175" t="str">
        <f t="shared" si="2"/>
        <v/>
      </c>
      <c r="E66" s="201" t="str">
        <f t="array" ref="E66">IF(B66="","",IF(B66&lt;&gt;B65,SUMPRODUCT(($B$5:B66&lt;&gt;$B$4:B65)*($B$5:B66&lt;&gt;"")),""))</f>
        <v/>
      </c>
      <c r="F66" s="201" t="str">
        <f t="shared" si="3"/>
        <v/>
      </c>
      <c r="G66" s="201">
        <f t="shared" si="4"/>
        <v>5</v>
      </c>
      <c r="H66" s="175" t="str">
        <f t="shared" si="5"/>
        <v>Retry・再実行・重複防止処理の実装</v>
      </c>
      <c r="I66" s="200"/>
      <c r="J66" s="200"/>
      <c r="K66" s="200"/>
      <c r="L66" s="176" t="str">
        <f t="shared" si="6"/>
        <v>【Salesforceデータ連携（1販社先行検証）】11-5_データ取得・保存開発_Retry・再実行・重複防止処理の実装</v>
      </c>
      <c r="M66" s="202">
        <v>46258.0</v>
      </c>
      <c r="N66" s="202">
        <v>46267.0</v>
      </c>
      <c r="O66" s="167" t="s">
        <v>141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ht="36.0" customHeight="1">
      <c r="A67" s="200" t="s">
        <v>163</v>
      </c>
      <c r="B67" s="200" t="s">
        <v>498</v>
      </c>
      <c r="C67" s="200" t="s">
        <v>521</v>
      </c>
      <c r="D67" s="175" t="str">
        <f t="shared" si="2"/>
        <v/>
      </c>
      <c r="E67" s="201" t="str">
        <f t="array" ref="E67">IF(B67="","",IF(B67&lt;&gt;B66,SUMPRODUCT(($B$5:B67&lt;&gt;$B$4:B66)*($B$5:B67&lt;&gt;"")),""))</f>
        <v/>
      </c>
      <c r="F67" s="201" t="str">
        <f t="shared" si="3"/>
        <v/>
      </c>
      <c r="G67" s="201">
        <f t="shared" si="4"/>
        <v>6</v>
      </c>
      <c r="H67" s="175" t="str">
        <f t="shared" si="5"/>
        <v>先行検証に必要な設定の外部化</v>
      </c>
      <c r="I67" s="200"/>
      <c r="J67" s="200"/>
      <c r="K67" s="200"/>
      <c r="L67" s="176" t="str">
        <f t="shared" si="6"/>
        <v>【Salesforceデータ連携（1販社先行検証）】11-6_データ取得・保存開発_先行検証に必要な設定の外部化</v>
      </c>
      <c r="M67" s="202"/>
      <c r="N67" s="202"/>
      <c r="O67" s="167" t="s">
        <v>141</v>
      </c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ht="36.0" customHeight="1">
      <c r="A68" s="200" t="s">
        <v>163</v>
      </c>
      <c r="B68" s="200" t="s">
        <v>498</v>
      </c>
      <c r="C68" s="200" t="s">
        <v>526</v>
      </c>
      <c r="D68" s="175" t="str">
        <f t="shared" si="2"/>
        <v/>
      </c>
      <c r="E68" s="201" t="str">
        <f t="array" ref="E68">IF(B68="","",IF(B68&lt;&gt;B67,SUMPRODUCT(($B$5:B68&lt;&gt;$B$4:B67)*($B$5:B68&lt;&gt;"")),""))</f>
        <v/>
      </c>
      <c r="F68" s="201" t="str">
        <f t="shared" si="3"/>
        <v/>
      </c>
      <c r="G68" s="201">
        <f t="shared" si="4"/>
        <v>7</v>
      </c>
      <c r="H68" s="175" t="str">
        <f t="shared" si="5"/>
        <v>先行1販社のデータ取得・Kudu参照用TB保存設定</v>
      </c>
      <c r="I68" s="200"/>
      <c r="J68" s="200"/>
      <c r="K68" s="200"/>
      <c r="L68" s="176" t="str">
        <f t="shared" si="6"/>
        <v>【Salesforceデータ連携（1販社先行検証）】11-7_データ取得・保存開発_先行1販社のデータ取得・Kudu参照用TB保存設定</v>
      </c>
      <c r="M68" s="202">
        <v>46265.0</v>
      </c>
      <c r="N68" s="202">
        <v>46269.0</v>
      </c>
      <c r="O68" s="167" t="s">
        <v>141</v>
      </c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ht="36.0" customHeight="1">
      <c r="A69" s="200" t="s">
        <v>163</v>
      </c>
      <c r="B69" s="200" t="s">
        <v>498</v>
      </c>
      <c r="C69" s="200" t="s">
        <v>532</v>
      </c>
      <c r="D69" s="175" t="str">
        <f t="shared" si="2"/>
        <v/>
      </c>
      <c r="E69" s="201" t="str">
        <f t="array" ref="E69">IF(B69="","",IF(B69&lt;&gt;B68,SUMPRODUCT(($B$5:B69&lt;&gt;$B$4:B68)*($B$5:B69&lt;&gt;"")),""))</f>
        <v/>
      </c>
      <c r="F69" s="201" t="str">
        <f t="shared" si="3"/>
        <v/>
      </c>
      <c r="G69" s="201">
        <f t="shared" si="4"/>
        <v>8</v>
      </c>
      <c r="H69" s="175" t="str">
        <f t="shared" si="5"/>
        <v>2販社目のデータ取得・保存設定（先行検証後）</v>
      </c>
      <c r="I69" s="200"/>
      <c r="J69" s="200"/>
      <c r="K69" s="200"/>
      <c r="L69" s="176" t="str">
        <f t="shared" si="6"/>
        <v>【Salesforceデータ連携（1販社先行検証）】11-8_データ取得・保存開発_2販社目のデータ取得・保存設定（先行検証後）</v>
      </c>
      <c r="M69" s="202"/>
      <c r="N69" s="202"/>
      <c r="O69" s="167" t="s">
        <v>141</v>
      </c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ht="39.75" customHeight="1">
      <c r="A70" s="197" t="s">
        <v>163</v>
      </c>
      <c r="B70" s="197" t="s">
        <v>542</v>
      </c>
      <c r="C70" s="197" t="s">
        <v>543</v>
      </c>
      <c r="D70" s="197" t="str">
        <f t="shared" si="2"/>
        <v/>
      </c>
      <c r="E70" s="198">
        <f t="array" ref="E70">IF(B70="","",IF(B70&lt;&gt;B69,SUMPRODUCT(($B$5:B70&lt;&gt;$B$4:B69)*($B$5:B70&lt;&gt;"")),""))</f>
        <v>12</v>
      </c>
      <c r="F70" s="198" t="str">
        <f t="shared" si="3"/>
        <v>単体試験</v>
      </c>
      <c r="G70" s="198">
        <f t="shared" si="4"/>
        <v>1</v>
      </c>
      <c r="H70" s="164" t="str">
        <f t="shared" si="5"/>
        <v>単体テスト項目・期待値・合否基準の作成</v>
      </c>
      <c r="I70" s="197"/>
      <c r="J70" s="197"/>
      <c r="K70" s="197"/>
      <c r="L70" s="165" t="str">
        <f t="shared" si="6"/>
        <v>【Salesforceデータ連携（1販社先行検証）】12-1_単体試験_単体テスト項目・期待値・合否基準の作成</v>
      </c>
      <c r="M70" s="199">
        <v>46265.0</v>
      </c>
      <c r="N70" s="199">
        <v>46267.0</v>
      </c>
      <c r="O70" s="167" t="s">
        <v>141</v>
      </c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ht="36.0" customHeight="1">
      <c r="A71" s="200" t="s">
        <v>163</v>
      </c>
      <c r="B71" s="200" t="s">
        <v>542</v>
      </c>
      <c r="C71" s="200" t="s">
        <v>548</v>
      </c>
      <c r="D71" s="175" t="str">
        <f t="shared" si="2"/>
        <v/>
      </c>
      <c r="E71" s="201" t="str">
        <f t="array" ref="E71">IF(B71="","",IF(B71&lt;&gt;B70,SUMPRODUCT(($B$5:B71&lt;&gt;$B$4:B70)*($B$5:B71&lt;&gt;"")),""))</f>
        <v/>
      </c>
      <c r="F71" s="201" t="str">
        <f t="shared" si="3"/>
        <v/>
      </c>
      <c r="G71" s="201">
        <f t="shared" si="4"/>
        <v>2</v>
      </c>
      <c r="H71" s="175" t="str">
        <f t="shared" si="5"/>
        <v>Salesforceデータ取得・再実行試験</v>
      </c>
      <c r="I71" s="200"/>
      <c r="J71" s="200"/>
      <c r="K71" s="200"/>
      <c r="L71" s="176" t="str">
        <f t="shared" si="6"/>
        <v>【Salesforceデータ連携（1販社先行検証）】12-2_単体試験_Salesforceデータ取得・再実行試験</v>
      </c>
      <c r="M71" s="202">
        <v>46268.0</v>
      </c>
      <c r="N71" s="202">
        <v>46275.0</v>
      </c>
      <c r="O71" s="167" t="s">
        <v>141</v>
      </c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ht="36.0" customHeight="1">
      <c r="A72" s="200" t="s">
        <v>163</v>
      </c>
      <c r="B72" s="200" t="s">
        <v>542</v>
      </c>
      <c r="C72" s="200" t="s">
        <v>554</v>
      </c>
      <c r="D72" s="175" t="str">
        <f t="shared" si="2"/>
        <v/>
      </c>
      <c r="E72" s="201" t="str">
        <f t="array" ref="E72">IF(B72="","",IF(B72&lt;&gt;B71,SUMPRODUCT(($B$5:B72&lt;&gt;$B$4:B71)*($B$5:B72&lt;&gt;"")),""))</f>
        <v/>
      </c>
      <c r="F72" s="201" t="str">
        <f t="shared" si="3"/>
        <v/>
      </c>
      <c r="G72" s="201">
        <f t="shared" si="4"/>
        <v>3</v>
      </c>
      <c r="H72" s="175" t="str">
        <f t="shared" si="5"/>
        <v>Kudu参照用TB保存・技術メタデータ試験</v>
      </c>
      <c r="I72" s="200"/>
      <c r="J72" s="200"/>
      <c r="K72" s="200"/>
      <c r="L72" s="176" t="str">
        <f t="shared" si="6"/>
        <v>【Salesforceデータ連携（1販社先行検証）】12-3_単体試験_Kudu参照用TB保存・技術メタデータ試験</v>
      </c>
      <c r="M72" s="202">
        <v>46268.0</v>
      </c>
      <c r="N72" s="202">
        <v>46275.0</v>
      </c>
      <c r="O72" s="167" t="s">
        <v>141</v>
      </c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ht="36.0" customHeight="1">
      <c r="A73" s="200" t="s">
        <v>163</v>
      </c>
      <c r="B73" s="200" t="s">
        <v>542</v>
      </c>
      <c r="C73" s="200" t="s">
        <v>558</v>
      </c>
      <c r="D73" s="175" t="str">
        <f t="shared" si="2"/>
        <v/>
      </c>
      <c r="E73" s="201" t="str">
        <f t="array" ref="E73">IF(B73="","",IF(B73&lt;&gt;B72,SUMPRODUCT(($B$5:B73&lt;&gt;$B$4:B72)*($B$5:B73&lt;&gt;"")),""))</f>
        <v/>
      </c>
      <c r="F73" s="201" t="str">
        <f t="shared" si="3"/>
        <v/>
      </c>
      <c r="G73" s="201">
        <f t="shared" si="4"/>
        <v>4</v>
      </c>
      <c r="H73" s="175" t="str">
        <f t="shared" si="5"/>
        <v>データ変換・NULL・重複・境界ケース試験</v>
      </c>
      <c r="I73" s="200"/>
      <c r="J73" s="200"/>
      <c r="K73" s="200"/>
      <c r="L73" s="176" t="str">
        <f t="shared" si="6"/>
        <v>【Salesforceデータ連携（1販社先行検証）】12-4_単体試験_データ変換・NULL・重複・境界ケース試験</v>
      </c>
      <c r="M73" s="202"/>
      <c r="N73" s="202"/>
      <c r="O73" s="167" t="s">
        <v>141</v>
      </c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ht="36.0" customHeight="1">
      <c r="A74" s="200" t="s">
        <v>163</v>
      </c>
      <c r="B74" s="200" t="s">
        <v>542</v>
      </c>
      <c r="C74" s="200" t="s">
        <v>563</v>
      </c>
      <c r="D74" s="175" t="str">
        <f t="shared" si="2"/>
        <v/>
      </c>
      <c r="E74" s="201" t="str">
        <f t="array" ref="E74">IF(B74="","",IF(B74&lt;&gt;B73,SUMPRODUCT(($B$5:B74&lt;&gt;$B$4:B73)*($B$5:B74&lt;&gt;"")),""))</f>
        <v/>
      </c>
      <c r="F74" s="201" t="str">
        <f t="shared" si="3"/>
        <v/>
      </c>
      <c r="G74" s="201">
        <f t="shared" si="4"/>
        <v>5</v>
      </c>
      <c r="H74" s="175" t="str">
        <f t="shared" si="5"/>
        <v>データ件数・キー・主要項目確認</v>
      </c>
      <c r="I74" s="200"/>
      <c r="J74" s="200"/>
      <c r="K74" s="200"/>
      <c r="L74" s="176" t="str">
        <f t="shared" si="6"/>
        <v>【Salesforceデータ連携（1販社先行検証）】12-5_単体試験_データ件数・キー・主要項目確認</v>
      </c>
      <c r="M74" s="202">
        <v>46268.0</v>
      </c>
      <c r="N74" s="202">
        <v>46275.0</v>
      </c>
      <c r="O74" s="167" t="s">
        <v>141</v>
      </c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ht="36.0" customHeight="1">
      <c r="A75" s="200" t="s">
        <v>163</v>
      </c>
      <c r="B75" s="200" t="s">
        <v>542</v>
      </c>
      <c r="C75" s="200" t="s">
        <v>567</v>
      </c>
      <c r="D75" s="175" t="str">
        <f t="shared" si="2"/>
        <v/>
      </c>
      <c r="E75" s="201" t="str">
        <f t="array" ref="E75">IF(B75="","",IF(B75&lt;&gt;B74,SUMPRODUCT(($B$5:B75&lt;&gt;$B$4:B74)*($B$5:B75&lt;&gt;"")),""))</f>
        <v/>
      </c>
      <c r="F75" s="201" t="str">
        <f t="shared" si="3"/>
        <v/>
      </c>
      <c r="G75" s="201">
        <f t="shared" si="4"/>
        <v>6</v>
      </c>
      <c r="H75" s="175" t="str">
        <f t="shared" si="5"/>
        <v>単体試験結果・Evidence・報告書の整理</v>
      </c>
      <c r="I75" s="200"/>
      <c r="J75" s="200"/>
      <c r="K75" s="200"/>
      <c r="L75" s="176" t="str">
        <f t="shared" si="6"/>
        <v>【Salesforceデータ連携（1販社先行検証）】12-6_単体試験_単体試験結果・Evidence・報告書の整理</v>
      </c>
      <c r="M75" s="202"/>
      <c r="N75" s="202"/>
      <c r="O75" s="167" t="s">
        <v>141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ht="39.75" customHeight="1">
      <c r="A76" s="197" t="s">
        <v>163</v>
      </c>
      <c r="B76" s="197" t="s">
        <v>572</v>
      </c>
      <c r="C76" s="197" t="s">
        <v>573</v>
      </c>
      <c r="D76" s="197" t="str">
        <f t="shared" si="2"/>
        <v/>
      </c>
      <c r="E76" s="198">
        <f t="array" ref="E76">IF(B76="","",IF(B76&lt;&gt;B75,SUMPRODUCT(($B$5:B76&lt;&gt;$B$4:B75)*($B$5:B76&lt;&gt;"")),""))</f>
        <v>13</v>
      </c>
      <c r="F76" s="198" t="str">
        <f t="shared" si="3"/>
        <v>結合・E2E試験</v>
      </c>
      <c r="G76" s="198">
        <f t="shared" si="4"/>
        <v>1</v>
      </c>
      <c r="H76" s="164" t="str">
        <f t="shared" si="5"/>
        <v>1販社先行検証のE2E試験シナリオ・期待値作成</v>
      </c>
      <c r="I76" s="197"/>
      <c r="J76" s="197"/>
      <c r="K76" s="197"/>
      <c r="L76" s="165" t="str">
        <f t="shared" si="6"/>
        <v>【Salesforceデータ連携（1販社先行検証）】13-1_結合・E2E試験_1販社先行検証のE2E試験シナリオ・期待値作成</v>
      </c>
      <c r="M76" s="199">
        <v>46272.0</v>
      </c>
      <c r="N76" s="199">
        <v>46273.0</v>
      </c>
      <c r="O76" s="167" t="s">
        <v>141</v>
      </c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ht="36.0" customHeight="1">
      <c r="A77" s="200" t="s">
        <v>163</v>
      </c>
      <c r="B77" s="200" t="s">
        <v>572</v>
      </c>
      <c r="C77" s="200" t="s">
        <v>578</v>
      </c>
      <c r="D77" s="175" t="str">
        <f t="shared" si="2"/>
        <v/>
      </c>
      <c r="E77" s="201" t="str">
        <f t="array" ref="E77">IF(B77="","",IF(B77&lt;&gt;B76,SUMPRODUCT(($B$5:B77&lt;&gt;$B$4:B76)*($B$5:B77&lt;&gt;"")),""))</f>
        <v/>
      </c>
      <c r="F77" s="201" t="str">
        <f t="shared" si="3"/>
        <v/>
      </c>
      <c r="G77" s="201">
        <f t="shared" si="4"/>
        <v>2</v>
      </c>
      <c r="H77" s="175" t="str">
        <f t="shared" si="5"/>
        <v>Salesforce元データ・Kudu参照用TBの件数値突合</v>
      </c>
      <c r="I77" s="200"/>
      <c r="J77" s="200"/>
      <c r="K77" s="200"/>
      <c r="L77" s="176" t="str">
        <f t="shared" si="6"/>
        <v>【Salesforceデータ連携（1販社先行検証）】13-2_結合・E2E試験_Salesforce元データ・Kudu参照用TBの件数値突合</v>
      </c>
      <c r="M77" s="202">
        <v>46274.0</v>
      </c>
      <c r="N77" s="202">
        <v>46280.0</v>
      </c>
      <c r="O77" s="167" t="s">
        <v>141</v>
      </c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ht="36.0" customHeight="1">
      <c r="A78" s="200" t="s">
        <v>163</v>
      </c>
      <c r="B78" s="200" t="s">
        <v>572</v>
      </c>
      <c r="C78" s="200" t="s">
        <v>582</v>
      </c>
      <c r="D78" s="175" t="str">
        <f t="shared" si="2"/>
        <v/>
      </c>
      <c r="E78" s="201" t="str">
        <f t="array" ref="E78">IF(B78="","",IF(B78&lt;&gt;B77,SUMPRODUCT(($B$5:B78&lt;&gt;$B$4:B77)*($B$5:B78&lt;&gt;"")),""))</f>
        <v/>
      </c>
      <c r="F78" s="201" t="str">
        <f t="shared" si="3"/>
        <v/>
      </c>
      <c r="G78" s="201">
        <f t="shared" si="4"/>
        <v>3</v>
      </c>
      <c r="H78" s="175" t="str">
        <f t="shared" si="5"/>
        <v>処理間のデータ追跡確認</v>
      </c>
      <c r="I78" s="200"/>
      <c r="J78" s="200"/>
      <c r="K78" s="200"/>
      <c r="L78" s="176" t="str">
        <f t="shared" si="6"/>
        <v>【Salesforceデータ連携（1販社先行検証）】13-3_結合・E2E試験_処理間のデータ追跡確認</v>
      </c>
      <c r="M78" s="202">
        <v>46274.0</v>
      </c>
      <c r="N78" s="202">
        <v>46280.0</v>
      </c>
      <c r="O78" s="167" t="s">
        <v>141</v>
      </c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ht="36.0" customHeight="1">
      <c r="A79" s="200" t="s">
        <v>163</v>
      </c>
      <c r="B79" s="200" t="s">
        <v>572</v>
      </c>
      <c r="C79" s="200" t="s">
        <v>586</v>
      </c>
      <c r="D79" s="175" t="str">
        <f t="shared" si="2"/>
        <v/>
      </c>
      <c r="E79" s="201" t="str">
        <f t="array" ref="E79">IF(B79="","",IF(B79&lt;&gt;B78,SUMPRODUCT(($B$5:B79&lt;&gt;$B$4:B78)*($B$5:B79&lt;&gt;"")),""))</f>
        <v/>
      </c>
      <c r="F79" s="201" t="str">
        <f t="shared" si="3"/>
        <v/>
      </c>
      <c r="G79" s="201">
        <f t="shared" si="4"/>
        <v>4</v>
      </c>
      <c r="H79" s="175" t="str">
        <f t="shared" si="5"/>
        <v>障害・再実行・正常復旧シナリオ試験</v>
      </c>
      <c r="I79" s="200"/>
      <c r="J79" s="200"/>
      <c r="K79" s="200"/>
      <c r="L79" s="176" t="str">
        <f t="shared" si="6"/>
        <v>【Salesforceデータ連携（1販社先行検証）】13-4_結合・E2E試験_障害・再実行・正常復旧シナリオ試験</v>
      </c>
      <c r="M79" s="202">
        <v>46274.0</v>
      </c>
      <c r="N79" s="202">
        <v>46280.0</v>
      </c>
      <c r="O79" s="167" t="s">
        <v>141</v>
      </c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ht="36.0" customHeight="1">
      <c r="A80" s="200" t="s">
        <v>163</v>
      </c>
      <c r="B80" s="200" t="s">
        <v>572</v>
      </c>
      <c r="C80" s="200" t="s">
        <v>590</v>
      </c>
      <c r="D80" s="175" t="str">
        <f t="shared" si="2"/>
        <v/>
      </c>
      <c r="E80" s="201" t="str">
        <f t="array" ref="E80">IF(B80="","",IF(B80&lt;&gt;B79,SUMPRODUCT(($B$5:B80&lt;&gt;$B$4:B79)*($B$5:B80&lt;&gt;"")),""))</f>
        <v/>
      </c>
      <c r="F80" s="201" t="str">
        <f t="shared" si="3"/>
        <v/>
      </c>
      <c r="G80" s="201">
        <f t="shared" si="4"/>
        <v>5</v>
      </c>
      <c r="H80" s="175" t="str">
        <f t="shared" si="5"/>
        <v>E2E処理時間の確認</v>
      </c>
      <c r="I80" s="200"/>
      <c r="J80" s="200"/>
      <c r="K80" s="200"/>
      <c r="L80" s="176" t="str">
        <f t="shared" si="6"/>
        <v>【Salesforceデータ連携（1販社先行検証）】13-5_結合・E2E試験_E2E処理時間の確認</v>
      </c>
      <c r="M80" s="202"/>
      <c r="N80" s="202"/>
      <c r="O80" s="167" t="s">
        <v>141</v>
      </c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ht="36.0" customHeight="1">
      <c r="A81" s="200" t="s">
        <v>163</v>
      </c>
      <c r="B81" s="200" t="s">
        <v>572</v>
      </c>
      <c r="C81" s="200" t="s">
        <v>594</v>
      </c>
      <c r="D81" s="175" t="str">
        <f t="shared" si="2"/>
        <v/>
      </c>
      <c r="E81" s="201" t="str">
        <f t="array" ref="E81">IF(B81="","",IF(B81&lt;&gt;B80,SUMPRODUCT(($B$5:B81&lt;&gt;$B$4:B80)*($B$5:B81&lt;&gt;"")),""))</f>
        <v/>
      </c>
      <c r="F81" s="201" t="str">
        <f t="shared" si="3"/>
        <v/>
      </c>
      <c r="G81" s="201">
        <f t="shared" si="4"/>
        <v>6</v>
      </c>
      <c r="H81" s="175" t="str">
        <f t="shared" si="5"/>
        <v>結合試験結果・Evidence・報告書の整理</v>
      </c>
      <c r="I81" s="200"/>
      <c r="J81" s="200"/>
      <c r="K81" s="200"/>
      <c r="L81" s="176" t="str">
        <f t="shared" si="6"/>
        <v>【Salesforceデータ連携（1販社先行検証）】13-6_結合・E2E試験_結合試験結果・Evidence・報告書の整理</v>
      </c>
      <c r="M81" s="202"/>
      <c r="N81" s="202"/>
      <c r="O81" s="167" t="s">
        <v>141</v>
      </c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ht="39.75" customHeight="1">
      <c r="A82" s="197" t="s">
        <v>163</v>
      </c>
      <c r="B82" s="197" t="s">
        <v>599</v>
      </c>
      <c r="C82" s="197" t="s">
        <v>600</v>
      </c>
      <c r="D82" s="197" t="str">
        <f t="shared" si="2"/>
        <v/>
      </c>
      <c r="E82" s="198">
        <f t="array" ref="E82">IF(B82="","",IF(B82&lt;&gt;B81,SUMPRODUCT(($B$5:B82&lt;&gt;$B$4:B81)*($B$5:B82&lt;&gt;"")),""))</f>
        <v>14</v>
      </c>
      <c r="F82" s="198" t="str">
        <f t="shared" si="3"/>
        <v>セキュリティ・ネットワーク試験</v>
      </c>
      <c r="G82" s="198">
        <f t="shared" si="4"/>
        <v>1</v>
      </c>
      <c r="H82" s="164" t="str">
        <f t="shared" si="5"/>
        <v>Salesforce接続権限の確認</v>
      </c>
      <c r="I82" s="197"/>
      <c r="J82" s="197"/>
      <c r="K82" s="197"/>
      <c r="L82" s="165" t="str">
        <f t="shared" si="6"/>
        <v>【Salesforceデータ連携（1販社先行検証）】14-1_セキュリティ・ネットワーク試験_Salesforce接続権限の確認</v>
      </c>
      <c r="M82" s="199">
        <v>46265.0</v>
      </c>
      <c r="N82" s="199">
        <v>46275.0</v>
      </c>
      <c r="O82" s="167" t="s">
        <v>141</v>
      </c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ht="36.0" customHeight="1">
      <c r="A83" s="200" t="s">
        <v>163</v>
      </c>
      <c r="B83" s="200" t="s">
        <v>599</v>
      </c>
      <c r="C83" s="200" t="s">
        <v>605</v>
      </c>
      <c r="D83" s="175" t="str">
        <f t="shared" si="2"/>
        <v/>
      </c>
      <c r="E83" s="201" t="str">
        <f t="array" ref="E83">IF(B83="","",IF(B83&lt;&gt;B82,SUMPRODUCT(($B$5:B83&lt;&gt;$B$4:B82)*($B$5:B83&lt;&gt;"")),""))</f>
        <v/>
      </c>
      <c r="F83" s="201" t="str">
        <f t="shared" si="3"/>
        <v/>
      </c>
      <c r="G83" s="201">
        <f t="shared" si="4"/>
        <v>2</v>
      </c>
      <c r="H83" s="175" t="str">
        <f t="shared" si="5"/>
        <v>NiFi・Kudu参照用TBアクセス権限の確認</v>
      </c>
      <c r="I83" s="200"/>
      <c r="J83" s="200"/>
      <c r="K83" s="200"/>
      <c r="L83" s="176" t="str">
        <f t="shared" si="6"/>
        <v>【Salesforceデータ連携（1販社先行検証）】14-2_セキュリティ・ネットワーク試験_NiFi・Kudu参照用TBアクセス権限の確認</v>
      </c>
      <c r="M83" s="202">
        <v>46265.0</v>
      </c>
      <c r="N83" s="202">
        <v>46275.0</v>
      </c>
      <c r="O83" s="167" t="s">
        <v>141</v>
      </c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ht="36.0" customHeight="1">
      <c r="A84" s="200" t="s">
        <v>163</v>
      </c>
      <c r="B84" s="200" t="s">
        <v>599</v>
      </c>
      <c r="C84" s="200" t="s">
        <v>609</v>
      </c>
      <c r="D84" s="175" t="str">
        <f t="shared" si="2"/>
        <v/>
      </c>
      <c r="E84" s="201" t="str">
        <f t="array" ref="E84">IF(B84="","",IF(B84&lt;&gt;B83,SUMPRODUCT(($B$5:B84&lt;&gt;$B$4:B83)*($B$5:B84&lt;&gt;"")),""))</f>
        <v/>
      </c>
      <c r="F84" s="201" t="str">
        <f t="shared" si="3"/>
        <v/>
      </c>
      <c r="G84" s="201">
        <f t="shared" si="4"/>
        <v>3</v>
      </c>
      <c r="H84" s="175" t="str">
        <f t="shared" si="5"/>
        <v>Credential・Secret管理状態の確認</v>
      </c>
      <c r="I84" s="200"/>
      <c r="J84" s="200"/>
      <c r="K84" s="200"/>
      <c r="L84" s="176" t="str">
        <f t="shared" si="6"/>
        <v>【Salesforceデータ連携（1販社先行検証）】14-3_セキュリティ・ネットワーク試験_Credential・Secret管理状態の確認</v>
      </c>
      <c r="M84" s="202">
        <v>46265.0</v>
      </c>
      <c r="N84" s="202">
        <v>46275.0</v>
      </c>
      <c r="O84" s="167" t="s">
        <v>141</v>
      </c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ht="36.0" customHeight="1">
      <c r="A85" s="200" t="s">
        <v>163</v>
      </c>
      <c r="B85" s="200" t="s">
        <v>599</v>
      </c>
      <c r="C85" s="200" t="s">
        <v>613</v>
      </c>
      <c r="D85" s="175" t="str">
        <f t="shared" si="2"/>
        <v/>
      </c>
      <c r="E85" s="201" t="str">
        <f t="array" ref="E85">IF(B85="","",IF(B85&lt;&gt;B84,SUMPRODUCT(($B$5:B85&lt;&gt;$B$4:B84)*($B$5:B85&lt;&gt;"")),""))</f>
        <v/>
      </c>
      <c r="F85" s="201" t="str">
        <f t="shared" si="3"/>
        <v/>
      </c>
      <c r="G85" s="201">
        <f t="shared" si="4"/>
        <v>4</v>
      </c>
      <c r="H85" s="175" t="str">
        <f t="shared" si="5"/>
        <v>システム間疎通確認</v>
      </c>
      <c r="I85" s="200" t="s">
        <v>154</v>
      </c>
      <c r="J85" s="200"/>
      <c r="K85" s="200"/>
      <c r="L85" s="176" t="str">
        <f t="shared" si="6"/>
        <v>【Salesforceデータ連携（1販社先行検証）】14-4_セキュリティ・ネットワーク試験_システム間疎通確認</v>
      </c>
      <c r="M85" s="202">
        <v>46265.0</v>
      </c>
      <c r="N85" s="202">
        <v>46275.0</v>
      </c>
      <c r="O85" s="167" t="s">
        <v>141</v>
      </c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ht="36.0" customHeight="1">
      <c r="A86" s="200" t="s">
        <v>163</v>
      </c>
      <c r="B86" s="200" t="s">
        <v>599</v>
      </c>
      <c r="C86" s="200" t="s">
        <v>623</v>
      </c>
      <c r="D86" s="175" t="str">
        <f t="shared" si="2"/>
        <v/>
      </c>
      <c r="E86" s="201" t="str">
        <f t="array" ref="E86">IF(B86="","",IF(B86&lt;&gt;B85,SUMPRODUCT(($B$5:B86&lt;&gt;$B$4:B85)*($B$5:B86&lt;&gt;"")),""))</f>
        <v/>
      </c>
      <c r="F86" s="201" t="str">
        <f t="shared" si="3"/>
        <v/>
      </c>
      <c r="G86" s="201">
        <f t="shared" si="4"/>
        <v>5</v>
      </c>
      <c r="H86" s="175" t="str">
        <f t="shared" si="5"/>
        <v>不要権限・不要通信経路の確認</v>
      </c>
      <c r="I86" s="200" t="s">
        <v>154</v>
      </c>
      <c r="J86" s="200"/>
      <c r="K86" s="200"/>
      <c r="L86" s="176" t="str">
        <f t="shared" si="6"/>
        <v>【Salesforceデータ連携（1販社先行検証）】14-5_セキュリティ・ネットワーク試験_不要権限・不要通信経路の確認</v>
      </c>
      <c r="M86" s="202">
        <v>46265.0</v>
      </c>
      <c r="N86" s="202">
        <v>46275.0</v>
      </c>
      <c r="O86" s="167" t="s">
        <v>141</v>
      </c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ht="36.0" customHeight="1">
      <c r="A87" s="200" t="s">
        <v>163</v>
      </c>
      <c r="B87" s="200" t="s">
        <v>599</v>
      </c>
      <c r="C87" s="200" t="s">
        <v>635</v>
      </c>
      <c r="D87" s="175" t="str">
        <f t="shared" si="2"/>
        <v/>
      </c>
      <c r="E87" s="201" t="str">
        <f t="array" ref="E87">IF(B87="","",IF(B87&lt;&gt;B86,SUMPRODUCT(($B$5:B87&lt;&gt;$B$4:B86)*($B$5:B87&lt;&gt;"")),""))</f>
        <v/>
      </c>
      <c r="F87" s="201" t="str">
        <f t="shared" si="3"/>
        <v/>
      </c>
      <c r="G87" s="201">
        <f t="shared" si="4"/>
        <v>6</v>
      </c>
      <c r="H87" s="175" t="str">
        <f t="shared" si="5"/>
        <v>セキュリティ・NW確認結果の整理</v>
      </c>
      <c r="I87" s="200" t="s">
        <v>154</v>
      </c>
      <c r="J87" s="200"/>
      <c r="K87" s="200"/>
      <c r="L87" s="176" t="str">
        <f t="shared" si="6"/>
        <v>【Salesforceデータ連携（1販社先行検証）】14-6_セキュリティ・ネットワーク試験_セキュリティ・NW確認結果の整理</v>
      </c>
      <c r="M87" s="202"/>
      <c r="N87" s="202"/>
      <c r="O87" s="167" t="s">
        <v>141</v>
      </c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ht="39.75" customHeight="1">
      <c r="A88" s="197" t="s">
        <v>163</v>
      </c>
      <c r="B88" s="197" t="s">
        <v>645</v>
      </c>
      <c r="C88" s="197" t="s">
        <v>646</v>
      </c>
      <c r="D88" s="197" t="str">
        <f t="shared" si="2"/>
        <v/>
      </c>
      <c r="E88" s="198">
        <f t="array" ref="E88">IF(B88="","",IF(B88&lt;&gt;B87,SUMPRODUCT(($B$5:B88&lt;&gt;$B$4:B87)*($B$5:B88&lt;&gt;"")),""))</f>
        <v>15</v>
      </c>
      <c r="F88" s="198" t="str">
        <f t="shared" si="3"/>
        <v>先行検証運用・障害対応設計</v>
      </c>
      <c r="G88" s="198">
        <f t="shared" si="4"/>
        <v>1</v>
      </c>
      <c r="H88" s="164" t="str">
        <f t="shared" si="5"/>
        <v>先行検証処理の正常性確認手順作成</v>
      </c>
      <c r="I88" s="197"/>
      <c r="J88" s="197"/>
      <c r="K88" s="197"/>
      <c r="L88" s="165" t="str">
        <f t="shared" si="6"/>
        <v>【Salesforceデータ連携（1販社先行検証）】15-1_先行検証運用・障害対応設計_先行検証処理の正常性確認手順作成</v>
      </c>
      <c r="M88" s="199"/>
      <c r="N88" s="199"/>
      <c r="O88" s="167" t="s">
        <v>141</v>
      </c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ht="36.0" customHeight="1">
      <c r="A89" s="200" t="s">
        <v>163</v>
      </c>
      <c r="B89" s="200" t="s">
        <v>645</v>
      </c>
      <c r="C89" s="200" t="s">
        <v>664</v>
      </c>
      <c r="D89" s="175" t="str">
        <f t="shared" si="2"/>
        <v/>
      </c>
      <c r="E89" s="201" t="str">
        <f t="array" ref="E89">IF(B89="","",IF(B89&lt;&gt;B88,SUMPRODUCT(($B$5:B89&lt;&gt;$B$4:B88)*($B$5:B89&lt;&gt;"")),""))</f>
        <v/>
      </c>
      <c r="F89" s="201" t="str">
        <f t="shared" si="3"/>
        <v/>
      </c>
      <c r="G89" s="201">
        <f t="shared" si="4"/>
        <v>2</v>
      </c>
      <c r="H89" s="175" t="str">
        <f t="shared" si="5"/>
        <v>先行検証時の処理遅延・件数異常確認手順作成</v>
      </c>
      <c r="I89" s="200"/>
      <c r="J89" s="200"/>
      <c r="K89" s="200"/>
      <c r="L89" s="176" t="str">
        <f t="shared" si="6"/>
        <v>【Salesforceデータ連携（1販社先行検証）】15-2_先行検証運用・障害対応設計_先行検証時の処理遅延・件数異常確認手順作成</v>
      </c>
      <c r="M89" s="202"/>
      <c r="N89" s="202"/>
      <c r="O89" s="167" t="s">
        <v>141</v>
      </c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ht="36.0" customHeight="1">
      <c r="A90" s="200" t="s">
        <v>163</v>
      </c>
      <c r="B90" s="200" t="s">
        <v>645</v>
      </c>
      <c r="C90" s="200" t="s">
        <v>673</v>
      </c>
      <c r="D90" s="175" t="str">
        <f t="shared" si="2"/>
        <v/>
      </c>
      <c r="E90" s="201" t="str">
        <f t="array" ref="E90">IF(B90="","",IF(B90&lt;&gt;B89,SUMPRODUCT(($B$5:B90&lt;&gt;$B$4:B89)*($B$5:B90&lt;&gt;"")),""))</f>
        <v/>
      </c>
      <c r="F90" s="201" t="str">
        <f t="shared" si="3"/>
        <v/>
      </c>
      <c r="G90" s="201">
        <f t="shared" si="4"/>
        <v>3</v>
      </c>
      <c r="H90" s="175" t="str">
        <f t="shared" si="5"/>
        <v>NiFi・Salesforce API障害時の検証対応手順作成</v>
      </c>
      <c r="I90" s="200"/>
      <c r="J90" s="200"/>
      <c r="K90" s="200"/>
      <c r="L90" s="176" t="str">
        <f t="shared" si="6"/>
        <v>【Salesforceデータ連携（1販社先行検証）】15-3_先行検証運用・障害対応設計_NiFi・Salesforce API障害時の検証対応手順作成</v>
      </c>
      <c r="M90" s="202"/>
      <c r="N90" s="202"/>
      <c r="O90" s="167" t="s">
        <v>141</v>
      </c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ht="36.0" customHeight="1">
      <c r="A91" s="200" t="s">
        <v>163</v>
      </c>
      <c r="B91" s="200" t="s">
        <v>645</v>
      </c>
      <c r="C91" s="200" t="s">
        <v>683</v>
      </c>
      <c r="D91" s="175" t="str">
        <f t="shared" si="2"/>
        <v/>
      </c>
      <c r="E91" s="201" t="str">
        <f t="array" ref="E91">IF(B91="","",IF(B91&lt;&gt;B90,SUMPRODUCT(($B$5:B91&lt;&gt;$B$4:B90)*($B$5:B91&lt;&gt;"")),""))</f>
        <v/>
      </c>
      <c r="F91" s="201" t="str">
        <f t="shared" si="3"/>
        <v/>
      </c>
      <c r="G91" s="201">
        <f t="shared" si="4"/>
        <v>4</v>
      </c>
      <c r="H91" s="175" t="str">
        <f t="shared" si="5"/>
        <v>先行検証データの再処理手順作成</v>
      </c>
      <c r="I91" s="200"/>
      <c r="J91" s="200"/>
      <c r="K91" s="200"/>
      <c r="L91" s="176" t="str">
        <f t="shared" si="6"/>
        <v>【Salesforceデータ連携（1販社先行検証）】15-4_先行検証運用・障害対応設計_先行検証データの再処理手順作成</v>
      </c>
      <c r="M91" s="202"/>
      <c r="N91" s="202"/>
      <c r="O91" s="167" t="s">
        <v>141</v>
      </c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ht="36.0" customHeight="1">
      <c r="A92" s="200" t="s">
        <v>163</v>
      </c>
      <c r="B92" s="200" t="s">
        <v>645</v>
      </c>
      <c r="C92" s="200" t="s">
        <v>698</v>
      </c>
      <c r="D92" s="175" t="str">
        <f t="shared" si="2"/>
        <v/>
      </c>
      <c r="E92" s="201" t="str">
        <f t="array" ref="E92">IF(B92="","",IF(B92&lt;&gt;B91,SUMPRODUCT(($B$5:B92&lt;&gt;$B$4:B91)*($B$5:B92&lt;&gt;"")),""))</f>
        <v/>
      </c>
      <c r="F92" s="201" t="str">
        <f t="shared" si="3"/>
        <v/>
      </c>
      <c r="G92" s="201">
        <f t="shared" si="4"/>
        <v>5</v>
      </c>
      <c r="H92" s="175" t="str">
        <f t="shared" si="5"/>
        <v>一次切り分け・エスカレーション手順作成</v>
      </c>
      <c r="I92" s="200"/>
      <c r="J92" s="200"/>
      <c r="K92" s="200"/>
      <c r="L92" s="176" t="str">
        <f t="shared" si="6"/>
        <v>【Salesforceデータ連携（1販社先行検証）】15-5_先行検証運用・障害対応設計_一次切り分け・エスカレーション手順作成</v>
      </c>
      <c r="M92" s="202"/>
      <c r="N92" s="202"/>
      <c r="O92" s="167" t="s">
        <v>141</v>
      </c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ht="36.0" customHeight="1">
      <c r="A93" s="200" t="s">
        <v>163</v>
      </c>
      <c r="B93" s="200" t="s">
        <v>645</v>
      </c>
      <c r="C93" s="200" t="s">
        <v>702</v>
      </c>
      <c r="D93" s="175" t="str">
        <f t="shared" si="2"/>
        <v/>
      </c>
      <c r="E93" s="201" t="str">
        <f t="array" ref="E93">IF(B93="","",IF(B93&lt;&gt;B92,SUMPRODUCT(($B$5:B93&lt;&gt;$B$4:B92)*($B$5:B93&lt;&gt;"")),""))</f>
        <v/>
      </c>
      <c r="F93" s="201" t="str">
        <f t="shared" si="3"/>
        <v/>
      </c>
      <c r="G93" s="201">
        <f t="shared" si="4"/>
        <v>6</v>
      </c>
      <c r="H93" s="175" t="str">
        <f t="shared" si="5"/>
        <v>先行検証運用・障害対応手順書の作成・レビュー</v>
      </c>
      <c r="I93" s="200"/>
      <c r="J93" s="200"/>
      <c r="K93" s="200"/>
      <c r="L93" s="176" t="str">
        <f t="shared" si="6"/>
        <v>【Salesforceデータ連携（1販社先行検証）】15-6_先行検証運用・障害対応設計_先行検証運用・障害対応手順書の作成・レビュー</v>
      </c>
      <c r="M93" s="202"/>
      <c r="N93" s="202"/>
      <c r="O93" s="167" t="s">
        <v>141</v>
      </c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ht="39.75" customHeight="1">
      <c r="A94" s="197" t="s">
        <v>163</v>
      </c>
      <c r="B94" s="197" t="s">
        <v>707</v>
      </c>
      <c r="C94" s="197" t="s">
        <v>708</v>
      </c>
      <c r="D94" s="197" t="str">
        <f t="shared" si="2"/>
        <v/>
      </c>
      <c r="E94" s="198">
        <f t="array" ref="E94">IF(B94="","",IF(B94&lt;&gt;B93,SUMPRODUCT(($B$5:B94&lt;&gt;$B$4:B93)*($B$5:B94&lt;&gt;"")),""))</f>
        <v>16</v>
      </c>
      <c r="F94" s="198" t="str">
        <f t="shared" si="3"/>
        <v>号口反映・後続展開（条件付き）</v>
      </c>
      <c r="G94" s="198">
        <f t="shared" si="4"/>
        <v>1</v>
      </c>
      <c r="H94" s="164" t="str">
        <f t="shared" si="5"/>
        <v>号口反映・後続展開の実施可否判定と計画作成</v>
      </c>
      <c r="I94" s="197"/>
      <c r="J94" s="197"/>
      <c r="K94" s="197"/>
      <c r="L94" s="165" t="str">
        <f t="shared" si="6"/>
        <v>【Salesforceデータ連携（1販社先行検証）】16-1_号口反映・後続展開（条件付き）_号口反映・後続展開の実施可否判定と計画作成</v>
      </c>
      <c r="M94" s="199"/>
      <c r="N94" s="199"/>
      <c r="O94" s="167" t="s">
        <v>141</v>
      </c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ht="36.0" customHeight="1">
      <c r="A95" s="200" t="s">
        <v>163</v>
      </c>
      <c r="B95" s="200" t="s">
        <v>707</v>
      </c>
      <c r="C95" s="200" t="s">
        <v>715</v>
      </c>
      <c r="D95" s="175" t="str">
        <f t="shared" si="2"/>
        <v/>
      </c>
      <c r="E95" s="201" t="str">
        <f t="array" ref="E95">IF(B95="","",IF(B95&lt;&gt;B94,SUMPRODUCT(($B$5:B95&lt;&gt;$B$4:B94)*($B$5:B95&lt;&gt;"")),""))</f>
        <v/>
      </c>
      <c r="F95" s="201" t="str">
        <f t="shared" si="3"/>
        <v/>
      </c>
      <c r="G95" s="201">
        <f t="shared" si="4"/>
        <v>2</v>
      </c>
      <c r="H95" s="175" t="str">
        <f t="shared" si="5"/>
        <v>号口反映時の切り戻し・Recovery手順作成</v>
      </c>
      <c r="I95" s="200"/>
      <c r="J95" s="200"/>
      <c r="K95" s="200"/>
      <c r="L95" s="176" t="str">
        <f t="shared" si="6"/>
        <v>【Salesforceデータ連携（1販社先行検証）】16-2_号口反映・後続展開（条件付き）_号口反映時の切り戻し・Recovery手順作成</v>
      </c>
      <c r="M95" s="202"/>
      <c r="N95" s="202"/>
      <c r="O95" s="167" t="s">
        <v>141</v>
      </c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ht="36.0" customHeight="1">
      <c r="A96" s="200" t="s">
        <v>163</v>
      </c>
      <c r="B96" s="200" t="s">
        <v>707</v>
      </c>
      <c r="C96" s="200" t="s">
        <v>719</v>
      </c>
      <c r="D96" s="175" t="str">
        <f t="shared" si="2"/>
        <v/>
      </c>
      <c r="E96" s="201" t="str">
        <f t="array" ref="E96">IF(B96="","",IF(B96&lt;&gt;B95,SUMPRODUCT(($B$5:B96&lt;&gt;$B$4:B95)*($B$5:B96&lt;&gt;"")),""))</f>
        <v/>
      </c>
      <c r="F96" s="201" t="str">
        <f t="shared" si="3"/>
        <v/>
      </c>
      <c r="G96" s="201">
        <f t="shared" si="4"/>
        <v>3</v>
      </c>
      <c r="H96" s="175" t="str">
        <f t="shared" si="5"/>
        <v>号口環境Credential・Connection設定（条件付き）</v>
      </c>
      <c r="I96" s="200"/>
      <c r="J96" s="200"/>
      <c r="K96" s="200"/>
      <c r="L96" s="176" t="str">
        <f t="shared" si="6"/>
        <v>【Salesforceデータ連携（1販社先行検証）】16-3_号口反映・後続展開（条件付き）_号口環境Credential・Connection設定（条件付き）</v>
      </c>
      <c r="M96" s="202"/>
      <c r="N96" s="202"/>
      <c r="O96" s="167" t="s">
        <v>141</v>
      </c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ht="36.0" customHeight="1">
      <c r="A97" s="200" t="s">
        <v>163</v>
      </c>
      <c r="B97" s="200" t="s">
        <v>707</v>
      </c>
      <c r="C97" s="200" t="s">
        <v>723</v>
      </c>
      <c r="D97" s="175" t="str">
        <f t="shared" si="2"/>
        <v/>
      </c>
      <c r="E97" s="201" t="str">
        <f t="array" ref="E97">IF(B97="","",IF(B97&lt;&gt;B96,SUMPRODUCT(($B$5:B97&lt;&gt;$B$4:B96)*($B$5:B97&lt;&gt;"")),""))</f>
        <v/>
      </c>
      <c r="F97" s="201" t="str">
        <f t="shared" si="3"/>
        <v/>
      </c>
      <c r="G97" s="201">
        <f t="shared" si="4"/>
        <v>4</v>
      </c>
      <c r="H97" s="175" t="str">
        <f t="shared" si="5"/>
        <v>NiFi連携・Kudu参照用TB保存処理の号口反映（条件付き）</v>
      </c>
      <c r="I97" s="200"/>
      <c r="J97" s="200"/>
      <c r="K97" s="200"/>
      <c r="L97" s="176" t="str">
        <f t="shared" si="6"/>
        <v>【Salesforceデータ連携（1販社先行検証）】16-4_号口反映・後続展開（条件付き）_NiFi連携・Kudu参照用TB保存処理の号口反映（条件付き）</v>
      </c>
      <c r="M97" s="202"/>
      <c r="N97" s="202"/>
      <c r="O97" s="167" t="s">
        <v>141</v>
      </c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ht="36.0" customHeight="1">
      <c r="A98" s="200" t="s">
        <v>163</v>
      </c>
      <c r="B98" s="200" t="s">
        <v>707</v>
      </c>
      <c r="C98" s="200" t="s">
        <v>727</v>
      </c>
      <c r="D98" s="175" t="str">
        <f t="shared" si="2"/>
        <v/>
      </c>
      <c r="E98" s="201" t="str">
        <f t="array" ref="E98">IF(B98="","",IF(B98&lt;&gt;B97,SUMPRODUCT(($B$5:B98&lt;&gt;$B$4:B97)*($B$5:B98&lt;&gt;"")),""))</f>
        <v/>
      </c>
      <c r="F98" s="201" t="str">
        <f t="shared" si="3"/>
        <v/>
      </c>
      <c r="G98" s="201">
        <f t="shared" si="4"/>
        <v>5</v>
      </c>
      <c r="H98" s="175" t="str">
        <f t="shared" si="5"/>
        <v>号口環境での初回データ取得（条件付き）</v>
      </c>
      <c r="I98" s="200"/>
      <c r="J98" s="200"/>
      <c r="K98" s="200"/>
      <c r="L98" s="176" t="str">
        <f t="shared" si="6"/>
        <v>【Salesforceデータ連携（1販社先行検証）】16-5_号口反映・後続展開（条件付き）_号口環境での初回データ取得（条件付き）</v>
      </c>
      <c r="M98" s="202"/>
      <c r="N98" s="202"/>
      <c r="O98" s="167" t="s">
        <v>141</v>
      </c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ht="36.0" customHeight="1">
      <c r="A99" s="200" t="s">
        <v>163</v>
      </c>
      <c r="B99" s="200" t="s">
        <v>707</v>
      </c>
      <c r="C99" s="200" t="s">
        <v>731</v>
      </c>
      <c r="D99" s="175" t="str">
        <f t="shared" si="2"/>
        <v/>
      </c>
      <c r="E99" s="201" t="str">
        <f t="array" ref="E99">IF(B99="","",IF(B99&lt;&gt;B98,SUMPRODUCT(($B$5:B99&lt;&gt;$B$4:B98)*($B$5:B99&lt;&gt;"")),""))</f>
        <v/>
      </c>
      <c r="F99" s="201" t="str">
        <f t="shared" si="3"/>
        <v/>
      </c>
      <c r="G99" s="201">
        <f t="shared" si="4"/>
        <v>6</v>
      </c>
      <c r="H99" s="175" t="str">
        <f t="shared" si="5"/>
        <v>号口Kudu参照用TBの件数・主要項目確認（条件付き）</v>
      </c>
      <c r="I99" s="200"/>
      <c r="J99" s="200"/>
      <c r="K99" s="200"/>
      <c r="L99" s="176" t="str">
        <f t="shared" si="6"/>
        <v>【Salesforceデータ連携（1販社先行検証）】16-6_号口反映・後続展開（条件付き）_号口Kudu参照用TBの件数・主要項目確認（条件付き）</v>
      </c>
      <c r="M99" s="202"/>
      <c r="N99" s="202"/>
      <c r="O99" s="167" t="s">
        <v>141</v>
      </c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ht="36.0" customHeight="1">
      <c r="A100" s="200" t="s">
        <v>163</v>
      </c>
      <c r="B100" s="200" t="s">
        <v>707</v>
      </c>
      <c r="C100" s="200" t="s">
        <v>735</v>
      </c>
      <c r="D100" s="175" t="str">
        <f t="shared" si="2"/>
        <v/>
      </c>
      <c r="E100" s="201" t="str">
        <f t="array" ref="E100">IF(B100="","",IF(B100&lt;&gt;B99,SUMPRODUCT(($B$5:B100&lt;&gt;$B$4:B99)*($B$5:B100&lt;&gt;"")),""))</f>
        <v/>
      </c>
      <c r="F100" s="201" t="str">
        <f t="shared" si="3"/>
        <v/>
      </c>
      <c r="G100" s="201">
        <f t="shared" si="4"/>
        <v>7</v>
      </c>
      <c r="H100" s="175" t="str">
        <f t="shared" si="5"/>
        <v>定期実行スケジュールの有効化（条件付き）</v>
      </c>
      <c r="I100" s="200"/>
      <c r="J100" s="200"/>
      <c r="K100" s="200"/>
      <c r="L100" s="176" t="str">
        <f t="shared" si="6"/>
        <v>【Salesforceデータ連携（1販社先行検証）】16-7_号口反映・後続展開（条件付き）_定期実行スケジュールの有効化（条件付き）</v>
      </c>
      <c r="M100" s="202"/>
      <c r="N100" s="202"/>
      <c r="O100" s="167" t="s">
        <v>141</v>
      </c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ht="36.0" customHeight="1">
      <c r="A101" s="200" t="s">
        <v>163</v>
      </c>
      <c r="B101" s="200" t="s">
        <v>707</v>
      </c>
      <c r="C101" s="200" t="s">
        <v>739</v>
      </c>
      <c r="D101" s="175" t="str">
        <f t="shared" si="2"/>
        <v/>
      </c>
      <c r="E101" s="201" t="str">
        <f t="array" ref="E101">IF(B101="","",IF(B101&lt;&gt;B100,SUMPRODUCT(($B$5:B101&lt;&gt;$B$4:B100)*($B$5:B101&lt;&gt;"")),""))</f>
        <v/>
      </c>
      <c r="F101" s="201" t="str">
        <f t="shared" si="3"/>
        <v/>
      </c>
      <c r="G101" s="201">
        <f t="shared" si="4"/>
        <v>8</v>
      </c>
      <c r="H101" s="175" t="str">
        <f t="shared" si="5"/>
        <v>号口反映後の初期監視（条件付き）</v>
      </c>
      <c r="I101" s="200"/>
      <c r="J101" s="200"/>
      <c r="K101" s="200"/>
      <c r="L101" s="176" t="str">
        <f t="shared" si="6"/>
        <v>【Salesforceデータ連携（1販社先行検証）】16-8_号口反映・後続展開（条件付き）_号口反映後の初期監視（条件付き）</v>
      </c>
      <c r="M101" s="202"/>
      <c r="N101" s="202"/>
      <c r="O101" s="167" t="s">
        <v>141</v>
      </c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ht="36.0" customHeight="1">
      <c r="A102" s="194" t="s">
        <v>163</v>
      </c>
      <c r="B102" s="194" t="s">
        <v>747</v>
      </c>
      <c r="C102" s="194" t="s">
        <v>749</v>
      </c>
      <c r="D102" s="194" t="str">
        <f t="shared" si="2"/>
        <v/>
      </c>
      <c r="E102" s="195">
        <f t="array" ref="E102">IF(B102="","",IF(B102&lt;&gt;B101,SUMPRODUCT(($B$5:B102&lt;&gt;$B$4:B101)*($B$5:B102&lt;&gt;"")),""))</f>
        <v>17</v>
      </c>
      <c r="F102" s="195" t="str">
        <f t="shared" si="3"/>
        <v>先行検証評価・後続展開判定</v>
      </c>
      <c r="G102" s="195">
        <f t="shared" si="4"/>
        <v>1</v>
      </c>
      <c r="H102" s="164" t="str">
        <f t="shared" si="5"/>
        <v>先行検証完了・号口／追加販社展開判定</v>
      </c>
      <c r="I102" s="194"/>
      <c r="J102" s="194"/>
      <c r="K102" s="194"/>
      <c r="L102" s="165" t="str">
        <f t="shared" si="6"/>
        <v>【Salesforceデータ連携（1販社先行検証）】17-1_先行検証評価・後続展開判定_先行検証完了・号口／追加販社展開判定</v>
      </c>
      <c r="M102" s="196">
        <v>46283.0</v>
      </c>
      <c r="N102" s="196">
        <v>46283.0</v>
      </c>
      <c r="O102" s="167" t="s">
        <v>141</v>
      </c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ht="39.75" customHeight="1">
      <c r="A103" s="289" t="s">
        <v>163</v>
      </c>
      <c r="B103" s="289" t="s">
        <v>692</v>
      </c>
      <c r="C103" s="289" t="s">
        <v>762</v>
      </c>
      <c r="D103" s="289" t="str">
        <f t="shared" si="2"/>
        <v/>
      </c>
      <c r="E103" s="290">
        <f t="array" ref="E103">IF(B103="","",IF(B103&lt;&gt;B102,SUMPRODUCT(($B$5:B103&lt;&gt;$B$4:B102)*($B$5:B103&lt;&gt;"")),""))</f>
        <v>18</v>
      </c>
      <c r="F103" s="290" t="str">
        <f t="shared" si="3"/>
        <v>条件付き作業</v>
      </c>
      <c r="G103" s="290">
        <f t="shared" si="4"/>
        <v>1</v>
      </c>
      <c r="H103" s="164" t="str">
        <f t="shared" si="5"/>
        <v>Watermark項目・管理方式の設計</v>
      </c>
      <c r="I103" s="289"/>
      <c r="J103" s="289"/>
      <c r="K103" s="289"/>
      <c r="L103" s="165" t="str">
        <f t="shared" si="6"/>
        <v>【Salesforceデータ連携（1販社先行検証）】18-1_条件付き作業_Watermark項目・管理方式の設計</v>
      </c>
      <c r="M103" s="291"/>
      <c r="N103" s="291"/>
      <c r="O103" s="167" t="s">
        <v>141</v>
      </c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ht="36.0" customHeight="1">
      <c r="A104" s="292" t="s">
        <v>163</v>
      </c>
      <c r="B104" s="292" t="s">
        <v>692</v>
      </c>
      <c r="C104" s="292" t="s">
        <v>770</v>
      </c>
      <c r="D104" s="292" t="str">
        <f t="shared" si="2"/>
        <v/>
      </c>
      <c r="E104" s="293" t="str">
        <f t="array" ref="E104">IF(B104="","",IF(B104&lt;&gt;B103,SUMPRODUCT(($B$5:B104&lt;&gt;$B$4:B103)*($B$5:B104&lt;&gt;"")),""))</f>
        <v/>
      </c>
      <c r="F104" s="293" t="str">
        <f t="shared" si="3"/>
        <v/>
      </c>
      <c r="G104" s="293">
        <f t="shared" si="4"/>
        <v>2</v>
      </c>
      <c r="H104" s="175" t="str">
        <f t="shared" si="5"/>
        <v>Overlap・取得期間境界の設計</v>
      </c>
      <c r="I104" s="292"/>
      <c r="J104" s="292"/>
      <c r="K104" s="292"/>
      <c r="L104" s="176" t="str">
        <f t="shared" si="6"/>
        <v>【Salesforceデータ連携（1販社先行検証）】18-2_条件付き作業_Overlap・取得期間境界の設計</v>
      </c>
      <c r="M104" s="294"/>
      <c r="N104" s="294"/>
      <c r="O104" s="167" t="s">
        <v>141</v>
      </c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ht="36.0" customHeight="1">
      <c r="A105" s="292" t="s">
        <v>163</v>
      </c>
      <c r="B105" s="292" t="s">
        <v>692</v>
      </c>
      <c r="C105" s="292" t="s">
        <v>774</v>
      </c>
      <c r="D105" s="292" t="str">
        <f t="shared" si="2"/>
        <v/>
      </c>
      <c r="E105" s="293" t="str">
        <f t="array" ref="E105">IF(B105="","",IF(B105&lt;&gt;B104,SUMPRODUCT(($B$5:B105&lt;&gt;$B$4:B104)*($B$5:B105&lt;&gt;"")),""))</f>
        <v/>
      </c>
      <c r="F105" s="293" t="str">
        <f t="shared" si="3"/>
        <v/>
      </c>
      <c r="G105" s="293">
        <f t="shared" si="4"/>
        <v>3</v>
      </c>
      <c r="H105" s="175" t="str">
        <f t="shared" si="5"/>
        <v>Initial Full Load処理の実装</v>
      </c>
      <c r="I105" s="292"/>
      <c r="J105" s="292"/>
      <c r="K105" s="292"/>
      <c r="L105" s="176" t="str">
        <f t="shared" si="6"/>
        <v>【Salesforceデータ連携（1販社先行検証）】18-3_条件付き作業_Initial Full Load処理の実装</v>
      </c>
      <c r="M105" s="294"/>
      <c r="N105" s="294"/>
      <c r="O105" s="167" t="s">
        <v>141</v>
      </c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ht="36.0" customHeight="1">
      <c r="A106" s="292" t="s">
        <v>163</v>
      </c>
      <c r="B106" s="292" t="s">
        <v>692</v>
      </c>
      <c r="C106" s="292" t="s">
        <v>780</v>
      </c>
      <c r="D106" s="292" t="str">
        <f t="shared" si="2"/>
        <v/>
      </c>
      <c r="E106" s="293" t="str">
        <f t="array" ref="E106">IF(B106="","",IF(B106&lt;&gt;B105,SUMPRODUCT(($B$5:B106&lt;&gt;$B$4:B105)*($B$5:B106&lt;&gt;"")),""))</f>
        <v/>
      </c>
      <c r="F106" s="293" t="str">
        <f t="shared" si="3"/>
        <v/>
      </c>
      <c r="G106" s="293">
        <f t="shared" si="4"/>
        <v>4</v>
      </c>
      <c r="H106" s="175" t="str">
        <f t="shared" si="5"/>
        <v>Incremental Load処理の実装</v>
      </c>
      <c r="I106" s="292"/>
      <c r="J106" s="292"/>
      <c r="K106" s="292"/>
      <c r="L106" s="176" t="str">
        <f t="shared" si="6"/>
        <v>【Salesforceデータ連携（1販社先行検証）】18-4_条件付き作業_Incremental Load処理の実装</v>
      </c>
      <c r="M106" s="294"/>
      <c r="N106" s="294"/>
      <c r="O106" s="167" t="s">
        <v>141</v>
      </c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ht="36.0" customHeight="1">
      <c r="A107" s="292" t="s">
        <v>163</v>
      </c>
      <c r="B107" s="292" t="s">
        <v>692</v>
      </c>
      <c r="C107" s="292" t="s">
        <v>784</v>
      </c>
      <c r="D107" s="292" t="str">
        <f t="shared" si="2"/>
        <v/>
      </c>
      <c r="E107" s="293" t="str">
        <f t="array" ref="E107">IF(B107="","",IF(B107&lt;&gt;B106,SUMPRODUCT(($B$5:B107&lt;&gt;$B$4:B106)*($B$5:B107&lt;&gt;"")),""))</f>
        <v/>
      </c>
      <c r="F107" s="293" t="str">
        <f t="shared" si="3"/>
        <v/>
      </c>
      <c r="G107" s="293">
        <f t="shared" si="4"/>
        <v>5</v>
      </c>
      <c r="H107" s="175" t="str">
        <f t="shared" si="5"/>
        <v>Watermark正常・異常時制御の実装</v>
      </c>
      <c r="I107" s="292"/>
      <c r="J107" s="292"/>
      <c r="K107" s="292"/>
      <c r="L107" s="176" t="str">
        <f t="shared" si="6"/>
        <v>【Salesforceデータ連携（1販社先行検証）】18-5_条件付き作業_Watermark正常・異常時制御の実装</v>
      </c>
      <c r="M107" s="294"/>
      <c r="N107" s="294"/>
      <c r="O107" s="167" t="s">
        <v>141</v>
      </c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ht="36.0" customHeight="1">
      <c r="A108" s="292" t="s">
        <v>163</v>
      </c>
      <c r="B108" s="292" t="s">
        <v>692</v>
      </c>
      <c r="C108" s="292" t="s">
        <v>790</v>
      </c>
      <c r="D108" s="292" t="str">
        <f t="shared" si="2"/>
        <v/>
      </c>
      <c r="E108" s="293" t="str">
        <f t="array" ref="E108">IF(B108="","",IF(B108&lt;&gt;B107,SUMPRODUCT(($B$5:B108&lt;&gt;$B$4:B107)*($B$5:B108&lt;&gt;"")),""))</f>
        <v/>
      </c>
      <c r="F108" s="293" t="str">
        <f t="shared" si="3"/>
        <v/>
      </c>
      <c r="G108" s="293">
        <f t="shared" si="4"/>
        <v>6</v>
      </c>
      <c r="H108" s="175" t="str">
        <f t="shared" si="5"/>
        <v>増分データ反映試験</v>
      </c>
      <c r="I108" s="292"/>
      <c r="J108" s="292"/>
      <c r="K108" s="292"/>
      <c r="L108" s="176" t="str">
        <f t="shared" si="6"/>
        <v>【Salesforceデータ連携（1販社先行検証）】18-6_条件付き作業_増分データ反映試験</v>
      </c>
      <c r="M108" s="294"/>
      <c r="N108" s="294"/>
      <c r="O108" s="167" t="s">
        <v>141</v>
      </c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ht="36.0" customHeight="1">
      <c r="A109" s="292" t="s">
        <v>163</v>
      </c>
      <c r="B109" s="292" t="s">
        <v>692</v>
      </c>
      <c r="C109" s="292" t="s">
        <v>794</v>
      </c>
      <c r="D109" s="292" t="str">
        <f t="shared" si="2"/>
        <v/>
      </c>
      <c r="E109" s="293" t="str">
        <f t="array" ref="E109">IF(B109="","",IF(B109&lt;&gt;B108,SUMPRODUCT(($B$5:B109&lt;&gt;$B$4:B108)*($B$5:B109&lt;&gt;"")),""))</f>
        <v/>
      </c>
      <c r="F109" s="293" t="str">
        <f t="shared" si="3"/>
        <v/>
      </c>
      <c r="G109" s="293">
        <f t="shared" si="4"/>
        <v>7</v>
      </c>
      <c r="H109" s="175" t="str">
        <f t="shared" si="5"/>
        <v>削除データ取得・反映方式の設計</v>
      </c>
      <c r="I109" s="292"/>
      <c r="J109" s="292"/>
      <c r="K109" s="292"/>
      <c r="L109" s="176" t="str">
        <f t="shared" si="6"/>
        <v>【Salesforceデータ連携（1販社先行検証）】18-7_条件付き作業_削除データ取得・反映方式の設計</v>
      </c>
      <c r="M109" s="294"/>
      <c r="N109" s="294"/>
      <c r="O109" s="167" t="s">
        <v>141</v>
      </c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ht="36.0" customHeight="1">
      <c r="A110" s="292" t="s">
        <v>163</v>
      </c>
      <c r="B110" s="292" t="s">
        <v>692</v>
      </c>
      <c r="C110" s="292" t="s">
        <v>800</v>
      </c>
      <c r="D110" s="292" t="str">
        <f t="shared" si="2"/>
        <v/>
      </c>
      <c r="E110" s="293" t="str">
        <f t="array" ref="E110">IF(B110="","",IF(B110&lt;&gt;B109,SUMPRODUCT(($B$5:B110&lt;&gt;$B$4:B109)*($B$5:B110&lt;&gt;"")),""))</f>
        <v/>
      </c>
      <c r="F110" s="293" t="str">
        <f t="shared" si="3"/>
        <v/>
      </c>
      <c r="G110" s="293">
        <f t="shared" si="4"/>
        <v>8</v>
      </c>
      <c r="H110" s="175" t="str">
        <f t="shared" si="5"/>
        <v>削除データ取得処理の実装</v>
      </c>
      <c r="I110" s="292"/>
      <c r="J110" s="292"/>
      <c r="K110" s="292"/>
      <c r="L110" s="176" t="str">
        <f t="shared" si="6"/>
        <v>【Salesforceデータ連携（1販社先行検証）】18-8_条件付き作業_削除データ取得処理の実装</v>
      </c>
      <c r="M110" s="294"/>
      <c r="N110" s="294"/>
      <c r="O110" s="167" t="s">
        <v>141</v>
      </c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ht="36.0" customHeight="1">
      <c r="A111" s="292" t="s">
        <v>163</v>
      </c>
      <c r="B111" s="292" t="s">
        <v>692</v>
      </c>
      <c r="C111" s="292" t="s">
        <v>805</v>
      </c>
      <c r="D111" s="292" t="str">
        <f t="shared" si="2"/>
        <v/>
      </c>
      <c r="E111" s="293" t="str">
        <f t="array" ref="E111">IF(B111="","",IF(B111&lt;&gt;B110,SUMPRODUCT(($B$5:B111&lt;&gt;$B$4:B110)*($B$5:B111&lt;&gt;"")),""))</f>
        <v/>
      </c>
      <c r="F111" s="293" t="str">
        <f t="shared" si="3"/>
        <v/>
      </c>
      <c r="G111" s="293">
        <f t="shared" si="4"/>
        <v>9</v>
      </c>
      <c r="H111" s="175" t="str">
        <f t="shared" si="5"/>
        <v>削除データ反映試験</v>
      </c>
      <c r="I111" s="292"/>
      <c r="J111" s="292"/>
      <c r="K111" s="292"/>
      <c r="L111" s="176" t="str">
        <f t="shared" si="6"/>
        <v>【Salesforceデータ連携（1販社先行検証）】18-9_条件付き作業_削除データ反映試験</v>
      </c>
      <c r="M111" s="294"/>
      <c r="N111" s="294"/>
      <c r="O111" s="167" t="s">
        <v>141</v>
      </c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ht="36.0" customHeight="1">
      <c r="A112" s="292" t="s">
        <v>163</v>
      </c>
      <c r="B112" s="292" t="s">
        <v>692</v>
      </c>
      <c r="C112" s="292" t="s">
        <v>810</v>
      </c>
      <c r="D112" s="292" t="str">
        <f t="shared" si="2"/>
        <v/>
      </c>
      <c r="E112" s="293" t="str">
        <f t="array" ref="E112">IF(B112="","",IF(B112&lt;&gt;B111,SUMPRODUCT(($B$5:B112&lt;&gt;$B$4:B111)*($B$5:B112&lt;&gt;"")),""))</f>
        <v/>
      </c>
      <c r="F112" s="293" t="str">
        <f t="shared" si="3"/>
        <v/>
      </c>
      <c r="G112" s="293">
        <f t="shared" si="4"/>
        <v>10</v>
      </c>
      <c r="H112" s="175" t="str">
        <f t="shared" si="5"/>
        <v>Private接続追加設計</v>
      </c>
      <c r="I112" s="292"/>
      <c r="J112" s="292"/>
      <c r="K112" s="292"/>
      <c r="L112" s="176" t="str">
        <f t="shared" si="6"/>
        <v>【Salesforceデータ連携（1販社先行検証）】18-10_条件付き作業_Private接続追加設計</v>
      </c>
      <c r="M112" s="294"/>
      <c r="N112" s="294"/>
      <c r="O112" s="167" t="s">
        <v>141</v>
      </c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ht="36.0" customHeight="1">
      <c r="A113" s="292" t="s">
        <v>163</v>
      </c>
      <c r="B113" s="292" t="s">
        <v>692</v>
      </c>
      <c r="C113" s="292" t="s">
        <v>816</v>
      </c>
      <c r="D113" s="292" t="str">
        <f t="shared" si="2"/>
        <v/>
      </c>
      <c r="E113" s="293" t="str">
        <f t="array" ref="E113">IF(B113="","",IF(B113&lt;&gt;B112,SUMPRODUCT(($B$5:B113&lt;&gt;$B$4:B112)*($B$5:B113&lt;&gt;"")),""))</f>
        <v/>
      </c>
      <c r="F113" s="293" t="str">
        <f t="shared" si="3"/>
        <v/>
      </c>
      <c r="G113" s="293">
        <f t="shared" si="4"/>
        <v>11</v>
      </c>
      <c r="H113" s="175" t="str">
        <f t="shared" si="5"/>
        <v>Firewall・NSG等の追加設定確認</v>
      </c>
      <c r="I113" s="292"/>
      <c r="J113" s="292"/>
      <c r="K113" s="292"/>
      <c r="L113" s="176" t="str">
        <f t="shared" si="6"/>
        <v>【Salesforceデータ連携（1販社先行検証）】18-11_条件付き作業_Firewall・NSG等の追加設定確認</v>
      </c>
      <c r="M113" s="294"/>
      <c r="N113" s="294"/>
      <c r="O113" s="167" t="s">
        <v>141</v>
      </c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ht="39.75" customHeight="1">
      <c r="A114" s="197" t="s">
        <v>163</v>
      </c>
      <c r="B114" s="197" t="s">
        <v>821</v>
      </c>
      <c r="C114" s="197" t="s">
        <v>822</v>
      </c>
      <c r="D114" s="197" t="str">
        <f t="shared" si="2"/>
        <v/>
      </c>
      <c r="E114" s="198">
        <f t="array" ref="E114">IF(B114="","",IF(B114&lt;&gt;B113,SUMPRODUCT(($B$5:B114&lt;&gt;$B$4:B113)*($B$5:B114&lt;&gt;"")),""))</f>
        <v>19</v>
      </c>
      <c r="F114" s="198" t="str">
        <f t="shared" si="3"/>
        <v>今回スコープ外：データ加工基盤</v>
      </c>
      <c r="G114" s="198">
        <f t="shared" si="4"/>
        <v>1</v>
      </c>
      <c r="H114" s="164" t="str">
        <f t="shared" si="5"/>
        <v>ADLS Landing／Raw（今回スコープ外）</v>
      </c>
      <c r="I114" s="197"/>
      <c r="J114" s="197"/>
      <c r="K114" s="197"/>
      <c r="L114" s="165" t="str">
        <f t="shared" si="6"/>
        <v>【Salesforceデータ連携（1販社先行検証）】19-1_今回スコープ外：データ加工基盤_ADLS Landing／Raw（今回スコープ外）</v>
      </c>
      <c r="M114" s="199"/>
      <c r="N114" s="199"/>
      <c r="O114" s="167" t="s">
        <v>141</v>
      </c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ht="36.0" customHeight="1">
      <c r="A115" s="295" t="s">
        <v>163</v>
      </c>
      <c r="B115" s="295" t="s">
        <v>821</v>
      </c>
      <c r="C115" s="295" t="s">
        <v>830</v>
      </c>
      <c r="D115" s="295" t="str">
        <f t="shared" si="2"/>
        <v/>
      </c>
      <c r="E115" s="296" t="str">
        <f t="array" ref="E115">IF(B115="","",IF(B115&lt;&gt;B114,SUMPRODUCT(($B$5:B115&lt;&gt;$B$4:B114)*($B$5:B115&lt;&gt;"")),""))</f>
        <v/>
      </c>
      <c r="F115" s="296" t="str">
        <f t="shared" si="3"/>
        <v/>
      </c>
      <c r="G115" s="296">
        <f t="shared" si="4"/>
        <v>2</v>
      </c>
      <c r="H115" s="175" t="str">
        <f t="shared" si="5"/>
        <v>Bronze構築（今回スコープ外）</v>
      </c>
      <c r="I115" s="295"/>
      <c r="J115" s="295"/>
      <c r="K115" s="295"/>
      <c r="L115" s="176" t="str">
        <f t="shared" si="6"/>
        <v>【Salesforceデータ連携（1販社先行検証）】19-2_今回スコープ外：データ加工基盤_Bronze構築（今回スコープ外）</v>
      </c>
      <c r="M115" s="297"/>
      <c r="N115" s="297"/>
      <c r="O115" s="167" t="s">
        <v>141</v>
      </c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ht="36.0" customHeight="1">
      <c r="A116" s="295" t="s">
        <v>163</v>
      </c>
      <c r="B116" s="295" t="s">
        <v>821</v>
      </c>
      <c r="C116" s="295" t="s">
        <v>835</v>
      </c>
      <c r="D116" s="295" t="str">
        <f t="shared" si="2"/>
        <v/>
      </c>
      <c r="E116" s="296" t="str">
        <f t="array" ref="E116">IF(B116="","",IF(B116&lt;&gt;B115,SUMPRODUCT(($B$5:B116&lt;&gt;$B$4:B115)*($B$5:B116&lt;&gt;"")),""))</f>
        <v/>
      </c>
      <c r="F116" s="296" t="str">
        <f t="shared" si="3"/>
        <v/>
      </c>
      <c r="G116" s="296">
        <f t="shared" si="4"/>
        <v>3</v>
      </c>
      <c r="H116" s="175" t="str">
        <f t="shared" si="5"/>
        <v>Silver構築（今回スコープ外）</v>
      </c>
      <c r="I116" s="295"/>
      <c r="J116" s="295"/>
      <c r="K116" s="295"/>
      <c r="L116" s="176" t="str">
        <f t="shared" si="6"/>
        <v>【Salesforceデータ連携（1販社先行検証）】19-3_今回スコープ外：データ加工基盤_Silver構築（今回スコープ外）</v>
      </c>
      <c r="M116" s="297"/>
      <c r="N116" s="297"/>
      <c r="O116" s="167" t="s">
        <v>141</v>
      </c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ht="36.0" customHeight="1">
      <c r="A117" s="295" t="s">
        <v>163</v>
      </c>
      <c r="B117" s="295" t="s">
        <v>821</v>
      </c>
      <c r="C117" s="295" t="s">
        <v>839</v>
      </c>
      <c r="D117" s="295" t="str">
        <f t="shared" si="2"/>
        <v/>
      </c>
      <c r="E117" s="296" t="str">
        <f t="array" ref="E117">IF(B117="","",IF(B117&lt;&gt;B116,SUMPRODUCT(($B$5:B117&lt;&gt;$B$4:B116)*($B$5:B117&lt;&gt;"")),""))</f>
        <v/>
      </c>
      <c r="F117" s="296" t="str">
        <f t="shared" si="3"/>
        <v/>
      </c>
      <c r="G117" s="296">
        <f t="shared" si="4"/>
        <v>4</v>
      </c>
      <c r="H117" s="175" t="str">
        <f t="shared" si="5"/>
        <v>Gold構築（今回スコープ外）</v>
      </c>
      <c r="I117" s="295"/>
      <c r="J117" s="295"/>
      <c r="K117" s="295"/>
      <c r="L117" s="176" t="str">
        <f t="shared" si="6"/>
        <v>【Salesforceデータ連携（1販社先行検証）】19-4_今回スコープ外：データ加工基盤_Gold構築（今回スコープ外）</v>
      </c>
      <c r="M117" s="297"/>
      <c r="N117" s="297"/>
      <c r="O117" s="167" t="s">
        <v>141</v>
      </c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ht="39.75" customHeight="1">
      <c r="A118" s="197" t="s">
        <v>163</v>
      </c>
      <c r="B118" s="197" t="s">
        <v>843</v>
      </c>
      <c r="C118" s="197" t="s">
        <v>844</v>
      </c>
      <c r="D118" s="197" t="str">
        <f t="shared" si="2"/>
        <v/>
      </c>
      <c r="E118" s="198">
        <f t="array" ref="E118">IF(B118="","",IF(B118&lt;&gt;B117,SUMPRODUCT(($B$5:B118&lt;&gt;$B$4:B117)*($B$5:B118&lt;&gt;"")),""))</f>
        <v>20</v>
      </c>
      <c r="F118" s="198" t="str">
        <f t="shared" si="3"/>
        <v>今回スコープ外：Power BI</v>
      </c>
      <c r="G118" s="198">
        <f t="shared" si="4"/>
        <v>1</v>
      </c>
      <c r="H118" s="164" t="str">
        <f t="shared" si="5"/>
        <v>Power BI接続（今回スコープ外）</v>
      </c>
      <c r="I118" s="197"/>
      <c r="J118" s="197"/>
      <c r="K118" s="197"/>
      <c r="L118" s="165" t="str">
        <f t="shared" si="6"/>
        <v>【Salesforceデータ連携（1販社先行検証）】20-1_今回スコープ外：Power BI_Power BI接続（今回スコープ外）</v>
      </c>
      <c r="M118" s="199"/>
      <c r="N118" s="199"/>
      <c r="O118" s="167" t="s">
        <v>141</v>
      </c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ht="36.0" customHeight="1">
      <c r="A119" s="295" t="s">
        <v>163</v>
      </c>
      <c r="B119" s="295" t="s">
        <v>843</v>
      </c>
      <c r="C119" s="295" t="s">
        <v>849</v>
      </c>
      <c r="D119" s="295" t="str">
        <f t="shared" si="2"/>
        <v/>
      </c>
      <c r="E119" s="296" t="str">
        <f t="array" ref="E119">IF(B119="","",IF(B119&lt;&gt;B118,SUMPRODUCT(($B$5:B119&lt;&gt;$B$4:B118)*($B$5:B119&lt;&gt;"")),""))</f>
        <v/>
      </c>
      <c r="F119" s="296" t="str">
        <f t="shared" si="3"/>
        <v/>
      </c>
      <c r="G119" s="296">
        <f t="shared" si="4"/>
        <v>2</v>
      </c>
      <c r="H119" s="175" t="str">
        <f t="shared" si="5"/>
        <v>Semantic Model・KPI（今回スコープ外）</v>
      </c>
      <c r="I119" s="295"/>
      <c r="J119" s="295"/>
      <c r="K119" s="295"/>
      <c r="L119" s="176" t="str">
        <f t="shared" si="6"/>
        <v>【Salesforceデータ連携（1販社先行検証）】20-2_今回スコープ外：Power BI_Semantic Model・KPI（今回スコープ外）</v>
      </c>
      <c r="M119" s="297"/>
      <c r="N119" s="297"/>
      <c r="O119" s="167" t="s">
        <v>141</v>
      </c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ht="36.0" customHeight="1">
      <c r="A120" s="295" t="s">
        <v>163</v>
      </c>
      <c r="B120" s="295" t="s">
        <v>843</v>
      </c>
      <c r="C120" s="295" t="s">
        <v>854</v>
      </c>
      <c r="D120" s="295" t="str">
        <f t="shared" si="2"/>
        <v/>
      </c>
      <c r="E120" s="296" t="str">
        <f t="array" ref="E120">IF(B120="","",IF(B120&lt;&gt;B119,SUMPRODUCT(($B$5:B120&lt;&gt;$B$4:B119)*($B$5:B120&lt;&gt;"")),""))</f>
        <v/>
      </c>
      <c r="F120" s="296" t="str">
        <f t="shared" si="3"/>
        <v/>
      </c>
      <c r="G120" s="296">
        <f t="shared" si="4"/>
        <v>3</v>
      </c>
      <c r="H120" s="175" t="str">
        <f t="shared" si="5"/>
        <v>Power BIレポート作成（今回スコープ外）</v>
      </c>
      <c r="I120" s="295"/>
      <c r="J120" s="295"/>
      <c r="K120" s="295"/>
      <c r="L120" s="176" t="str">
        <f t="shared" si="6"/>
        <v>【Salesforceデータ連携（1販社先行検証）】20-3_今回スコープ外：Power BI_Power BIレポート作成（今回スコープ外）</v>
      </c>
      <c r="M120" s="297"/>
      <c r="N120" s="297"/>
      <c r="O120" s="167" t="s">
        <v>141</v>
      </c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ht="36.0" customHeight="1">
      <c r="A121" s="295" t="s">
        <v>163</v>
      </c>
      <c r="B121" s="295" t="s">
        <v>843</v>
      </c>
      <c r="C121" s="295" t="s">
        <v>859</v>
      </c>
      <c r="D121" s="295" t="str">
        <f t="shared" si="2"/>
        <v/>
      </c>
      <c r="E121" s="296" t="str">
        <f t="array" ref="E121">IF(B121="","",IF(B121&lt;&gt;B120,SUMPRODUCT(($B$5:B121&lt;&gt;$B$4:B120)*($B$5:B121&lt;&gt;"")),""))</f>
        <v/>
      </c>
      <c r="F121" s="296" t="str">
        <f t="shared" si="3"/>
        <v/>
      </c>
      <c r="G121" s="296">
        <f t="shared" si="4"/>
        <v>4</v>
      </c>
      <c r="H121" s="175" t="str">
        <f t="shared" si="5"/>
        <v>Power BI本番反映（今回スコープ外）</v>
      </c>
      <c r="I121" s="295"/>
      <c r="J121" s="295"/>
      <c r="K121" s="295"/>
      <c r="L121" s="176" t="str">
        <f t="shared" si="6"/>
        <v>【Salesforceデータ連携（1販社先行検証）】20-4_今回スコープ外：Power BI_Power BI本番反映（今回スコープ外）</v>
      </c>
      <c r="M121" s="297"/>
      <c r="N121" s="297"/>
      <c r="O121" s="167" t="s">
        <v>141</v>
      </c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ht="39.75" customHeight="1">
      <c r="A122" s="194" t="s">
        <v>163</v>
      </c>
      <c r="B122" s="194" t="s">
        <v>213</v>
      </c>
      <c r="C122" s="194" t="s">
        <v>864</v>
      </c>
      <c r="D122" s="194" t="str">
        <f t="shared" si="2"/>
        <v/>
      </c>
      <c r="E122" s="195">
        <f t="array" ref="E122">IF(B122="","",IF(B122&lt;&gt;B121,SUMPRODUCT(($B$5:B122&lt;&gt;$B$4:B121)*($B$5:B122&lt;&gt;"")),""))</f>
        <v>21</v>
      </c>
      <c r="F122" s="195" t="str">
        <f t="shared" si="3"/>
        <v>将来対応</v>
      </c>
      <c r="G122" s="195">
        <f t="shared" si="4"/>
        <v>1</v>
      </c>
      <c r="H122" s="164" t="str">
        <f t="shared" si="5"/>
        <v>CDCへの拡張方針整理</v>
      </c>
      <c r="I122" s="194"/>
      <c r="J122" s="194"/>
      <c r="K122" s="194"/>
      <c r="L122" s="165" t="str">
        <f t="shared" si="6"/>
        <v>【Salesforceデータ連携（1販社先行検証）】21-1_将来対応_CDCへの拡張方針整理</v>
      </c>
      <c r="M122" s="196"/>
      <c r="N122" s="196"/>
      <c r="O122" s="167" t="s">
        <v>141</v>
      </c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ht="36.0" customHeight="1">
      <c r="A123" s="298" t="s">
        <v>163</v>
      </c>
      <c r="B123" s="298" t="s">
        <v>213</v>
      </c>
      <c r="C123" s="298" t="s">
        <v>870</v>
      </c>
      <c r="D123" s="298" t="str">
        <f t="shared" si="2"/>
        <v/>
      </c>
      <c r="E123" s="299" t="str">
        <f t="array" ref="E123">IF(B123="","",IF(B123&lt;&gt;B122,SUMPRODUCT(($B$5:B123&lt;&gt;$B$4:B122)*($B$5:B123&lt;&gt;"")),""))</f>
        <v/>
      </c>
      <c r="F123" s="299" t="str">
        <f t="shared" si="3"/>
        <v/>
      </c>
      <c r="G123" s="299">
        <f t="shared" si="4"/>
        <v>2</v>
      </c>
      <c r="H123" s="175" t="str">
        <f t="shared" si="5"/>
        <v>Streamingへの拡張方針整理</v>
      </c>
      <c r="I123" s="298"/>
      <c r="J123" s="298"/>
      <c r="K123" s="298"/>
      <c r="L123" s="176" t="str">
        <f t="shared" si="6"/>
        <v>【Salesforceデータ連携（1販社先行検証）】21-2_将来対応_Streamingへの拡張方針整理</v>
      </c>
      <c r="M123" s="300"/>
      <c r="N123" s="300"/>
      <c r="O123" s="167" t="s">
        <v>141</v>
      </c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ht="36.0" customHeight="1">
      <c r="A124" s="298" t="s">
        <v>163</v>
      </c>
      <c r="B124" s="298" t="s">
        <v>213</v>
      </c>
      <c r="C124" s="298" t="s">
        <v>873</v>
      </c>
      <c r="D124" s="298" t="str">
        <f t="shared" si="2"/>
        <v/>
      </c>
      <c r="E124" s="299" t="str">
        <f t="array" ref="E124">IF(B124="","",IF(B124&lt;&gt;B123,SUMPRODUCT(($B$5:B124&lt;&gt;$B$4:B123)*($B$5:B124&lt;&gt;"")),""))</f>
        <v/>
      </c>
      <c r="F124" s="299" t="str">
        <f t="shared" si="3"/>
        <v/>
      </c>
      <c r="G124" s="299">
        <f t="shared" si="4"/>
        <v>3</v>
      </c>
      <c r="H124" s="175" t="str">
        <f t="shared" si="5"/>
        <v>先行検証結果を基にした追加販社展開方式の改善・標準化</v>
      </c>
      <c r="I124" s="298"/>
      <c r="J124" s="298"/>
      <c r="K124" s="298"/>
      <c r="L124" s="176" t="str">
        <f t="shared" si="6"/>
        <v>【Salesforceデータ連携（1販社先行検証）】21-3_将来対応_先行検証結果を基にした追加販社展開方式の改善・標準化</v>
      </c>
      <c r="M124" s="300"/>
      <c r="N124" s="300"/>
      <c r="O124" s="167" t="s">
        <v>141</v>
      </c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ht="36.0" customHeight="1">
      <c r="A125" s="298" t="s">
        <v>163</v>
      </c>
      <c r="B125" s="298" t="s">
        <v>213</v>
      </c>
      <c r="C125" s="298" t="s">
        <v>878</v>
      </c>
      <c r="D125" s="298" t="str">
        <f t="shared" si="2"/>
        <v/>
      </c>
      <c r="E125" s="299" t="str">
        <f t="array" ref="E125">IF(B125="","",IF(B125&lt;&gt;B124,SUMPRODUCT(($B$5:B125&lt;&gt;$B$4:B124)*($B$5:B125&lt;&gt;"")),""))</f>
        <v/>
      </c>
      <c r="F125" s="299" t="str">
        <f t="shared" si="3"/>
        <v/>
      </c>
      <c r="G125" s="299">
        <f t="shared" si="4"/>
        <v>4</v>
      </c>
      <c r="H125" s="175" t="str">
        <f t="shared" si="5"/>
        <v>先行検証の課題・改善事項を後続展開へ引継ぎ</v>
      </c>
      <c r="I125" s="298"/>
      <c r="J125" s="298"/>
      <c r="K125" s="298"/>
      <c r="L125" s="176" t="str">
        <f t="shared" si="6"/>
        <v>【Salesforceデータ連携（1販社先行検証）】21-4_将来対応_先行検証の課題・改善事項を後続展開へ引継ぎ</v>
      </c>
      <c r="M125" s="300"/>
      <c r="N125" s="300"/>
      <c r="O125" s="167" t="s">
        <v>141</v>
      </c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ht="19.5" customHeight="1">
      <c r="A126" s="9"/>
      <c r="B126" s="9"/>
      <c r="C126" s="9"/>
      <c r="D126" s="9" t="str">
        <f t="shared" si="2"/>
        <v/>
      </c>
      <c r="E126" s="301" t="str">
        <f t="array" ref="E126">IF(B126="","",IF(B126&lt;&gt;B125,SUMPRODUCT(($B$5:B126&lt;&gt;$B$4:B125)*($B$5:B126&lt;&gt;"")),""))</f>
        <v/>
      </c>
      <c r="F126" s="9" t="str">
        <f t="shared" si="3"/>
        <v/>
      </c>
      <c r="G126" s="9" t="str">
        <f t="shared" si="4"/>
        <v/>
      </c>
      <c r="H126" s="302" t="str">
        <f t="shared" si="5"/>
        <v/>
      </c>
      <c r="I126" s="9"/>
      <c r="J126" s="9"/>
      <c r="K126" s="9"/>
      <c r="L126" s="9" t="str">
        <f t="shared" si="6"/>
        <v/>
      </c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ht="19.5" customHeight="1">
      <c r="A127" s="9"/>
      <c r="B127" s="9"/>
      <c r="C127" s="9"/>
      <c r="D127" s="9" t="str">
        <f t="shared" si="2"/>
        <v/>
      </c>
      <c r="E127" s="301" t="str">
        <f t="array" ref="E127">IF(B127="","",IF(B127&lt;&gt;B126,SUMPRODUCT(($B$5:B127&lt;&gt;$B$4:B126)*($B$5:B127&lt;&gt;"")),""))</f>
        <v/>
      </c>
      <c r="F127" s="9" t="str">
        <f t="shared" si="3"/>
        <v/>
      </c>
      <c r="G127" s="9" t="str">
        <f t="shared" si="4"/>
        <v/>
      </c>
      <c r="H127" s="302" t="str">
        <f t="shared" si="5"/>
        <v/>
      </c>
      <c r="I127" s="9"/>
      <c r="J127" s="9"/>
      <c r="K127" s="9"/>
      <c r="L127" s="9" t="str">
        <f t="shared" si="6"/>
        <v/>
      </c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ht="19.5" customHeight="1">
      <c r="A128" s="9"/>
      <c r="B128" s="9"/>
      <c r="C128" s="9"/>
      <c r="D128" s="9" t="str">
        <f t="shared" si="2"/>
        <v/>
      </c>
      <c r="E128" s="301" t="str">
        <f t="array" ref="E128">IF(B128="","",IF(B128&lt;&gt;B127,SUMPRODUCT(($B$5:B128&lt;&gt;$B$4:B127)*($B$5:B128&lt;&gt;"")),""))</f>
        <v/>
      </c>
      <c r="F128" s="9" t="str">
        <f t="shared" si="3"/>
        <v/>
      </c>
      <c r="G128" s="9" t="str">
        <f t="shared" si="4"/>
        <v/>
      </c>
      <c r="H128" s="302" t="str">
        <f t="shared" si="5"/>
        <v/>
      </c>
      <c r="I128" s="9"/>
      <c r="J128" s="9"/>
      <c r="K128" s="9"/>
      <c r="L128" s="9" t="str">
        <f t="shared" si="6"/>
        <v/>
      </c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ht="19.5" customHeight="1">
      <c r="A129" s="9"/>
      <c r="B129" s="9"/>
      <c r="C129" s="9"/>
      <c r="D129" s="9" t="str">
        <f t="shared" si="2"/>
        <v/>
      </c>
      <c r="E129" s="301" t="str">
        <f t="array" ref="E129">IF(B129="","",IF(B129&lt;&gt;B128,SUMPRODUCT(($B$5:B129&lt;&gt;$B$4:B128)*($B$5:B129&lt;&gt;"")),""))</f>
        <v/>
      </c>
      <c r="F129" s="9" t="str">
        <f t="shared" si="3"/>
        <v/>
      </c>
      <c r="G129" s="9" t="str">
        <f t="shared" si="4"/>
        <v/>
      </c>
      <c r="H129" s="302" t="str">
        <f t="shared" si="5"/>
        <v/>
      </c>
      <c r="I129" s="9"/>
      <c r="J129" s="9"/>
      <c r="K129" s="9"/>
      <c r="L129" s="9" t="str">
        <f t="shared" si="6"/>
        <v/>
      </c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ht="19.5" customHeight="1">
      <c r="A130" s="9"/>
      <c r="B130" s="9"/>
      <c r="C130" s="9"/>
      <c r="D130" s="9" t="str">
        <f t="shared" si="2"/>
        <v/>
      </c>
      <c r="E130" s="301" t="str">
        <f t="array" ref="E130">IF(B130="","",IF(B130&lt;&gt;B129,SUMPRODUCT(($B$5:B130&lt;&gt;$B$4:B129)*($B$5:B130&lt;&gt;"")),""))</f>
        <v/>
      </c>
      <c r="F130" s="9" t="str">
        <f t="shared" si="3"/>
        <v/>
      </c>
      <c r="G130" s="9" t="str">
        <f t="shared" si="4"/>
        <v/>
      </c>
      <c r="H130" s="302" t="str">
        <f t="shared" si="5"/>
        <v/>
      </c>
      <c r="I130" s="9"/>
      <c r="J130" s="9"/>
      <c r="K130" s="9"/>
      <c r="L130" s="9" t="str">
        <f t="shared" si="6"/>
        <v/>
      </c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ht="19.5" customHeight="1">
      <c r="A131" s="9"/>
      <c r="B131" s="9"/>
      <c r="C131" s="9"/>
      <c r="D131" s="9" t="str">
        <f t="shared" si="2"/>
        <v/>
      </c>
      <c r="E131" s="301" t="str">
        <f t="array" ref="E131">IF(B131="","",IF(B131&lt;&gt;B130,SUMPRODUCT(($B$5:B131&lt;&gt;$B$4:B130)*($B$5:B131&lt;&gt;"")),""))</f>
        <v/>
      </c>
      <c r="F131" s="9" t="str">
        <f t="shared" si="3"/>
        <v/>
      </c>
      <c r="G131" s="9" t="str">
        <f t="shared" si="4"/>
        <v/>
      </c>
      <c r="H131" s="302" t="str">
        <f t="shared" si="5"/>
        <v/>
      </c>
      <c r="I131" s="9"/>
      <c r="J131" s="9"/>
      <c r="K131" s="9"/>
      <c r="L131" s="9" t="str">
        <f t="shared" si="6"/>
        <v/>
      </c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ht="19.5" customHeight="1">
      <c r="A132" s="9"/>
      <c r="B132" s="9"/>
      <c r="C132" s="9"/>
      <c r="D132" s="9" t="str">
        <f t="shared" si="2"/>
        <v/>
      </c>
      <c r="E132" s="301" t="str">
        <f t="array" ref="E132">IF(B132="","",IF(B132&lt;&gt;B131,SUMPRODUCT(($B$5:B132&lt;&gt;$B$4:B131)*($B$5:B132&lt;&gt;"")),""))</f>
        <v/>
      </c>
      <c r="F132" s="9" t="str">
        <f t="shared" si="3"/>
        <v/>
      </c>
      <c r="G132" s="9" t="str">
        <f t="shared" si="4"/>
        <v/>
      </c>
      <c r="H132" s="302" t="str">
        <f t="shared" si="5"/>
        <v/>
      </c>
      <c r="I132" s="9"/>
      <c r="J132" s="9"/>
      <c r="K132" s="9"/>
      <c r="L132" s="9" t="str">
        <f t="shared" si="6"/>
        <v/>
      </c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ht="19.5" customHeight="1">
      <c r="A133" s="9"/>
      <c r="B133" s="9"/>
      <c r="C133" s="9"/>
      <c r="D133" s="9" t="str">
        <f t="shared" si="2"/>
        <v/>
      </c>
      <c r="E133" s="301" t="str">
        <f t="array" ref="E133">IF(B133="","",IF(B133&lt;&gt;B132,SUMPRODUCT(($B$5:B133&lt;&gt;$B$4:B132)*($B$5:B133&lt;&gt;"")),""))</f>
        <v/>
      </c>
      <c r="F133" s="9" t="str">
        <f t="shared" si="3"/>
        <v/>
      </c>
      <c r="G133" s="9" t="str">
        <f t="shared" si="4"/>
        <v/>
      </c>
      <c r="H133" s="302" t="str">
        <f t="shared" si="5"/>
        <v/>
      </c>
      <c r="I133" s="9"/>
      <c r="J133" s="9"/>
      <c r="K133" s="9"/>
      <c r="L133" s="9" t="str">
        <f t="shared" si="6"/>
        <v/>
      </c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ht="19.5" customHeight="1">
      <c r="A134" s="9"/>
      <c r="B134" s="9"/>
      <c r="C134" s="9"/>
      <c r="D134" s="9" t="str">
        <f t="shared" si="2"/>
        <v/>
      </c>
      <c r="E134" s="301" t="str">
        <f t="array" ref="E134">IF(B134="","",IF(B134&lt;&gt;B133,SUMPRODUCT(($B$5:B134&lt;&gt;$B$4:B133)*($B$5:B134&lt;&gt;"")),""))</f>
        <v/>
      </c>
      <c r="F134" s="9" t="str">
        <f t="shared" si="3"/>
        <v/>
      </c>
      <c r="G134" s="9" t="str">
        <f t="shared" si="4"/>
        <v/>
      </c>
      <c r="H134" s="302" t="str">
        <f t="shared" si="5"/>
        <v/>
      </c>
      <c r="I134" s="9"/>
      <c r="J134" s="9"/>
      <c r="K134" s="9"/>
      <c r="L134" s="9" t="str">
        <f t="shared" si="6"/>
        <v/>
      </c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ht="19.5" customHeight="1">
      <c r="A135" s="9"/>
      <c r="B135" s="9"/>
      <c r="C135" s="9"/>
      <c r="D135" s="9" t="str">
        <f t="shared" si="2"/>
        <v/>
      </c>
      <c r="E135" s="301" t="str">
        <f t="array" ref="E135">IF(B135="","",IF(B135&lt;&gt;B134,SUMPRODUCT(($B$5:B135&lt;&gt;$B$4:B134)*($B$5:B135&lt;&gt;"")),""))</f>
        <v/>
      </c>
      <c r="F135" s="9" t="str">
        <f t="shared" si="3"/>
        <v/>
      </c>
      <c r="G135" s="9" t="str">
        <f t="shared" si="4"/>
        <v/>
      </c>
      <c r="H135" s="302" t="str">
        <f t="shared" si="5"/>
        <v/>
      </c>
      <c r="I135" s="9"/>
      <c r="J135" s="9"/>
      <c r="K135" s="9"/>
      <c r="L135" s="9" t="str">
        <f t="shared" si="6"/>
        <v/>
      </c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ht="19.5" customHeight="1">
      <c r="A136" s="9"/>
      <c r="B136" s="9"/>
      <c r="C136" s="9"/>
      <c r="D136" s="9" t="str">
        <f t="shared" si="2"/>
        <v/>
      </c>
      <c r="E136" s="301" t="str">
        <f t="array" ref="E136">IF(B136="","",IF(B136&lt;&gt;B135,SUMPRODUCT(($B$5:B136&lt;&gt;$B$4:B135)*($B$5:B136&lt;&gt;"")),""))</f>
        <v/>
      </c>
      <c r="F136" s="9" t="str">
        <f t="shared" si="3"/>
        <v/>
      </c>
      <c r="G136" s="9" t="str">
        <f t="shared" si="4"/>
        <v/>
      </c>
      <c r="H136" s="302" t="str">
        <f t="shared" si="5"/>
        <v/>
      </c>
      <c r="I136" s="9"/>
      <c r="J136" s="9"/>
      <c r="K136" s="9"/>
      <c r="L136" s="9" t="str">
        <f t="shared" si="6"/>
        <v/>
      </c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ht="19.5" customHeight="1">
      <c r="A137" s="9"/>
      <c r="B137" s="9"/>
      <c r="C137" s="9"/>
      <c r="D137" s="9" t="str">
        <f t="shared" si="2"/>
        <v/>
      </c>
      <c r="E137" s="301" t="str">
        <f t="array" ref="E137">IF(B137="","",IF(B137&lt;&gt;B136,SUMPRODUCT(($B$5:B137&lt;&gt;$B$4:B136)*($B$5:B137&lt;&gt;"")),""))</f>
        <v/>
      </c>
      <c r="F137" s="9" t="str">
        <f t="shared" si="3"/>
        <v/>
      </c>
      <c r="G137" s="9" t="str">
        <f t="shared" si="4"/>
        <v/>
      </c>
      <c r="H137" s="302" t="str">
        <f t="shared" si="5"/>
        <v/>
      </c>
      <c r="I137" s="9"/>
      <c r="J137" s="9"/>
      <c r="K137" s="9"/>
      <c r="L137" s="9" t="str">
        <f t="shared" si="6"/>
        <v/>
      </c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ht="19.5" customHeight="1">
      <c r="A138" s="9"/>
      <c r="B138" s="9"/>
      <c r="C138" s="9"/>
      <c r="D138" s="9" t="str">
        <f t="shared" si="2"/>
        <v/>
      </c>
      <c r="E138" s="301" t="str">
        <f t="array" ref="E138">IF(B138="","",IF(B138&lt;&gt;B137,SUMPRODUCT(($B$5:B138&lt;&gt;$B$4:B137)*($B$5:B138&lt;&gt;"")),""))</f>
        <v/>
      </c>
      <c r="F138" s="9" t="str">
        <f t="shared" si="3"/>
        <v/>
      </c>
      <c r="G138" s="9" t="str">
        <f t="shared" si="4"/>
        <v/>
      </c>
      <c r="H138" s="302" t="str">
        <f t="shared" si="5"/>
        <v/>
      </c>
      <c r="I138" s="9"/>
      <c r="J138" s="9"/>
      <c r="K138" s="9"/>
      <c r="L138" s="9" t="str">
        <f t="shared" si="6"/>
        <v/>
      </c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ht="19.5" customHeight="1">
      <c r="A139" s="9"/>
      <c r="B139" s="9"/>
      <c r="C139" s="9"/>
      <c r="D139" s="9" t="str">
        <f t="shared" si="2"/>
        <v/>
      </c>
      <c r="E139" s="301" t="str">
        <f t="array" ref="E139">IF(B139="","",IF(B139&lt;&gt;B138,SUMPRODUCT(($B$5:B139&lt;&gt;$B$4:B138)*($B$5:B139&lt;&gt;"")),""))</f>
        <v/>
      </c>
      <c r="F139" s="9" t="str">
        <f t="shared" si="3"/>
        <v/>
      </c>
      <c r="G139" s="9" t="str">
        <f t="shared" si="4"/>
        <v/>
      </c>
      <c r="H139" s="302" t="str">
        <f t="shared" si="5"/>
        <v/>
      </c>
      <c r="I139" s="9"/>
      <c r="J139" s="9"/>
      <c r="K139" s="9"/>
      <c r="L139" s="9" t="str">
        <f t="shared" si="6"/>
        <v/>
      </c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ht="19.5" customHeight="1">
      <c r="A140" s="9"/>
      <c r="B140" s="9"/>
      <c r="C140" s="9"/>
      <c r="D140" s="9" t="str">
        <f t="shared" si="2"/>
        <v/>
      </c>
      <c r="E140" s="301" t="str">
        <f t="array" ref="E140">IF(B140="","",IF(B140&lt;&gt;B139,SUMPRODUCT(($B$5:B140&lt;&gt;$B$4:B139)*($B$5:B140&lt;&gt;"")),""))</f>
        <v/>
      </c>
      <c r="F140" s="9" t="str">
        <f t="shared" si="3"/>
        <v/>
      </c>
      <c r="G140" s="9" t="str">
        <f t="shared" si="4"/>
        <v/>
      </c>
      <c r="H140" s="302" t="str">
        <f t="shared" si="5"/>
        <v/>
      </c>
      <c r="I140" s="9"/>
      <c r="J140" s="9"/>
      <c r="K140" s="9"/>
      <c r="L140" s="9" t="str">
        <f t="shared" si="6"/>
        <v/>
      </c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ht="19.5" customHeight="1">
      <c r="A141" s="9"/>
      <c r="B141" s="9"/>
      <c r="C141" s="9"/>
      <c r="D141" s="9" t="str">
        <f t="shared" si="2"/>
        <v/>
      </c>
      <c r="E141" s="301" t="str">
        <f t="array" ref="E141">IF(B141="","",IF(B141&lt;&gt;B140,SUMPRODUCT(($B$5:B141&lt;&gt;$B$4:B140)*($B$5:B141&lt;&gt;"")),""))</f>
        <v/>
      </c>
      <c r="F141" s="9" t="str">
        <f t="shared" si="3"/>
        <v/>
      </c>
      <c r="G141" s="9" t="str">
        <f t="shared" si="4"/>
        <v/>
      </c>
      <c r="H141" s="302" t="str">
        <f t="shared" si="5"/>
        <v/>
      </c>
      <c r="I141" s="9"/>
      <c r="J141" s="9"/>
      <c r="K141" s="9"/>
      <c r="L141" s="9" t="str">
        <f t="shared" si="6"/>
        <v/>
      </c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ht="19.5" customHeight="1">
      <c r="A142" s="9"/>
      <c r="B142" s="9"/>
      <c r="C142" s="9"/>
      <c r="D142" s="9" t="str">
        <f t="shared" si="2"/>
        <v/>
      </c>
      <c r="E142" s="301" t="str">
        <f t="array" ref="E142">IF(B142="","",IF(B142&lt;&gt;B141,SUMPRODUCT(($B$5:B142&lt;&gt;$B$4:B141)*($B$5:B142&lt;&gt;"")),""))</f>
        <v/>
      </c>
      <c r="F142" s="9" t="str">
        <f t="shared" si="3"/>
        <v/>
      </c>
      <c r="G142" s="9" t="str">
        <f t="shared" si="4"/>
        <v/>
      </c>
      <c r="H142" s="302" t="str">
        <f t="shared" si="5"/>
        <v/>
      </c>
      <c r="I142" s="9"/>
      <c r="J142" s="9"/>
      <c r="K142" s="9"/>
      <c r="L142" s="9" t="str">
        <f t="shared" si="6"/>
        <v/>
      </c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ht="19.5" customHeight="1">
      <c r="A143" s="9"/>
      <c r="B143" s="9"/>
      <c r="C143" s="9"/>
      <c r="D143" s="9" t="str">
        <f t="shared" si="2"/>
        <v/>
      </c>
      <c r="E143" s="301" t="str">
        <f t="array" ref="E143">IF(B143="","",IF(B143&lt;&gt;B142,SUMPRODUCT(($B$5:B143&lt;&gt;$B$4:B142)*($B$5:B143&lt;&gt;"")),""))</f>
        <v/>
      </c>
      <c r="F143" s="9" t="str">
        <f t="shared" si="3"/>
        <v/>
      </c>
      <c r="G143" s="9" t="str">
        <f t="shared" si="4"/>
        <v/>
      </c>
      <c r="H143" s="302" t="str">
        <f t="shared" si="5"/>
        <v/>
      </c>
      <c r="I143" s="9"/>
      <c r="J143" s="9"/>
      <c r="K143" s="9"/>
      <c r="L143" s="9" t="str">
        <f t="shared" si="6"/>
        <v/>
      </c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ht="19.5" customHeight="1">
      <c r="A144" s="9"/>
      <c r="B144" s="9"/>
      <c r="C144" s="9"/>
      <c r="D144" s="9" t="str">
        <f t="shared" si="2"/>
        <v/>
      </c>
      <c r="E144" s="301" t="str">
        <f t="array" ref="E144">IF(B144="","",IF(B144&lt;&gt;B143,SUMPRODUCT(($B$5:B144&lt;&gt;$B$4:B143)*($B$5:B144&lt;&gt;"")),""))</f>
        <v/>
      </c>
      <c r="F144" s="9" t="str">
        <f t="shared" si="3"/>
        <v/>
      </c>
      <c r="G144" s="9" t="str">
        <f t="shared" si="4"/>
        <v/>
      </c>
      <c r="H144" s="302" t="str">
        <f t="shared" si="5"/>
        <v/>
      </c>
      <c r="I144" s="9"/>
      <c r="J144" s="9"/>
      <c r="K144" s="9"/>
      <c r="L144" s="9" t="str">
        <f t="shared" si="6"/>
        <v/>
      </c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ht="19.5" customHeight="1">
      <c r="A145" s="9"/>
      <c r="B145" s="9"/>
      <c r="C145" s="9"/>
      <c r="D145" s="9" t="str">
        <f t="shared" si="2"/>
        <v/>
      </c>
      <c r="E145" s="301" t="str">
        <f t="array" ref="E145">IF(B145="","",IF(B145&lt;&gt;B144,SUMPRODUCT(($B$5:B145&lt;&gt;$B$4:B144)*($B$5:B145&lt;&gt;"")),""))</f>
        <v/>
      </c>
      <c r="F145" s="9" t="str">
        <f t="shared" si="3"/>
        <v/>
      </c>
      <c r="G145" s="9" t="str">
        <f t="shared" si="4"/>
        <v/>
      </c>
      <c r="H145" s="302" t="str">
        <f t="shared" si="5"/>
        <v/>
      </c>
      <c r="I145" s="9"/>
      <c r="J145" s="9"/>
      <c r="K145" s="9"/>
      <c r="L145" s="9" t="str">
        <f t="shared" si="6"/>
        <v/>
      </c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ht="19.5" customHeight="1">
      <c r="A146" s="9"/>
      <c r="B146" s="9"/>
      <c r="C146" s="9"/>
      <c r="D146" s="9" t="str">
        <f t="shared" si="2"/>
        <v/>
      </c>
      <c r="E146" s="301" t="str">
        <f t="array" ref="E146">IF(B146="","",IF(B146&lt;&gt;B145,SUMPRODUCT(($B$5:B146&lt;&gt;$B$4:B145)*($B$5:B146&lt;&gt;"")),""))</f>
        <v/>
      </c>
      <c r="F146" s="9" t="str">
        <f t="shared" si="3"/>
        <v/>
      </c>
      <c r="G146" s="9" t="str">
        <f t="shared" si="4"/>
        <v/>
      </c>
      <c r="H146" s="302" t="str">
        <f t="shared" si="5"/>
        <v/>
      </c>
      <c r="I146" s="9"/>
      <c r="J146" s="9"/>
      <c r="K146" s="9"/>
      <c r="L146" s="9" t="str">
        <f t="shared" si="6"/>
        <v/>
      </c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ht="19.5" customHeight="1">
      <c r="A147" s="9"/>
      <c r="B147" s="9"/>
      <c r="C147" s="9"/>
      <c r="D147" s="9" t="str">
        <f t="shared" si="2"/>
        <v/>
      </c>
      <c r="E147" s="301" t="str">
        <f t="array" ref="E147">IF(B147="","",IF(B147&lt;&gt;B146,SUMPRODUCT(($B$5:B147&lt;&gt;$B$4:B146)*($B$5:B147&lt;&gt;"")),""))</f>
        <v/>
      </c>
      <c r="F147" s="9" t="str">
        <f t="shared" si="3"/>
        <v/>
      </c>
      <c r="G147" s="9" t="str">
        <f t="shared" si="4"/>
        <v/>
      </c>
      <c r="H147" s="302" t="str">
        <f t="shared" si="5"/>
        <v/>
      </c>
      <c r="I147" s="9"/>
      <c r="J147" s="9"/>
      <c r="K147" s="9"/>
      <c r="L147" s="9" t="str">
        <f t="shared" si="6"/>
        <v/>
      </c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ht="19.5" customHeight="1">
      <c r="A148" s="9"/>
      <c r="B148" s="9"/>
      <c r="C148" s="9"/>
      <c r="D148" s="9" t="str">
        <f t="shared" si="2"/>
        <v/>
      </c>
      <c r="E148" s="301" t="str">
        <f t="array" ref="E148">IF(B148="","",IF(B148&lt;&gt;B147,SUMPRODUCT(($B$5:B148&lt;&gt;$B$4:B147)*($B$5:B148&lt;&gt;"")),""))</f>
        <v/>
      </c>
      <c r="F148" s="9" t="str">
        <f t="shared" si="3"/>
        <v/>
      </c>
      <c r="G148" s="9" t="str">
        <f t="shared" si="4"/>
        <v/>
      </c>
      <c r="H148" s="302" t="str">
        <f t="shared" si="5"/>
        <v/>
      </c>
      <c r="I148" s="9"/>
      <c r="J148" s="9"/>
      <c r="K148" s="9"/>
      <c r="L148" s="9" t="str">
        <f t="shared" si="6"/>
        <v/>
      </c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ht="19.5" customHeight="1">
      <c r="A149" s="9"/>
      <c r="B149" s="9"/>
      <c r="C149" s="9"/>
      <c r="D149" s="9" t="str">
        <f t="shared" si="2"/>
        <v/>
      </c>
      <c r="E149" s="301" t="str">
        <f t="array" ref="E149">IF(B149="","",IF(B149&lt;&gt;B148,SUMPRODUCT(($B$5:B149&lt;&gt;$B$4:B148)*($B$5:B149&lt;&gt;"")),""))</f>
        <v/>
      </c>
      <c r="F149" s="9" t="str">
        <f t="shared" si="3"/>
        <v/>
      </c>
      <c r="G149" s="9" t="str">
        <f t="shared" si="4"/>
        <v/>
      </c>
      <c r="H149" s="302" t="str">
        <f t="shared" si="5"/>
        <v/>
      </c>
      <c r="I149" s="9"/>
      <c r="J149" s="9"/>
      <c r="K149" s="9"/>
      <c r="L149" s="9" t="str">
        <f t="shared" si="6"/>
        <v/>
      </c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ht="19.5" customHeight="1">
      <c r="A150" s="9"/>
      <c r="B150" s="9"/>
      <c r="C150" s="9"/>
      <c r="D150" s="9" t="str">
        <f t="shared" si="2"/>
        <v/>
      </c>
      <c r="E150" s="301" t="str">
        <f t="array" ref="E150">IF(B150="","",IF(B150&lt;&gt;B149,SUMPRODUCT(($B$5:B150&lt;&gt;$B$4:B149)*($B$5:B150&lt;&gt;"")),""))</f>
        <v/>
      </c>
      <c r="F150" s="9" t="str">
        <f t="shared" si="3"/>
        <v/>
      </c>
      <c r="G150" s="9" t="str">
        <f t="shared" si="4"/>
        <v/>
      </c>
      <c r="H150" s="302" t="str">
        <f t="shared" si="5"/>
        <v/>
      </c>
      <c r="I150" s="9"/>
      <c r="J150" s="9"/>
      <c r="K150" s="9"/>
      <c r="L150" s="9" t="str">
        <f t="shared" si="6"/>
        <v/>
      </c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ht="19.5" customHeight="1">
      <c r="A151" s="9"/>
      <c r="B151" s="9"/>
      <c r="C151" s="9"/>
      <c r="D151" s="9" t="str">
        <f t="shared" si="2"/>
        <v/>
      </c>
      <c r="E151" s="301" t="str">
        <f t="array" ref="E151">IF(B151="","",IF(B151&lt;&gt;B150,SUMPRODUCT(($B$5:B151&lt;&gt;$B$4:B150)*($B$5:B151&lt;&gt;"")),""))</f>
        <v/>
      </c>
      <c r="F151" s="9" t="str">
        <f t="shared" si="3"/>
        <v/>
      </c>
      <c r="G151" s="9" t="str">
        <f t="shared" si="4"/>
        <v/>
      </c>
      <c r="H151" s="302" t="str">
        <f t="shared" si="5"/>
        <v/>
      </c>
      <c r="I151" s="9"/>
      <c r="J151" s="9"/>
      <c r="K151" s="9"/>
      <c r="L151" s="9" t="str">
        <f t="shared" si="6"/>
        <v/>
      </c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ht="19.5" customHeight="1">
      <c r="A152" s="9"/>
      <c r="B152" s="9"/>
      <c r="C152" s="9"/>
      <c r="D152" s="9" t="str">
        <f t="shared" si="2"/>
        <v/>
      </c>
      <c r="E152" s="301" t="str">
        <f t="array" ref="E152">IF(B152="","",IF(B152&lt;&gt;B151,SUMPRODUCT(($B$5:B152&lt;&gt;$B$4:B151)*($B$5:B152&lt;&gt;"")),""))</f>
        <v/>
      </c>
      <c r="F152" s="9" t="str">
        <f t="shared" si="3"/>
        <v/>
      </c>
      <c r="G152" s="9" t="str">
        <f t="shared" si="4"/>
        <v/>
      </c>
      <c r="H152" s="302" t="str">
        <f t="shared" si="5"/>
        <v/>
      </c>
      <c r="I152" s="9"/>
      <c r="J152" s="9"/>
      <c r="K152" s="9"/>
      <c r="L152" s="9" t="str">
        <f t="shared" si="6"/>
        <v/>
      </c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ht="19.5" customHeight="1">
      <c r="A153" s="9"/>
      <c r="B153" s="9"/>
      <c r="C153" s="9"/>
      <c r="D153" s="9" t="str">
        <f t="shared" si="2"/>
        <v/>
      </c>
      <c r="E153" s="301" t="str">
        <f t="array" ref="E153">IF(B153="","",IF(B153&lt;&gt;B152,SUMPRODUCT(($B$5:B153&lt;&gt;$B$4:B152)*($B$5:B153&lt;&gt;"")),""))</f>
        <v/>
      </c>
      <c r="F153" s="9" t="str">
        <f t="shared" si="3"/>
        <v/>
      </c>
      <c r="G153" s="9" t="str">
        <f t="shared" si="4"/>
        <v/>
      </c>
      <c r="H153" s="302" t="str">
        <f t="shared" si="5"/>
        <v/>
      </c>
      <c r="I153" s="9"/>
      <c r="J153" s="9"/>
      <c r="K153" s="9"/>
      <c r="L153" s="9" t="str">
        <f t="shared" si="6"/>
        <v/>
      </c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ht="19.5" customHeight="1">
      <c r="A154" s="9"/>
      <c r="B154" s="9"/>
      <c r="C154" s="9"/>
      <c r="D154" s="9" t="str">
        <f t="shared" si="2"/>
        <v/>
      </c>
      <c r="E154" s="301" t="str">
        <f t="array" ref="E154">IF(B154="","",IF(B154&lt;&gt;B153,SUMPRODUCT(($B$5:B154&lt;&gt;$B$4:B153)*($B$5:B154&lt;&gt;"")),""))</f>
        <v/>
      </c>
      <c r="F154" s="9" t="str">
        <f t="shared" si="3"/>
        <v/>
      </c>
      <c r="G154" s="9" t="str">
        <f t="shared" si="4"/>
        <v/>
      </c>
      <c r="H154" s="302" t="str">
        <f t="shared" si="5"/>
        <v/>
      </c>
      <c r="I154" s="9"/>
      <c r="J154" s="9"/>
      <c r="K154" s="9"/>
      <c r="L154" s="9" t="str">
        <f t="shared" si="6"/>
        <v/>
      </c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ht="19.5" customHeight="1">
      <c r="A155" s="9"/>
      <c r="B155" s="9"/>
      <c r="C155" s="9"/>
      <c r="D155" s="9" t="str">
        <f t="shared" si="2"/>
        <v/>
      </c>
      <c r="E155" s="301" t="str">
        <f t="array" ref="E155">IF(B155="","",IF(B155&lt;&gt;B154,SUMPRODUCT(($B$5:B155&lt;&gt;$B$4:B154)*($B$5:B155&lt;&gt;"")),""))</f>
        <v/>
      </c>
      <c r="F155" s="9" t="str">
        <f t="shared" si="3"/>
        <v/>
      </c>
      <c r="G155" s="9" t="str">
        <f t="shared" si="4"/>
        <v/>
      </c>
      <c r="H155" s="302" t="str">
        <f t="shared" si="5"/>
        <v/>
      </c>
      <c r="I155" s="9"/>
      <c r="J155" s="9"/>
      <c r="K155" s="9"/>
      <c r="L155" s="9" t="str">
        <f t="shared" si="6"/>
        <v/>
      </c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ht="19.5" customHeight="1">
      <c r="A156" s="9"/>
      <c r="B156" s="9"/>
      <c r="C156" s="9"/>
      <c r="D156" s="9" t="str">
        <f t="shared" si="2"/>
        <v/>
      </c>
      <c r="E156" s="301" t="str">
        <f t="array" ref="E156">IF(B156="","",IF(B156&lt;&gt;B155,SUMPRODUCT(($B$5:B156&lt;&gt;$B$4:B155)*($B$5:B156&lt;&gt;"")),""))</f>
        <v/>
      </c>
      <c r="F156" s="9" t="str">
        <f t="shared" si="3"/>
        <v/>
      </c>
      <c r="G156" s="9" t="str">
        <f t="shared" si="4"/>
        <v/>
      </c>
      <c r="H156" s="302" t="str">
        <f t="shared" si="5"/>
        <v/>
      </c>
      <c r="I156" s="9"/>
      <c r="J156" s="9"/>
      <c r="K156" s="9"/>
      <c r="L156" s="9" t="str">
        <f t="shared" si="6"/>
        <v/>
      </c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ht="19.5" customHeight="1">
      <c r="A157" s="9"/>
      <c r="B157" s="9"/>
      <c r="C157" s="9"/>
      <c r="D157" s="9" t="str">
        <f t="shared" si="2"/>
        <v/>
      </c>
      <c r="E157" s="301" t="str">
        <f t="array" ref="E157">IF(B157="","",IF(B157&lt;&gt;B156,SUMPRODUCT(($B$5:B157&lt;&gt;$B$4:B156)*($B$5:B157&lt;&gt;"")),""))</f>
        <v/>
      </c>
      <c r="F157" s="9" t="str">
        <f t="shared" si="3"/>
        <v/>
      </c>
      <c r="G157" s="9" t="str">
        <f t="shared" si="4"/>
        <v/>
      </c>
      <c r="H157" s="302" t="str">
        <f t="shared" si="5"/>
        <v/>
      </c>
      <c r="I157" s="9"/>
      <c r="J157" s="9"/>
      <c r="K157" s="9"/>
      <c r="L157" s="9" t="str">
        <f t="shared" si="6"/>
        <v/>
      </c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ht="19.5" customHeight="1">
      <c r="A158" s="9"/>
      <c r="B158" s="9"/>
      <c r="C158" s="9"/>
      <c r="D158" s="9" t="str">
        <f t="shared" si="2"/>
        <v/>
      </c>
      <c r="E158" s="301" t="str">
        <f t="array" ref="E158">IF(B158="","",IF(B158&lt;&gt;B157,SUMPRODUCT(($B$5:B158&lt;&gt;$B$4:B157)*($B$5:B158&lt;&gt;"")),""))</f>
        <v/>
      </c>
      <c r="F158" s="9" t="str">
        <f t="shared" si="3"/>
        <v/>
      </c>
      <c r="G158" s="9" t="str">
        <f t="shared" si="4"/>
        <v/>
      </c>
      <c r="H158" s="302" t="str">
        <f t="shared" si="5"/>
        <v/>
      </c>
      <c r="I158" s="9"/>
      <c r="J158" s="9"/>
      <c r="K158" s="9"/>
      <c r="L158" s="9" t="str">
        <f t="shared" si="6"/>
        <v/>
      </c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ht="19.5" customHeight="1">
      <c r="A159" s="9"/>
      <c r="B159" s="9"/>
      <c r="C159" s="9"/>
      <c r="D159" s="9" t="str">
        <f t="shared" si="2"/>
        <v/>
      </c>
      <c r="E159" s="301" t="str">
        <f t="array" ref="E159">IF(B159="","",IF(B159&lt;&gt;B158,SUMPRODUCT(($B$5:B159&lt;&gt;$B$4:B158)*($B$5:B159&lt;&gt;"")),""))</f>
        <v/>
      </c>
      <c r="F159" s="9" t="str">
        <f t="shared" si="3"/>
        <v/>
      </c>
      <c r="G159" s="9" t="str">
        <f t="shared" si="4"/>
        <v/>
      </c>
      <c r="H159" s="302" t="str">
        <f t="shared" si="5"/>
        <v/>
      </c>
      <c r="I159" s="9"/>
      <c r="J159" s="9"/>
      <c r="K159" s="9"/>
      <c r="L159" s="9" t="str">
        <f t="shared" si="6"/>
        <v/>
      </c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ht="19.5" customHeight="1">
      <c r="A160" s="9"/>
      <c r="B160" s="9"/>
      <c r="C160" s="9"/>
      <c r="D160" s="9" t="str">
        <f t="shared" si="2"/>
        <v/>
      </c>
      <c r="E160" s="301" t="str">
        <f t="array" ref="E160">IF(B160="","",IF(B160&lt;&gt;B159,SUMPRODUCT(($B$5:B160&lt;&gt;$B$4:B159)*($B$5:B160&lt;&gt;"")),""))</f>
        <v/>
      </c>
      <c r="F160" s="9" t="str">
        <f t="shared" si="3"/>
        <v/>
      </c>
      <c r="G160" s="9" t="str">
        <f t="shared" si="4"/>
        <v/>
      </c>
      <c r="H160" s="302" t="str">
        <f t="shared" si="5"/>
        <v/>
      </c>
      <c r="I160" s="9"/>
      <c r="J160" s="9"/>
      <c r="K160" s="9"/>
      <c r="L160" s="9" t="str">
        <f t="shared" si="6"/>
        <v/>
      </c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ht="19.5" customHeight="1">
      <c r="A161" s="9"/>
      <c r="B161" s="9"/>
      <c r="C161" s="9"/>
      <c r="D161" s="9" t="str">
        <f t="shared" si="2"/>
        <v/>
      </c>
      <c r="E161" s="301" t="str">
        <f t="array" ref="E161">IF(B161="","",IF(B161&lt;&gt;B160,SUMPRODUCT(($B$5:B161&lt;&gt;$B$4:B160)*($B$5:B161&lt;&gt;"")),""))</f>
        <v/>
      </c>
      <c r="F161" s="9" t="str">
        <f t="shared" si="3"/>
        <v/>
      </c>
      <c r="G161" s="9" t="str">
        <f t="shared" si="4"/>
        <v/>
      </c>
      <c r="H161" s="302" t="str">
        <f t="shared" si="5"/>
        <v/>
      </c>
      <c r="I161" s="9"/>
      <c r="J161" s="9"/>
      <c r="K161" s="9"/>
      <c r="L161" s="9" t="str">
        <f t="shared" si="6"/>
        <v/>
      </c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ht="19.5" customHeight="1">
      <c r="A162" s="9"/>
      <c r="B162" s="9"/>
      <c r="C162" s="9"/>
      <c r="D162" s="9" t="str">
        <f t="shared" si="2"/>
        <v/>
      </c>
      <c r="E162" s="301" t="str">
        <f t="array" ref="E162">IF(B162="","",IF(B162&lt;&gt;B161,SUMPRODUCT(($B$5:B162&lt;&gt;$B$4:B161)*($B$5:B162&lt;&gt;"")),""))</f>
        <v/>
      </c>
      <c r="F162" s="9" t="str">
        <f t="shared" si="3"/>
        <v/>
      </c>
      <c r="G162" s="9" t="str">
        <f t="shared" si="4"/>
        <v/>
      </c>
      <c r="H162" s="302" t="str">
        <f t="shared" si="5"/>
        <v/>
      </c>
      <c r="I162" s="9"/>
      <c r="J162" s="9"/>
      <c r="K162" s="9"/>
      <c r="L162" s="9" t="str">
        <f t="shared" si="6"/>
        <v/>
      </c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ht="19.5" customHeight="1">
      <c r="A163" s="9"/>
      <c r="B163" s="9"/>
      <c r="C163" s="9"/>
      <c r="D163" s="9" t="str">
        <f t="shared" si="2"/>
        <v/>
      </c>
      <c r="E163" s="301" t="str">
        <f t="array" ref="E163">IF(B163="","",IF(B163&lt;&gt;B162,SUMPRODUCT(($B$5:B163&lt;&gt;$B$4:B162)*($B$5:B163&lt;&gt;"")),""))</f>
        <v/>
      </c>
      <c r="F163" s="9" t="str">
        <f t="shared" si="3"/>
        <v/>
      </c>
      <c r="G163" s="9" t="str">
        <f t="shared" si="4"/>
        <v/>
      </c>
      <c r="H163" s="302" t="str">
        <f t="shared" si="5"/>
        <v/>
      </c>
      <c r="I163" s="9"/>
      <c r="J163" s="9"/>
      <c r="K163" s="9"/>
      <c r="L163" s="9" t="str">
        <f t="shared" si="6"/>
        <v/>
      </c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ht="19.5" customHeight="1">
      <c r="A164" s="9"/>
      <c r="B164" s="9"/>
      <c r="C164" s="9"/>
      <c r="D164" s="9" t="str">
        <f t="shared" si="2"/>
        <v/>
      </c>
      <c r="E164" s="301" t="str">
        <f t="array" ref="E164">IF(B164="","",IF(B164&lt;&gt;B163,SUMPRODUCT(($B$5:B164&lt;&gt;$B$4:B163)*($B$5:B164&lt;&gt;"")),""))</f>
        <v/>
      </c>
      <c r="F164" s="9" t="str">
        <f t="shared" si="3"/>
        <v/>
      </c>
      <c r="G164" s="9" t="str">
        <f t="shared" si="4"/>
        <v/>
      </c>
      <c r="H164" s="302" t="str">
        <f t="shared" si="5"/>
        <v/>
      </c>
      <c r="I164" s="9"/>
      <c r="J164" s="9"/>
      <c r="K164" s="9"/>
      <c r="L164" s="9" t="str">
        <f t="shared" si="6"/>
        <v/>
      </c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ht="19.5" customHeight="1">
      <c r="A165" s="9"/>
      <c r="B165" s="9"/>
      <c r="C165" s="9"/>
      <c r="D165" s="9" t="str">
        <f t="shared" si="2"/>
        <v/>
      </c>
      <c r="E165" s="301" t="str">
        <f t="array" ref="E165">IF(B165="","",IF(B165&lt;&gt;B164,SUMPRODUCT(($B$5:B165&lt;&gt;$B$4:B164)*($B$5:B165&lt;&gt;"")),""))</f>
        <v/>
      </c>
      <c r="F165" s="9" t="str">
        <f t="shared" si="3"/>
        <v/>
      </c>
      <c r="G165" s="9" t="str">
        <f t="shared" si="4"/>
        <v/>
      </c>
      <c r="H165" s="302" t="str">
        <f t="shared" si="5"/>
        <v/>
      </c>
      <c r="I165" s="9"/>
      <c r="J165" s="9"/>
      <c r="K165" s="9"/>
      <c r="L165" s="9" t="str">
        <f t="shared" si="6"/>
        <v/>
      </c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ht="19.5" customHeight="1">
      <c r="A166" s="9"/>
      <c r="B166" s="9"/>
      <c r="C166" s="9"/>
      <c r="D166" s="9" t="str">
        <f t="shared" si="2"/>
        <v/>
      </c>
      <c r="E166" s="301" t="str">
        <f t="array" ref="E166">IF(B166="","",IF(B166&lt;&gt;B165,SUMPRODUCT(($B$5:B166&lt;&gt;$B$4:B165)*($B$5:B166&lt;&gt;"")),""))</f>
        <v/>
      </c>
      <c r="F166" s="9" t="str">
        <f t="shared" si="3"/>
        <v/>
      </c>
      <c r="G166" s="9" t="str">
        <f t="shared" si="4"/>
        <v/>
      </c>
      <c r="H166" s="302" t="str">
        <f t="shared" si="5"/>
        <v/>
      </c>
      <c r="I166" s="9"/>
      <c r="J166" s="9"/>
      <c r="K166" s="9"/>
      <c r="L166" s="9" t="str">
        <f t="shared" si="6"/>
        <v/>
      </c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ht="19.5" customHeight="1">
      <c r="A167" s="9"/>
      <c r="B167" s="9"/>
      <c r="C167" s="9"/>
      <c r="D167" s="9" t="str">
        <f t="shared" si="2"/>
        <v/>
      </c>
      <c r="E167" s="301" t="str">
        <f t="array" ref="E167">IF(B167="","",IF(B167&lt;&gt;B166,SUMPRODUCT(($B$5:B167&lt;&gt;$B$4:B166)*($B$5:B167&lt;&gt;"")),""))</f>
        <v/>
      </c>
      <c r="F167" s="9" t="str">
        <f t="shared" si="3"/>
        <v/>
      </c>
      <c r="G167" s="9" t="str">
        <f t="shared" si="4"/>
        <v/>
      </c>
      <c r="H167" s="302" t="str">
        <f t="shared" si="5"/>
        <v/>
      </c>
      <c r="I167" s="9"/>
      <c r="J167" s="9"/>
      <c r="K167" s="9"/>
      <c r="L167" s="9" t="str">
        <f t="shared" si="6"/>
        <v/>
      </c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ht="19.5" customHeight="1">
      <c r="A168" s="9"/>
      <c r="B168" s="9"/>
      <c r="C168" s="9"/>
      <c r="D168" s="9" t="str">
        <f t="shared" si="2"/>
        <v/>
      </c>
      <c r="E168" s="301" t="str">
        <f t="array" ref="E168">IF(B168="","",IF(B168&lt;&gt;B167,SUMPRODUCT(($B$5:B168&lt;&gt;$B$4:B167)*($B$5:B168&lt;&gt;"")),""))</f>
        <v/>
      </c>
      <c r="F168" s="9" t="str">
        <f t="shared" si="3"/>
        <v/>
      </c>
      <c r="G168" s="9" t="str">
        <f t="shared" si="4"/>
        <v/>
      </c>
      <c r="H168" s="302" t="str">
        <f t="shared" si="5"/>
        <v/>
      </c>
      <c r="I168" s="9"/>
      <c r="J168" s="9"/>
      <c r="K168" s="9"/>
      <c r="L168" s="9" t="str">
        <f t="shared" si="6"/>
        <v/>
      </c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ht="19.5" customHeight="1">
      <c r="A169" s="9"/>
      <c r="B169" s="9"/>
      <c r="C169" s="9"/>
      <c r="D169" s="9" t="str">
        <f t="shared" si="2"/>
        <v/>
      </c>
      <c r="E169" s="301" t="str">
        <f t="array" ref="E169">IF(B169="","",IF(B169&lt;&gt;B168,SUMPRODUCT(($B$5:B169&lt;&gt;$B$4:B168)*($B$5:B169&lt;&gt;"")),""))</f>
        <v/>
      </c>
      <c r="F169" s="9" t="str">
        <f t="shared" si="3"/>
        <v/>
      </c>
      <c r="G169" s="9" t="str">
        <f t="shared" si="4"/>
        <v/>
      </c>
      <c r="H169" s="302" t="str">
        <f t="shared" si="5"/>
        <v/>
      </c>
      <c r="I169" s="9"/>
      <c r="J169" s="9"/>
      <c r="K169" s="9"/>
      <c r="L169" s="9" t="str">
        <f t="shared" si="6"/>
        <v/>
      </c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ht="19.5" customHeight="1">
      <c r="A170" s="9"/>
      <c r="B170" s="9"/>
      <c r="C170" s="9"/>
      <c r="D170" s="9" t="str">
        <f t="shared" si="2"/>
        <v/>
      </c>
      <c r="E170" s="301" t="str">
        <f t="array" ref="E170">IF(B170="","",IF(B170&lt;&gt;B169,SUMPRODUCT(($B$5:B170&lt;&gt;$B$4:B169)*($B$5:B170&lt;&gt;"")),""))</f>
        <v/>
      </c>
      <c r="F170" s="9" t="str">
        <f t="shared" si="3"/>
        <v/>
      </c>
      <c r="G170" s="9" t="str">
        <f t="shared" si="4"/>
        <v/>
      </c>
      <c r="H170" s="302" t="str">
        <f t="shared" si="5"/>
        <v/>
      </c>
      <c r="I170" s="9"/>
      <c r="J170" s="9"/>
      <c r="K170" s="9"/>
      <c r="L170" s="9" t="str">
        <f t="shared" si="6"/>
        <v/>
      </c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ht="19.5" customHeight="1">
      <c r="A171" s="9"/>
      <c r="B171" s="9"/>
      <c r="C171" s="9"/>
      <c r="D171" s="9" t="str">
        <f t="shared" si="2"/>
        <v/>
      </c>
      <c r="E171" s="301" t="str">
        <f t="array" ref="E171">IF(B171="","",IF(B171&lt;&gt;B170,SUMPRODUCT(($B$5:B171&lt;&gt;$B$4:B170)*($B$5:B171&lt;&gt;"")),""))</f>
        <v/>
      </c>
      <c r="F171" s="9" t="str">
        <f t="shared" si="3"/>
        <v/>
      </c>
      <c r="G171" s="9" t="str">
        <f t="shared" si="4"/>
        <v/>
      </c>
      <c r="H171" s="302" t="str">
        <f t="shared" si="5"/>
        <v/>
      </c>
      <c r="I171" s="9"/>
      <c r="J171" s="9"/>
      <c r="K171" s="9"/>
      <c r="L171" s="9" t="str">
        <f t="shared" si="6"/>
        <v/>
      </c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ht="19.5" customHeight="1">
      <c r="A172" s="9"/>
      <c r="B172" s="9"/>
      <c r="C172" s="9"/>
      <c r="D172" s="9" t="str">
        <f t="shared" si="2"/>
        <v/>
      </c>
      <c r="E172" s="301" t="str">
        <f t="array" ref="E172">IF(B172="","",IF(B172&lt;&gt;B171,SUMPRODUCT(($B$5:B172&lt;&gt;$B$4:B171)*($B$5:B172&lt;&gt;"")),""))</f>
        <v/>
      </c>
      <c r="F172" s="9" t="str">
        <f t="shared" si="3"/>
        <v/>
      </c>
      <c r="G172" s="9" t="str">
        <f t="shared" si="4"/>
        <v/>
      </c>
      <c r="H172" s="302" t="str">
        <f t="shared" si="5"/>
        <v/>
      </c>
      <c r="I172" s="9"/>
      <c r="J172" s="9"/>
      <c r="K172" s="9"/>
      <c r="L172" s="9" t="str">
        <f t="shared" si="6"/>
        <v/>
      </c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ht="19.5" customHeight="1">
      <c r="A173" s="9"/>
      <c r="B173" s="9"/>
      <c r="C173" s="9"/>
      <c r="D173" s="9" t="str">
        <f t="shared" si="2"/>
        <v/>
      </c>
      <c r="E173" s="301" t="str">
        <f t="array" ref="E173">IF(B173="","",IF(B173&lt;&gt;B172,SUMPRODUCT(($B$5:B173&lt;&gt;$B$4:B172)*($B$5:B173&lt;&gt;"")),""))</f>
        <v/>
      </c>
      <c r="F173" s="9" t="str">
        <f t="shared" si="3"/>
        <v/>
      </c>
      <c r="G173" s="9" t="str">
        <f t="shared" si="4"/>
        <v/>
      </c>
      <c r="H173" s="302" t="str">
        <f t="shared" si="5"/>
        <v/>
      </c>
      <c r="I173" s="9"/>
      <c r="J173" s="9"/>
      <c r="K173" s="9"/>
      <c r="L173" s="9" t="str">
        <f t="shared" si="6"/>
        <v/>
      </c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ht="19.5" customHeight="1">
      <c r="A174" s="9"/>
      <c r="B174" s="9"/>
      <c r="C174" s="9"/>
      <c r="D174" s="9" t="str">
        <f t="shared" si="2"/>
        <v/>
      </c>
      <c r="E174" s="301" t="str">
        <f t="array" ref="E174">IF(B174="","",IF(B174&lt;&gt;B173,SUMPRODUCT(($B$5:B174&lt;&gt;$B$4:B173)*($B$5:B174&lt;&gt;"")),""))</f>
        <v/>
      </c>
      <c r="F174" s="9" t="str">
        <f t="shared" si="3"/>
        <v/>
      </c>
      <c r="G174" s="9" t="str">
        <f t="shared" si="4"/>
        <v/>
      </c>
      <c r="H174" s="302" t="str">
        <f t="shared" si="5"/>
        <v/>
      </c>
      <c r="I174" s="9"/>
      <c r="J174" s="9"/>
      <c r="K174" s="9"/>
      <c r="L174" s="9" t="str">
        <f t="shared" si="6"/>
        <v/>
      </c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ht="19.5" customHeight="1">
      <c r="A175" s="9"/>
      <c r="B175" s="9"/>
      <c r="C175" s="9"/>
      <c r="D175" s="9" t="str">
        <f t="shared" si="2"/>
        <v/>
      </c>
      <c r="E175" s="301" t="str">
        <f t="array" ref="E175">IF(B175="","",IF(B175&lt;&gt;B174,SUMPRODUCT(($B$5:B175&lt;&gt;$B$4:B174)*($B$5:B175&lt;&gt;"")),""))</f>
        <v/>
      </c>
      <c r="F175" s="9" t="str">
        <f t="shared" si="3"/>
        <v/>
      </c>
      <c r="G175" s="9" t="str">
        <f t="shared" si="4"/>
        <v/>
      </c>
      <c r="H175" s="302" t="str">
        <f t="shared" si="5"/>
        <v/>
      </c>
      <c r="I175" s="9"/>
      <c r="J175" s="9"/>
      <c r="K175" s="9"/>
      <c r="L175" s="9" t="str">
        <f t="shared" si="6"/>
        <v/>
      </c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ht="19.5" customHeight="1">
      <c r="A176" s="9"/>
      <c r="B176" s="9"/>
      <c r="C176" s="9"/>
      <c r="D176" s="9" t="str">
        <f t="shared" si="2"/>
        <v/>
      </c>
      <c r="E176" s="301" t="str">
        <f t="array" ref="E176">IF(B176="","",IF(B176&lt;&gt;B175,SUMPRODUCT(($B$5:B176&lt;&gt;$B$4:B175)*($B$5:B176&lt;&gt;"")),""))</f>
        <v/>
      </c>
      <c r="F176" s="9" t="str">
        <f t="shared" si="3"/>
        <v/>
      </c>
      <c r="G176" s="9" t="str">
        <f t="shared" si="4"/>
        <v/>
      </c>
      <c r="H176" s="302" t="str">
        <f t="shared" si="5"/>
        <v/>
      </c>
      <c r="I176" s="9"/>
      <c r="J176" s="9"/>
      <c r="K176" s="9"/>
      <c r="L176" s="9" t="str">
        <f t="shared" si="6"/>
        <v/>
      </c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ht="19.5" customHeight="1">
      <c r="A177" s="9"/>
      <c r="B177" s="9"/>
      <c r="C177" s="9"/>
      <c r="D177" s="9" t="str">
        <f t="shared" si="2"/>
        <v/>
      </c>
      <c r="E177" s="301" t="str">
        <f t="array" ref="E177">IF(B177="","",IF(B177&lt;&gt;B176,SUMPRODUCT(($B$5:B177&lt;&gt;$B$4:B176)*($B$5:B177&lt;&gt;"")),""))</f>
        <v/>
      </c>
      <c r="F177" s="9" t="str">
        <f t="shared" si="3"/>
        <v/>
      </c>
      <c r="G177" s="9" t="str">
        <f t="shared" si="4"/>
        <v/>
      </c>
      <c r="H177" s="302" t="str">
        <f t="shared" si="5"/>
        <v/>
      </c>
      <c r="I177" s="9"/>
      <c r="J177" s="9"/>
      <c r="K177" s="9"/>
      <c r="L177" s="9" t="str">
        <f t="shared" si="6"/>
        <v/>
      </c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/>
      <c r="DI177" s="9"/>
      <c r="DJ177" s="9"/>
      <c r="DK177" s="9"/>
      <c r="DL177" s="9"/>
      <c r="DM177" s="9"/>
      <c r="DN177" s="9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ht="19.5" customHeight="1">
      <c r="A178" s="9"/>
      <c r="B178" s="9"/>
      <c r="C178" s="9"/>
      <c r="D178" s="9" t="str">
        <f t="shared" si="2"/>
        <v/>
      </c>
      <c r="E178" s="301" t="str">
        <f t="array" ref="E178">IF(B178="","",IF(B178&lt;&gt;B177,SUMPRODUCT(($B$5:B178&lt;&gt;$B$4:B177)*($B$5:B178&lt;&gt;"")),""))</f>
        <v/>
      </c>
      <c r="F178" s="9" t="str">
        <f t="shared" si="3"/>
        <v/>
      </c>
      <c r="G178" s="9" t="str">
        <f t="shared" si="4"/>
        <v/>
      </c>
      <c r="H178" s="302" t="str">
        <f t="shared" si="5"/>
        <v/>
      </c>
      <c r="I178" s="9"/>
      <c r="J178" s="9"/>
      <c r="K178" s="9"/>
      <c r="L178" s="9" t="str">
        <f t="shared" si="6"/>
        <v/>
      </c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ht="19.5" customHeight="1">
      <c r="A179" s="9"/>
      <c r="B179" s="9"/>
      <c r="C179" s="9"/>
      <c r="D179" s="9" t="str">
        <f t="shared" si="2"/>
        <v/>
      </c>
      <c r="E179" s="301" t="str">
        <f t="array" ref="E179">IF(B179="","",IF(B179&lt;&gt;B178,SUMPRODUCT(($B$5:B179&lt;&gt;$B$4:B178)*($B$5:B179&lt;&gt;"")),""))</f>
        <v/>
      </c>
      <c r="F179" s="9" t="str">
        <f t="shared" si="3"/>
        <v/>
      </c>
      <c r="G179" s="9" t="str">
        <f t="shared" si="4"/>
        <v/>
      </c>
      <c r="H179" s="302" t="str">
        <f t="shared" si="5"/>
        <v/>
      </c>
      <c r="I179" s="9"/>
      <c r="J179" s="9"/>
      <c r="K179" s="9"/>
      <c r="L179" s="9" t="str">
        <f t="shared" si="6"/>
        <v/>
      </c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/>
      <c r="DI179" s="9"/>
      <c r="DJ179" s="9"/>
      <c r="DK179" s="9"/>
      <c r="DL179" s="9"/>
      <c r="DM179" s="9"/>
      <c r="DN179" s="9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ht="19.5" customHeight="1">
      <c r="A180" s="9"/>
      <c r="B180" s="9"/>
      <c r="C180" s="9"/>
      <c r="D180" s="9" t="str">
        <f t="shared" si="2"/>
        <v/>
      </c>
      <c r="E180" s="301" t="str">
        <f t="array" ref="E180">IF(B180="","",IF(B180&lt;&gt;B179,SUMPRODUCT(($B$5:B180&lt;&gt;$B$4:B179)*($B$5:B180&lt;&gt;"")),""))</f>
        <v/>
      </c>
      <c r="F180" s="9" t="str">
        <f t="shared" si="3"/>
        <v/>
      </c>
      <c r="G180" s="9" t="str">
        <f t="shared" si="4"/>
        <v/>
      </c>
      <c r="H180" s="302" t="str">
        <f t="shared" si="5"/>
        <v/>
      </c>
      <c r="I180" s="9"/>
      <c r="J180" s="9"/>
      <c r="K180" s="9"/>
      <c r="L180" s="9" t="str">
        <f t="shared" si="6"/>
        <v/>
      </c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9"/>
      <c r="CM180" s="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ht="19.5" customHeight="1">
      <c r="A181" s="9"/>
      <c r="B181" s="9"/>
      <c r="C181" s="9"/>
      <c r="D181" s="9" t="str">
        <f t="shared" si="2"/>
        <v/>
      </c>
      <c r="E181" s="301" t="str">
        <f t="array" ref="E181">IF(B181="","",IF(B181&lt;&gt;B180,SUMPRODUCT(($B$5:B181&lt;&gt;$B$4:B180)*($B$5:B181&lt;&gt;"")),""))</f>
        <v/>
      </c>
      <c r="F181" s="9" t="str">
        <f t="shared" si="3"/>
        <v/>
      </c>
      <c r="G181" s="9" t="str">
        <f t="shared" si="4"/>
        <v/>
      </c>
      <c r="H181" s="302" t="str">
        <f t="shared" si="5"/>
        <v/>
      </c>
      <c r="I181" s="9"/>
      <c r="J181" s="9"/>
      <c r="K181" s="9"/>
      <c r="L181" s="9" t="str">
        <f t="shared" si="6"/>
        <v/>
      </c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ht="19.5" customHeight="1">
      <c r="A182" s="9"/>
      <c r="B182" s="9"/>
      <c r="C182" s="9"/>
      <c r="D182" s="9" t="str">
        <f t="shared" si="2"/>
        <v/>
      </c>
      <c r="E182" s="301" t="str">
        <f t="array" ref="E182">IF(B182="","",IF(B182&lt;&gt;B181,SUMPRODUCT(($B$5:B182&lt;&gt;$B$4:B181)*($B$5:B182&lt;&gt;"")),""))</f>
        <v/>
      </c>
      <c r="F182" s="9" t="str">
        <f t="shared" si="3"/>
        <v/>
      </c>
      <c r="G182" s="9" t="str">
        <f t="shared" si="4"/>
        <v/>
      </c>
      <c r="H182" s="302" t="str">
        <f t="shared" si="5"/>
        <v/>
      </c>
      <c r="I182" s="9"/>
      <c r="J182" s="9"/>
      <c r="K182" s="9"/>
      <c r="L182" s="9" t="str">
        <f t="shared" si="6"/>
        <v/>
      </c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ht="19.5" customHeight="1">
      <c r="A183" s="9"/>
      <c r="B183" s="9"/>
      <c r="C183" s="9"/>
      <c r="D183" s="9" t="str">
        <f t="shared" si="2"/>
        <v/>
      </c>
      <c r="E183" s="301" t="str">
        <f t="array" ref="E183">IF(B183="","",IF(B183&lt;&gt;B182,SUMPRODUCT(($B$5:B183&lt;&gt;$B$4:B182)*($B$5:B183&lt;&gt;"")),""))</f>
        <v/>
      </c>
      <c r="F183" s="9" t="str">
        <f t="shared" si="3"/>
        <v/>
      </c>
      <c r="G183" s="9" t="str">
        <f t="shared" si="4"/>
        <v/>
      </c>
      <c r="H183" s="302" t="str">
        <f t="shared" si="5"/>
        <v/>
      </c>
      <c r="I183" s="9"/>
      <c r="J183" s="9"/>
      <c r="K183" s="9"/>
      <c r="L183" s="9" t="str">
        <f t="shared" si="6"/>
        <v/>
      </c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ht="19.5" customHeight="1">
      <c r="A184" s="9"/>
      <c r="B184" s="9"/>
      <c r="C184" s="9"/>
      <c r="D184" s="9" t="str">
        <f t="shared" si="2"/>
        <v/>
      </c>
      <c r="E184" s="301" t="str">
        <f t="array" ref="E184">IF(B184="","",IF(B184&lt;&gt;B183,SUMPRODUCT(($B$5:B184&lt;&gt;$B$4:B183)*($B$5:B184&lt;&gt;"")),""))</f>
        <v/>
      </c>
      <c r="F184" s="9" t="str">
        <f t="shared" si="3"/>
        <v/>
      </c>
      <c r="G184" s="9" t="str">
        <f t="shared" si="4"/>
        <v/>
      </c>
      <c r="H184" s="302" t="str">
        <f t="shared" si="5"/>
        <v/>
      </c>
      <c r="I184" s="9"/>
      <c r="J184" s="9"/>
      <c r="K184" s="9"/>
      <c r="L184" s="9" t="str">
        <f t="shared" si="6"/>
        <v/>
      </c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ht="19.5" customHeight="1">
      <c r="A185" s="9"/>
      <c r="B185" s="9"/>
      <c r="C185" s="9"/>
      <c r="D185" s="9" t="str">
        <f t="shared" si="2"/>
        <v/>
      </c>
      <c r="E185" s="301" t="str">
        <f t="array" ref="E185">IF(B185="","",IF(B185&lt;&gt;B184,SUMPRODUCT(($B$5:B185&lt;&gt;$B$4:B184)*($B$5:B185&lt;&gt;"")),""))</f>
        <v/>
      </c>
      <c r="F185" s="9" t="str">
        <f t="shared" si="3"/>
        <v/>
      </c>
      <c r="G185" s="9" t="str">
        <f t="shared" si="4"/>
        <v/>
      </c>
      <c r="H185" s="302" t="str">
        <f t="shared" si="5"/>
        <v/>
      </c>
      <c r="I185" s="9"/>
      <c r="J185" s="9"/>
      <c r="K185" s="9"/>
      <c r="L185" s="9" t="str">
        <f t="shared" si="6"/>
        <v/>
      </c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ht="19.5" customHeight="1">
      <c r="A186" s="9"/>
      <c r="B186" s="9"/>
      <c r="C186" s="9"/>
      <c r="D186" s="9" t="str">
        <f t="shared" si="2"/>
        <v/>
      </c>
      <c r="E186" s="301" t="str">
        <f t="array" ref="E186">IF(B186="","",IF(B186&lt;&gt;B185,SUMPRODUCT(($B$5:B186&lt;&gt;$B$4:B185)*($B$5:B186&lt;&gt;"")),""))</f>
        <v/>
      </c>
      <c r="F186" s="9" t="str">
        <f t="shared" si="3"/>
        <v/>
      </c>
      <c r="G186" s="9" t="str">
        <f t="shared" si="4"/>
        <v/>
      </c>
      <c r="H186" s="302" t="str">
        <f t="shared" si="5"/>
        <v/>
      </c>
      <c r="I186" s="9"/>
      <c r="J186" s="9"/>
      <c r="K186" s="9"/>
      <c r="L186" s="9" t="str">
        <f t="shared" si="6"/>
        <v/>
      </c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ht="19.5" customHeight="1">
      <c r="A187" s="9"/>
      <c r="B187" s="9"/>
      <c r="C187" s="9"/>
      <c r="D187" s="9" t="str">
        <f t="shared" si="2"/>
        <v/>
      </c>
      <c r="E187" s="301" t="str">
        <f t="array" ref="E187">IF(B187="","",IF(B187&lt;&gt;B186,SUMPRODUCT(($B$5:B187&lt;&gt;$B$4:B186)*($B$5:B187&lt;&gt;"")),""))</f>
        <v/>
      </c>
      <c r="F187" s="9" t="str">
        <f t="shared" si="3"/>
        <v/>
      </c>
      <c r="G187" s="9" t="str">
        <f t="shared" si="4"/>
        <v/>
      </c>
      <c r="H187" s="302" t="str">
        <f t="shared" si="5"/>
        <v/>
      </c>
      <c r="I187" s="9"/>
      <c r="J187" s="9"/>
      <c r="K187" s="9"/>
      <c r="L187" s="9" t="str">
        <f t="shared" si="6"/>
        <v/>
      </c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ht="19.5" customHeight="1">
      <c r="A188" s="9"/>
      <c r="B188" s="9"/>
      <c r="C188" s="9"/>
      <c r="D188" s="9" t="str">
        <f t="shared" si="2"/>
        <v/>
      </c>
      <c r="E188" s="301" t="str">
        <f t="array" ref="E188">IF(B188="","",IF(B188&lt;&gt;B187,SUMPRODUCT(($B$5:B188&lt;&gt;$B$4:B187)*($B$5:B188&lt;&gt;"")),""))</f>
        <v/>
      </c>
      <c r="F188" s="9" t="str">
        <f t="shared" si="3"/>
        <v/>
      </c>
      <c r="G188" s="9" t="str">
        <f t="shared" si="4"/>
        <v/>
      </c>
      <c r="H188" s="302" t="str">
        <f t="shared" si="5"/>
        <v/>
      </c>
      <c r="I188" s="9"/>
      <c r="J188" s="9"/>
      <c r="K188" s="9"/>
      <c r="L188" s="9" t="str">
        <f t="shared" si="6"/>
        <v/>
      </c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ht="19.5" customHeight="1">
      <c r="A189" s="9"/>
      <c r="B189" s="9"/>
      <c r="C189" s="9"/>
      <c r="D189" s="9" t="str">
        <f t="shared" si="2"/>
        <v/>
      </c>
      <c r="E189" s="301" t="str">
        <f t="array" ref="E189">IF(B189="","",IF(B189&lt;&gt;B188,SUMPRODUCT(($B$5:B189&lt;&gt;$B$4:B188)*($B$5:B189&lt;&gt;"")),""))</f>
        <v/>
      </c>
      <c r="F189" s="9" t="str">
        <f t="shared" si="3"/>
        <v/>
      </c>
      <c r="G189" s="9" t="str">
        <f t="shared" si="4"/>
        <v/>
      </c>
      <c r="H189" s="302" t="str">
        <f t="shared" si="5"/>
        <v/>
      </c>
      <c r="I189" s="9"/>
      <c r="J189" s="9"/>
      <c r="K189" s="9"/>
      <c r="L189" s="9" t="str">
        <f t="shared" si="6"/>
        <v/>
      </c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ht="19.5" customHeight="1">
      <c r="A190" s="9"/>
      <c r="B190" s="9"/>
      <c r="C190" s="9"/>
      <c r="D190" s="9" t="str">
        <f t="shared" si="2"/>
        <v/>
      </c>
      <c r="E190" s="301" t="str">
        <f t="array" ref="E190">IF(B190="","",IF(B190&lt;&gt;B189,SUMPRODUCT(($B$5:B190&lt;&gt;$B$4:B189)*($B$5:B190&lt;&gt;"")),""))</f>
        <v/>
      </c>
      <c r="F190" s="9" t="str">
        <f t="shared" si="3"/>
        <v/>
      </c>
      <c r="G190" s="9" t="str">
        <f t="shared" si="4"/>
        <v/>
      </c>
      <c r="H190" s="302" t="str">
        <f t="shared" si="5"/>
        <v/>
      </c>
      <c r="I190" s="9"/>
      <c r="J190" s="9"/>
      <c r="K190" s="9"/>
      <c r="L190" s="9" t="str">
        <f t="shared" si="6"/>
        <v/>
      </c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ht="19.5" customHeight="1">
      <c r="A191" s="9"/>
      <c r="B191" s="9"/>
      <c r="C191" s="9"/>
      <c r="D191" s="9" t="str">
        <f t="shared" si="2"/>
        <v/>
      </c>
      <c r="E191" s="301" t="str">
        <f t="array" ref="E191">IF(B191="","",IF(B191&lt;&gt;B190,SUMPRODUCT(($B$5:B191&lt;&gt;$B$4:B190)*($B$5:B191&lt;&gt;"")),""))</f>
        <v/>
      </c>
      <c r="F191" s="9" t="str">
        <f t="shared" si="3"/>
        <v/>
      </c>
      <c r="G191" s="9" t="str">
        <f t="shared" si="4"/>
        <v/>
      </c>
      <c r="H191" s="302" t="str">
        <f t="shared" si="5"/>
        <v/>
      </c>
      <c r="I191" s="9"/>
      <c r="J191" s="9"/>
      <c r="K191" s="9"/>
      <c r="L191" s="9" t="str">
        <f t="shared" si="6"/>
        <v/>
      </c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ht="19.5" customHeight="1">
      <c r="A192" s="9"/>
      <c r="B192" s="9"/>
      <c r="C192" s="9"/>
      <c r="D192" s="9" t="str">
        <f t="shared" si="2"/>
        <v/>
      </c>
      <c r="E192" s="301" t="str">
        <f t="array" ref="E192">IF(B192="","",IF(B192&lt;&gt;B191,SUMPRODUCT(($B$5:B192&lt;&gt;$B$4:B191)*($B$5:B192&lt;&gt;"")),""))</f>
        <v/>
      </c>
      <c r="F192" s="9" t="str">
        <f t="shared" si="3"/>
        <v/>
      </c>
      <c r="G192" s="9" t="str">
        <f t="shared" si="4"/>
        <v/>
      </c>
      <c r="H192" s="302" t="str">
        <f t="shared" si="5"/>
        <v/>
      </c>
      <c r="I192" s="9"/>
      <c r="J192" s="9"/>
      <c r="K192" s="9"/>
      <c r="L192" s="9" t="str">
        <f t="shared" si="6"/>
        <v/>
      </c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ht="19.5" customHeight="1">
      <c r="A193" s="9"/>
      <c r="B193" s="9"/>
      <c r="C193" s="9"/>
      <c r="D193" s="9" t="str">
        <f t="shared" si="2"/>
        <v/>
      </c>
      <c r="E193" s="301" t="str">
        <f t="array" ref="E193">IF(B193="","",IF(B193&lt;&gt;B192,SUMPRODUCT(($B$5:B193&lt;&gt;$B$4:B192)*($B$5:B193&lt;&gt;"")),""))</f>
        <v/>
      </c>
      <c r="F193" s="9" t="str">
        <f t="shared" si="3"/>
        <v/>
      </c>
      <c r="G193" s="9" t="str">
        <f t="shared" si="4"/>
        <v/>
      </c>
      <c r="H193" s="302" t="str">
        <f t="shared" si="5"/>
        <v/>
      </c>
      <c r="I193" s="9"/>
      <c r="J193" s="9"/>
      <c r="K193" s="9"/>
      <c r="L193" s="9" t="str">
        <f t="shared" si="6"/>
        <v/>
      </c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ht="19.5" customHeight="1">
      <c r="A194" s="9"/>
      <c r="B194" s="9"/>
      <c r="C194" s="9"/>
      <c r="D194" s="9" t="str">
        <f t="shared" si="2"/>
        <v/>
      </c>
      <c r="E194" s="301" t="str">
        <f t="array" ref="E194">IF(B194="","",IF(B194&lt;&gt;B193,SUMPRODUCT(($B$5:B194&lt;&gt;$B$4:B193)*($B$5:B194&lt;&gt;"")),""))</f>
        <v/>
      </c>
      <c r="F194" s="9" t="str">
        <f t="shared" si="3"/>
        <v/>
      </c>
      <c r="G194" s="9" t="str">
        <f t="shared" si="4"/>
        <v/>
      </c>
      <c r="H194" s="302" t="str">
        <f t="shared" si="5"/>
        <v/>
      </c>
      <c r="I194" s="9"/>
      <c r="J194" s="9"/>
      <c r="K194" s="9"/>
      <c r="L194" s="9" t="str">
        <f t="shared" si="6"/>
        <v/>
      </c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ht="19.5" customHeight="1">
      <c r="A195" s="9"/>
      <c r="B195" s="9"/>
      <c r="C195" s="9"/>
      <c r="D195" s="9" t="str">
        <f t="shared" si="2"/>
        <v/>
      </c>
      <c r="E195" s="301" t="str">
        <f t="array" ref="E195">IF(B195="","",IF(B195&lt;&gt;B194,SUMPRODUCT(($B$5:B195&lt;&gt;$B$4:B194)*($B$5:B195&lt;&gt;"")),""))</f>
        <v/>
      </c>
      <c r="F195" s="9" t="str">
        <f t="shared" si="3"/>
        <v/>
      </c>
      <c r="G195" s="9" t="str">
        <f t="shared" si="4"/>
        <v/>
      </c>
      <c r="H195" s="302" t="str">
        <f t="shared" si="5"/>
        <v/>
      </c>
      <c r="I195" s="9"/>
      <c r="J195" s="9"/>
      <c r="K195" s="9"/>
      <c r="L195" s="9" t="str">
        <f t="shared" si="6"/>
        <v/>
      </c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ht="19.5" customHeight="1">
      <c r="A196" s="9"/>
      <c r="B196" s="9"/>
      <c r="C196" s="9"/>
      <c r="D196" s="9" t="str">
        <f t="shared" si="2"/>
        <v/>
      </c>
      <c r="E196" s="301" t="str">
        <f t="array" ref="E196">IF(B196="","",IF(B196&lt;&gt;B195,SUMPRODUCT(($B$5:B196&lt;&gt;$B$4:B195)*($B$5:B196&lt;&gt;"")),""))</f>
        <v/>
      </c>
      <c r="F196" s="9" t="str">
        <f t="shared" si="3"/>
        <v/>
      </c>
      <c r="G196" s="9" t="str">
        <f t="shared" si="4"/>
        <v/>
      </c>
      <c r="H196" s="302" t="str">
        <f t="shared" si="5"/>
        <v/>
      </c>
      <c r="I196" s="9"/>
      <c r="J196" s="9"/>
      <c r="K196" s="9"/>
      <c r="L196" s="9" t="str">
        <f t="shared" si="6"/>
        <v/>
      </c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ht="19.5" customHeight="1">
      <c r="A197" s="9"/>
      <c r="B197" s="9"/>
      <c r="C197" s="9"/>
      <c r="D197" s="9" t="str">
        <f t="shared" si="2"/>
        <v/>
      </c>
      <c r="E197" s="301" t="str">
        <f t="array" ref="E197">IF(B197="","",IF(B197&lt;&gt;B196,SUMPRODUCT(($B$5:B197&lt;&gt;$B$4:B196)*($B$5:B197&lt;&gt;"")),""))</f>
        <v/>
      </c>
      <c r="F197" s="9" t="str">
        <f t="shared" si="3"/>
        <v/>
      </c>
      <c r="G197" s="9" t="str">
        <f t="shared" si="4"/>
        <v/>
      </c>
      <c r="H197" s="302" t="str">
        <f t="shared" si="5"/>
        <v/>
      </c>
      <c r="I197" s="9"/>
      <c r="J197" s="9"/>
      <c r="K197" s="9"/>
      <c r="L197" s="9" t="str">
        <f t="shared" si="6"/>
        <v/>
      </c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ht="19.5" customHeight="1">
      <c r="A198" s="9"/>
      <c r="B198" s="9"/>
      <c r="C198" s="9"/>
      <c r="D198" s="9" t="str">
        <f t="shared" si="2"/>
        <v/>
      </c>
      <c r="E198" s="301" t="str">
        <f t="array" ref="E198">IF(B198="","",IF(B198&lt;&gt;B197,SUMPRODUCT(($B$5:B198&lt;&gt;$B$4:B197)*($B$5:B198&lt;&gt;"")),""))</f>
        <v/>
      </c>
      <c r="F198" s="9" t="str">
        <f t="shared" si="3"/>
        <v/>
      </c>
      <c r="G198" s="9" t="str">
        <f t="shared" si="4"/>
        <v/>
      </c>
      <c r="H198" s="302" t="str">
        <f t="shared" si="5"/>
        <v/>
      </c>
      <c r="I198" s="9"/>
      <c r="J198" s="9"/>
      <c r="K198" s="9"/>
      <c r="L198" s="9" t="str">
        <f t="shared" si="6"/>
        <v/>
      </c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ht="19.5" customHeight="1">
      <c r="A199" s="9"/>
      <c r="B199" s="9"/>
      <c r="C199" s="9"/>
      <c r="D199" s="9" t="str">
        <f t="shared" si="2"/>
        <v/>
      </c>
      <c r="E199" s="301" t="str">
        <f t="array" ref="E199">IF(B199="","",IF(B199&lt;&gt;B198,SUMPRODUCT(($B$5:B199&lt;&gt;$B$4:B198)*($B$5:B199&lt;&gt;"")),""))</f>
        <v/>
      </c>
      <c r="F199" s="9" t="str">
        <f t="shared" si="3"/>
        <v/>
      </c>
      <c r="G199" s="9" t="str">
        <f t="shared" si="4"/>
        <v/>
      </c>
      <c r="H199" s="302" t="str">
        <f t="shared" si="5"/>
        <v/>
      </c>
      <c r="I199" s="9"/>
      <c r="J199" s="9"/>
      <c r="K199" s="9"/>
      <c r="L199" s="9" t="str">
        <f t="shared" si="6"/>
        <v/>
      </c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ht="19.5" customHeight="1">
      <c r="A200" s="9"/>
      <c r="B200" s="9"/>
      <c r="C200" s="9"/>
      <c r="D200" s="9" t="str">
        <f t="shared" si="2"/>
        <v/>
      </c>
      <c r="E200" s="301" t="str">
        <f t="array" ref="E200">IF(B200="","",IF(B200&lt;&gt;B199,SUMPRODUCT(($B$5:B200&lt;&gt;$B$4:B199)*($B$5:B200&lt;&gt;"")),""))</f>
        <v/>
      </c>
      <c r="F200" s="9" t="str">
        <f t="shared" si="3"/>
        <v/>
      </c>
      <c r="G200" s="9" t="str">
        <f t="shared" si="4"/>
        <v/>
      </c>
      <c r="H200" s="302" t="str">
        <f t="shared" si="5"/>
        <v/>
      </c>
      <c r="I200" s="9"/>
      <c r="J200" s="9"/>
      <c r="K200" s="9"/>
      <c r="L200" s="9" t="str">
        <f t="shared" si="6"/>
        <v/>
      </c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</sheetData>
  <mergeCells count="4">
    <mergeCell ref="BT2:CG2"/>
    <mergeCell ref="CH2:CU2"/>
    <mergeCell ref="CV2:DI2"/>
    <mergeCell ref="DJ2:DN2"/>
  </mergeCells>
  <conditionalFormatting sqref="H5:N200">
    <cfRule type="expression" dxfId="12" priority="1">
      <formula>NOT(OR($I5="データ基盤",$I5="インフラ"))</formula>
    </cfRule>
  </conditionalFormatting>
  <conditionalFormatting sqref="O5:O200">
    <cfRule type="containsText" dxfId="13" priority="2" operator="containsText" text="準備中">
      <formula>NOT(ISERROR(SEARCH(("準備中"),(O5))))</formula>
    </cfRule>
  </conditionalFormatting>
  <conditionalFormatting sqref="P5:CV200">
    <cfRule type="expression" dxfId="14" priority="3">
      <formula>AND($H5&lt;&gt;"",OR(P$4="土",P$4="日"))</formula>
    </cfRule>
  </conditionalFormatting>
  <conditionalFormatting sqref="P5:ZZ200">
    <cfRule type="expression" dxfId="15" priority="4">
      <formula>AND(P$3&lt;&gt;"",OR($I5="DX道場",$I5="U-SLIM"),P$3&gt;=$M5,P$3&lt;=$N5)</formula>
    </cfRule>
  </conditionalFormatting>
  <conditionalFormatting sqref="E5:J42 E6:H200">
    <cfRule type="expression" dxfId="17" priority="5">
      <formula>AND($E5&lt;&gt;"",NOT(ISNUMBER($E5)))</formula>
    </cfRule>
  </conditionalFormatting>
  <conditionalFormatting sqref="J5:J200">
    <cfRule type="expression" dxfId="18" priority="6">
      <formula>AND($H5&lt;&gt;"",$J5="")</formula>
    </cfRule>
  </conditionalFormatting>
  <conditionalFormatting sqref="O5:O200">
    <cfRule type="containsText" dxfId="19" priority="7" operator="containsText" text="完了">
      <formula>NOT(ISERROR(SEARCH(("完了"),(O5))))</formula>
    </cfRule>
  </conditionalFormatting>
  <conditionalFormatting sqref="O5:O200">
    <cfRule type="containsText" dxfId="20" priority="8" operator="containsText" text="進行中">
      <formula>NOT(ISERROR(SEARCH(("進行中"),(O5))))</formula>
    </cfRule>
  </conditionalFormatting>
  <conditionalFormatting sqref="P3:ZZ4">
    <cfRule type="expression" dxfId="14" priority="9">
      <formula>AND(OR(P$4="土",P$4="日"))</formula>
    </cfRule>
  </conditionalFormatting>
  <conditionalFormatting sqref="P5:ZZ200">
    <cfRule type="expression" dxfId="16" priority="10">
      <formula>AND(P$3&lt;&gt;"",$I5="インフラ",P$3&gt;=$M5,P$3&lt;=$N5)</formula>
    </cfRule>
  </conditionalFormatting>
  <conditionalFormatting sqref="P5:ZZ200">
    <cfRule type="expression" dxfId="27" priority="11">
      <formula>AND(P$3&lt;&gt;"",P$3&gt;=$M5,P$3&lt;=$N5)</formula>
    </cfRule>
  </conditionalFormatting>
  <conditionalFormatting sqref="P5:ZZ200">
    <cfRule type="expression" dxfId="28" priority="12">
      <formula>AND(P$3&lt;&gt;"",$I5="データ基盤",P$3&gt;=$M5,P$3&lt;=$N5)</formula>
    </cfRule>
  </conditionalFormatting>
  <conditionalFormatting sqref="P5:ZZ200">
    <cfRule type="expression" dxfId="29" priority="13">
      <formula>AND($H5&lt;&gt;"",P$3&lt;&gt;"")</formula>
    </cfRule>
  </conditionalFormatting>
  <conditionalFormatting sqref="G5:O200">
    <cfRule type="expression" dxfId="29" priority="14">
      <formula>$H5&lt;&gt;""</formula>
    </cfRule>
  </conditionalFormatting>
  <conditionalFormatting sqref="J5:J200">
    <cfRule type="expression" dxfId="30" priority="15">
      <formula>$H5&lt;&gt;""</formula>
    </cfRule>
  </conditionalFormatting>
  <conditionalFormatting sqref="I5:I200">
    <cfRule type="expression" dxfId="31" priority="16">
      <formula>$H5&lt;&gt;""</formula>
    </cfRule>
  </conditionalFormatting>
  <conditionalFormatting sqref="M5:M200">
    <cfRule type="expression" dxfId="31" priority="17">
      <formula>$H5&lt;&gt;""</formula>
    </cfRule>
  </conditionalFormatting>
  <conditionalFormatting sqref="N5:N200">
    <cfRule type="expression" dxfId="30" priority="18">
      <formula>$H5&lt;&gt;""</formula>
    </cfRule>
  </conditionalFormatting>
  <conditionalFormatting sqref="O5:O200">
    <cfRule type="expression" dxfId="30" priority="19">
      <formula>$H5&lt;&gt;""</formula>
    </cfRule>
  </conditionalFormatting>
  <conditionalFormatting sqref="E5:E200">
    <cfRule type="expression" dxfId="32" priority="20">
      <formula>$H5&lt;&gt;""</formula>
    </cfRule>
  </conditionalFormatting>
  <conditionalFormatting sqref="D5:D200">
    <cfRule type="expression" dxfId="31" priority="21">
      <formula>$H5&lt;&gt;""</formula>
    </cfRule>
  </conditionalFormatting>
  <conditionalFormatting sqref="E5:O200">
    <cfRule type="expression" dxfId="33" priority="22">
      <formula>$F6&lt;&gt;""</formula>
    </cfRule>
  </conditionalFormatting>
  <conditionalFormatting sqref="P5:ZZ200">
    <cfRule type="expression" dxfId="33" priority="23">
      <formula>AND(P$3&lt;&gt;"",$F6&lt;&gt;"")</formula>
    </cfRule>
  </conditionalFormatting>
  <conditionalFormatting sqref="P3:ZZ3">
    <cfRule type="expression" dxfId="34" priority="24">
      <formula>P$3&lt;&gt;""</formula>
    </cfRule>
  </conditionalFormatting>
  <conditionalFormatting sqref="P2:ZZ2">
    <cfRule type="expression" dxfId="35" priority="25">
      <formula>P$3&lt;&gt;""</formula>
    </cfRule>
  </conditionalFormatting>
  <conditionalFormatting sqref="P3:ZZ4">
    <cfRule type="expression" dxfId="36" priority="26">
      <formula>P$3&lt;&gt;""</formula>
    </cfRule>
  </conditionalFormatting>
  <conditionalFormatting sqref="P2:ZZ4">
    <cfRule type="expression" dxfId="31" priority="27">
      <formula>P$2&lt;&gt;""</formula>
    </cfRule>
  </conditionalFormatting>
  <conditionalFormatting sqref="P5:ZZ200">
    <cfRule type="expression" dxfId="31" priority="28">
      <formula>AND($H5&lt;&gt;"",P$2&lt;&gt;"")</formula>
    </cfRule>
  </conditionalFormatting>
  <conditionalFormatting sqref="P3:ZZ4">
    <cfRule type="expression" dxfId="37" priority="29">
      <formula>AND(N$2&lt;&gt;"",P$4="水")</formula>
    </cfRule>
  </conditionalFormatting>
  <conditionalFormatting sqref="P2:ZZ4">
    <cfRule type="expression" dxfId="30" priority="30">
      <formula>AND(P$3&lt;&gt;"",Q$3="")</formula>
    </cfRule>
  </conditionalFormatting>
  <conditionalFormatting sqref="P5:ZZ200">
    <cfRule type="expression" dxfId="30" priority="31">
      <formula>AND($H5&lt;&gt;"",P$3&lt;&gt;"",Q$3="")</formula>
    </cfRule>
  </conditionalFormatting>
  <conditionalFormatting sqref="D5:O200">
    <cfRule type="expression" dxfId="33" priority="32">
      <formula>AND($H5&lt;&gt;"",$H6="")</formula>
    </cfRule>
  </conditionalFormatting>
  <conditionalFormatting sqref="P5:ZZ200">
    <cfRule type="expression" dxfId="33" priority="33">
      <formula>AND(P$3&lt;&gt;"",$H5&lt;&gt;"",$H6="")</formula>
    </cfRule>
  </conditionalFormatting>
  <conditionalFormatting sqref="P2:ZZ2">
    <cfRule type="expression" dxfId="38" priority="34">
      <formula>P$3&lt;&gt;""</formula>
    </cfRule>
  </conditionalFormatting>
  <conditionalFormatting sqref="O5:O125">
    <cfRule type="expression" dxfId="22" priority="35">
      <formula>O5="準備中"</formula>
    </cfRule>
  </conditionalFormatting>
  <conditionalFormatting sqref="O5:O125">
    <cfRule type="expression" dxfId="6" priority="36">
      <formula>O5="進行中"</formula>
    </cfRule>
  </conditionalFormatting>
  <conditionalFormatting sqref="O5:O125">
    <cfRule type="expression" dxfId="7" priority="37">
      <formula>O5="完了"</formula>
    </cfRule>
  </conditionalFormatting>
  <conditionalFormatting sqref="O5:O125">
    <cfRule type="expression" dxfId="22" priority="38">
      <formula>O5="準備中"</formula>
    </cfRule>
  </conditionalFormatting>
  <conditionalFormatting sqref="O5:O125">
    <cfRule type="expression" dxfId="6" priority="39">
      <formula>O5="進行中"</formula>
    </cfRule>
  </conditionalFormatting>
  <conditionalFormatting sqref="O5:O125">
    <cfRule type="expression" dxfId="7" priority="40">
      <formula>O5="完了"</formula>
    </cfRule>
  </conditionalFormatting>
  <conditionalFormatting sqref="P5:DN200">
    <cfRule type="expression" dxfId="25" priority="41">
      <formula>AND(P$3&gt;=$M5,P$3&lt;=$N5,$O5="完了")</formula>
    </cfRule>
  </conditionalFormatting>
  <conditionalFormatting sqref="P5:DN200">
    <cfRule type="expression" dxfId="24" priority="42">
      <formula>AND(P$3&gt;=$M5,P$3&lt;=$N5,$O5="進行中")</formula>
    </cfRule>
  </conditionalFormatting>
  <conditionalFormatting sqref="P5:DN200">
    <cfRule type="expression" dxfId="23" priority="43">
      <formula>AND(P$3&gt;=$M5,P$3&lt;=$N5,$O5="準備中")</formula>
    </cfRule>
  </conditionalFormatting>
  <conditionalFormatting sqref="P5:DN200">
    <cfRule type="expression" dxfId="39" priority="44">
      <formula>WEEKDAY(P$3,2)&gt;=6</formula>
    </cfRule>
  </conditionalFormatting>
  <conditionalFormatting sqref="P3:DN4">
    <cfRule type="expression" dxfId="40" priority="45">
      <formula>WEEKDAY(P$3,2)&gt;=6</formula>
    </cfRule>
  </conditionalFormatting>
  <dataValidations>
    <dataValidation type="list" allowBlank="1" showErrorMessage="1" sqref="O5:O200">
      <formula1>"準備中,進行中,完了"</formula1>
    </dataValidation>
    <dataValidation type="custom" allowBlank="1" showInputMessage="1" showErrorMessage="1" prompt="編集不可 - D～H列は編集不可です。_x000a_A～C列を編集してください（その内容に応じてD～H列が自動で入力されます）。" sqref="D3:H200">
      <formula1>FALSE</formula1>
    </dataValidation>
    <dataValidation type="list" allowBlank="1" showErrorMessage="1" sqref="I5:I200">
      <formula1>"データ基盤,インフラ,U-SLIM,DX道場,Cloudera,トヨタシステムズ"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hidden="1" min="1" max="1" width="9.0"/>
    <col customWidth="1" hidden="1" min="2" max="2" width="6.43"/>
    <col customWidth="1" hidden="1" min="3" max="3" width="27.29"/>
    <col customWidth="1" hidden="1" min="4" max="4" width="56.43"/>
    <col customWidth="1" min="5" max="5" width="9.14"/>
    <col customWidth="1" min="6" max="6" width="5.29"/>
    <col customWidth="1" min="7" max="7" width="21.0"/>
    <col customWidth="1" min="8" max="8" width="55.57"/>
    <col customWidth="1" min="9" max="10" width="9.0"/>
    <col customWidth="1" min="11" max="11" width="13.0"/>
    <col customWidth="1" min="12" max="13" width="6.43"/>
    <col customWidth="1" min="14" max="14" width="8.0"/>
    <col customWidth="1" min="15" max="99" width="4.43"/>
    <col customWidth="1" min="100" max="100" width="9.0"/>
  </cols>
  <sheetData>
    <row r="1" ht="16.5" customHeight="1">
      <c r="A1" s="3" t="s">
        <v>5</v>
      </c>
      <c r="B1" s="3"/>
      <c r="C1" s="3"/>
      <c r="D1" s="5"/>
      <c r="E1" s="3" t="s">
        <v>6</v>
      </c>
      <c r="F1" s="3" t="s">
        <v>9</v>
      </c>
      <c r="G1" s="3"/>
      <c r="H1" s="5"/>
      <c r="I1" s="3"/>
      <c r="J1" s="3"/>
      <c r="K1" s="3"/>
      <c r="L1" s="10"/>
      <c r="M1" s="10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</row>
    <row r="2" ht="16.5" customHeight="1">
      <c r="A2" s="3"/>
      <c r="B2" s="3"/>
      <c r="C2" s="3"/>
      <c r="D2" s="5"/>
      <c r="E2" s="3"/>
      <c r="F2" s="11" t="s">
        <v>34</v>
      </c>
      <c r="G2" s="3"/>
      <c r="H2" s="5"/>
      <c r="I2" s="3"/>
      <c r="J2" s="3"/>
      <c r="K2" s="3"/>
      <c r="L2" s="10"/>
      <c r="M2" s="10"/>
      <c r="N2" s="3"/>
      <c r="O2" s="12" t="s">
        <v>38</v>
      </c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4"/>
      <c r="AC2" s="13" t="s">
        <v>45</v>
      </c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4"/>
      <c r="AQ2" s="13" t="s">
        <v>49</v>
      </c>
      <c r="AR2" s="13"/>
      <c r="AS2" s="15"/>
      <c r="AT2" s="15"/>
      <c r="AU2" s="15"/>
      <c r="AV2" s="16" t="s">
        <v>53</v>
      </c>
      <c r="AW2" s="16"/>
      <c r="AX2" s="16" t="s">
        <v>54</v>
      </c>
      <c r="AY2" s="16" t="s">
        <v>54</v>
      </c>
      <c r="AZ2" s="16" t="s">
        <v>54</v>
      </c>
      <c r="BA2" s="16" t="s">
        <v>54</v>
      </c>
      <c r="BB2" s="16" t="s">
        <v>54</v>
      </c>
      <c r="BC2" s="16" t="s">
        <v>54</v>
      </c>
      <c r="BD2" s="17" t="s">
        <v>58</v>
      </c>
      <c r="BE2" s="13" t="s">
        <v>59</v>
      </c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4"/>
      <c r="BS2" s="13" t="s">
        <v>63</v>
      </c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4"/>
      <c r="CG2" s="13" t="s">
        <v>67</v>
      </c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4"/>
      <c r="CU2" s="14" t="s">
        <v>71</v>
      </c>
      <c r="CV2" s="3"/>
    </row>
    <row r="3" ht="16.5" customHeight="1">
      <c r="A3" s="3" t="s">
        <v>73</v>
      </c>
      <c r="B3" s="3" t="s">
        <v>75</v>
      </c>
      <c r="C3" s="3" t="s">
        <v>76</v>
      </c>
      <c r="D3" s="5" t="s">
        <v>77</v>
      </c>
      <c r="E3" s="20" t="s">
        <v>78</v>
      </c>
      <c r="F3" s="20" t="s">
        <v>80</v>
      </c>
      <c r="G3" s="21"/>
      <c r="H3" s="22"/>
      <c r="I3" s="21" t="s">
        <v>81</v>
      </c>
      <c r="J3" s="23"/>
      <c r="K3" s="23" t="s">
        <v>84</v>
      </c>
      <c r="L3" s="24" t="s">
        <v>85</v>
      </c>
      <c r="M3" s="25"/>
      <c r="N3" s="23" t="s">
        <v>87</v>
      </c>
      <c r="O3" s="26">
        <v>46209.0</v>
      </c>
      <c r="P3" s="27">
        <v>46210.0</v>
      </c>
      <c r="Q3" s="28">
        <v>46211.0</v>
      </c>
      <c r="R3" s="27">
        <v>46212.0</v>
      </c>
      <c r="S3" s="27">
        <v>46213.0</v>
      </c>
      <c r="T3" s="27">
        <v>46214.0</v>
      </c>
      <c r="U3" s="27">
        <v>46215.0</v>
      </c>
      <c r="V3" s="27">
        <v>46216.0</v>
      </c>
      <c r="W3" s="27">
        <v>46217.0</v>
      </c>
      <c r="X3" s="27">
        <v>46218.0</v>
      </c>
      <c r="Y3" s="27">
        <v>46219.0</v>
      </c>
      <c r="Z3" s="27">
        <v>46220.0</v>
      </c>
      <c r="AA3" s="27">
        <v>46221.0</v>
      </c>
      <c r="AB3" s="30">
        <v>46222.0</v>
      </c>
      <c r="AC3" s="31">
        <v>46223.0</v>
      </c>
      <c r="AD3" s="27">
        <v>46224.0</v>
      </c>
      <c r="AE3" s="28">
        <v>46225.0</v>
      </c>
      <c r="AF3" s="27">
        <v>46226.0</v>
      </c>
      <c r="AG3" s="27">
        <v>46227.0</v>
      </c>
      <c r="AH3" s="27">
        <v>46228.0</v>
      </c>
      <c r="AI3" s="27">
        <v>46229.0</v>
      </c>
      <c r="AJ3" s="27">
        <v>46230.0</v>
      </c>
      <c r="AK3" s="27">
        <v>46231.0</v>
      </c>
      <c r="AL3" s="27">
        <v>46232.0</v>
      </c>
      <c r="AM3" s="27">
        <v>46233.0</v>
      </c>
      <c r="AN3" s="27">
        <v>46234.0</v>
      </c>
      <c r="AO3" s="27">
        <v>46235.0</v>
      </c>
      <c r="AP3" s="30">
        <v>46236.0</v>
      </c>
      <c r="AQ3" s="26">
        <v>46237.0</v>
      </c>
      <c r="AR3" s="27">
        <v>46238.0</v>
      </c>
      <c r="AS3" s="28">
        <v>46239.0</v>
      </c>
      <c r="AT3" s="27">
        <v>46240.0</v>
      </c>
      <c r="AU3" s="27">
        <v>46241.0</v>
      </c>
      <c r="AV3" s="27">
        <v>46242.0</v>
      </c>
      <c r="AW3" s="27">
        <v>46243.0</v>
      </c>
      <c r="AX3" s="32">
        <v>46244.0</v>
      </c>
      <c r="AY3" s="33">
        <v>46245.0</v>
      </c>
      <c r="AZ3" s="32">
        <v>46246.0</v>
      </c>
      <c r="BA3" s="32">
        <v>46247.0</v>
      </c>
      <c r="BB3" s="32">
        <v>46248.0</v>
      </c>
      <c r="BC3" s="27">
        <v>46249.0</v>
      </c>
      <c r="BD3" s="30">
        <v>46250.0</v>
      </c>
      <c r="BE3" s="26">
        <v>46251.0</v>
      </c>
      <c r="BF3" s="27">
        <v>46252.0</v>
      </c>
      <c r="BG3" s="28">
        <v>46253.0</v>
      </c>
      <c r="BH3" s="27">
        <v>46254.0</v>
      </c>
      <c r="BI3" s="27">
        <v>46255.0</v>
      </c>
      <c r="BJ3" s="27">
        <v>46256.0</v>
      </c>
      <c r="BK3" s="27">
        <v>46257.0</v>
      </c>
      <c r="BL3" s="27">
        <v>46258.0</v>
      </c>
      <c r="BM3" s="27">
        <v>46259.0</v>
      </c>
      <c r="BN3" s="27">
        <v>46260.0</v>
      </c>
      <c r="BO3" s="27">
        <v>46261.0</v>
      </c>
      <c r="BP3" s="27">
        <v>46262.0</v>
      </c>
      <c r="BQ3" s="27">
        <v>46263.0</v>
      </c>
      <c r="BR3" s="30">
        <v>46264.0</v>
      </c>
      <c r="BS3" s="26">
        <v>46265.0</v>
      </c>
      <c r="BT3" s="27">
        <v>46266.0</v>
      </c>
      <c r="BU3" s="28">
        <v>46267.0</v>
      </c>
      <c r="BV3" s="27">
        <v>46268.0</v>
      </c>
      <c r="BW3" s="27">
        <v>46269.0</v>
      </c>
      <c r="BX3" s="27">
        <v>46270.0</v>
      </c>
      <c r="BY3" s="27">
        <v>46271.0</v>
      </c>
      <c r="BZ3" s="27">
        <v>46272.0</v>
      </c>
      <c r="CA3" s="27">
        <v>46273.0</v>
      </c>
      <c r="CB3" s="27">
        <v>46274.0</v>
      </c>
      <c r="CC3" s="27">
        <v>46275.0</v>
      </c>
      <c r="CD3" s="27">
        <v>46276.0</v>
      </c>
      <c r="CE3" s="27">
        <v>46277.0</v>
      </c>
      <c r="CF3" s="30">
        <v>46278.0</v>
      </c>
      <c r="CG3" s="26">
        <v>46279.0</v>
      </c>
      <c r="CH3" s="27">
        <v>46280.0</v>
      </c>
      <c r="CI3" s="28">
        <v>46281.0</v>
      </c>
      <c r="CJ3" s="27">
        <v>46282.0</v>
      </c>
      <c r="CK3" s="27">
        <v>46283.0</v>
      </c>
      <c r="CL3" s="27">
        <v>46284.0</v>
      </c>
      <c r="CM3" s="27">
        <v>46285.0</v>
      </c>
      <c r="CN3" s="27">
        <v>46286.0</v>
      </c>
      <c r="CO3" s="27">
        <v>46287.0</v>
      </c>
      <c r="CP3" s="27">
        <v>46288.0</v>
      </c>
      <c r="CQ3" s="27">
        <v>46289.0</v>
      </c>
      <c r="CR3" s="27">
        <v>46290.0</v>
      </c>
      <c r="CS3" s="27">
        <v>46291.0</v>
      </c>
      <c r="CT3" s="30">
        <v>46292.0</v>
      </c>
      <c r="CU3" s="35">
        <v>46293.0</v>
      </c>
      <c r="CV3" s="10"/>
    </row>
    <row r="4" ht="16.5" customHeight="1">
      <c r="A4" s="3"/>
      <c r="B4" s="36"/>
      <c r="C4" s="3" t="s">
        <v>102</v>
      </c>
      <c r="D4" s="5" t="s">
        <v>102</v>
      </c>
      <c r="E4" s="37" t="s">
        <v>73</v>
      </c>
      <c r="F4" s="38" t="s">
        <v>75</v>
      </c>
      <c r="G4" s="39" t="s">
        <v>76</v>
      </c>
      <c r="H4" s="40" t="s">
        <v>77</v>
      </c>
      <c r="I4" s="39" t="s">
        <v>105</v>
      </c>
      <c r="J4" s="41" t="s">
        <v>106</v>
      </c>
      <c r="K4" s="42" t="s">
        <v>107</v>
      </c>
      <c r="L4" s="43" t="s">
        <v>108</v>
      </c>
      <c r="M4" s="44" t="s">
        <v>109</v>
      </c>
      <c r="N4" s="42"/>
      <c r="O4" s="45" t="s">
        <v>15</v>
      </c>
      <c r="P4" s="46" t="s">
        <v>42</v>
      </c>
      <c r="Q4" s="47" t="s">
        <v>19</v>
      </c>
      <c r="R4" s="46" t="s">
        <v>10</v>
      </c>
      <c r="S4" s="46" t="s">
        <v>26</v>
      </c>
      <c r="T4" s="46" t="s">
        <v>112</v>
      </c>
      <c r="U4" s="46" t="s">
        <v>33</v>
      </c>
      <c r="V4" s="46" t="s">
        <v>15</v>
      </c>
      <c r="W4" s="46" t="s">
        <v>42</v>
      </c>
      <c r="X4" s="46" t="s">
        <v>19</v>
      </c>
      <c r="Y4" s="46" t="s">
        <v>10</v>
      </c>
      <c r="Z4" s="46" t="s">
        <v>26</v>
      </c>
      <c r="AA4" s="46" t="s">
        <v>112</v>
      </c>
      <c r="AB4" s="48" t="s">
        <v>33</v>
      </c>
      <c r="AC4" s="49" t="s">
        <v>15</v>
      </c>
      <c r="AD4" s="46" t="s">
        <v>42</v>
      </c>
      <c r="AE4" s="47" t="s">
        <v>19</v>
      </c>
      <c r="AF4" s="46" t="s">
        <v>10</v>
      </c>
      <c r="AG4" s="46" t="s">
        <v>26</v>
      </c>
      <c r="AH4" s="46" t="s">
        <v>112</v>
      </c>
      <c r="AI4" s="46" t="s">
        <v>33</v>
      </c>
      <c r="AJ4" s="46" t="s">
        <v>15</v>
      </c>
      <c r="AK4" s="46" t="s">
        <v>42</v>
      </c>
      <c r="AL4" s="46" t="s">
        <v>19</v>
      </c>
      <c r="AM4" s="46" t="s">
        <v>10</v>
      </c>
      <c r="AN4" s="46" t="s">
        <v>26</v>
      </c>
      <c r="AO4" s="46" t="s">
        <v>112</v>
      </c>
      <c r="AP4" s="48" t="s">
        <v>33</v>
      </c>
      <c r="AQ4" s="45" t="s">
        <v>15</v>
      </c>
      <c r="AR4" s="46" t="s">
        <v>42</v>
      </c>
      <c r="AS4" s="47" t="s">
        <v>19</v>
      </c>
      <c r="AT4" s="46" t="s">
        <v>10</v>
      </c>
      <c r="AU4" s="46" t="s">
        <v>26</v>
      </c>
      <c r="AV4" s="46" t="s">
        <v>112</v>
      </c>
      <c r="AW4" s="46" t="s">
        <v>33</v>
      </c>
      <c r="AX4" s="50" t="s">
        <v>15</v>
      </c>
      <c r="AY4" s="51" t="s">
        <v>42</v>
      </c>
      <c r="AZ4" s="50" t="s">
        <v>19</v>
      </c>
      <c r="BA4" s="50" t="s">
        <v>10</v>
      </c>
      <c r="BB4" s="50" t="s">
        <v>26</v>
      </c>
      <c r="BC4" s="46" t="s">
        <v>112</v>
      </c>
      <c r="BD4" s="48" t="s">
        <v>33</v>
      </c>
      <c r="BE4" s="45" t="s">
        <v>15</v>
      </c>
      <c r="BF4" s="46" t="s">
        <v>42</v>
      </c>
      <c r="BG4" s="47" t="s">
        <v>19</v>
      </c>
      <c r="BH4" s="46" t="s">
        <v>10</v>
      </c>
      <c r="BI4" s="46" t="s">
        <v>26</v>
      </c>
      <c r="BJ4" s="46" t="s">
        <v>112</v>
      </c>
      <c r="BK4" s="46" t="s">
        <v>33</v>
      </c>
      <c r="BL4" s="46" t="s">
        <v>15</v>
      </c>
      <c r="BM4" s="46" t="s">
        <v>42</v>
      </c>
      <c r="BN4" s="46" t="s">
        <v>19</v>
      </c>
      <c r="BO4" s="46" t="s">
        <v>10</v>
      </c>
      <c r="BP4" s="46" t="s">
        <v>26</v>
      </c>
      <c r="BQ4" s="46" t="s">
        <v>112</v>
      </c>
      <c r="BR4" s="48" t="s">
        <v>33</v>
      </c>
      <c r="BS4" s="45" t="s">
        <v>15</v>
      </c>
      <c r="BT4" s="46" t="s">
        <v>42</v>
      </c>
      <c r="BU4" s="47" t="s">
        <v>19</v>
      </c>
      <c r="BV4" s="46" t="s">
        <v>10</v>
      </c>
      <c r="BW4" s="46" t="s">
        <v>26</v>
      </c>
      <c r="BX4" s="46" t="s">
        <v>112</v>
      </c>
      <c r="BY4" s="46" t="s">
        <v>33</v>
      </c>
      <c r="BZ4" s="46" t="s">
        <v>15</v>
      </c>
      <c r="CA4" s="46" t="s">
        <v>42</v>
      </c>
      <c r="CB4" s="46" t="s">
        <v>19</v>
      </c>
      <c r="CC4" s="46" t="s">
        <v>10</v>
      </c>
      <c r="CD4" s="46" t="s">
        <v>26</v>
      </c>
      <c r="CE4" s="46" t="s">
        <v>112</v>
      </c>
      <c r="CF4" s="48" t="s">
        <v>33</v>
      </c>
      <c r="CG4" s="45" t="s">
        <v>15</v>
      </c>
      <c r="CH4" s="46" t="s">
        <v>42</v>
      </c>
      <c r="CI4" s="47" t="s">
        <v>19</v>
      </c>
      <c r="CJ4" s="46" t="s">
        <v>10</v>
      </c>
      <c r="CK4" s="46" t="s">
        <v>26</v>
      </c>
      <c r="CL4" s="46" t="s">
        <v>112</v>
      </c>
      <c r="CM4" s="46" t="s">
        <v>33</v>
      </c>
      <c r="CN4" s="46" t="s">
        <v>15</v>
      </c>
      <c r="CO4" s="46" t="s">
        <v>42</v>
      </c>
      <c r="CP4" s="46" t="s">
        <v>19</v>
      </c>
      <c r="CQ4" s="46" t="s">
        <v>10</v>
      </c>
      <c r="CR4" s="46" t="s">
        <v>26</v>
      </c>
      <c r="CS4" s="46" t="s">
        <v>112</v>
      </c>
      <c r="CT4" s="48" t="s">
        <v>33</v>
      </c>
      <c r="CU4" s="52" t="s">
        <v>15</v>
      </c>
      <c r="CV4" s="3"/>
    </row>
    <row r="5" ht="16.5" customHeight="1">
      <c r="A5" s="3" t="s">
        <v>124</v>
      </c>
      <c r="B5" s="3">
        <v>1.0</v>
      </c>
      <c r="C5" s="3" t="s">
        <v>125</v>
      </c>
      <c r="D5" s="5" t="s">
        <v>126</v>
      </c>
      <c r="E5" s="53" t="str">
        <f t="shared" ref="E5:H5" si="1">IF(A5&lt;&gt;"", IF(A5=A4, "", A5), "")</f>
        <v>Dataviz</v>
      </c>
      <c r="F5" s="54">
        <f t="shared" si="1"/>
        <v>1</v>
      </c>
      <c r="G5" s="55" t="str">
        <f t="shared" si="1"/>
        <v>プロジェクト管理</v>
      </c>
      <c r="H5" s="56" t="str">
        <f t="shared" si="1"/>
        <v>PowerBI関連</v>
      </c>
      <c r="I5" s="57" t="s">
        <v>127</v>
      </c>
      <c r="J5" s="58" t="s">
        <v>127</v>
      </c>
      <c r="K5" s="59" t="s">
        <v>107</v>
      </c>
      <c r="L5" s="26">
        <v>46209.0</v>
      </c>
      <c r="M5" s="30">
        <v>46293.0</v>
      </c>
      <c r="N5" s="60" t="s">
        <v>128</v>
      </c>
      <c r="O5" s="57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58"/>
      <c r="AC5" s="63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58"/>
      <c r="AQ5" s="57"/>
      <c r="AR5" s="61"/>
      <c r="AS5" s="61"/>
      <c r="AT5" s="61"/>
      <c r="AU5" s="61"/>
      <c r="AV5" s="61"/>
      <c r="AW5" s="61"/>
      <c r="AX5" s="66"/>
      <c r="AY5" s="67"/>
      <c r="AZ5" s="66"/>
      <c r="BA5" s="66"/>
      <c r="BB5" s="66"/>
      <c r="BC5" s="61"/>
      <c r="BD5" s="58"/>
      <c r="BE5" s="57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58"/>
      <c r="BS5" s="57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58"/>
      <c r="CG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58"/>
      <c r="CU5" s="59"/>
      <c r="CV5" s="3"/>
    </row>
    <row r="6" ht="16.5" customHeight="1">
      <c r="A6" s="3" t="s">
        <v>124</v>
      </c>
      <c r="B6" s="3">
        <v>2.0</v>
      </c>
      <c r="C6" s="3" t="s">
        <v>125</v>
      </c>
      <c r="D6" s="5" t="s">
        <v>130</v>
      </c>
      <c r="E6" s="53" t="str">
        <f t="shared" ref="E6:H6" si="2">IF(A6&lt;&gt;"", IF(A6=A5, "", A6), "")</f>
        <v/>
      </c>
      <c r="F6" s="68">
        <f t="shared" si="2"/>
        <v>2</v>
      </c>
      <c r="G6" s="55" t="str">
        <f t="shared" si="2"/>
        <v/>
      </c>
      <c r="H6" s="69" t="str">
        <f t="shared" si="2"/>
        <v>dataviz関連カンレン</v>
      </c>
      <c r="I6" s="70" t="s">
        <v>127</v>
      </c>
      <c r="J6" s="71" t="s">
        <v>127</v>
      </c>
      <c r="K6" s="72" t="s">
        <v>107</v>
      </c>
      <c r="L6" s="73">
        <v>46209.0</v>
      </c>
      <c r="M6" s="74">
        <v>46293.0</v>
      </c>
      <c r="N6" s="75" t="s">
        <v>128</v>
      </c>
      <c r="O6" s="70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1"/>
      <c r="AC6" s="77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1"/>
      <c r="AQ6" s="70"/>
      <c r="AR6" s="76"/>
      <c r="AS6" s="76"/>
      <c r="AT6" s="76"/>
      <c r="AU6" s="76"/>
      <c r="AV6" s="76"/>
      <c r="AW6" s="76"/>
      <c r="AX6" s="78"/>
      <c r="AY6" s="79"/>
      <c r="AZ6" s="78"/>
      <c r="BA6" s="78"/>
      <c r="BB6" s="78"/>
      <c r="BC6" s="76"/>
      <c r="BD6" s="71"/>
      <c r="BE6" s="70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1"/>
      <c r="BS6" s="70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1"/>
      <c r="CG6" s="70"/>
      <c r="CH6" s="76"/>
      <c r="CI6" s="76"/>
      <c r="CJ6" s="76"/>
      <c r="CK6" s="76"/>
      <c r="CL6" s="76"/>
      <c r="CM6" s="76"/>
      <c r="CN6" s="76"/>
      <c r="CO6" s="76"/>
      <c r="CP6" s="76"/>
      <c r="CQ6" s="76"/>
      <c r="CR6" s="76"/>
      <c r="CS6" s="76"/>
      <c r="CT6" s="71"/>
      <c r="CU6" s="72"/>
      <c r="CV6" s="3"/>
    </row>
    <row r="7" ht="16.5" customHeight="1">
      <c r="A7" s="3" t="s">
        <v>124</v>
      </c>
      <c r="B7" s="3">
        <v>3.0</v>
      </c>
      <c r="C7" s="3" t="s">
        <v>126</v>
      </c>
      <c r="D7" s="5" t="s">
        <v>132</v>
      </c>
      <c r="E7" s="80" t="str">
        <f t="shared" ref="E7:H7" si="3">IF(A7&lt;&gt;"", IF(A7=A6, "", A7), "")</f>
        <v/>
      </c>
      <c r="F7" s="81">
        <f t="shared" si="3"/>
        <v>3</v>
      </c>
      <c r="G7" s="82" t="str">
        <f t="shared" si="3"/>
        <v>PowerBI関連</v>
      </c>
      <c r="H7" s="83" t="str">
        <f t="shared" si="3"/>
        <v>PowerBI帳票仕様変更対応</v>
      </c>
      <c r="I7" s="84" t="s">
        <v>127</v>
      </c>
      <c r="J7" s="85" t="s">
        <v>127</v>
      </c>
      <c r="K7" s="86" t="s">
        <v>107</v>
      </c>
      <c r="L7" s="87">
        <v>46209.0</v>
      </c>
      <c r="M7" s="88">
        <v>46293.0</v>
      </c>
      <c r="N7" s="89" t="s">
        <v>128</v>
      </c>
      <c r="O7" s="84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85"/>
      <c r="AC7" s="91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85"/>
      <c r="AQ7" s="84"/>
      <c r="AR7" s="90"/>
      <c r="AS7" s="90"/>
      <c r="AT7" s="90"/>
      <c r="AU7" s="90"/>
      <c r="AV7" s="90"/>
      <c r="AW7" s="90"/>
      <c r="AX7" s="92"/>
      <c r="AY7" s="93"/>
      <c r="AZ7" s="92"/>
      <c r="BA7" s="92"/>
      <c r="BB7" s="92"/>
      <c r="BC7" s="90"/>
      <c r="BD7" s="85"/>
      <c r="BE7" s="84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85"/>
      <c r="BS7" s="84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85"/>
      <c r="CG7" s="84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85"/>
      <c r="CU7" s="86"/>
      <c r="CV7" s="3"/>
    </row>
    <row r="8" ht="16.5" customHeight="1">
      <c r="A8" s="3" t="s">
        <v>124</v>
      </c>
      <c r="B8" s="3">
        <v>4.0</v>
      </c>
      <c r="C8" s="3" t="s">
        <v>126</v>
      </c>
      <c r="D8" s="5" t="s">
        <v>133</v>
      </c>
      <c r="E8" s="53" t="str">
        <f t="shared" ref="E8:H8" si="4">IF(A8&lt;&gt;"", IF(A8=A7, "", A8), "")</f>
        <v/>
      </c>
      <c r="F8" s="94">
        <f t="shared" si="4"/>
        <v>4</v>
      </c>
      <c r="G8" s="95" t="str">
        <f t="shared" si="4"/>
        <v/>
      </c>
      <c r="H8" s="96" t="str">
        <f t="shared" si="4"/>
        <v>NEO帳票仕様変更対応(仕様変更と全国展開対応)</v>
      </c>
      <c r="I8" s="97" t="s">
        <v>127</v>
      </c>
      <c r="J8" s="98" t="s">
        <v>127</v>
      </c>
      <c r="K8" s="99" t="s">
        <v>107</v>
      </c>
      <c r="L8" s="100">
        <v>46209.0</v>
      </c>
      <c r="M8" s="101">
        <v>46293.0</v>
      </c>
      <c r="N8" s="102" t="s">
        <v>128</v>
      </c>
      <c r="O8" s="97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98"/>
      <c r="AC8" s="104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98"/>
      <c r="AQ8" s="97"/>
      <c r="AR8" s="103"/>
      <c r="AS8" s="103"/>
      <c r="AT8" s="103"/>
      <c r="AU8" s="103"/>
      <c r="AV8" s="103"/>
      <c r="AW8" s="103"/>
      <c r="AX8" s="105"/>
      <c r="AY8" s="106"/>
      <c r="AZ8" s="105"/>
      <c r="BA8" s="105"/>
      <c r="BB8" s="105"/>
      <c r="BC8" s="103"/>
      <c r="BD8" s="98"/>
      <c r="BE8" s="97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98"/>
      <c r="BS8" s="97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98"/>
      <c r="CG8" s="97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98"/>
      <c r="CU8" s="99"/>
      <c r="CV8" s="3"/>
    </row>
    <row r="9" ht="16.5" customHeight="1">
      <c r="A9" s="3" t="s">
        <v>124</v>
      </c>
      <c r="B9" s="3">
        <v>5.0</v>
      </c>
      <c r="C9" s="3" t="s">
        <v>134</v>
      </c>
      <c r="D9" s="5" t="s">
        <v>135</v>
      </c>
      <c r="E9" s="53" t="str">
        <f t="shared" ref="E9:H9" si="5">IF(A9&lt;&gt;"", IF(A9=A8, "", A9), "")</f>
        <v/>
      </c>
      <c r="F9" s="113">
        <f t="shared" si="5"/>
        <v>5</v>
      </c>
      <c r="G9" s="55" t="str">
        <f t="shared" si="5"/>
        <v>問合せ</v>
      </c>
      <c r="H9" s="116" t="str">
        <f t="shared" si="5"/>
        <v>顧客問合せ対応コキャクトイアワタイオウ</v>
      </c>
      <c r="I9" s="55" t="s">
        <v>127</v>
      </c>
      <c r="J9" s="117" t="s">
        <v>127</v>
      </c>
      <c r="K9" s="118" t="s">
        <v>107</v>
      </c>
      <c r="L9" s="119">
        <v>46209.0</v>
      </c>
      <c r="M9" s="120">
        <v>46293.0</v>
      </c>
      <c r="N9" s="121" t="s">
        <v>128</v>
      </c>
      <c r="O9" s="55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22"/>
      <c r="AA9" s="122"/>
      <c r="AB9" s="117"/>
      <c r="AC9" s="123"/>
      <c r="AD9" s="122"/>
      <c r="AE9" s="122"/>
      <c r="AF9" s="122"/>
      <c r="AG9" s="122"/>
      <c r="AH9" s="122"/>
      <c r="AI9" s="122"/>
      <c r="AJ9" s="122"/>
      <c r="AK9" s="122"/>
      <c r="AL9" s="122"/>
      <c r="AM9" s="122"/>
      <c r="AN9" s="122"/>
      <c r="AO9" s="122"/>
      <c r="AP9" s="117"/>
      <c r="AQ9" s="55"/>
      <c r="AR9" s="122"/>
      <c r="AS9" s="122"/>
      <c r="AT9" s="122"/>
      <c r="AU9" s="122"/>
      <c r="AV9" s="122"/>
      <c r="AW9" s="122"/>
      <c r="AX9" s="124"/>
      <c r="AY9" s="125"/>
      <c r="AZ9" s="124"/>
      <c r="BA9" s="124"/>
      <c r="BB9" s="124"/>
      <c r="BC9" s="122"/>
      <c r="BD9" s="117"/>
      <c r="BE9" s="55"/>
      <c r="BF9" s="122"/>
      <c r="BG9" s="122"/>
      <c r="BH9" s="122"/>
      <c r="BI9" s="122"/>
      <c r="BJ9" s="122"/>
      <c r="BK9" s="122"/>
      <c r="BL9" s="122"/>
      <c r="BM9" s="122"/>
      <c r="BN9" s="122"/>
      <c r="BO9" s="122"/>
      <c r="BP9" s="122"/>
      <c r="BQ9" s="122"/>
      <c r="BR9" s="117"/>
      <c r="BS9" s="55"/>
      <c r="BT9" s="122"/>
      <c r="BU9" s="122"/>
      <c r="BV9" s="122"/>
      <c r="BW9" s="122"/>
      <c r="BX9" s="122"/>
      <c r="BY9" s="122"/>
      <c r="BZ9" s="122"/>
      <c r="CA9" s="122"/>
      <c r="CB9" s="122"/>
      <c r="CC9" s="122"/>
      <c r="CD9" s="122"/>
      <c r="CE9" s="122"/>
      <c r="CF9" s="117"/>
      <c r="CG9" s="55"/>
      <c r="CH9" s="122"/>
      <c r="CI9" s="122"/>
      <c r="CJ9" s="122"/>
      <c r="CK9" s="122"/>
      <c r="CL9" s="122"/>
      <c r="CM9" s="122"/>
      <c r="CN9" s="122"/>
      <c r="CO9" s="122"/>
      <c r="CP9" s="122"/>
      <c r="CQ9" s="122"/>
      <c r="CR9" s="122"/>
      <c r="CS9" s="122"/>
      <c r="CT9" s="117"/>
      <c r="CU9" s="118"/>
      <c r="CV9" s="3"/>
    </row>
    <row r="10" ht="16.5" customHeight="1">
      <c r="A10" s="3" t="s">
        <v>124</v>
      </c>
      <c r="B10" s="3">
        <v>6.0</v>
      </c>
      <c r="C10" s="3" t="s">
        <v>137</v>
      </c>
      <c r="D10" s="5" t="s">
        <v>138</v>
      </c>
      <c r="E10" s="53" t="str">
        <f t="shared" ref="E10:H10" si="6">IF(A10&lt;&gt;"", IF(A10=A9, "", A10), "")</f>
        <v/>
      </c>
      <c r="F10" s="126">
        <f t="shared" si="6"/>
        <v>6</v>
      </c>
      <c r="G10" s="82" t="str">
        <f t="shared" si="6"/>
        <v>dataviz開発（既存機能）</v>
      </c>
      <c r="H10" s="127" t="str">
        <f t="shared" si="6"/>
        <v>残った帳票の開発（SMB空き枠カレンダー、新車受注分析、長崎_経営ダッシュボード 、マスタメンテナンス機能の一部）ノコチョウヒョウカイハツイチブ</v>
      </c>
      <c r="I10" s="82" t="s">
        <v>127</v>
      </c>
      <c r="J10" s="128" t="s">
        <v>127</v>
      </c>
      <c r="K10" s="129" t="s">
        <v>107</v>
      </c>
      <c r="L10" s="130">
        <v>46209.0</v>
      </c>
      <c r="M10" s="131">
        <v>46220.0</v>
      </c>
      <c r="N10" s="132" t="s">
        <v>128</v>
      </c>
      <c r="O10" s="82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28"/>
      <c r="AC10" s="134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28"/>
      <c r="AQ10" s="82"/>
      <c r="AR10" s="133"/>
      <c r="AS10" s="133"/>
      <c r="AT10" s="133"/>
      <c r="AU10" s="133"/>
      <c r="AV10" s="133"/>
      <c r="AW10" s="133"/>
      <c r="AX10" s="135"/>
      <c r="AY10" s="136"/>
      <c r="AZ10" s="135"/>
      <c r="BA10" s="135"/>
      <c r="BB10" s="135"/>
      <c r="BC10" s="133"/>
      <c r="BD10" s="128"/>
      <c r="BE10" s="82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28"/>
      <c r="BS10" s="82"/>
      <c r="BT10" s="133"/>
      <c r="BU10" s="133"/>
      <c r="BV10" s="133"/>
      <c r="BW10" s="133"/>
      <c r="BX10" s="133"/>
      <c r="BY10" s="133"/>
      <c r="BZ10" s="133"/>
      <c r="CA10" s="133"/>
      <c r="CB10" s="133"/>
      <c r="CC10" s="133"/>
      <c r="CD10" s="133"/>
      <c r="CE10" s="133"/>
      <c r="CF10" s="128"/>
      <c r="CG10" s="82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28"/>
      <c r="CU10" s="129"/>
      <c r="CV10" s="3"/>
    </row>
    <row r="11" ht="16.5" customHeight="1">
      <c r="A11" s="3" t="s">
        <v>124</v>
      </c>
      <c r="B11" s="3">
        <v>7.0</v>
      </c>
      <c r="C11" s="3" t="s">
        <v>139</v>
      </c>
      <c r="D11" s="5" t="s">
        <v>140</v>
      </c>
      <c r="E11" s="53" t="str">
        <f t="shared" ref="E11:E16" si="8">IF(A11&lt;&gt;"", IF(A11=A10, "", A11), "")</f>
        <v/>
      </c>
      <c r="F11" s="81">
        <f t="shared" ref="F11:H11" si="7">IF(B11&lt;&gt;"", IF(B11=B18, "", B11), "")</f>
        <v>7</v>
      </c>
      <c r="G11" s="133" t="str">
        <f t="shared" si="7"/>
        <v>dataviz開発（マージ対応）</v>
      </c>
      <c r="H11" s="86" t="str">
        <f t="shared" si="7"/>
        <v>新車受注分析</v>
      </c>
      <c r="I11" s="84" t="s">
        <v>127</v>
      </c>
      <c r="J11" s="85" t="s">
        <v>127</v>
      </c>
      <c r="K11" s="86" t="s">
        <v>107</v>
      </c>
      <c r="L11" s="87">
        <v>46216.0</v>
      </c>
      <c r="M11" s="88">
        <v>46234.0</v>
      </c>
      <c r="N11" s="89" t="s">
        <v>141</v>
      </c>
      <c r="O11" s="84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85"/>
      <c r="AC11" s="91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85"/>
      <c r="AQ11" s="84"/>
      <c r="AR11" s="90"/>
      <c r="AS11" s="90"/>
      <c r="AT11" s="90"/>
      <c r="AU11" s="90"/>
      <c r="AV11" s="90"/>
      <c r="AW11" s="90"/>
      <c r="AX11" s="92"/>
      <c r="AY11" s="93"/>
      <c r="AZ11" s="92"/>
      <c r="BA11" s="92"/>
      <c r="BB11" s="92"/>
      <c r="BC11" s="90"/>
      <c r="BD11" s="85"/>
      <c r="BE11" s="84"/>
      <c r="BF11" s="90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85"/>
      <c r="BS11" s="84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85"/>
      <c r="CG11" s="84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85"/>
      <c r="CU11" s="86"/>
      <c r="CV11" s="3"/>
    </row>
    <row r="12" ht="16.5" customHeight="1">
      <c r="A12" s="3" t="s">
        <v>124</v>
      </c>
      <c r="B12" s="3">
        <v>8.0</v>
      </c>
      <c r="C12" s="3" t="s">
        <v>139</v>
      </c>
      <c r="D12" s="5" t="s">
        <v>142</v>
      </c>
      <c r="E12" s="53" t="str">
        <f t="shared" si="8"/>
        <v/>
      </c>
      <c r="F12" s="137">
        <f t="shared" ref="F12:H12" si="9">IF(B12&lt;&gt;"", IF(B12=B11, "", B12), "")</f>
        <v>8</v>
      </c>
      <c r="G12" s="55" t="str">
        <f t="shared" si="9"/>
        <v/>
      </c>
      <c r="H12" s="138" t="str">
        <f t="shared" si="9"/>
        <v>中古車受注分析（マスタ画面含め）ガメンフク</v>
      </c>
      <c r="I12" s="139" t="s">
        <v>127</v>
      </c>
      <c r="J12" s="140" t="s">
        <v>127</v>
      </c>
      <c r="K12" s="141" t="s">
        <v>107</v>
      </c>
      <c r="L12" s="142">
        <v>46216.0</v>
      </c>
      <c r="M12" s="143">
        <v>46234.0</v>
      </c>
      <c r="N12" s="144" t="s">
        <v>141</v>
      </c>
      <c r="O12" s="139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0"/>
      <c r="AC12" s="146"/>
      <c r="AD12" s="145"/>
      <c r="AE12" s="145"/>
      <c r="AF12" s="145"/>
      <c r="AG12" s="145"/>
      <c r="AH12" s="145"/>
      <c r="AI12" s="145"/>
      <c r="AJ12" s="145"/>
      <c r="AK12" s="145"/>
      <c r="AL12" s="145"/>
      <c r="AM12" s="145"/>
      <c r="AN12" s="145"/>
      <c r="AO12" s="145"/>
      <c r="AP12" s="140"/>
      <c r="AQ12" s="139"/>
      <c r="AR12" s="145"/>
      <c r="AS12" s="145"/>
      <c r="AT12" s="145"/>
      <c r="AU12" s="145"/>
      <c r="AV12" s="145"/>
      <c r="AW12" s="145"/>
      <c r="AX12" s="147"/>
      <c r="AY12" s="148"/>
      <c r="AZ12" s="147"/>
      <c r="BA12" s="147"/>
      <c r="BB12" s="147"/>
      <c r="BC12" s="145"/>
      <c r="BD12" s="140"/>
      <c r="BE12" s="139"/>
      <c r="BF12" s="145"/>
      <c r="BG12" s="145"/>
      <c r="BH12" s="145"/>
      <c r="BI12" s="145"/>
      <c r="BJ12" s="145"/>
      <c r="BK12" s="145"/>
      <c r="BL12" s="145"/>
      <c r="BM12" s="145"/>
      <c r="BN12" s="145"/>
      <c r="BO12" s="145"/>
      <c r="BP12" s="145"/>
      <c r="BQ12" s="145"/>
      <c r="BR12" s="140"/>
      <c r="BS12" s="139"/>
      <c r="BT12" s="145"/>
      <c r="BU12" s="145"/>
      <c r="BV12" s="145"/>
      <c r="BW12" s="145"/>
      <c r="BX12" s="145"/>
      <c r="BY12" s="145"/>
      <c r="BZ12" s="145"/>
      <c r="CA12" s="145"/>
      <c r="CB12" s="145"/>
      <c r="CC12" s="145"/>
      <c r="CD12" s="145"/>
      <c r="CE12" s="145"/>
      <c r="CF12" s="140"/>
      <c r="CG12" s="139"/>
      <c r="CH12" s="145"/>
      <c r="CI12" s="145"/>
      <c r="CJ12" s="145"/>
      <c r="CK12" s="145"/>
      <c r="CL12" s="145"/>
      <c r="CM12" s="145"/>
      <c r="CN12" s="145"/>
      <c r="CO12" s="145"/>
      <c r="CP12" s="145"/>
      <c r="CQ12" s="145"/>
      <c r="CR12" s="145"/>
      <c r="CS12" s="145"/>
      <c r="CT12" s="140"/>
      <c r="CU12" s="141"/>
      <c r="CV12" s="3"/>
    </row>
    <row r="13" ht="16.5" customHeight="1">
      <c r="A13" s="3" t="s">
        <v>124</v>
      </c>
      <c r="B13" s="3">
        <v>9.0</v>
      </c>
      <c r="C13" s="3" t="s">
        <v>139</v>
      </c>
      <c r="D13" s="5" t="s">
        <v>147</v>
      </c>
      <c r="E13" s="53" t="str">
        <f t="shared" si="8"/>
        <v/>
      </c>
      <c r="F13" s="137">
        <f t="shared" ref="F13:H13" si="10">IF(B13&lt;&gt;"", IF(B13=B12, "", B13), "")</f>
        <v>9</v>
      </c>
      <c r="G13" s="55" t="str">
        <f t="shared" si="10"/>
        <v/>
      </c>
      <c r="H13" s="138" t="str">
        <f t="shared" si="10"/>
        <v>中古車仕入・在庫情報</v>
      </c>
      <c r="I13" s="139" t="s">
        <v>127</v>
      </c>
      <c r="J13" s="140" t="s">
        <v>127</v>
      </c>
      <c r="K13" s="141" t="s">
        <v>107</v>
      </c>
      <c r="L13" s="142">
        <v>46216.0</v>
      </c>
      <c r="M13" s="143">
        <v>46234.0</v>
      </c>
      <c r="N13" s="144" t="s">
        <v>141</v>
      </c>
      <c r="O13" s="139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0"/>
      <c r="AC13" s="146"/>
      <c r="AD13" s="145"/>
      <c r="AE13" s="145"/>
      <c r="AF13" s="145"/>
      <c r="AG13" s="145"/>
      <c r="AH13" s="145"/>
      <c r="AI13" s="145"/>
      <c r="AJ13" s="145"/>
      <c r="AK13" s="145"/>
      <c r="AL13" s="145"/>
      <c r="AM13" s="145"/>
      <c r="AN13" s="145"/>
      <c r="AO13" s="145"/>
      <c r="AP13" s="140"/>
      <c r="AQ13" s="139"/>
      <c r="AR13" s="145"/>
      <c r="AS13" s="145"/>
      <c r="AT13" s="145"/>
      <c r="AU13" s="145"/>
      <c r="AV13" s="145"/>
      <c r="AW13" s="145"/>
      <c r="AX13" s="147"/>
      <c r="AY13" s="148"/>
      <c r="AZ13" s="147"/>
      <c r="BA13" s="147"/>
      <c r="BB13" s="147"/>
      <c r="BC13" s="145"/>
      <c r="BD13" s="140"/>
      <c r="BE13" s="139"/>
      <c r="BF13" s="145"/>
      <c r="BG13" s="145"/>
      <c r="BH13" s="145"/>
      <c r="BI13" s="145"/>
      <c r="BJ13" s="145"/>
      <c r="BK13" s="145"/>
      <c r="BL13" s="145"/>
      <c r="BM13" s="145"/>
      <c r="BN13" s="145"/>
      <c r="BO13" s="145"/>
      <c r="BP13" s="145"/>
      <c r="BQ13" s="145"/>
      <c r="BR13" s="140"/>
      <c r="BS13" s="139"/>
      <c r="BT13" s="145"/>
      <c r="BU13" s="145"/>
      <c r="BV13" s="145"/>
      <c r="BW13" s="145"/>
      <c r="BX13" s="145"/>
      <c r="BY13" s="145"/>
      <c r="BZ13" s="145"/>
      <c r="CA13" s="145"/>
      <c r="CB13" s="145"/>
      <c r="CC13" s="145"/>
      <c r="CD13" s="145"/>
      <c r="CE13" s="145"/>
      <c r="CF13" s="140"/>
      <c r="CG13" s="139"/>
      <c r="CH13" s="145"/>
      <c r="CI13" s="145"/>
      <c r="CJ13" s="145"/>
      <c r="CK13" s="145"/>
      <c r="CL13" s="145"/>
      <c r="CM13" s="145"/>
      <c r="CN13" s="145"/>
      <c r="CO13" s="145"/>
      <c r="CP13" s="145"/>
      <c r="CQ13" s="145"/>
      <c r="CR13" s="145"/>
      <c r="CS13" s="145"/>
      <c r="CT13" s="140"/>
      <c r="CU13" s="141"/>
      <c r="CV13" s="3"/>
    </row>
    <row r="14" ht="16.5" customHeight="1">
      <c r="A14" s="3" t="s">
        <v>124</v>
      </c>
      <c r="B14" s="3">
        <v>10.0</v>
      </c>
      <c r="C14" s="3" t="s">
        <v>139</v>
      </c>
      <c r="D14" s="5" t="s">
        <v>148</v>
      </c>
      <c r="E14" s="53" t="str">
        <f t="shared" si="8"/>
        <v/>
      </c>
      <c r="F14" s="137">
        <f t="shared" ref="F14:H14" si="11">IF(B14&lt;&gt;"", IF(B14=B13, "", B14), "")</f>
        <v>10</v>
      </c>
      <c r="G14" s="55" t="str">
        <f t="shared" si="11"/>
        <v/>
      </c>
      <c r="H14" s="138" t="str">
        <f t="shared" si="11"/>
        <v>市場処置の実施状況と部品管理見える化</v>
      </c>
      <c r="I14" s="139" t="s">
        <v>127</v>
      </c>
      <c r="J14" s="140" t="s">
        <v>127</v>
      </c>
      <c r="K14" s="141" t="s">
        <v>107</v>
      </c>
      <c r="L14" s="142">
        <v>46216.0</v>
      </c>
      <c r="M14" s="143">
        <v>46220.0</v>
      </c>
      <c r="N14" s="144" t="s">
        <v>141</v>
      </c>
      <c r="O14" s="139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  <c r="AA14" s="145"/>
      <c r="AB14" s="140"/>
      <c r="AC14" s="146"/>
      <c r="AD14" s="145"/>
      <c r="AE14" s="145"/>
      <c r="AF14" s="145"/>
      <c r="AG14" s="145"/>
      <c r="AH14" s="145"/>
      <c r="AI14" s="145"/>
      <c r="AJ14" s="145"/>
      <c r="AK14" s="145"/>
      <c r="AL14" s="145"/>
      <c r="AM14" s="145"/>
      <c r="AN14" s="145"/>
      <c r="AO14" s="145"/>
      <c r="AP14" s="140"/>
      <c r="AQ14" s="139"/>
      <c r="AR14" s="145"/>
      <c r="AS14" s="145"/>
      <c r="AT14" s="145"/>
      <c r="AU14" s="145"/>
      <c r="AV14" s="145"/>
      <c r="AW14" s="145"/>
      <c r="AX14" s="147"/>
      <c r="AY14" s="148"/>
      <c r="AZ14" s="147"/>
      <c r="BA14" s="147"/>
      <c r="BB14" s="147"/>
      <c r="BC14" s="145"/>
      <c r="BD14" s="140"/>
      <c r="BE14" s="139"/>
      <c r="BF14" s="145"/>
      <c r="BG14" s="145"/>
      <c r="BH14" s="145"/>
      <c r="BI14" s="145"/>
      <c r="BJ14" s="145"/>
      <c r="BK14" s="145"/>
      <c r="BL14" s="145"/>
      <c r="BM14" s="145"/>
      <c r="BN14" s="145"/>
      <c r="BO14" s="145"/>
      <c r="BP14" s="145"/>
      <c r="BQ14" s="145"/>
      <c r="BR14" s="140"/>
      <c r="BS14" s="139"/>
      <c r="BT14" s="145"/>
      <c r="BU14" s="145"/>
      <c r="BV14" s="145"/>
      <c r="BW14" s="145"/>
      <c r="BX14" s="145"/>
      <c r="BY14" s="145"/>
      <c r="BZ14" s="145"/>
      <c r="CA14" s="145"/>
      <c r="CB14" s="145"/>
      <c r="CC14" s="145"/>
      <c r="CD14" s="145"/>
      <c r="CE14" s="145"/>
      <c r="CF14" s="140"/>
      <c r="CG14" s="139"/>
      <c r="CH14" s="145"/>
      <c r="CI14" s="145"/>
      <c r="CJ14" s="145"/>
      <c r="CK14" s="145"/>
      <c r="CL14" s="145"/>
      <c r="CM14" s="145"/>
      <c r="CN14" s="145"/>
      <c r="CO14" s="145"/>
      <c r="CP14" s="145"/>
      <c r="CQ14" s="145"/>
      <c r="CR14" s="145"/>
      <c r="CS14" s="145"/>
      <c r="CT14" s="140"/>
      <c r="CU14" s="141"/>
      <c r="CV14" s="3"/>
    </row>
    <row r="15" ht="16.5" customHeight="1">
      <c r="A15" s="3" t="s">
        <v>124</v>
      </c>
      <c r="B15" s="3">
        <v>11.0</v>
      </c>
      <c r="C15" s="3" t="s">
        <v>139</v>
      </c>
      <c r="D15" s="5" t="s">
        <v>149</v>
      </c>
      <c r="E15" s="53" t="str">
        <f t="shared" si="8"/>
        <v/>
      </c>
      <c r="F15" s="137">
        <f t="shared" ref="F15:H15" si="12">IF(B15&lt;&gt;"", IF(B15=B14, "", B15), "")</f>
        <v>11</v>
      </c>
      <c r="G15" s="55" t="str">
        <f t="shared" si="12"/>
        <v/>
      </c>
      <c r="H15" s="138" t="str">
        <f t="shared" si="12"/>
        <v>NEO 契約№変更対応の帳票改修</v>
      </c>
      <c r="I15" s="139" t="s">
        <v>127</v>
      </c>
      <c r="J15" s="140" t="s">
        <v>127</v>
      </c>
      <c r="K15" s="141" t="s">
        <v>107</v>
      </c>
      <c r="L15" s="142">
        <v>46224.0</v>
      </c>
      <c r="M15" s="143">
        <v>46227.0</v>
      </c>
      <c r="N15" s="144" t="s">
        <v>141</v>
      </c>
      <c r="O15" s="139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  <c r="AA15" s="145"/>
      <c r="AB15" s="140"/>
      <c r="AC15" s="146"/>
      <c r="AD15" s="145"/>
      <c r="AE15" s="145"/>
      <c r="AF15" s="145"/>
      <c r="AG15" s="145"/>
      <c r="AH15" s="145"/>
      <c r="AI15" s="145"/>
      <c r="AJ15" s="145"/>
      <c r="AK15" s="145"/>
      <c r="AL15" s="145"/>
      <c r="AM15" s="145"/>
      <c r="AN15" s="145"/>
      <c r="AO15" s="145"/>
      <c r="AP15" s="140"/>
      <c r="AQ15" s="139"/>
      <c r="AR15" s="145"/>
      <c r="AS15" s="145"/>
      <c r="AT15" s="145"/>
      <c r="AU15" s="145"/>
      <c r="AV15" s="145"/>
      <c r="AW15" s="145"/>
      <c r="AX15" s="147"/>
      <c r="AY15" s="148"/>
      <c r="AZ15" s="147"/>
      <c r="BA15" s="147"/>
      <c r="BB15" s="147"/>
      <c r="BC15" s="145"/>
      <c r="BD15" s="140"/>
      <c r="BE15" s="139"/>
      <c r="BF15" s="145"/>
      <c r="BG15" s="145"/>
      <c r="BH15" s="145"/>
      <c r="BI15" s="145"/>
      <c r="BJ15" s="145"/>
      <c r="BK15" s="145"/>
      <c r="BL15" s="145"/>
      <c r="BM15" s="145"/>
      <c r="BN15" s="145"/>
      <c r="BO15" s="145"/>
      <c r="BP15" s="145"/>
      <c r="BQ15" s="145"/>
      <c r="BR15" s="140"/>
      <c r="BS15" s="139"/>
      <c r="BT15" s="145"/>
      <c r="BU15" s="145"/>
      <c r="BV15" s="145"/>
      <c r="BW15" s="145"/>
      <c r="BX15" s="145"/>
      <c r="BY15" s="145"/>
      <c r="BZ15" s="145"/>
      <c r="CA15" s="145"/>
      <c r="CB15" s="145"/>
      <c r="CC15" s="145"/>
      <c r="CD15" s="145"/>
      <c r="CE15" s="145"/>
      <c r="CF15" s="140"/>
      <c r="CG15" s="139"/>
      <c r="CH15" s="145"/>
      <c r="CI15" s="145"/>
      <c r="CJ15" s="145"/>
      <c r="CK15" s="145"/>
      <c r="CL15" s="145"/>
      <c r="CM15" s="145"/>
      <c r="CN15" s="145"/>
      <c r="CO15" s="145"/>
      <c r="CP15" s="145"/>
      <c r="CQ15" s="145"/>
      <c r="CR15" s="145"/>
      <c r="CS15" s="145"/>
      <c r="CT15" s="140"/>
      <c r="CU15" s="141"/>
      <c r="CV15" s="3"/>
    </row>
    <row r="16" ht="16.5" customHeight="1">
      <c r="A16" s="3" t="s">
        <v>124</v>
      </c>
      <c r="B16" s="3">
        <v>12.0</v>
      </c>
      <c r="C16" s="3" t="s">
        <v>139</v>
      </c>
      <c r="D16" s="5" t="s">
        <v>150</v>
      </c>
      <c r="E16" s="53" t="str">
        <f t="shared" si="8"/>
        <v/>
      </c>
      <c r="F16" s="68">
        <f t="shared" ref="F16:H16" si="13">IF(B16&lt;&gt;"", IF(B16=B15, "", B16), "")</f>
        <v>12</v>
      </c>
      <c r="G16" s="55" t="str">
        <f t="shared" si="13"/>
        <v/>
      </c>
      <c r="H16" s="69" t="str">
        <f t="shared" si="13"/>
        <v>ストール充足率の見える化</v>
      </c>
      <c r="I16" s="70" t="s">
        <v>127</v>
      </c>
      <c r="J16" s="71" t="s">
        <v>127</v>
      </c>
      <c r="K16" s="72" t="s">
        <v>107</v>
      </c>
      <c r="L16" s="73">
        <v>46230.0</v>
      </c>
      <c r="M16" s="74">
        <v>46234.0</v>
      </c>
      <c r="N16" s="75" t="s">
        <v>141</v>
      </c>
      <c r="O16" s="70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1"/>
      <c r="AC16" s="77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1"/>
      <c r="AQ16" s="70"/>
      <c r="AR16" s="76"/>
      <c r="AS16" s="76"/>
      <c r="AT16" s="76"/>
      <c r="AU16" s="76"/>
      <c r="AV16" s="76"/>
      <c r="AW16" s="76"/>
      <c r="AX16" s="78"/>
      <c r="AY16" s="79"/>
      <c r="AZ16" s="78"/>
      <c r="BA16" s="78"/>
      <c r="BB16" s="78"/>
      <c r="BC16" s="76"/>
      <c r="BD16" s="71"/>
      <c r="BE16" s="70"/>
      <c r="BF16" s="76"/>
      <c r="BG16" s="76"/>
      <c r="BH16" s="76"/>
      <c r="BI16" s="76"/>
      <c r="BJ16" s="76"/>
      <c r="BK16" s="76"/>
      <c r="BL16" s="76"/>
      <c r="BM16" s="76"/>
      <c r="BN16" s="76"/>
      <c r="BO16" s="76"/>
      <c r="BP16" s="76"/>
      <c r="BQ16" s="76"/>
      <c r="BR16" s="71"/>
      <c r="BS16" s="70"/>
      <c r="BT16" s="76"/>
      <c r="BU16" s="76"/>
      <c r="BV16" s="76"/>
      <c r="BW16" s="76"/>
      <c r="BX16" s="76"/>
      <c r="BY16" s="76"/>
      <c r="BZ16" s="76"/>
      <c r="CA16" s="76"/>
      <c r="CB16" s="76"/>
      <c r="CC16" s="76"/>
      <c r="CD16" s="76"/>
      <c r="CE16" s="76"/>
      <c r="CF16" s="71"/>
      <c r="CG16" s="70"/>
      <c r="CH16" s="76"/>
      <c r="CI16" s="76"/>
      <c r="CJ16" s="76"/>
      <c r="CK16" s="76"/>
      <c r="CL16" s="76"/>
      <c r="CM16" s="76"/>
      <c r="CN16" s="76"/>
      <c r="CO16" s="76"/>
      <c r="CP16" s="76"/>
      <c r="CQ16" s="76"/>
      <c r="CR16" s="76"/>
      <c r="CS16" s="76"/>
      <c r="CT16" s="71"/>
      <c r="CU16" s="72"/>
      <c r="CV16" s="3"/>
    </row>
    <row r="17" ht="16.5" customHeight="1">
      <c r="A17" s="3" t="s">
        <v>124</v>
      </c>
      <c r="B17" s="3" t="s">
        <v>151</v>
      </c>
      <c r="C17" s="3" t="s">
        <v>152</v>
      </c>
      <c r="D17" s="5" t="s">
        <v>153</v>
      </c>
      <c r="E17" s="53"/>
      <c r="F17" s="81" t="str">
        <f t="shared" ref="F17:H17" si="14">IF(B17&lt;&gt;"", IF(B17=B10, "", B17), "")</f>
        <v>A</v>
      </c>
      <c r="G17" s="82" t="str">
        <f t="shared" si="14"/>
        <v>事前準備</v>
      </c>
      <c r="H17" s="83" t="str">
        <f t="shared" si="14"/>
        <v>Dataviz構成図整理</v>
      </c>
      <c r="I17" s="84" t="s">
        <v>154</v>
      </c>
      <c r="J17" s="85" t="s">
        <v>155</v>
      </c>
      <c r="K17" s="160" t="s">
        <v>156</v>
      </c>
      <c r="L17" s="87">
        <v>46212.0</v>
      </c>
      <c r="M17" s="88">
        <v>46213.0</v>
      </c>
      <c r="N17" s="89" t="s">
        <v>128</v>
      </c>
      <c r="O17" s="84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85"/>
      <c r="AC17" s="91"/>
      <c r="AD17" s="90"/>
      <c r="AE17" s="90"/>
      <c r="AF17" s="90"/>
      <c r="AG17" s="90"/>
      <c r="AH17" s="90"/>
      <c r="AI17" s="90"/>
      <c r="AJ17" s="90"/>
      <c r="AK17" s="90"/>
      <c r="AL17" s="90"/>
      <c r="AM17" s="90"/>
      <c r="AN17" s="90"/>
      <c r="AO17" s="90"/>
      <c r="AP17" s="85"/>
      <c r="AQ17" s="84"/>
      <c r="AR17" s="90"/>
      <c r="AS17" s="90"/>
      <c r="AT17" s="90"/>
      <c r="AU17" s="90"/>
      <c r="AV17" s="90"/>
      <c r="AW17" s="90"/>
      <c r="AX17" s="92"/>
      <c r="AY17" s="93"/>
      <c r="AZ17" s="92"/>
      <c r="BA17" s="92"/>
      <c r="BB17" s="92"/>
      <c r="BC17" s="90"/>
      <c r="BD17" s="85"/>
      <c r="BE17" s="84"/>
      <c r="BF17" s="90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85"/>
      <c r="BS17" s="84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85"/>
      <c r="CG17" s="84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85"/>
      <c r="CU17" s="86"/>
      <c r="CV17" s="3"/>
    </row>
    <row r="18" ht="16.5" customHeight="1">
      <c r="A18" s="3" t="s">
        <v>124</v>
      </c>
      <c r="B18" s="3" t="s">
        <v>157</v>
      </c>
      <c r="C18" s="3" t="s">
        <v>152</v>
      </c>
      <c r="D18" s="5" t="s">
        <v>158</v>
      </c>
      <c r="E18" s="53"/>
      <c r="F18" s="68" t="str">
        <f>IF(B18&lt;&gt;"", IF(B18=B11, "", B18), "")</f>
        <v>B</v>
      </c>
      <c r="G18" s="55"/>
      <c r="H18" s="69" t="str">
        <f>IF(D18&lt;&gt;"", IF(D18=D11, "", D18), "")</f>
        <v>WBS作成</v>
      </c>
      <c r="I18" s="97" t="s">
        <v>154</v>
      </c>
      <c r="J18" s="98" t="s">
        <v>159</v>
      </c>
      <c r="K18" s="161" t="s">
        <v>160</v>
      </c>
      <c r="L18" s="100">
        <v>46212.0</v>
      </c>
      <c r="M18" s="101">
        <v>46213.0</v>
      </c>
      <c r="N18" s="144" t="s">
        <v>128</v>
      </c>
      <c r="O18" s="97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98"/>
      <c r="AC18" s="104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  <c r="AP18" s="98"/>
      <c r="AQ18" s="97"/>
      <c r="AR18" s="103"/>
      <c r="AS18" s="103"/>
      <c r="AT18" s="103"/>
      <c r="AU18" s="103"/>
      <c r="AV18" s="103"/>
      <c r="AW18" s="103"/>
      <c r="AX18" s="105"/>
      <c r="AY18" s="106"/>
      <c r="AZ18" s="105"/>
      <c r="BA18" s="105"/>
      <c r="BB18" s="105"/>
      <c r="BC18" s="103"/>
      <c r="BD18" s="98"/>
      <c r="BE18" s="97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R18" s="98"/>
      <c r="BS18" s="97"/>
      <c r="BT18" s="103"/>
      <c r="BU18" s="103"/>
      <c r="BV18" s="103"/>
      <c r="BW18" s="103"/>
      <c r="BX18" s="103"/>
      <c r="BY18" s="103"/>
      <c r="BZ18" s="103"/>
      <c r="CA18" s="103"/>
      <c r="CB18" s="103"/>
      <c r="CC18" s="103"/>
      <c r="CD18" s="103"/>
      <c r="CE18" s="103"/>
      <c r="CF18" s="98"/>
      <c r="CG18" s="97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98"/>
      <c r="CU18" s="99"/>
      <c r="CV18" s="3"/>
    </row>
    <row r="19" ht="16.5" customHeight="1">
      <c r="A19" s="3" t="s">
        <v>124</v>
      </c>
      <c r="B19" s="3">
        <v>13.0</v>
      </c>
      <c r="C19" s="3" t="s">
        <v>161</v>
      </c>
      <c r="D19" s="5" t="s">
        <v>162</v>
      </c>
      <c r="E19" s="53" t="str">
        <f t="shared" ref="E19:H19" si="15">IF(A19&lt;&gt;"", IF(A19=A16, "", A19), "")</f>
        <v/>
      </c>
      <c r="F19" s="81">
        <f t="shared" si="15"/>
        <v>13</v>
      </c>
      <c r="G19" s="82" t="str">
        <f t="shared" si="15"/>
        <v>権限設計</v>
      </c>
      <c r="H19" s="83" t="str">
        <f t="shared" si="15"/>
        <v>各販社のユーザー情報収集</v>
      </c>
      <c r="I19" s="84" t="s">
        <v>127</v>
      </c>
      <c r="J19" s="85" t="s">
        <v>127</v>
      </c>
      <c r="K19" s="59" t="s">
        <v>107</v>
      </c>
      <c r="L19" s="87">
        <v>46216.0</v>
      </c>
      <c r="M19" s="88">
        <v>46220.0</v>
      </c>
      <c r="N19" s="89" t="s">
        <v>141</v>
      </c>
      <c r="O19" s="84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85"/>
      <c r="AC19" s="91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85"/>
      <c r="AQ19" s="84"/>
      <c r="AR19" s="90"/>
      <c r="AS19" s="90"/>
      <c r="AT19" s="90"/>
      <c r="AU19" s="90"/>
      <c r="AV19" s="90"/>
      <c r="AW19" s="90"/>
      <c r="AX19" s="92"/>
      <c r="AY19" s="93"/>
      <c r="AZ19" s="92"/>
      <c r="BA19" s="92"/>
      <c r="BB19" s="92"/>
      <c r="BC19" s="90"/>
      <c r="BD19" s="85"/>
      <c r="BE19" s="84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85"/>
      <c r="BS19" s="84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85"/>
      <c r="CG19" s="84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85"/>
      <c r="CU19" s="86"/>
      <c r="CV19" s="3"/>
    </row>
    <row r="20" ht="16.5" customHeight="1">
      <c r="A20" s="3" t="s">
        <v>124</v>
      </c>
      <c r="B20" s="3">
        <v>14.0</v>
      </c>
      <c r="C20" s="3" t="s">
        <v>161</v>
      </c>
      <c r="D20" s="5" t="s">
        <v>166</v>
      </c>
      <c r="E20" s="53" t="str">
        <f t="shared" ref="E20:H20" si="16">IF(A20&lt;&gt;"", IF(A20=A19, "", A20), "")</f>
        <v/>
      </c>
      <c r="F20" s="137">
        <f t="shared" si="16"/>
        <v>14</v>
      </c>
      <c r="G20" s="55" t="str">
        <f t="shared" si="16"/>
        <v/>
      </c>
      <c r="H20" s="138" t="str">
        <f t="shared" si="16"/>
        <v>Ranger権限設定のデモのスクリプト作成とインフラチームへの説明セツメイ</v>
      </c>
      <c r="I20" s="139" t="s">
        <v>127</v>
      </c>
      <c r="J20" s="140" t="s">
        <v>127</v>
      </c>
      <c r="K20" s="141" t="s">
        <v>107</v>
      </c>
      <c r="L20" s="142">
        <v>46224.0</v>
      </c>
      <c r="M20" s="143">
        <v>46227.0</v>
      </c>
      <c r="N20" s="144" t="s">
        <v>141</v>
      </c>
      <c r="O20" s="139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  <c r="AA20" s="145"/>
      <c r="AB20" s="140"/>
      <c r="AC20" s="146"/>
      <c r="AD20" s="145"/>
      <c r="AE20" s="145"/>
      <c r="AF20" s="145"/>
      <c r="AG20" s="145"/>
      <c r="AH20" s="145"/>
      <c r="AI20" s="145"/>
      <c r="AJ20" s="145"/>
      <c r="AK20" s="145"/>
      <c r="AL20" s="145"/>
      <c r="AM20" s="145"/>
      <c r="AN20" s="145"/>
      <c r="AO20" s="145"/>
      <c r="AP20" s="140"/>
      <c r="AQ20" s="139"/>
      <c r="AR20" s="145"/>
      <c r="AS20" s="145"/>
      <c r="AT20" s="145"/>
      <c r="AU20" s="145"/>
      <c r="AV20" s="145"/>
      <c r="AW20" s="145"/>
      <c r="AX20" s="147"/>
      <c r="AY20" s="148"/>
      <c r="AZ20" s="147"/>
      <c r="BA20" s="147"/>
      <c r="BB20" s="147"/>
      <c r="BC20" s="145"/>
      <c r="BD20" s="140"/>
      <c r="BE20" s="139"/>
      <c r="BF20" s="145"/>
      <c r="BG20" s="145"/>
      <c r="BH20" s="145"/>
      <c r="BI20" s="145"/>
      <c r="BJ20" s="145"/>
      <c r="BK20" s="145"/>
      <c r="BL20" s="145"/>
      <c r="BM20" s="145"/>
      <c r="BN20" s="145"/>
      <c r="BO20" s="145"/>
      <c r="BP20" s="145"/>
      <c r="BQ20" s="145"/>
      <c r="BR20" s="140"/>
      <c r="BS20" s="139"/>
      <c r="BT20" s="145"/>
      <c r="BU20" s="145"/>
      <c r="BV20" s="145"/>
      <c r="BW20" s="145"/>
      <c r="BX20" s="145"/>
      <c r="BY20" s="145"/>
      <c r="BZ20" s="145"/>
      <c r="CA20" s="145"/>
      <c r="CB20" s="145"/>
      <c r="CC20" s="145"/>
      <c r="CD20" s="145"/>
      <c r="CE20" s="145"/>
      <c r="CF20" s="140"/>
      <c r="CG20" s="139"/>
      <c r="CH20" s="145"/>
      <c r="CI20" s="145"/>
      <c r="CJ20" s="145"/>
      <c r="CK20" s="145"/>
      <c r="CL20" s="145"/>
      <c r="CM20" s="145"/>
      <c r="CN20" s="145"/>
      <c r="CO20" s="145"/>
      <c r="CP20" s="145"/>
      <c r="CQ20" s="145"/>
      <c r="CR20" s="145"/>
      <c r="CS20" s="145"/>
      <c r="CT20" s="140"/>
      <c r="CU20" s="141"/>
      <c r="CV20" s="3"/>
    </row>
    <row r="21" ht="16.5" customHeight="1">
      <c r="A21" s="3" t="s">
        <v>124</v>
      </c>
      <c r="B21" s="3" t="s">
        <v>167</v>
      </c>
      <c r="C21" s="3" t="s">
        <v>161</v>
      </c>
      <c r="D21" s="5" t="s">
        <v>168</v>
      </c>
      <c r="E21" s="53"/>
      <c r="F21" s="137" t="str">
        <f t="shared" ref="F21:H21" si="17">IF(B21&lt;&gt;"", IF(B21=B20, "", B21), "")</f>
        <v>C</v>
      </c>
      <c r="G21" s="55" t="str">
        <f t="shared" si="17"/>
        <v/>
      </c>
      <c r="H21" s="138" t="str">
        <f t="shared" si="17"/>
        <v>Ranger権限設定のレビュー（Clouderaに連携）</v>
      </c>
      <c r="I21" s="170" t="s">
        <v>154</v>
      </c>
      <c r="J21" s="171"/>
      <c r="K21" s="141"/>
      <c r="L21" s="142">
        <v>46212.0</v>
      </c>
      <c r="M21" s="143">
        <v>46218.0</v>
      </c>
      <c r="N21" s="144" t="s">
        <v>141</v>
      </c>
      <c r="O21" s="139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0"/>
      <c r="AC21" s="146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0"/>
      <c r="AQ21" s="139"/>
      <c r="AR21" s="145"/>
      <c r="AS21" s="145"/>
      <c r="AT21" s="145"/>
      <c r="AU21" s="145"/>
      <c r="AV21" s="145"/>
      <c r="AW21" s="145"/>
      <c r="AX21" s="147"/>
      <c r="AY21" s="148"/>
      <c r="AZ21" s="147"/>
      <c r="BA21" s="147"/>
      <c r="BB21" s="147"/>
      <c r="BC21" s="145"/>
      <c r="BD21" s="140"/>
      <c r="BE21" s="139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0"/>
      <c r="BS21" s="139"/>
      <c r="BT21" s="145"/>
      <c r="BU21" s="145"/>
      <c r="BV21" s="145"/>
      <c r="BW21" s="145"/>
      <c r="BX21" s="145"/>
      <c r="BY21" s="145"/>
      <c r="BZ21" s="145"/>
      <c r="CA21" s="145"/>
      <c r="CB21" s="145"/>
      <c r="CC21" s="145"/>
      <c r="CD21" s="145"/>
      <c r="CE21" s="145"/>
      <c r="CF21" s="140"/>
      <c r="CG21" s="139"/>
      <c r="CH21" s="145"/>
      <c r="CI21" s="145"/>
      <c r="CJ21" s="145"/>
      <c r="CK21" s="145"/>
      <c r="CL21" s="145"/>
      <c r="CM21" s="145"/>
      <c r="CN21" s="145"/>
      <c r="CO21" s="145"/>
      <c r="CP21" s="145"/>
      <c r="CQ21" s="145"/>
      <c r="CR21" s="145"/>
      <c r="CS21" s="145"/>
      <c r="CT21" s="140"/>
      <c r="CU21" s="141"/>
      <c r="CV21" s="3"/>
    </row>
    <row r="22" ht="16.5" customHeight="1">
      <c r="A22" s="3" t="s">
        <v>124</v>
      </c>
      <c r="B22" s="3">
        <v>15.0</v>
      </c>
      <c r="C22" s="3" t="s">
        <v>161</v>
      </c>
      <c r="D22" s="5" t="s">
        <v>169</v>
      </c>
      <c r="E22" s="53" t="str">
        <f>IF(A22&lt;&gt;"", IF(A22=A20, "", A22), "")</f>
        <v/>
      </c>
      <c r="F22" s="137">
        <f t="shared" ref="F22:H22" si="18">IF(B22&lt;&gt;"", IF(B22=B21, "", B22), "")</f>
        <v>15</v>
      </c>
      <c r="G22" s="55" t="str">
        <f t="shared" si="18"/>
        <v/>
      </c>
      <c r="H22" s="138" t="str">
        <f t="shared" si="18"/>
        <v>各販社ユーザー向けRangeロール作成（検証環境）ケンショウカンキョウ</v>
      </c>
      <c r="I22" s="170" t="s">
        <v>154</v>
      </c>
      <c r="J22" s="140"/>
      <c r="K22" s="141"/>
      <c r="L22" s="142">
        <v>46230.0</v>
      </c>
      <c r="M22" s="143">
        <v>46234.0</v>
      </c>
      <c r="N22" s="144" t="s">
        <v>141</v>
      </c>
      <c r="O22" s="139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0"/>
      <c r="AC22" s="146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0"/>
      <c r="AQ22" s="139"/>
      <c r="AR22" s="145"/>
      <c r="AS22" s="145"/>
      <c r="AT22" s="145"/>
      <c r="AU22" s="145"/>
      <c r="AV22" s="145"/>
      <c r="AW22" s="145"/>
      <c r="AX22" s="147"/>
      <c r="AY22" s="148"/>
      <c r="AZ22" s="147"/>
      <c r="BA22" s="147"/>
      <c r="BB22" s="147"/>
      <c r="BC22" s="145"/>
      <c r="BD22" s="140"/>
      <c r="BE22" s="139"/>
      <c r="BF22" s="145"/>
      <c r="BG22" s="145"/>
      <c r="BH22" s="145"/>
      <c r="BI22" s="145"/>
      <c r="BJ22" s="145"/>
      <c r="BK22" s="145"/>
      <c r="BL22" s="145"/>
      <c r="BM22" s="145"/>
      <c r="BN22" s="145"/>
      <c r="BO22" s="145"/>
      <c r="BP22" s="145"/>
      <c r="BQ22" s="145"/>
      <c r="BR22" s="140"/>
      <c r="BS22" s="139"/>
      <c r="BT22" s="145"/>
      <c r="BU22" s="145"/>
      <c r="BV22" s="145"/>
      <c r="BW22" s="145"/>
      <c r="BX22" s="145"/>
      <c r="BY22" s="145"/>
      <c r="BZ22" s="145"/>
      <c r="CA22" s="145"/>
      <c r="CB22" s="145"/>
      <c r="CC22" s="145"/>
      <c r="CD22" s="145"/>
      <c r="CE22" s="145"/>
      <c r="CF22" s="140"/>
      <c r="CG22" s="139"/>
      <c r="CH22" s="145"/>
      <c r="CI22" s="145"/>
      <c r="CJ22" s="145"/>
      <c r="CK22" s="145"/>
      <c r="CL22" s="145"/>
      <c r="CM22" s="145"/>
      <c r="CN22" s="145"/>
      <c r="CO22" s="145"/>
      <c r="CP22" s="145"/>
      <c r="CQ22" s="145"/>
      <c r="CR22" s="145"/>
      <c r="CS22" s="145"/>
      <c r="CT22" s="140"/>
      <c r="CU22" s="141"/>
      <c r="CV22" s="3"/>
    </row>
    <row r="23" ht="16.5" customHeight="1">
      <c r="A23" s="3" t="s">
        <v>124</v>
      </c>
      <c r="B23" s="3">
        <v>16.0</v>
      </c>
      <c r="C23" s="3" t="s">
        <v>161</v>
      </c>
      <c r="D23" s="5" t="s">
        <v>170</v>
      </c>
      <c r="E23" s="53" t="str">
        <f t="shared" ref="E23:H23" si="19">IF(A23&lt;&gt;"", IF(A23=A22, "", A23), "")</f>
        <v/>
      </c>
      <c r="F23" s="137">
        <f t="shared" si="19"/>
        <v>16</v>
      </c>
      <c r="G23" s="55" t="str">
        <f t="shared" si="19"/>
        <v/>
      </c>
      <c r="H23" s="138" t="str">
        <f t="shared" si="19"/>
        <v>各販社ユーザー向けユーザ権限付与（検証環境）ケンゲンフヨ</v>
      </c>
      <c r="I23" s="170" t="s">
        <v>154</v>
      </c>
      <c r="J23" s="140"/>
      <c r="K23" s="141"/>
      <c r="L23" s="142">
        <v>46230.0</v>
      </c>
      <c r="M23" s="143">
        <v>46234.0</v>
      </c>
      <c r="N23" s="144" t="s">
        <v>141</v>
      </c>
      <c r="O23" s="139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  <c r="AA23" s="145"/>
      <c r="AB23" s="140"/>
      <c r="AC23" s="146"/>
      <c r="AD23" s="145"/>
      <c r="AE23" s="145"/>
      <c r="AF23" s="145"/>
      <c r="AG23" s="145"/>
      <c r="AH23" s="145"/>
      <c r="AI23" s="145"/>
      <c r="AJ23" s="145"/>
      <c r="AK23" s="145"/>
      <c r="AL23" s="145"/>
      <c r="AM23" s="145"/>
      <c r="AN23" s="145"/>
      <c r="AO23" s="145"/>
      <c r="AP23" s="140"/>
      <c r="AQ23" s="139"/>
      <c r="AR23" s="145"/>
      <c r="AS23" s="145"/>
      <c r="AT23" s="145"/>
      <c r="AU23" s="145"/>
      <c r="AV23" s="145"/>
      <c r="AW23" s="145"/>
      <c r="AX23" s="147"/>
      <c r="AY23" s="148"/>
      <c r="AZ23" s="147"/>
      <c r="BA23" s="147"/>
      <c r="BB23" s="147"/>
      <c r="BC23" s="145"/>
      <c r="BD23" s="140"/>
      <c r="BE23" s="139"/>
      <c r="BF23" s="145"/>
      <c r="BG23" s="145"/>
      <c r="BH23" s="145"/>
      <c r="BI23" s="145"/>
      <c r="BJ23" s="145"/>
      <c r="BK23" s="145"/>
      <c r="BL23" s="145"/>
      <c r="BM23" s="145"/>
      <c r="BN23" s="145"/>
      <c r="BO23" s="145"/>
      <c r="BP23" s="145"/>
      <c r="BQ23" s="145"/>
      <c r="BR23" s="140"/>
      <c r="BS23" s="139"/>
      <c r="BT23" s="145"/>
      <c r="BU23" s="145"/>
      <c r="BV23" s="145"/>
      <c r="BW23" s="145"/>
      <c r="BX23" s="145"/>
      <c r="BY23" s="145"/>
      <c r="BZ23" s="145"/>
      <c r="CA23" s="145"/>
      <c r="CB23" s="145"/>
      <c r="CC23" s="145"/>
      <c r="CD23" s="145"/>
      <c r="CE23" s="145"/>
      <c r="CF23" s="140"/>
      <c r="CG23" s="139"/>
      <c r="CH23" s="145"/>
      <c r="CI23" s="145"/>
      <c r="CJ23" s="145"/>
      <c r="CK23" s="145"/>
      <c r="CL23" s="145"/>
      <c r="CM23" s="145"/>
      <c r="CN23" s="145"/>
      <c r="CO23" s="145"/>
      <c r="CP23" s="145"/>
      <c r="CQ23" s="145"/>
      <c r="CR23" s="145"/>
      <c r="CS23" s="145"/>
      <c r="CT23" s="140"/>
      <c r="CU23" s="141"/>
      <c r="CV23" s="3"/>
    </row>
    <row r="24" ht="16.5" customHeight="1">
      <c r="A24" s="3" t="s">
        <v>124</v>
      </c>
      <c r="B24" s="3">
        <v>17.0</v>
      </c>
      <c r="C24" s="3" t="s">
        <v>161</v>
      </c>
      <c r="D24" s="5" t="s">
        <v>171</v>
      </c>
      <c r="E24" s="53" t="str">
        <f t="shared" ref="E24:H24" si="20">IF(A24&lt;&gt;"", IF(A24=A23, "", A24), "")</f>
        <v/>
      </c>
      <c r="F24" s="137">
        <f t="shared" si="20"/>
        <v>17</v>
      </c>
      <c r="G24" s="55" t="str">
        <f t="shared" si="20"/>
        <v/>
      </c>
      <c r="H24" s="138" t="str">
        <f t="shared" si="20"/>
        <v>Dataviz関連ユーザ権限設計レビュー（設計は６月にやった）カンレンケンゲンセッケイセッケイガツ</v>
      </c>
      <c r="I24" s="170" t="s">
        <v>127</v>
      </c>
      <c r="J24" s="140" t="s">
        <v>127</v>
      </c>
      <c r="K24" s="141" t="s">
        <v>107</v>
      </c>
      <c r="L24" s="142">
        <v>46209.0</v>
      </c>
      <c r="M24" s="143">
        <v>46220.0</v>
      </c>
      <c r="N24" s="144" t="s">
        <v>141</v>
      </c>
      <c r="O24" s="139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0"/>
      <c r="AC24" s="146"/>
      <c r="AD24" s="145"/>
      <c r="AE24" s="145"/>
      <c r="AF24" s="145"/>
      <c r="AG24" s="145"/>
      <c r="AH24" s="145"/>
      <c r="AI24" s="145"/>
      <c r="AJ24" s="145"/>
      <c r="AK24" s="145"/>
      <c r="AL24" s="145"/>
      <c r="AM24" s="145"/>
      <c r="AN24" s="145"/>
      <c r="AO24" s="145"/>
      <c r="AP24" s="140"/>
      <c r="AQ24" s="139"/>
      <c r="AR24" s="145"/>
      <c r="AS24" s="145"/>
      <c r="AT24" s="145"/>
      <c r="AU24" s="145"/>
      <c r="AV24" s="145"/>
      <c r="AW24" s="145"/>
      <c r="AX24" s="147"/>
      <c r="AY24" s="148"/>
      <c r="AZ24" s="147"/>
      <c r="BA24" s="147"/>
      <c r="BB24" s="147"/>
      <c r="BC24" s="145"/>
      <c r="BD24" s="140"/>
      <c r="BE24" s="139"/>
      <c r="BF24" s="145"/>
      <c r="BG24" s="145"/>
      <c r="BH24" s="145"/>
      <c r="BI24" s="145"/>
      <c r="BJ24" s="145"/>
      <c r="BK24" s="145"/>
      <c r="BL24" s="145"/>
      <c r="BM24" s="145"/>
      <c r="BN24" s="145"/>
      <c r="BO24" s="145"/>
      <c r="BP24" s="145"/>
      <c r="BQ24" s="145"/>
      <c r="BR24" s="140"/>
      <c r="BS24" s="139"/>
      <c r="BT24" s="145"/>
      <c r="BU24" s="145"/>
      <c r="BV24" s="145"/>
      <c r="BW24" s="145"/>
      <c r="BX24" s="145"/>
      <c r="BY24" s="145"/>
      <c r="BZ24" s="145"/>
      <c r="CA24" s="145"/>
      <c r="CB24" s="145"/>
      <c r="CC24" s="145"/>
      <c r="CD24" s="145"/>
      <c r="CE24" s="145"/>
      <c r="CF24" s="140"/>
      <c r="CG24" s="139"/>
      <c r="CH24" s="145"/>
      <c r="CI24" s="145"/>
      <c r="CJ24" s="145"/>
      <c r="CK24" s="145"/>
      <c r="CL24" s="145"/>
      <c r="CM24" s="145"/>
      <c r="CN24" s="145"/>
      <c r="CO24" s="145"/>
      <c r="CP24" s="145"/>
      <c r="CQ24" s="145"/>
      <c r="CR24" s="145"/>
      <c r="CS24" s="145"/>
      <c r="CT24" s="140"/>
      <c r="CU24" s="141"/>
      <c r="CV24" s="3"/>
    </row>
    <row r="25" ht="16.5" customHeight="1">
      <c r="A25" s="3" t="s">
        <v>124</v>
      </c>
      <c r="B25" s="3">
        <v>18.0</v>
      </c>
      <c r="C25" s="3" t="s">
        <v>161</v>
      </c>
      <c r="D25" s="5" t="s">
        <v>172</v>
      </c>
      <c r="E25" s="53" t="str">
        <f t="shared" ref="E25:H25" si="21">IF(A25&lt;&gt;"", IF(A25=A24, "", A25), "")</f>
        <v/>
      </c>
      <c r="F25" s="94">
        <f t="shared" si="21"/>
        <v>18</v>
      </c>
      <c r="G25" s="95" t="str">
        <f t="shared" si="21"/>
        <v/>
      </c>
      <c r="H25" s="96" t="str">
        <f t="shared" si="21"/>
        <v>Dataviz関連ユーザ権限設計検証カンレンケンゲンセッケイケンショウ</v>
      </c>
      <c r="I25" s="172" t="s">
        <v>127</v>
      </c>
      <c r="J25" s="98" t="s">
        <v>127</v>
      </c>
      <c r="K25" s="99" t="s">
        <v>107</v>
      </c>
      <c r="L25" s="100">
        <v>46230.0</v>
      </c>
      <c r="M25" s="101">
        <v>46255.0</v>
      </c>
      <c r="N25" s="102" t="s">
        <v>141</v>
      </c>
      <c r="O25" s="97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98"/>
      <c r="AC25" s="104"/>
      <c r="AD25" s="103"/>
      <c r="AE25" s="103"/>
      <c r="AF25" s="103"/>
      <c r="AG25" s="103"/>
      <c r="AH25" s="103"/>
      <c r="AI25" s="103"/>
      <c r="AJ25" s="103"/>
      <c r="AK25" s="103"/>
      <c r="AL25" s="103"/>
      <c r="AM25" s="103"/>
      <c r="AN25" s="103"/>
      <c r="AO25" s="103"/>
      <c r="AP25" s="98"/>
      <c r="AQ25" s="97"/>
      <c r="AR25" s="103"/>
      <c r="AS25" s="103"/>
      <c r="AT25" s="103"/>
      <c r="AU25" s="103"/>
      <c r="AV25" s="103"/>
      <c r="AW25" s="103"/>
      <c r="AX25" s="105"/>
      <c r="AY25" s="106"/>
      <c r="AZ25" s="105"/>
      <c r="BA25" s="105"/>
      <c r="BB25" s="105"/>
      <c r="BC25" s="103"/>
      <c r="BD25" s="98"/>
      <c r="BE25" s="97"/>
      <c r="BF25" s="103"/>
      <c r="BG25" s="103"/>
      <c r="BH25" s="103"/>
      <c r="BI25" s="103"/>
      <c r="BJ25" s="103"/>
      <c r="BK25" s="103"/>
      <c r="BL25" s="103"/>
      <c r="BM25" s="103"/>
      <c r="BN25" s="103"/>
      <c r="BO25" s="103"/>
      <c r="BP25" s="103"/>
      <c r="BQ25" s="103"/>
      <c r="BR25" s="98"/>
      <c r="BS25" s="97"/>
      <c r="BT25" s="103"/>
      <c r="BU25" s="103"/>
      <c r="BV25" s="103"/>
      <c r="BW25" s="103"/>
      <c r="BX25" s="103"/>
      <c r="BY25" s="103"/>
      <c r="BZ25" s="103"/>
      <c r="CA25" s="103"/>
      <c r="CB25" s="103"/>
      <c r="CC25" s="103"/>
      <c r="CD25" s="103"/>
      <c r="CE25" s="103"/>
      <c r="CF25" s="98"/>
      <c r="CG25" s="97"/>
      <c r="CH25" s="103"/>
      <c r="CI25" s="103"/>
      <c r="CJ25" s="103"/>
      <c r="CK25" s="103"/>
      <c r="CL25" s="103"/>
      <c r="CM25" s="103"/>
      <c r="CN25" s="103"/>
      <c r="CO25" s="103"/>
      <c r="CP25" s="103"/>
      <c r="CQ25" s="103"/>
      <c r="CR25" s="103"/>
      <c r="CS25" s="103"/>
      <c r="CT25" s="98"/>
      <c r="CU25" s="99"/>
      <c r="CV25" s="3"/>
    </row>
    <row r="26" ht="16.5" customHeight="1">
      <c r="A26" s="3" t="s">
        <v>124</v>
      </c>
      <c r="B26" s="3" t="s">
        <v>174</v>
      </c>
      <c r="C26" s="3" t="s">
        <v>175</v>
      </c>
      <c r="D26" s="5" t="s">
        <v>176</v>
      </c>
      <c r="E26" s="53"/>
      <c r="F26" s="54" t="str">
        <f t="shared" ref="F26:H26" si="22">IF(B26&lt;&gt;"", IF(B26=B25, "", B26), "")</f>
        <v>D</v>
      </c>
      <c r="G26" s="55" t="str">
        <f t="shared" si="22"/>
        <v>認証方式変更</v>
      </c>
      <c r="H26" s="56" t="str">
        <f t="shared" si="22"/>
        <v>GAC申請</v>
      </c>
      <c r="I26" s="178" t="s">
        <v>154</v>
      </c>
      <c r="J26" s="179"/>
      <c r="K26" s="59"/>
      <c r="L26" s="26">
        <v>46212.0</v>
      </c>
      <c r="M26" s="30">
        <v>46218.0</v>
      </c>
      <c r="N26" s="60" t="s">
        <v>141</v>
      </c>
      <c r="O26" s="57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58"/>
      <c r="AC26" s="63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58"/>
      <c r="AQ26" s="57"/>
      <c r="AR26" s="61"/>
      <c r="AS26" s="61"/>
      <c r="AT26" s="61"/>
      <c r="AU26" s="61"/>
      <c r="AV26" s="61"/>
      <c r="AW26" s="61"/>
      <c r="AX26" s="66"/>
      <c r="AY26" s="67"/>
      <c r="AZ26" s="66"/>
      <c r="BA26" s="66"/>
      <c r="BB26" s="66"/>
      <c r="BC26" s="61"/>
      <c r="BD26" s="58"/>
      <c r="BE26" s="57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58"/>
      <c r="BS26" s="57"/>
      <c r="BT26" s="61"/>
      <c r="BU26" s="61"/>
      <c r="BV26" s="61"/>
      <c r="BW26" s="61"/>
      <c r="BX26" s="61"/>
      <c r="BY26" s="61"/>
      <c r="BZ26" s="61"/>
      <c r="CA26" s="61"/>
      <c r="CB26" s="61"/>
      <c r="CC26" s="61"/>
      <c r="CD26" s="61"/>
      <c r="CE26" s="61"/>
      <c r="CF26" s="58"/>
      <c r="CG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58"/>
      <c r="CU26" s="59"/>
      <c r="CV26" s="3"/>
    </row>
    <row r="27" ht="16.5" customHeight="1">
      <c r="A27" s="3" t="s">
        <v>124</v>
      </c>
      <c r="B27" s="3">
        <v>19.0</v>
      </c>
      <c r="C27" s="3" t="s">
        <v>175</v>
      </c>
      <c r="D27" s="5" t="s">
        <v>177</v>
      </c>
      <c r="E27" s="53" t="str">
        <f>IF(A27&lt;&gt;"", IF(A27=A25, "", A27), "")</f>
        <v/>
      </c>
      <c r="F27" s="137">
        <f t="shared" ref="F27:H27" si="23">IF(B27&lt;&gt;"", IF(B27=B26, "", B27), "")</f>
        <v>19</v>
      </c>
      <c r="G27" s="55" t="str">
        <f t="shared" si="23"/>
        <v/>
      </c>
      <c r="H27" s="138" t="str">
        <f t="shared" si="23"/>
        <v>ATSC／GAC CDP導入（検証環境）
※望ましいのは7月末前に完了、できない場合、8/7前に完了必須</v>
      </c>
      <c r="I27" s="139" t="s">
        <v>154</v>
      </c>
      <c r="J27" s="140"/>
      <c r="K27" s="141"/>
      <c r="L27" s="142">
        <v>46209.0</v>
      </c>
      <c r="M27" s="143">
        <v>46234.0</v>
      </c>
      <c r="N27" s="144" t="s">
        <v>141</v>
      </c>
      <c r="O27" s="139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  <c r="AA27" s="145"/>
      <c r="AB27" s="140"/>
      <c r="AC27" s="146"/>
      <c r="AD27" s="145"/>
      <c r="AE27" s="145"/>
      <c r="AF27" s="145"/>
      <c r="AG27" s="145"/>
      <c r="AH27" s="145"/>
      <c r="AI27" s="145"/>
      <c r="AJ27" s="145"/>
      <c r="AK27" s="145"/>
      <c r="AL27" s="145"/>
      <c r="AM27" s="145"/>
      <c r="AN27" s="145"/>
      <c r="AO27" s="145"/>
      <c r="AP27" s="140"/>
      <c r="AQ27" s="139"/>
      <c r="AR27" s="145"/>
      <c r="AS27" s="145"/>
      <c r="AT27" s="145"/>
      <c r="AU27" s="145"/>
      <c r="AV27" s="145"/>
      <c r="AW27" s="145"/>
      <c r="AX27" s="147"/>
      <c r="AY27" s="148"/>
      <c r="AZ27" s="147"/>
      <c r="BA27" s="147"/>
      <c r="BB27" s="147"/>
      <c r="BC27" s="145"/>
      <c r="BD27" s="140"/>
      <c r="BE27" s="139"/>
      <c r="BF27" s="145"/>
      <c r="BG27" s="145"/>
      <c r="BH27" s="145"/>
      <c r="BI27" s="145"/>
      <c r="BJ27" s="145"/>
      <c r="BK27" s="145"/>
      <c r="BL27" s="145"/>
      <c r="BM27" s="145"/>
      <c r="BN27" s="145"/>
      <c r="BO27" s="145"/>
      <c r="BP27" s="145"/>
      <c r="BQ27" s="145"/>
      <c r="BR27" s="140"/>
      <c r="BS27" s="139"/>
      <c r="BT27" s="145"/>
      <c r="BU27" s="145"/>
      <c r="BV27" s="145"/>
      <c r="BW27" s="145"/>
      <c r="BX27" s="145"/>
      <c r="BY27" s="145"/>
      <c r="BZ27" s="145"/>
      <c r="CA27" s="145"/>
      <c r="CB27" s="145"/>
      <c r="CC27" s="145"/>
      <c r="CD27" s="145"/>
      <c r="CE27" s="145"/>
      <c r="CF27" s="140"/>
      <c r="CG27" s="139"/>
      <c r="CH27" s="145"/>
      <c r="CI27" s="145"/>
      <c r="CJ27" s="145"/>
      <c r="CK27" s="145"/>
      <c r="CL27" s="145"/>
      <c r="CM27" s="145"/>
      <c r="CN27" s="145"/>
      <c r="CO27" s="145"/>
      <c r="CP27" s="145"/>
      <c r="CQ27" s="145"/>
      <c r="CR27" s="145"/>
      <c r="CS27" s="145"/>
      <c r="CT27" s="140"/>
      <c r="CU27" s="141"/>
      <c r="CV27" s="3"/>
    </row>
    <row r="28" ht="16.5" customHeight="1">
      <c r="A28" s="3" t="s">
        <v>124</v>
      </c>
      <c r="B28" s="3">
        <v>20.0</v>
      </c>
      <c r="C28" s="3" t="s">
        <v>175</v>
      </c>
      <c r="D28" s="5" t="s">
        <v>178</v>
      </c>
      <c r="E28" s="53" t="str">
        <f t="shared" ref="E28:H28" si="24">IF(A28&lt;&gt;"", IF(A28=A27, "", A28), "")</f>
        <v/>
      </c>
      <c r="F28" s="68">
        <f t="shared" si="24"/>
        <v>20</v>
      </c>
      <c r="G28" s="55" t="str">
        <f t="shared" si="24"/>
        <v/>
      </c>
      <c r="H28" s="69" t="str">
        <f t="shared" si="24"/>
        <v>ATSC／GAC  Web導入（検証環境）ドウニュウ</v>
      </c>
      <c r="I28" s="70" t="s">
        <v>127</v>
      </c>
      <c r="J28" s="71" t="s">
        <v>127</v>
      </c>
      <c r="K28" s="72" t="s">
        <v>107</v>
      </c>
      <c r="L28" s="73">
        <v>46237.0</v>
      </c>
      <c r="M28" s="74">
        <v>46248.0</v>
      </c>
      <c r="N28" s="75" t="s">
        <v>141</v>
      </c>
      <c r="O28" s="70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1"/>
      <c r="AC28" s="77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1"/>
      <c r="AQ28" s="70"/>
      <c r="AR28" s="76"/>
      <c r="AS28" s="76"/>
      <c r="AT28" s="76"/>
      <c r="AU28" s="76"/>
      <c r="AV28" s="76"/>
      <c r="AW28" s="76"/>
      <c r="AX28" s="78"/>
      <c r="AY28" s="79"/>
      <c r="AZ28" s="78"/>
      <c r="BA28" s="78"/>
      <c r="BB28" s="78"/>
      <c r="BC28" s="76"/>
      <c r="BD28" s="71"/>
      <c r="BE28" s="70"/>
      <c r="BF28" s="76"/>
      <c r="BG28" s="76"/>
      <c r="BH28" s="76"/>
      <c r="BI28" s="76"/>
      <c r="BJ28" s="76"/>
      <c r="BK28" s="76"/>
      <c r="BL28" s="76"/>
      <c r="BM28" s="76"/>
      <c r="BN28" s="76"/>
      <c r="BO28" s="76"/>
      <c r="BP28" s="76"/>
      <c r="BQ28" s="76"/>
      <c r="BR28" s="71"/>
      <c r="BS28" s="70"/>
      <c r="BT28" s="76"/>
      <c r="BU28" s="76"/>
      <c r="BV28" s="76"/>
      <c r="BW28" s="76"/>
      <c r="BX28" s="76"/>
      <c r="BY28" s="76"/>
      <c r="BZ28" s="76"/>
      <c r="CA28" s="76"/>
      <c r="CB28" s="76"/>
      <c r="CC28" s="76"/>
      <c r="CD28" s="76"/>
      <c r="CE28" s="76"/>
      <c r="CF28" s="71"/>
      <c r="CG28" s="70"/>
      <c r="CH28" s="76"/>
      <c r="CI28" s="76"/>
      <c r="CJ28" s="76"/>
      <c r="CK28" s="76"/>
      <c r="CL28" s="76"/>
      <c r="CM28" s="76"/>
      <c r="CN28" s="76"/>
      <c r="CO28" s="76"/>
      <c r="CP28" s="76"/>
      <c r="CQ28" s="76"/>
      <c r="CR28" s="76"/>
      <c r="CS28" s="76"/>
      <c r="CT28" s="71"/>
      <c r="CU28" s="72"/>
      <c r="CV28" s="3"/>
    </row>
    <row r="29" ht="16.5" customHeight="1">
      <c r="A29" s="3" t="s">
        <v>124</v>
      </c>
      <c r="B29" s="3">
        <v>21.0</v>
      </c>
      <c r="C29" s="3" t="s">
        <v>179</v>
      </c>
      <c r="D29" s="5" t="s">
        <v>180</v>
      </c>
      <c r="E29" s="53" t="str">
        <f t="shared" ref="E29:H29" si="25">IF(A29&lt;&gt;"", IF(A29=A28, "", A29), "")</f>
        <v/>
      </c>
      <c r="F29" s="81">
        <f t="shared" si="25"/>
        <v>21</v>
      </c>
      <c r="G29" s="82" t="str">
        <f t="shared" si="25"/>
        <v>中間テーブル</v>
      </c>
      <c r="H29" s="83" t="str">
        <f t="shared" si="25"/>
        <v>JOB環境の申込カンキョウモウシコミ</v>
      </c>
      <c r="I29" s="84" t="s">
        <v>127</v>
      </c>
      <c r="J29" s="85" t="s">
        <v>127</v>
      </c>
      <c r="K29" s="86" t="s">
        <v>107</v>
      </c>
      <c r="L29" s="87">
        <v>46216.0</v>
      </c>
      <c r="M29" s="88">
        <v>46225.0</v>
      </c>
      <c r="N29" s="89" t="s">
        <v>141</v>
      </c>
      <c r="O29" s="84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85"/>
      <c r="AC29" s="91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85"/>
      <c r="AQ29" s="84"/>
      <c r="AR29" s="90"/>
      <c r="AS29" s="90"/>
      <c r="AT29" s="90"/>
      <c r="AU29" s="90"/>
      <c r="AV29" s="90"/>
      <c r="AW29" s="90"/>
      <c r="AX29" s="92"/>
      <c r="AY29" s="93"/>
      <c r="AZ29" s="92"/>
      <c r="BA29" s="92"/>
      <c r="BB29" s="92"/>
      <c r="BC29" s="90"/>
      <c r="BD29" s="85"/>
      <c r="BE29" s="84"/>
      <c r="BF29" s="90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85"/>
      <c r="BS29" s="84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85"/>
      <c r="CG29" s="84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85"/>
      <c r="CU29" s="86"/>
      <c r="CV29" s="3"/>
    </row>
    <row r="30" ht="16.5" customHeight="1">
      <c r="A30" s="3" t="s">
        <v>124</v>
      </c>
      <c r="B30" s="3">
        <v>22.0</v>
      </c>
      <c r="C30" s="3" t="s">
        <v>179</v>
      </c>
      <c r="D30" s="5" t="s">
        <v>181</v>
      </c>
      <c r="E30" s="53" t="str">
        <f t="shared" ref="E30:H30" si="26">IF(A30&lt;&gt;"", IF(A30=A29, "", A30), "")</f>
        <v/>
      </c>
      <c r="F30" s="137">
        <f t="shared" si="26"/>
        <v>22</v>
      </c>
      <c r="G30" s="55" t="str">
        <f t="shared" si="26"/>
        <v/>
      </c>
      <c r="H30" s="138" t="str">
        <f t="shared" si="26"/>
        <v>JOB環境の構築コウチク</v>
      </c>
      <c r="I30" s="139" t="s">
        <v>154</v>
      </c>
      <c r="J30" s="140"/>
      <c r="K30" s="141"/>
      <c r="L30" s="142">
        <v>46226.0</v>
      </c>
      <c r="M30" s="143">
        <v>46234.0</v>
      </c>
      <c r="N30" s="144" t="s">
        <v>141</v>
      </c>
      <c r="O30" s="139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  <c r="AA30" s="145"/>
      <c r="AB30" s="140"/>
      <c r="AC30" s="146"/>
      <c r="AD30" s="145"/>
      <c r="AE30" s="145"/>
      <c r="AF30" s="145"/>
      <c r="AG30" s="145"/>
      <c r="AH30" s="145"/>
      <c r="AI30" s="145"/>
      <c r="AJ30" s="145"/>
      <c r="AK30" s="145"/>
      <c r="AL30" s="145"/>
      <c r="AM30" s="145"/>
      <c r="AN30" s="145"/>
      <c r="AO30" s="145"/>
      <c r="AP30" s="140"/>
      <c r="AQ30" s="139"/>
      <c r="AR30" s="145"/>
      <c r="AS30" s="145"/>
      <c r="AT30" s="145"/>
      <c r="AU30" s="145"/>
      <c r="AV30" s="145"/>
      <c r="AW30" s="145"/>
      <c r="AX30" s="147"/>
      <c r="AY30" s="148"/>
      <c r="AZ30" s="147"/>
      <c r="BA30" s="147"/>
      <c r="BB30" s="147"/>
      <c r="BC30" s="145"/>
      <c r="BD30" s="140"/>
      <c r="BE30" s="139"/>
      <c r="BF30" s="145"/>
      <c r="BG30" s="145"/>
      <c r="BH30" s="145"/>
      <c r="BI30" s="145"/>
      <c r="BJ30" s="145"/>
      <c r="BK30" s="145"/>
      <c r="BL30" s="145"/>
      <c r="BM30" s="145"/>
      <c r="BN30" s="145"/>
      <c r="BO30" s="145"/>
      <c r="BP30" s="145"/>
      <c r="BQ30" s="145"/>
      <c r="BR30" s="140"/>
      <c r="BS30" s="139"/>
      <c r="BT30" s="145"/>
      <c r="BU30" s="145"/>
      <c r="BV30" s="145"/>
      <c r="BW30" s="145"/>
      <c r="BX30" s="145"/>
      <c r="BY30" s="145"/>
      <c r="BZ30" s="145"/>
      <c r="CA30" s="145"/>
      <c r="CB30" s="145"/>
      <c r="CC30" s="145"/>
      <c r="CD30" s="145"/>
      <c r="CE30" s="145"/>
      <c r="CF30" s="140"/>
      <c r="CG30" s="139"/>
      <c r="CH30" s="145"/>
      <c r="CI30" s="145"/>
      <c r="CJ30" s="145"/>
      <c r="CK30" s="145"/>
      <c r="CL30" s="145"/>
      <c r="CM30" s="145"/>
      <c r="CN30" s="145"/>
      <c r="CO30" s="145"/>
      <c r="CP30" s="145"/>
      <c r="CQ30" s="145"/>
      <c r="CR30" s="145"/>
      <c r="CS30" s="145"/>
      <c r="CT30" s="140"/>
      <c r="CU30" s="141"/>
      <c r="CV30" s="3"/>
    </row>
    <row r="31" ht="16.5" customHeight="1">
      <c r="A31" s="3" t="s">
        <v>124</v>
      </c>
      <c r="B31" s="3">
        <v>23.0</v>
      </c>
      <c r="C31" s="3" t="s">
        <v>179</v>
      </c>
      <c r="D31" s="5" t="s">
        <v>183</v>
      </c>
      <c r="E31" s="53" t="str">
        <f t="shared" ref="E31:H31" si="27">IF(A31&lt;&gt;"", IF(A31=A30, "", A31), "")</f>
        <v/>
      </c>
      <c r="F31" s="137">
        <f t="shared" si="27"/>
        <v>23</v>
      </c>
      <c r="G31" s="55" t="str">
        <f t="shared" si="27"/>
        <v/>
      </c>
      <c r="H31" s="138" t="str">
        <f t="shared" si="27"/>
        <v>中間テーブル更新のJOB作成コウシンサクセイ</v>
      </c>
      <c r="I31" s="139" t="s">
        <v>127</v>
      </c>
      <c r="J31" s="140" t="s">
        <v>127</v>
      </c>
      <c r="K31" s="141" t="s">
        <v>107</v>
      </c>
      <c r="L31" s="142">
        <v>46237.0</v>
      </c>
      <c r="M31" s="143">
        <v>46248.0</v>
      </c>
      <c r="N31" s="144" t="s">
        <v>141</v>
      </c>
      <c r="O31" s="139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0"/>
      <c r="AC31" s="146"/>
      <c r="AD31" s="145"/>
      <c r="AE31" s="145"/>
      <c r="AF31" s="145"/>
      <c r="AG31" s="145"/>
      <c r="AH31" s="145"/>
      <c r="AI31" s="145"/>
      <c r="AJ31" s="145"/>
      <c r="AK31" s="145"/>
      <c r="AL31" s="145"/>
      <c r="AM31" s="145"/>
      <c r="AN31" s="145"/>
      <c r="AO31" s="145"/>
      <c r="AP31" s="140"/>
      <c r="AQ31" s="139"/>
      <c r="AR31" s="145"/>
      <c r="AS31" s="145"/>
      <c r="AT31" s="145"/>
      <c r="AU31" s="145"/>
      <c r="AV31" s="145"/>
      <c r="AW31" s="145"/>
      <c r="AX31" s="147"/>
      <c r="AY31" s="148"/>
      <c r="AZ31" s="147"/>
      <c r="BA31" s="147"/>
      <c r="BB31" s="147"/>
      <c r="BC31" s="145"/>
      <c r="BD31" s="140"/>
      <c r="BE31" s="139"/>
      <c r="BF31" s="145"/>
      <c r="BG31" s="145"/>
      <c r="BH31" s="145"/>
      <c r="BI31" s="145"/>
      <c r="BJ31" s="145"/>
      <c r="BK31" s="145"/>
      <c r="BL31" s="145"/>
      <c r="BM31" s="145"/>
      <c r="BN31" s="145"/>
      <c r="BO31" s="145"/>
      <c r="BP31" s="145"/>
      <c r="BQ31" s="145"/>
      <c r="BR31" s="140"/>
      <c r="BS31" s="139"/>
      <c r="BT31" s="145"/>
      <c r="BU31" s="145"/>
      <c r="BV31" s="145"/>
      <c r="BW31" s="145"/>
      <c r="BX31" s="145"/>
      <c r="BY31" s="145"/>
      <c r="BZ31" s="145"/>
      <c r="CA31" s="145"/>
      <c r="CB31" s="145"/>
      <c r="CC31" s="145"/>
      <c r="CD31" s="145"/>
      <c r="CE31" s="145"/>
      <c r="CF31" s="140"/>
      <c r="CG31" s="139"/>
      <c r="CH31" s="145"/>
      <c r="CI31" s="145"/>
      <c r="CJ31" s="145"/>
      <c r="CK31" s="145"/>
      <c r="CL31" s="145"/>
      <c r="CM31" s="145"/>
      <c r="CN31" s="145"/>
      <c r="CO31" s="145"/>
      <c r="CP31" s="145"/>
      <c r="CQ31" s="145"/>
      <c r="CR31" s="145"/>
      <c r="CS31" s="145"/>
      <c r="CT31" s="140"/>
      <c r="CU31" s="141"/>
      <c r="CV31" s="3"/>
    </row>
    <row r="32" ht="16.5" customHeight="1">
      <c r="A32" s="3" t="s">
        <v>124</v>
      </c>
      <c r="B32" s="3">
        <v>24.0</v>
      </c>
      <c r="C32" s="3" t="s">
        <v>179</v>
      </c>
      <c r="D32" s="5" t="s">
        <v>184</v>
      </c>
      <c r="E32" s="53" t="str">
        <f t="shared" ref="E32:H32" si="28">IF(A32&lt;&gt;"", IF(A32=A31, "", A32), "")</f>
        <v/>
      </c>
      <c r="F32" s="137">
        <f t="shared" si="28"/>
        <v>24</v>
      </c>
      <c r="G32" s="55" t="str">
        <f t="shared" si="28"/>
        <v/>
      </c>
      <c r="H32" s="138" t="str">
        <f t="shared" si="28"/>
        <v>テスト</v>
      </c>
      <c r="I32" s="139" t="s">
        <v>127</v>
      </c>
      <c r="J32" s="140" t="s">
        <v>127</v>
      </c>
      <c r="K32" s="141" t="s">
        <v>107</v>
      </c>
      <c r="L32" s="142">
        <v>46244.0</v>
      </c>
      <c r="M32" s="143">
        <v>46255.0</v>
      </c>
      <c r="N32" s="144" t="s">
        <v>141</v>
      </c>
      <c r="O32" s="139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  <c r="AA32" s="145"/>
      <c r="AB32" s="140"/>
      <c r="AC32" s="146"/>
      <c r="AD32" s="145"/>
      <c r="AE32" s="145"/>
      <c r="AF32" s="145"/>
      <c r="AG32" s="145"/>
      <c r="AH32" s="145"/>
      <c r="AI32" s="145"/>
      <c r="AJ32" s="145"/>
      <c r="AK32" s="145"/>
      <c r="AL32" s="145"/>
      <c r="AM32" s="145"/>
      <c r="AN32" s="145"/>
      <c r="AO32" s="145"/>
      <c r="AP32" s="140"/>
      <c r="AQ32" s="139"/>
      <c r="AR32" s="145"/>
      <c r="AS32" s="145"/>
      <c r="AT32" s="145"/>
      <c r="AU32" s="145"/>
      <c r="AV32" s="145"/>
      <c r="AW32" s="145"/>
      <c r="AX32" s="147"/>
      <c r="AY32" s="148"/>
      <c r="AZ32" s="147"/>
      <c r="BA32" s="147"/>
      <c r="BB32" s="147"/>
      <c r="BC32" s="145"/>
      <c r="BD32" s="140"/>
      <c r="BE32" s="139"/>
      <c r="BF32" s="145"/>
      <c r="BG32" s="145"/>
      <c r="BH32" s="145"/>
      <c r="BI32" s="145"/>
      <c r="BJ32" s="145"/>
      <c r="BK32" s="145"/>
      <c r="BL32" s="145"/>
      <c r="BM32" s="145"/>
      <c r="BN32" s="145"/>
      <c r="BO32" s="145"/>
      <c r="BP32" s="145"/>
      <c r="BQ32" s="145"/>
      <c r="BR32" s="140"/>
      <c r="BS32" s="139"/>
      <c r="BT32" s="145"/>
      <c r="BU32" s="145"/>
      <c r="BV32" s="145"/>
      <c r="BW32" s="145"/>
      <c r="BX32" s="145"/>
      <c r="BY32" s="145"/>
      <c r="BZ32" s="145"/>
      <c r="CA32" s="145"/>
      <c r="CB32" s="145"/>
      <c r="CC32" s="145"/>
      <c r="CD32" s="145"/>
      <c r="CE32" s="145"/>
      <c r="CF32" s="140"/>
      <c r="CG32" s="139"/>
      <c r="CH32" s="145"/>
      <c r="CI32" s="145"/>
      <c r="CJ32" s="145"/>
      <c r="CK32" s="145"/>
      <c r="CL32" s="145"/>
      <c r="CM32" s="145"/>
      <c r="CN32" s="145"/>
      <c r="CO32" s="145"/>
      <c r="CP32" s="145"/>
      <c r="CQ32" s="145"/>
      <c r="CR32" s="145"/>
      <c r="CS32" s="145"/>
      <c r="CT32" s="140"/>
      <c r="CU32" s="141"/>
      <c r="CV32" s="3"/>
    </row>
    <row r="33" ht="16.5" customHeight="1">
      <c r="A33" s="3" t="s">
        <v>124</v>
      </c>
      <c r="B33" s="3">
        <v>25.0</v>
      </c>
      <c r="C33" s="3" t="s">
        <v>179</v>
      </c>
      <c r="D33" s="5" t="s">
        <v>185</v>
      </c>
      <c r="E33" s="53" t="str">
        <f t="shared" ref="E33:H33" si="29">IF(A33&lt;&gt;"", IF(A33=A32, "", A33), "")</f>
        <v/>
      </c>
      <c r="F33" s="94">
        <f t="shared" si="29"/>
        <v>25</v>
      </c>
      <c r="G33" s="95" t="str">
        <f t="shared" si="29"/>
        <v/>
      </c>
      <c r="H33" s="96" t="str">
        <f t="shared" si="29"/>
        <v>詳細設計書改修</v>
      </c>
      <c r="I33" s="97" t="s">
        <v>127</v>
      </c>
      <c r="J33" s="98" t="s">
        <v>127</v>
      </c>
      <c r="K33" s="99" t="s">
        <v>107</v>
      </c>
      <c r="L33" s="100">
        <v>46251.0</v>
      </c>
      <c r="M33" s="101">
        <v>46262.0</v>
      </c>
      <c r="N33" s="102" t="s">
        <v>141</v>
      </c>
      <c r="O33" s="97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98"/>
      <c r="AC33" s="104"/>
      <c r="AD33" s="103"/>
      <c r="AE33" s="103"/>
      <c r="AF33" s="103"/>
      <c r="AG33" s="103"/>
      <c r="AH33" s="103"/>
      <c r="AI33" s="103"/>
      <c r="AJ33" s="103"/>
      <c r="AK33" s="103"/>
      <c r="AL33" s="103"/>
      <c r="AM33" s="103"/>
      <c r="AN33" s="103"/>
      <c r="AO33" s="103"/>
      <c r="AP33" s="98"/>
      <c r="AQ33" s="97"/>
      <c r="AR33" s="103"/>
      <c r="AS33" s="103"/>
      <c r="AT33" s="103"/>
      <c r="AU33" s="103"/>
      <c r="AV33" s="103"/>
      <c r="AW33" s="103"/>
      <c r="AX33" s="105"/>
      <c r="AY33" s="106"/>
      <c r="AZ33" s="105"/>
      <c r="BA33" s="105"/>
      <c r="BB33" s="105"/>
      <c r="BC33" s="103"/>
      <c r="BD33" s="98"/>
      <c r="BE33" s="97"/>
      <c r="BF33" s="103"/>
      <c r="BG33" s="103"/>
      <c r="BH33" s="103"/>
      <c r="BI33" s="103"/>
      <c r="BJ33" s="103"/>
      <c r="BK33" s="103"/>
      <c r="BL33" s="103"/>
      <c r="BM33" s="103"/>
      <c r="BN33" s="103"/>
      <c r="BO33" s="103"/>
      <c r="BP33" s="103"/>
      <c r="BQ33" s="103"/>
      <c r="BR33" s="98"/>
      <c r="BS33" s="97"/>
      <c r="BT33" s="103"/>
      <c r="BU33" s="103"/>
      <c r="BV33" s="103"/>
      <c r="BW33" s="103"/>
      <c r="BX33" s="103"/>
      <c r="BY33" s="103"/>
      <c r="BZ33" s="103"/>
      <c r="CA33" s="103"/>
      <c r="CB33" s="103"/>
      <c r="CC33" s="103"/>
      <c r="CD33" s="103"/>
      <c r="CE33" s="103"/>
      <c r="CF33" s="98"/>
      <c r="CG33" s="97"/>
      <c r="CH33" s="103"/>
      <c r="CI33" s="103"/>
      <c r="CJ33" s="103"/>
      <c r="CK33" s="103"/>
      <c r="CL33" s="103"/>
      <c r="CM33" s="103"/>
      <c r="CN33" s="103"/>
      <c r="CO33" s="103"/>
      <c r="CP33" s="103"/>
      <c r="CQ33" s="103"/>
      <c r="CR33" s="103"/>
      <c r="CS33" s="103"/>
      <c r="CT33" s="98"/>
      <c r="CU33" s="99"/>
      <c r="CV33" s="3"/>
    </row>
    <row r="34" ht="16.5" customHeight="1">
      <c r="A34" s="3" t="s">
        <v>124</v>
      </c>
      <c r="B34" s="3">
        <v>26.0</v>
      </c>
      <c r="C34" s="3" t="s">
        <v>186</v>
      </c>
      <c r="D34" s="5" t="s">
        <v>187</v>
      </c>
      <c r="E34" s="53" t="str">
        <f t="shared" ref="E34:H34" si="30">IF(A34&lt;&gt;"", IF(A34=A33, "", A34), "")</f>
        <v/>
      </c>
      <c r="F34" s="54">
        <f t="shared" si="30"/>
        <v>26</v>
      </c>
      <c r="G34" s="55" t="str">
        <f t="shared" si="30"/>
        <v>資料整備</v>
      </c>
      <c r="H34" s="56" t="str">
        <f t="shared" si="30"/>
        <v>マニュアル改修</v>
      </c>
      <c r="I34" s="57" t="s">
        <v>127</v>
      </c>
      <c r="J34" s="58" t="s">
        <v>127</v>
      </c>
      <c r="K34" s="59" t="s">
        <v>107</v>
      </c>
      <c r="L34" s="26">
        <v>46251.0</v>
      </c>
      <c r="M34" s="30">
        <v>46262.0</v>
      </c>
      <c r="N34" s="60" t="s">
        <v>141</v>
      </c>
      <c r="O34" s="57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58"/>
      <c r="AC34" s="63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58"/>
      <c r="AQ34" s="57"/>
      <c r="AR34" s="61"/>
      <c r="AS34" s="61"/>
      <c r="AT34" s="61"/>
      <c r="AU34" s="61"/>
      <c r="AV34" s="61"/>
      <c r="AW34" s="61"/>
      <c r="AX34" s="66"/>
      <c r="AY34" s="67"/>
      <c r="AZ34" s="66"/>
      <c r="BA34" s="66"/>
      <c r="BB34" s="66"/>
      <c r="BC34" s="61"/>
      <c r="BD34" s="58"/>
      <c r="BE34" s="57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58"/>
      <c r="BS34" s="57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58"/>
      <c r="CG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58"/>
      <c r="CU34" s="59"/>
      <c r="CV34" s="3"/>
    </row>
    <row r="35" ht="16.5" customHeight="1">
      <c r="A35" s="3" t="s">
        <v>124</v>
      </c>
      <c r="B35" s="3">
        <v>27.0</v>
      </c>
      <c r="C35" s="3" t="s">
        <v>186</v>
      </c>
      <c r="D35" s="5" t="s">
        <v>188</v>
      </c>
      <c r="E35" s="53" t="str">
        <f t="shared" ref="E35:H35" si="31">IF(A35&lt;&gt;"", IF(A35=A34, "", A35), "")</f>
        <v/>
      </c>
      <c r="F35" s="68">
        <f t="shared" si="31"/>
        <v>27</v>
      </c>
      <c r="G35" s="55" t="str">
        <f t="shared" si="31"/>
        <v/>
      </c>
      <c r="H35" s="69" t="str">
        <f t="shared" si="31"/>
        <v>受入テスト対応</v>
      </c>
      <c r="I35" s="70" t="s">
        <v>127</v>
      </c>
      <c r="J35" s="71" t="s">
        <v>127</v>
      </c>
      <c r="K35" s="72" t="s">
        <v>107</v>
      </c>
      <c r="L35" s="73">
        <v>46251.0</v>
      </c>
      <c r="M35" s="74">
        <v>46260.0</v>
      </c>
      <c r="N35" s="75" t="s">
        <v>141</v>
      </c>
      <c r="O35" s="70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1"/>
      <c r="AC35" s="77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1"/>
      <c r="AQ35" s="70"/>
      <c r="AR35" s="76"/>
      <c r="AS35" s="76"/>
      <c r="AT35" s="76"/>
      <c r="AU35" s="76"/>
      <c r="AV35" s="76"/>
      <c r="AW35" s="76"/>
      <c r="AX35" s="78"/>
      <c r="AY35" s="79"/>
      <c r="AZ35" s="78"/>
      <c r="BA35" s="78"/>
      <c r="BB35" s="78"/>
      <c r="BC35" s="76"/>
      <c r="BD35" s="71"/>
      <c r="BE35" s="70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6"/>
      <c r="BQ35" s="76"/>
      <c r="BR35" s="71"/>
      <c r="BS35" s="70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  <c r="CE35" s="76"/>
      <c r="CF35" s="71"/>
      <c r="CG35" s="70"/>
      <c r="CH35" s="76"/>
      <c r="CI35" s="76"/>
      <c r="CJ35" s="76"/>
      <c r="CK35" s="76"/>
      <c r="CL35" s="76"/>
      <c r="CM35" s="76"/>
      <c r="CN35" s="76"/>
      <c r="CO35" s="76"/>
      <c r="CP35" s="76"/>
      <c r="CQ35" s="76"/>
      <c r="CR35" s="76"/>
      <c r="CS35" s="76"/>
      <c r="CT35" s="71"/>
      <c r="CU35" s="72"/>
      <c r="CV35" s="3"/>
    </row>
    <row r="36" ht="16.5" customHeight="1">
      <c r="A36" s="3" t="s">
        <v>124</v>
      </c>
      <c r="B36" s="3">
        <v>28.0</v>
      </c>
      <c r="C36" s="3" t="s">
        <v>189</v>
      </c>
      <c r="D36" s="5" t="s">
        <v>190</v>
      </c>
      <c r="E36" s="53" t="str">
        <f t="shared" ref="E36:H36" si="32">IF(A36&lt;&gt;"", IF(A36=A35, "", A36), "")</f>
        <v/>
      </c>
      <c r="F36" s="126">
        <f t="shared" si="32"/>
        <v>28</v>
      </c>
      <c r="G36" s="82" t="str">
        <f t="shared" si="32"/>
        <v>受入テスト</v>
      </c>
      <c r="H36" s="127" t="str">
        <f t="shared" si="32"/>
        <v>ユーザーアクセス権限の本番データ移行</v>
      </c>
      <c r="I36" s="180" t="s">
        <v>154</v>
      </c>
      <c r="J36" s="181"/>
      <c r="K36" s="182"/>
      <c r="L36" s="183">
        <v>46258.0</v>
      </c>
      <c r="M36" s="184">
        <v>46262.0</v>
      </c>
      <c r="N36" s="185" t="s">
        <v>141</v>
      </c>
      <c r="O36" s="180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1"/>
      <c r="AC36" s="187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6"/>
      <c r="AO36" s="186"/>
      <c r="AP36" s="181"/>
      <c r="AQ36" s="180"/>
      <c r="AR36" s="186"/>
      <c r="AS36" s="186"/>
      <c r="AT36" s="186"/>
      <c r="AU36" s="186"/>
      <c r="AV36" s="186"/>
      <c r="AW36" s="186"/>
      <c r="AX36" s="188"/>
      <c r="AY36" s="189"/>
      <c r="AZ36" s="188"/>
      <c r="BA36" s="188"/>
      <c r="BB36" s="188"/>
      <c r="BC36" s="186"/>
      <c r="BD36" s="181"/>
      <c r="BE36" s="180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1"/>
      <c r="BS36" s="180"/>
      <c r="BT36" s="186"/>
      <c r="BU36" s="186"/>
      <c r="BV36" s="186"/>
      <c r="BW36" s="186"/>
      <c r="BX36" s="186"/>
      <c r="BY36" s="186"/>
      <c r="BZ36" s="186"/>
      <c r="CA36" s="186"/>
      <c r="CB36" s="186"/>
      <c r="CC36" s="186"/>
      <c r="CD36" s="186"/>
      <c r="CE36" s="186"/>
      <c r="CF36" s="181"/>
      <c r="CG36" s="180"/>
      <c r="CH36" s="186"/>
      <c r="CI36" s="186"/>
      <c r="CJ36" s="186"/>
      <c r="CK36" s="186"/>
      <c r="CL36" s="186"/>
      <c r="CM36" s="186"/>
      <c r="CN36" s="186"/>
      <c r="CO36" s="186"/>
      <c r="CP36" s="186"/>
      <c r="CQ36" s="186"/>
      <c r="CR36" s="186"/>
      <c r="CS36" s="186"/>
      <c r="CT36" s="181"/>
      <c r="CU36" s="182"/>
      <c r="CV36" s="3"/>
    </row>
    <row r="37" ht="16.5" customHeight="1">
      <c r="A37" s="3" t="s">
        <v>124</v>
      </c>
      <c r="B37" s="3">
        <v>29.0</v>
      </c>
      <c r="C37" s="3" t="s">
        <v>192</v>
      </c>
      <c r="D37" s="5" t="s">
        <v>193</v>
      </c>
      <c r="E37" s="53" t="str">
        <f t="shared" ref="E37:H37" si="33">IF(A37&lt;&gt;"", IF(A37=A36, "", A37), "")</f>
        <v/>
      </c>
      <c r="F37" s="81">
        <f t="shared" si="33"/>
        <v>29</v>
      </c>
      <c r="G37" s="82" t="str">
        <f t="shared" si="33"/>
        <v>本番リリース</v>
      </c>
      <c r="H37" s="83" t="str">
        <f t="shared" si="33"/>
        <v>本番情報設定（役割グループ、Ranger、Job）ホンバンジョウホウセッテイヤクワリ</v>
      </c>
      <c r="I37" s="57" t="s">
        <v>154</v>
      </c>
      <c r="J37" s="58"/>
      <c r="K37" s="59"/>
      <c r="L37" s="26">
        <v>46258.0</v>
      </c>
      <c r="M37" s="30">
        <v>46262.0</v>
      </c>
      <c r="N37" s="60" t="s">
        <v>141</v>
      </c>
      <c r="O37" s="57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58"/>
      <c r="AC37" s="63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58"/>
      <c r="AQ37" s="57"/>
      <c r="AR37" s="61"/>
      <c r="AS37" s="61"/>
      <c r="AT37" s="61"/>
      <c r="AU37" s="61"/>
      <c r="AV37" s="61"/>
      <c r="AW37" s="61"/>
      <c r="AX37" s="66"/>
      <c r="AY37" s="67"/>
      <c r="AZ37" s="66"/>
      <c r="BA37" s="66"/>
      <c r="BB37" s="66"/>
      <c r="BC37" s="61"/>
      <c r="BD37" s="58"/>
      <c r="BE37" s="57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58"/>
      <c r="BS37" s="57"/>
      <c r="BT37" s="61"/>
      <c r="BU37" s="61"/>
      <c r="BV37" s="61"/>
      <c r="BW37" s="61"/>
      <c r="BX37" s="61"/>
      <c r="BY37" s="61"/>
      <c r="BZ37" s="61"/>
      <c r="CA37" s="61"/>
      <c r="CB37" s="61"/>
      <c r="CC37" s="61"/>
      <c r="CD37" s="61"/>
      <c r="CE37" s="61"/>
      <c r="CF37" s="58"/>
      <c r="CG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58"/>
      <c r="CU37" s="59"/>
      <c r="CV37" s="3"/>
    </row>
    <row r="38" ht="16.5" customHeight="1">
      <c r="A38" s="3" t="s">
        <v>124</v>
      </c>
      <c r="B38" s="3">
        <v>30.0</v>
      </c>
      <c r="C38" s="3" t="s">
        <v>192</v>
      </c>
      <c r="D38" s="5" t="s">
        <v>194</v>
      </c>
      <c r="E38" s="190" t="str">
        <f t="shared" ref="E38:H38" si="34">IF(A38&lt;&gt;"", IF(A38=A37, "", A38), "")</f>
        <v/>
      </c>
      <c r="F38" s="94">
        <f t="shared" si="34"/>
        <v>30</v>
      </c>
      <c r="G38" s="95" t="str">
        <f t="shared" si="34"/>
        <v/>
      </c>
      <c r="H38" s="96" t="str">
        <f t="shared" si="34"/>
        <v>リリース準備と実施</v>
      </c>
      <c r="I38" s="97" t="s">
        <v>127</v>
      </c>
      <c r="J38" s="98" t="s">
        <v>127</v>
      </c>
      <c r="K38" s="99" t="s">
        <v>107</v>
      </c>
      <c r="L38" s="100">
        <v>46258.0</v>
      </c>
      <c r="M38" s="101">
        <v>46262.0</v>
      </c>
      <c r="N38" s="102" t="s">
        <v>141</v>
      </c>
      <c r="O38" s="97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98"/>
      <c r="AC38" s="104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O38" s="103"/>
      <c r="AP38" s="98"/>
      <c r="AQ38" s="97"/>
      <c r="AR38" s="103"/>
      <c r="AS38" s="103"/>
      <c r="AT38" s="103"/>
      <c r="AU38" s="103"/>
      <c r="AV38" s="103"/>
      <c r="AW38" s="103"/>
      <c r="AX38" s="105"/>
      <c r="AY38" s="106"/>
      <c r="AZ38" s="105"/>
      <c r="BA38" s="105"/>
      <c r="BB38" s="105"/>
      <c r="BC38" s="103"/>
      <c r="BD38" s="98"/>
      <c r="BE38" s="97"/>
      <c r="BF38" s="103"/>
      <c r="BG38" s="103"/>
      <c r="BH38" s="103"/>
      <c r="BI38" s="103"/>
      <c r="BJ38" s="103"/>
      <c r="BK38" s="103"/>
      <c r="BL38" s="103"/>
      <c r="BM38" s="103"/>
      <c r="BN38" s="103"/>
      <c r="BO38" s="103"/>
      <c r="BP38" s="103"/>
      <c r="BQ38" s="103"/>
      <c r="BR38" s="98"/>
      <c r="BS38" s="97"/>
      <c r="BT38" s="103"/>
      <c r="BU38" s="103"/>
      <c r="BV38" s="103"/>
      <c r="BW38" s="103"/>
      <c r="BX38" s="103"/>
      <c r="BY38" s="103"/>
      <c r="BZ38" s="103"/>
      <c r="CA38" s="103"/>
      <c r="CB38" s="103"/>
      <c r="CC38" s="103"/>
      <c r="CD38" s="103"/>
      <c r="CE38" s="103"/>
      <c r="CF38" s="98"/>
      <c r="CG38" s="97"/>
      <c r="CH38" s="103"/>
      <c r="CI38" s="103"/>
      <c r="CJ38" s="103"/>
      <c r="CK38" s="103"/>
      <c r="CL38" s="103"/>
      <c r="CM38" s="103"/>
      <c r="CN38" s="103"/>
      <c r="CO38" s="103"/>
      <c r="CP38" s="103"/>
      <c r="CQ38" s="103"/>
      <c r="CR38" s="103"/>
      <c r="CS38" s="103"/>
      <c r="CT38" s="98"/>
      <c r="CU38" s="99"/>
      <c r="CV38" s="3"/>
    </row>
    <row r="39" ht="16.5" customHeight="1">
      <c r="A39" s="3"/>
      <c r="B39" s="3" t="str">
        <f t="shared" ref="B39:B203" si="36">IF(C39&lt;&gt;"", ROW()-4, "")</f>
        <v/>
      </c>
      <c r="C39" s="3"/>
      <c r="D39" s="5"/>
      <c r="E39" s="3" t="str">
        <f t="shared" ref="E39:H39" si="35">IF(A39&lt;&gt;"", IF(A39=A38, "", A39), "")</f>
        <v/>
      </c>
      <c r="F39" s="191" t="str">
        <f t="shared" si="35"/>
        <v/>
      </c>
      <c r="G39" s="3" t="str">
        <f t="shared" si="35"/>
        <v/>
      </c>
      <c r="H39" s="5" t="str">
        <f t="shared" si="35"/>
        <v/>
      </c>
      <c r="I39" s="3"/>
      <c r="J39" s="3"/>
      <c r="K39" s="3"/>
      <c r="L39" s="192"/>
      <c r="M39" s="192"/>
      <c r="N39" s="19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</row>
    <row r="40" ht="16.5" customHeight="1">
      <c r="A40" s="3"/>
      <c r="B40" s="3" t="str">
        <f t="shared" si="36"/>
        <v/>
      </c>
      <c r="C40" s="3"/>
      <c r="D40" s="5"/>
      <c r="E40" s="3" t="str">
        <f t="shared" ref="E40:H40" si="37">IF(A40&lt;&gt;"", IF(A40=A39, "", A40), "")</f>
        <v/>
      </c>
      <c r="F40" s="191" t="str">
        <f t="shared" si="37"/>
        <v/>
      </c>
      <c r="G40" s="3" t="str">
        <f t="shared" si="37"/>
        <v/>
      </c>
      <c r="H40" s="5" t="str">
        <f t="shared" si="37"/>
        <v/>
      </c>
      <c r="I40" s="3"/>
      <c r="J40" s="3"/>
      <c r="K40" s="3"/>
      <c r="L40" s="192"/>
      <c r="M40" s="192"/>
      <c r="N40" s="19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</row>
    <row r="41" ht="16.5" customHeight="1">
      <c r="A41" s="3"/>
      <c r="B41" s="3" t="str">
        <f t="shared" si="36"/>
        <v/>
      </c>
      <c r="C41" s="3"/>
      <c r="D41" s="5"/>
      <c r="E41" s="3" t="str">
        <f t="shared" ref="E41:G41" si="38">IF(A41&lt;&gt;"", IF(A41=A40, "", A41), "")</f>
        <v/>
      </c>
      <c r="F41" s="191" t="str">
        <f t="shared" si="38"/>
        <v/>
      </c>
      <c r="G41" s="3" t="str">
        <f t="shared" si="38"/>
        <v/>
      </c>
      <c r="H41" s="3"/>
      <c r="I41" s="3"/>
      <c r="J41" s="3"/>
      <c r="K41" s="3"/>
      <c r="L41" s="192"/>
      <c r="M41" s="192"/>
      <c r="N41" s="19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</row>
    <row r="42" ht="16.5" customHeight="1">
      <c r="A42" s="3"/>
      <c r="B42" s="3" t="str">
        <f t="shared" si="36"/>
        <v/>
      </c>
      <c r="C42" s="3"/>
      <c r="D42" s="5"/>
      <c r="E42" s="3" t="str">
        <f t="shared" ref="E42:G42" si="39">IF(A42&lt;&gt;"", IF(A42=A41, "", A42), "")</f>
        <v/>
      </c>
      <c r="F42" s="191" t="str">
        <f t="shared" si="39"/>
        <v/>
      </c>
      <c r="G42" s="3" t="str">
        <f t="shared" si="39"/>
        <v/>
      </c>
      <c r="H42" s="5"/>
      <c r="I42" s="3"/>
      <c r="J42" s="3"/>
      <c r="K42" s="3"/>
      <c r="L42" s="192"/>
      <c r="M42" s="192"/>
      <c r="N42" s="19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</row>
    <row r="43" ht="16.5" customHeight="1">
      <c r="A43" s="3"/>
      <c r="B43" s="3" t="str">
        <f t="shared" si="36"/>
        <v/>
      </c>
      <c r="C43" s="3"/>
      <c r="D43" s="5"/>
      <c r="E43" s="3" t="str">
        <f t="shared" ref="E43:G43" si="40">IF(A43&lt;&gt;"", IF(A43=A42, "", A43), "")</f>
        <v/>
      </c>
      <c r="F43" s="191" t="str">
        <f t="shared" si="40"/>
        <v/>
      </c>
      <c r="G43" s="3" t="str">
        <f t="shared" si="40"/>
        <v/>
      </c>
      <c r="H43" s="5"/>
      <c r="I43" s="3"/>
      <c r="J43" s="3"/>
      <c r="K43" s="3"/>
      <c r="L43" s="192"/>
      <c r="M43" s="192"/>
      <c r="N43" s="19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</row>
    <row r="44" ht="16.5" customHeight="1">
      <c r="A44" s="3"/>
      <c r="B44" s="3" t="str">
        <f t="shared" si="36"/>
        <v/>
      </c>
      <c r="C44" s="3"/>
      <c r="D44" s="5"/>
      <c r="E44" s="3" t="str">
        <f t="shared" ref="E44:G44" si="41">IF(A44&lt;&gt;"", IF(A44=A43, "", A44), "")</f>
        <v/>
      </c>
      <c r="F44" s="191" t="str">
        <f t="shared" si="41"/>
        <v/>
      </c>
      <c r="G44" s="3" t="str">
        <f t="shared" si="41"/>
        <v/>
      </c>
      <c r="H44" s="5"/>
      <c r="I44" s="3"/>
      <c r="J44" s="3"/>
      <c r="K44" s="3"/>
      <c r="L44" s="192"/>
      <c r="M44" s="192"/>
      <c r="N44" s="19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</row>
    <row r="45" ht="16.5" customHeight="1">
      <c r="A45" s="3"/>
      <c r="B45" s="3" t="str">
        <f t="shared" si="36"/>
        <v/>
      </c>
      <c r="C45" s="3"/>
      <c r="D45" s="5"/>
      <c r="E45" s="3" t="str">
        <f t="shared" ref="E45:H45" si="42">IF(A45&lt;&gt;"", IF(A45=A44, "", A45), "")</f>
        <v/>
      </c>
      <c r="F45" s="191" t="str">
        <f t="shared" si="42"/>
        <v/>
      </c>
      <c r="G45" s="3" t="str">
        <f t="shared" si="42"/>
        <v/>
      </c>
      <c r="H45" s="5" t="str">
        <f t="shared" si="42"/>
        <v/>
      </c>
      <c r="I45" s="3"/>
      <c r="J45" s="3"/>
      <c r="K45" s="3"/>
      <c r="L45" s="192"/>
      <c r="M45" s="192"/>
      <c r="N45" s="19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</row>
    <row r="46" ht="16.5" customHeight="1">
      <c r="A46" s="3"/>
      <c r="B46" s="3" t="str">
        <f t="shared" si="36"/>
        <v/>
      </c>
      <c r="C46" s="3"/>
      <c r="D46" s="5"/>
      <c r="E46" s="3" t="str">
        <f t="shared" ref="E46:H46" si="43">IF(A46&lt;&gt;"", IF(A46=A45, "", A46), "")</f>
        <v/>
      </c>
      <c r="F46" s="191" t="str">
        <f t="shared" si="43"/>
        <v/>
      </c>
      <c r="G46" s="3" t="str">
        <f t="shared" si="43"/>
        <v/>
      </c>
      <c r="H46" s="5" t="str">
        <f t="shared" si="43"/>
        <v/>
      </c>
      <c r="I46" s="3"/>
      <c r="J46" s="3"/>
      <c r="K46" s="3"/>
      <c r="L46" s="192"/>
      <c r="M46" s="192"/>
      <c r="N46" s="19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</row>
    <row r="47" ht="16.5" customHeight="1">
      <c r="A47" s="3"/>
      <c r="B47" s="3" t="str">
        <f t="shared" si="36"/>
        <v/>
      </c>
      <c r="C47" s="3"/>
      <c r="D47" s="5"/>
      <c r="E47" s="3" t="str">
        <f t="shared" ref="E47:H47" si="44">IF(A47&lt;&gt;"", IF(A47=A46, "", A47), "")</f>
        <v/>
      </c>
      <c r="F47" s="191" t="str">
        <f t="shared" si="44"/>
        <v/>
      </c>
      <c r="G47" s="3" t="str">
        <f t="shared" si="44"/>
        <v/>
      </c>
      <c r="H47" s="5" t="str">
        <f t="shared" si="44"/>
        <v/>
      </c>
      <c r="I47" s="3"/>
      <c r="J47" s="3"/>
      <c r="K47" s="3"/>
      <c r="L47" s="192"/>
      <c r="M47" s="192"/>
      <c r="N47" s="19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</row>
    <row r="48" ht="16.5" customHeight="1">
      <c r="A48" s="3"/>
      <c r="B48" s="3" t="str">
        <f t="shared" si="36"/>
        <v/>
      </c>
      <c r="C48" s="3"/>
      <c r="D48" s="5"/>
      <c r="E48" s="3" t="str">
        <f t="shared" ref="E48:H48" si="45">IF(A48&lt;&gt;"", IF(A48=A47, "", A48), "")</f>
        <v/>
      </c>
      <c r="F48" s="191" t="str">
        <f t="shared" si="45"/>
        <v/>
      </c>
      <c r="G48" s="3" t="str">
        <f t="shared" si="45"/>
        <v/>
      </c>
      <c r="H48" s="5" t="str">
        <f t="shared" si="45"/>
        <v/>
      </c>
      <c r="I48" s="3"/>
      <c r="J48" s="3"/>
      <c r="K48" s="3"/>
      <c r="L48" s="192"/>
      <c r="M48" s="192"/>
      <c r="N48" s="19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</row>
    <row r="49" ht="16.5" customHeight="1">
      <c r="A49" s="3"/>
      <c r="B49" s="3" t="str">
        <f t="shared" si="36"/>
        <v/>
      </c>
      <c r="C49" s="3"/>
      <c r="D49" s="5"/>
      <c r="E49" s="3" t="str">
        <f t="shared" ref="E49:H49" si="46">IF(A49&lt;&gt;"", IF(A49=A48, "", A49), "")</f>
        <v/>
      </c>
      <c r="F49" s="191" t="str">
        <f t="shared" si="46"/>
        <v/>
      </c>
      <c r="G49" s="3" t="str">
        <f t="shared" si="46"/>
        <v/>
      </c>
      <c r="H49" s="5" t="str">
        <f t="shared" si="46"/>
        <v/>
      </c>
      <c r="I49" s="3"/>
      <c r="J49" s="3"/>
      <c r="K49" s="3"/>
      <c r="L49" s="192"/>
      <c r="M49" s="192"/>
      <c r="N49" s="19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</row>
    <row r="50" ht="16.5" customHeight="1">
      <c r="A50" s="3"/>
      <c r="B50" s="3" t="str">
        <f t="shared" si="36"/>
        <v/>
      </c>
      <c r="C50" s="3"/>
      <c r="D50" s="5"/>
      <c r="E50" s="3" t="str">
        <f t="shared" ref="E50:H50" si="47">IF(A50&lt;&gt;"", IF(A50=A49, "", A50), "")</f>
        <v/>
      </c>
      <c r="F50" s="191" t="str">
        <f t="shared" si="47"/>
        <v/>
      </c>
      <c r="G50" s="3" t="str">
        <f t="shared" si="47"/>
        <v/>
      </c>
      <c r="H50" s="5" t="str">
        <f t="shared" si="47"/>
        <v/>
      </c>
      <c r="I50" s="3"/>
      <c r="J50" s="3"/>
      <c r="K50" s="3"/>
      <c r="L50" s="192"/>
      <c r="M50" s="192"/>
      <c r="N50" s="19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</row>
    <row r="51" ht="16.5" customHeight="1">
      <c r="A51" s="3"/>
      <c r="B51" s="3" t="str">
        <f t="shared" si="36"/>
        <v/>
      </c>
      <c r="C51" s="3"/>
      <c r="D51" s="5"/>
      <c r="E51" s="3" t="str">
        <f t="shared" ref="E51:H51" si="48">IF(A51&lt;&gt;"", IF(A51=A50, "", A51), "")</f>
        <v/>
      </c>
      <c r="F51" s="191" t="str">
        <f t="shared" si="48"/>
        <v/>
      </c>
      <c r="G51" s="3" t="str">
        <f t="shared" si="48"/>
        <v/>
      </c>
      <c r="H51" s="5" t="str">
        <f t="shared" si="48"/>
        <v/>
      </c>
      <c r="I51" s="3"/>
      <c r="J51" s="3"/>
      <c r="K51" s="3"/>
      <c r="L51" s="192"/>
      <c r="M51" s="192"/>
      <c r="N51" s="19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</row>
    <row r="52" ht="16.5" customHeight="1">
      <c r="A52" s="3"/>
      <c r="B52" s="3" t="str">
        <f t="shared" si="36"/>
        <v/>
      </c>
      <c r="C52" s="3"/>
      <c r="D52" s="5"/>
      <c r="E52" s="3" t="str">
        <f t="shared" ref="E52:H52" si="49">IF(A52&lt;&gt;"", IF(A52=A51, "", A52), "")</f>
        <v/>
      </c>
      <c r="F52" s="191" t="str">
        <f t="shared" si="49"/>
        <v/>
      </c>
      <c r="G52" s="3" t="str">
        <f t="shared" si="49"/>
        <v/>
      </c>
      <c r="H52" s="5" t="str">
        <f t="shared" si="49"/>
        <v/>
      </c>
      <c r="I52" s="3"/>
      <c r="J52" s="3"/>
      <c r="K52" s="3"/>
      <c r="L52" s="192"/>
      <c r="M52" s="192"/>
      <c r="N52" s="19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</row>
    <row r="53" ht="16.5" customHeight="1">
      <c r="A53" s="3"/>
      <c r="B53" s="3" t="str">
        <f t="shared" si="36"/>
        <v/>
      </c>
      <c r="C53" s="3"/>
      <c r="D53" s="5"/>
      <c r="E53" s="3" t="str">
        <f t="shared" ref="E53:H53" si="50">IF(A53&lt;&gt;"", IF(A53=A52, "", A53), "")</f>
        <v/>
      </c>
      <c r="F53" s="191" t="str">
        <f t="shared" si="50"/>
        <v/>
      </c>
      <c r="G53" s="3" t="str">
        <f t="shared" si="50"/>
        <v/>
      </c>
      <c r="H53" s="5" t="str">
        <f t="shared" si="50"/>
        <v/>
      </c>
      <c r="I53" s="3"/>
      <c r="J53" s="3"/>
      <c r="K53" s="3"/>
      <c r="L53" s="192"/>
      <c r="M53" s="192"/>
      <c r="N53" s="19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</row>
    <row r="54" ht="16.5" customHeight="1">
      <c r="A54" s="3"/>
      <c r="B54" s="3" t="str">
        <f t="shared" si="36"/>
        <v/>
      </c>
      <c r="C54" s="3"/>
      <c r="D54" s="5"/>
      <c r="E54" s="3" t="str">
        <f t="shared" ref="E54:H54" si="51">IF(A54&lt;&gt;"", IF(A54=A53, "", A54), "")</f>
        <v/>
      </c>
      <c r="F54" s="191" t="str">
        <f t="shared" si="51"/>
        <v/>
      </c>
      <c r="G54" s="3" t="str">
        <f t="shared" si="51"/>
        <v/>
      </c>
      <c r="H54" s="5" t="str">
        <f t="shared" si="51"/>
        <v/>
      </c>
      <c r="I54" s="3"/>
      <c r="J54" s="3"/>
      <c r="K54" s="3"/>
      <c r="L54" s="192"/>
      <c r="M54" s="192"/>
      <c r="N54" s="19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</row>
    <row r="55" ht="16.5" customHeight="1">
      <c r="A55" s="3"/>
      <c r="B55" s="3" t="str">
        <f t="shared" si="36"/>
        <v/>
      </c>
      <c r="C55" s="3"/>
      <c r="D55" s="5"/>
      <c r="E55" s="3" t="str">
        <f t="shared" ref="E55:H55" si="52">IF(A55&lt;&gt;"", IF(A55=A54, "", A55), "")</f>
        <v/>
      </c>
      <c r="F55" s="191" t="str">
        <f t="shared" si="52"/>
        <v/>
      </c>
      <c r="G55" s="3" t="str">
        <f t="shared" si="52"/>
        <v/>
      </c>
      <c r="H55" s="5" t="str">
        <f t="shared" si="52"/>
        <v/>
      </c>
      <c r="I55" s="3"/>
      <c r="J55" s="3"/>
      <c r="K55" s="3"/>
      <c r="L55" s="192"/>
      <c r="M55" s="192"/>
      <c r="N55" s="19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</row>
    <row r="56" ht="16.5" customHeight="1">
      <c r="A56" s="3"/>
      <c r="B56" s="3" t="str">
        <f t="shared" si="36"/>
        <v/>
      </c>
      <c r="C56" s="3"/>
      <c r="D56" s="5"/>
      <c r="E56" s="3" t="str">
        <f t="shared" ref="E56:H56" si="53">IF(A56&lt;&gt;"", IF(A56=A55, "", A56), "")</f>
        <v/>
      </c>
      <c r="F56" s="191" t="str">
        <f t="shared" si="53"/>
        <v/>
      </c>
      <c r="G56" s="3" t="str">
        <f t="shared" si="53"/>
        <v/>
      </c>
      <c r="H56" s="5" t="str">
        <f t="shared" si="53"/>
        <v/>
      </c>
      <c r="I56" s="3"/>
      <c r="J56" s="3"/>
      <c r="K56" s="3"/>
      <c r="L56" s="192"/>
      <c r="M56" s="192"/>
      <c r="N56" s="19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</row>
    <row r="57" ht="16.5" customHeight="1">
      <c r="A57" s="3"/>
      <c r="B57" s="3" t="str">
        <f t="shared" si="36"/>
        <v/>
      </c>
      <c r="C57" s="3"/>
      <c r="D57" s="5"/>
      <c r="E57" s="3" t="str">
        <f t="shared" ref="E57:H57" si="54">IF(A57&lt;&gt;"", IF(A57=A56, "", A57), "")</f>
        <v/>
      </c>
      <c r="F57" s="191" t="str">
        <f t="shared" si="54"/>
        <v/>
      </c>
      <c r="G57" s="3" t="str">
        <f t="shared" si="54"/>
        <v/>
      </c>
      <c r="H57" s="5" t="str">
        <f t="shared" si="54"/>
        <v/>
      </c>
      <c r="I57" s="3"/>
      <c r="J57" s="3"/>
      <c r="K57" s="3"/>
      <c r="L57" s="192"/>
      <c r="M57" s="192"/>
      <c r="N57" s="19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</row>
    <row r="58" ht="16.5" customHeight="1">
      <c r="A58" s="3"/>
      <c r="B58" s="3" t="str">
        <f t="shared" si="36"/>
        <v/>
      </c>
      <c r="C58" s="3"/>
      <c r="D58" s="5"/>
      <c r="E58" s="3" t="str">
        <f t="shared" ref="E58:H58" si="55">IF(A58&lt;&gt;"", IF(A58=A57, "", A58), "")</f>
        <v/>
      </c>
      <c r="F58" s="191" t="str">
        <f t="shared" si="55"/>
        <v/>
      </c>
      <c r="G58" s="3" t="str">
        <f t="shared" si="55"/>
        <v/>
      </c>
      <c r="H58" s="5" t="str">
        <f t="shared" si="55"/>
        <v/>
      </c>
      <c r="I58" s="3"/>
      <c r="J58" s="3"/>
      <c r="K58" s="3"/>
      <c r="L58" s="192"/>
      <c r="M58" s="192"/>
      <c r="N58" s="19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</row>
    <row r="59" ht="16.5" customHeight="1">
      <c r="A59" s="3"/>
      <c r="B59" s="3" t="str">
        <f t="shared" si="36"/>
        <v/>
      </c>
      <c r="C59" s="3"/>
      <c r="D59" s="5"/>
      <c r="E59" s="3" t="str">
        <f t="shared" ref="E59:H59" si="56">IF(A59&lt;&gt;"", IF(A59=A58, "", A59), "")</f>
        <v/>
      </c>
      <c r="F59" s="191" t="str">
        <f t="shared" si="56"/>
        <v/>
      </c>
      <c r="G59" s="3" t="str">
        <f t="shared" si="56"/>
        <v/>
      </c>
      <c r="H59" s="5" t="str">
        <f t="shared" si="56"/>
        <v/>
      </c>
      <c r="I59" s="3"/>
      <c r="J59" s="3"/>
      <c r="K59" s="3"/>
      <c r="L59" s="192"/>
      <c r="M59" s="192"/>
      <c r="N59" s="19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</row>
    <row r="60" ht="16.5" customHeight="1">
      <c r="A60" s="3"/>
      <c r="B60" s="3" t="str">
        <f t="shared" si="36"/>
        <v/>
      </c>
      <c r="C60" s="3"/>
      <c r="D60" s="5"/>
      <c r="E60" s="3" t="str">
        <f t="shared" ref="E60:H60" si="57">IF(A60&lt;&gt;"", IF(A60=A59, "", A60), "")</f>
        <v/>
      </c>
      <c r="F60" s="191" t="str">
        <f t="shared" si="57"/>
        <v/>
      </c>
      <c r="G60" s="3" t="str">
        <f t="shared" si="57"/>
        <v/>
      </c>
      <c r="H60" s="5" t="str">
        <f t="shared" si="57"/>
        <v/>
      </c>
      <c r="I60" s="3"/>
      <c r="J60" s="3"/>
      <c r="K60" s="3"/>
      <c r="L60" s="192"/>
      <c r="M60" s="192"/>
      <c r="N60" s="19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</row>
    <row r="61" ht="16.5" customHeight="1">
      <c r="A61" s="3"/>
      <c r="B61" s="3" t="str">
        <f t="shared" si="36"/>
        <v/>
      </c>
      <c r="C61" s="3"/>
      <c r="D61" s="5"/>
      <c r="E61" s="3" t="str">
        <f t="shared" ref="E61:H61" si="58">IF(A61&lt;&gt;"", IF(A61=A60, "", A61), "")</f>
        <v/>
      </c>
      <c r="F61" s="191" t="str">
        <f t="shared" si="58"/>
        <v/>
      </c>
      <c r="G61" s="3" t="str">
        <f t="shared" si="58"/>
        <v/>
      </c>
      <c r="H61" s="5" t="str">
        <f t="shared" si="58"/>
        <v/>
      </c>
      <c r="I61" s="3"/>
      <c r="J61" s="3"/>
      <c r="K61" s="3"/>
      <c r="L61" s="192"/>
      <c r="M61" s="192"/>
      <c r="N61" s="19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</row>
    <row r="62" ht="16.5" customHeight="1">
      <c r="A62" s="3"/>
      <c r="B62" s="3" t="str">
        <f t="shared" si="36"/>
        <v/>
      </c>
      <c r="C62" s="3"/>
      <c r="D62" s="5"/>
      <c r="E62" s="3" t="str">
        <f t="shared" ref="E62:H62" si="59">IF(A62&lt;&gt;"", IF(A62=A61, "", A62), "")</f>
        <v/>
      </c>
      <c r="F62" s="191" t="str">
        <f t="shared" si="59"/>
        <v/>
      </c>
      <c r="G62" s="3" t="str">
        <f t="shared" si="59"/>
        <v/>
      </c>
      <c r="H62" s="5" t="str">
        <f t="shared" si="59"/>
        <v/>
      </c>
      <c r="I62" s="3"/>
      <c r="J62" s="3"/>
      <c r="K62" s="3"/>
      <c r="L62" s="192"/>
      <c r="M62" s="192"/>
      <c r="N62" s="19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</row>
    <row r="63" ht="16.5" customHeight="1">
      <c r="A63" s="3"/>
      <c r="B63" s="3" t="str">
        <f t="shared" si="36"/>
        <v/>
      </c>
      <c r="C63" s="3"/>
      <c r="D63" s="5"/>
      <c r="E63" s="3" t="str">
        <f t="shared" ref="E63:H63" si="60">IF(A63&lt;&gt;"", IF(A63=A62, "", A63), "")</f>
        <v/>
      </c>
      <c r="F63" s="191" t="str">
        <f t="shared" si="60"/>
        <v/>
      </c>
      <c r="G63" s="3" t="str">
        <f t="shared" si="60"/>
        <v/>
      </c>
      <c r="H63" s="5" t="str">
        <f t="shared" si="60"/>
        <v/>
      </c>
      <c r="I63" s="3"/>
      <c r="J63" s="3"/>
      <c r="K63" s="3"/>
      <c r="L63" s="192"/>
      <c r="M63" s="192"/>
      <c r="N63" s="19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</row>
    <row r="64" ht="16.5" customHeight="1">
      <c r="A64" s="3"/>
      <c r="B64" s="3" t="str">
        <f t="shared" si="36"/>
        <v/>
      </c>
      <c r="C64" s="3"/>
      <c r="D64" s="5"/>
      <c r="E64" s="3" t="str">
        <f t="shared" ref="E64:H64" si="61">IF(A64&lt;&gt;"", IF(A64=A63, "", A64), "")</f>
        <v/>
      </c>
      <c r="F64" s="191" t="str">
        <f t="shared" si="61"/>
        <v/>
      </c>
      <c r="G64" s="3" t="str">
        <f t="shared" si="61"/>
        <v/>
      </c>
      <c r="H64" s="5" t="str">
        <f t="shared" si="61"/>
        <v/>
      </c>
      <c r="I64" s="3"/>
      <c r="J64" s="3"/>
      <c r="K64" s="3"/>
      <c r="L64" s="192"/>
      <c r="M64" s="192"/>
      <c r="N64" s="19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</row>
    <row r="65" ht="16.5" customHeight="1">
      <c r="A65" s="3"/>
      <c r="B65" s="3" t="str">
        <f t="shared" si="36"/>
        <v/>
      </c>
      <c r="C65" s="3"/>
      <c r="D65" s="5"/>
      <c r="E65" s="3" t="str">
        <f t="shared" ref="E65:H65" si="62">IF(A65&lt;&gt;"", IF(A65=A64, "", A65), "")</f>
        <v/>
      </c>
      <c r="F65" s="191" t="str">
        <f t="shared" si="62"/>
        <v/>
      </c>
      <c r="G65" s="3" t="str">
        <f t="shared" si="62"/>
        <v/>
      </c>
      <c r="H65" s="5" t="str">
        <f t="shared" si="62"/>
        <v/>
      </c>
      <c r="I65" s="3"/>
      <c r="J65" s="3"/>
      <c r="K65" s="3"/>
      <c r="L65" s="192"/>
      <c r="M65" s="192"/>
      <c r="N65" s="19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</row>
    <row r="66" ht="16.5" customHeight="1">
      <c r="A66" s="3"/>
      <c r="B66" s="3" t="str">
        <f t="shared" si="36"/>
        <v/>
      </c>
      <c r="C66" s="3"/>
      <c r="D66" s="5"/>
      <c r="E66" s="3" t="str">
        <f t="shared" ref="E66:H66" si="63">IF(A66&lt;&gt;"", IF(A66=A65, "", A66), "")</f>
        <v/>
      </c>
      <c r="F66" s="191" t="str">
        <f t="shared" si="63"/>
        <v/>
      </c>
      <c r="G66" s="3" t="str">
        <f t="shared" si="63"/>
        <v/>
      </c>
      <c r="H66" s="5" t="str">
        <f t="shared" si="63"/>
        <v/>
      </c>
      <c r="I66" s="3"/>
      <c r="J66" s="3"/>
      <c r="K66" s="3"/>
      <c r="L66" s="192"/>
      <c r="M66" s="192"/>
      <c r="N66" s="19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</row>
    <row r="67" ht="16.5" customHeight="1">
      <c r="A67" s="3"/>
      <c r="B67" s="3" t="str">
        <f t="shared" si="36"/>
        <v/>
      </c>
      <c r="C67" s="3"/>
      <c r="D67" s="5"/>
      <c r="E67" s="3" t="str">
        <f t="shared" ref="E67:H67" si="64">IF(A67&lt;&gt;"", IF(A67=A66, "", A67), "")</f>
        <v/>
      </c>
      <c r="F67" s="191" t="str">
        <f t="shared" si="64"/>
        <v/>
      </c>
      <c r="G67" s="3" t="str">
        <f t="shared" si="64"/>
        <v/>
      </c>
      <c r="H67" s="5" t="str">
        <f t="shared" si="64"/>
        <v/>
      </c>
      <c r="I67" s="3"/>
      <c r="J67" s="3"/>
      <c r="K67" s="3"/>
      <c r="L67" s="192"/>
      <c r="M67" s="192"/>
      <c r="N67" s="19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</row>
    <row r="68" ht="16.5" customHeight="1">
      <c r="A68" s="3"/>
      <c r="B68" s="3" t="str">
        <f t="shared" si="36"/>
        <v/>
      </c>
      <c r="C68" s="3"/>
      <c r="D68" s="5"/>
      <c r="E68" s="3" t="str">
        <f t="shared" ref="E68:H68" si="65">IF(A68&lt;&gt;"", IF(A68=A67, "", A68), "")</f>
        <v/>
      </c>
      <c r="F68" s="191" t="str">
        <f t="shared" si="65"/>
        <v/>
      </c>
      <c r="G68" s="3" t="str">
        <f t="shared" si="65"/>
        <v/>
      </c>
      <c r="H68" s="5" t="str">
        <f t="shared" si="65"/>
        <v/>
      </c>
      <c r="I68" s="3"/>
      <c r="J68" s="3"/>
      <c r="K68" s="3"/>
      <c r="L68" s="192"/>
      <c r="M68" s="192"/>
      <c r="N68" s="19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</row>
    <row r="69" ht="16.5" customHeight="1">
      <c r="A69" s="3"/>
      <c r="B69" s="3" t="str">
        <f t="shared" si="36"/>
        <v/>
      </c>
      <c r="C69" s="3"/>
      <c r="D69" s="5"/>
      <c r="E69" s="3" t="str">
        <f t="shared" ref="E69:H69" si="66">IF(A69&lt;&gt;"", IF(A69=A68, "", A69), "")</f>
        <v/>
      </c>
      <c r="F69" s="191" t="str">
        <f t="shared" si="66"/>
        <v/>
      </c>
      <c r="G69" s="3" t="str">
        <f t="shared" si="66"/>
        <v/>
      </c>
      <c r="H69" s="5" t="str">
        <f t="shared" si="66"/>
        <v/>
      </c>
      <c r="I69" s="3"/>
      <c r="J69" s="3"/>
      <c r="K69" s="3"/>
      <c r="L69" s="192"/>
      <c r="M69" s="192"/>
      <c r="N69" s="19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</row>
    <row r="70" ht="16.5" customHeight="1">
      <c r="A70" s="3"/>
      <c r="B70" s="3" t="str">
        <f t="shared" si="36"/>
        <v/>
      </c>
      <c r="C70" s="3"/>
      <c r="D70" s="5"/>
      <c r="E70" s="3" t="str">
        <f t="shared" ref="E70:H70" si="67">IF(A70&lt;&gt;"", IF(A70=A69, "", A70), "")</f>
        <v/>
      </c>
      <c r="F70" s="191" t="str">
        <f t="shared" si="67"/>
        <v/>
      </c>
      <c r="G70" s="3" t="str">
        <f t="shared" si="67"/>
        <v/>
      </c>
      <c r="H70" s="5" t="str">
        <f t="shared" si="67"/>
        <v/>
      </c>
      <c r="I70" s="3"/>
      <c r="J70" s="3"/>
      <c r="K70" s="3"/>
      <c r="L70" s="192"/>
      <c r="M70" s="192"/>
      <c r="N70" s="19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</row>
    <row r="71" ht="16.5" customHeight="1">
      <c r="A71" s="3"/>
      <c r="B71" s="3" t="str">
        <f t="shared" si="36"/>
        <v/>
      </c>
      <c r="C71" s="3"/>
      <c r="D71" s="5"/>
      <c r="E71" s="3" t="str">
        <f t="shared" ref="E71:H71" si="68">IF(A71&lt;&gt;"", IF(A71=A70, "", A71), "")</f>
        <v/>
      </c>
      <c r="F71" s="191" t="str">
        <f t="shared" si="68"/>
        <v/>
      </c>
      <c r="G71" s="3" t="str">
        <f t="shared" si="68"/>
        <v/>
      </c>
      <c r="H71" s="5" t="str">
        <f t="shared" si="68"/>
        <v/>
      </c>
      <c r="I71" s="3"/>
      <c r="J71" s="3"/>
      <c r="K71" s="3"/>
      <c r="L71" s="192"/>
      <c r="M71" s="192"/>
      <c r="N71" s="19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</row>
    <row r="72" ht="16.5" customHeight="1">
      <c r="A72" s="3"/>
      <c r="B72" s="3" t="str">
        <f t="shared" si="36"/>
        <v/>
      </c>
      <c r="C72" s="3"/>
      <c r="D72" s="5"/>
      <c r="E72" s="3" t="str">
        <f t="shared" ref="E72:H72" si="69">IF(A72&lt;&gt;"", IF(A72=A71, "", A72), "")</f>
        <v/>
      </c>
      <c r="F72" s="191" t="str">
        <f t="shared" si="69"/>
        <v/>
      </c>
      <c r="G72" s="3" t="str">
        <f t="shared" si="69"/>
        <v/>
      </c>
      <c r="H72" s="5" t="str">
        <f t="shared" si="69"/>
        <v/>
      </c>
      <c r="I72" s="3"/>
      <c r="J72" s="3"/>
      <c r="K72" s="3"/>
      <c r="L72" s="192"/>
      <c r="M72" s="192"/>
      <c r="N72" s="19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</row>
    <row r="73" ht="16.5" customHeight="1">
      <c r="A73" s="3"/>
      <c r="B73" s="3" t="str">
        <f t="shared" si="36"/>
        <v/>
      </c>
      <c r="C73" s="3"/>
      <c r="D73" s="5"/>
      <c r="E73" s="3" t="str">
        <f t="shared" ref="E73:H73" si="70">IF(A73&lt;&gt;"", IF(A73=A72, "", A73), "")</f>
        <v/>
      </c>
      <c r="F73" s="191" t="str">
        <f t="shared" si="70"/>
        <v/>
      </c>
      <c r="G73" s="3" t="str">
        <f t="shared" si="70"/>
        <v/>
      </c>
      <c r="H73" s="5" t="str">
        <f t="shared" si="70"/>
        <v/>
      </c>
      <c r="I73" s="3"/>
      <c r="J73" s="3"/>
      <c r="K73" s="3"/>
      <c r="L73" s="192"/>
      <c r="M73" s="192"/>
      <c r="N73" s="19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</row>
    <row r="74" ht="16.5" customHeight="1">
      <c r="A74" s="3"/>
      <c r="B74" s="3" t="str">
        <f t="shared" si="36"/>
        <v/>
      </c>
      <c r="C74" s="3"/>
      <c r="D74" s="5"/>
      <c r="E74" s="3" t="str">
        <f t="shared" ref="E74:H74" si="71">IF(A74&lt;&gt;"", IF(A74=A73, "", A74), "")</f>
        <v/>
      </c>
      <c r="F74" s="191" t="str">
        <f t="shared" si="71"/>
        <v/>
      </c>
      <c r="G74" s="3" t="str">
        <f t="shared" si="71"/>
        <v/>
      </c>
      <c r="H74" s="5" t="str">
        <f t="shared" si="71"/>
        <v/>
      </c>
      <c r="I74" s="3"/>
      <c r="J74" s="3"/>
      <c r="K74" s="3"/>
      <c r="L74" s="192"/>
      <c r="M74" s="192"/>
      <c r="N74" s="19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</row>
    <row r="75" ht="16.5" customHeight="1">
      <c r="A75" s="3"/>
      <c r="B75" s="3" t="str">
        <f t="shared" si="36"/>
        <v/>
      </c>
      <c r="C75" s="3"/>
      <c r="D75" s="5"/>
      <c r="E75" s="3" t="str">
        <f t="shared" ref="E75:H75" si="72">IF(A75&lt;&gt;"", IF(A75=A74, "", A75), "")</f>
        <v/>
      </c>
      <c r="F75" s="191" t="str">
        <f t="shared" si="72"/>
        <v/>
      </c>
      <c r="G75" s="3" t="str">
        <f t="shared" si="72"/>
        <v/>
      </c>
      <c r="H75" s="5" t="str">
        <f t="shared" si="72"/>
        <v/>
      </c>
      <c r="I75" s="3"/>
      <c r="J75" s="3"/>
      <c r="K75" s="3"/>
      <c r="L75" s="192"/>
      <c r="M75" s="192"/>
      <c r="N75" s="19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</row>
    <row r="76" ht="16.5" customHeight="1">
      <c r="A76" s="3"/>
      <c r="B76" s="3" t="str">
        <f t="shared" si="36"/>
        <v/>
      </c>
      <c r="C76" s="3"/>
      <c r="D76" s="5"/>
      <c r="E76" s="3" t="str">
        <f t="shared" ref="E76:H76" si="73">IF(A76&lt;&gt;"", IF(A76=A75, "", A76), "")</f>
        <v/>
      </c>
      <c r="F76" s="191" t="str">
        <f t="shared" si="73"/>
        <v/>
      </c>
      <c r="G76" s="3" t="str">
        <f t="shared" si="73"/>
        <v/>
      </c>
      <c r="H76" s="5" t="str">
        <f t="shared" si="73"/>
        <v/>
      </c>
      <c r="I76" s="3"/>
      <c r="J76" s="3"/>
      <c r="K76" s="3"/>
      <c r="L76" s="192"/>
      <c r="M76" s="192"/>
      <c r="N76" s="19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</row>
    <row r="77" ht="16.5" customHeight="1">
      <c r="A77" s="3"/>
      <c r="B77" s="3" t="str">
        <f t="shared" si="36"/>
        <v/>
      </c>
      <c r="C77" s="3"/>
      <c r="D77" s="5"/>
      <c r="E77" s="3" t="str">
        <f t="shared" ref="E77:H77" si="74">IF(A77&lt;&gt;"", IF(A77=A76, "", A77), "")</f>
        <v/>
      </c>
      <c r="F77" s="191" t="str">
        <f t="shared" si="74"/>
        <v/>
      </c>
      <c r="G77" s="3" t="str">
        <f t="shared" si="74"/>
        <v/>
      </c>
      <c r="H77" s="5" t="str">
        <f t="shared" si="74"/>
        <v/>
      </c>
      <c r="I77" s="3"/>
      <c r="J77" s="3"/>
      <c r="K77" s="3"/>
      <c r="L77" s="192"/>
      <c r="M77" s="192"/>
      <c r="N77" s="19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</row>
    <row r="78" ht="16.5" customHeight="1">
      <c r="A78" s="3"/>
      <c r="B78" s="3" t="str">
        <f t="shared" si="36"/>
        <v/>
      </c>
      <c r="C78" s="3"/>
      <c r="D78" s="5"/>
      <c r="E78" s="3" t="str">
        <f t="shared" ref="E78:H78" si="75">IF(A78&lt;&gt;"", IF(A78=A77, "", A78), "")</f>
        <v/>
      </c>
      <c r="F78" s="191" t="str">
        <f t="shared" si="75"/>
        <v/>
      </c>
      <c r="G78" s="3" t="str">
        <f t="shared" si="75"/>
        <v/>
      </c>
      <c r="H78" s="5" t="str">
        <f t="shared" si="75"/>
        <v/>
      </c>
      <c r="I78" s="3"/>
      <c r="J78" s="3"/>
      <c r="K78" s="3"/>
      <c r="L78" s="192"/>
      <c r="M78" s="192"/>
      <c r="N78" s="19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</row>
    <row r="79" ht="16.5" customHeight="1">
      <c r="A79" s="3"/>
      <c r="B79" s="3" t="str">
        <f t="shared" si="36"/>
        <v/>
      </c>
      <c r="C79" s="3"/>
      <c r="D79" s="5"/>
      <c r="E79" s="3" t="str">
        <f t="shared" ref="E79:H79" si="76">IF(A79&lt;&gt;"", IF(A79=A78, "", A79), "")</f>
        <v/>
      </c>
      <c r="F79" s="191" t="str">
        <f t="shared" si="76"/>
        <v/>
      </c>
      <c r="G79" s="3" t="str">
        <f t="shared" si="76"/>
        <v/>
      </c>
      <c r="H79" s="5" t="str">
        <f t="shared" si="76"/>
        <v/>
      </c>
      <c r="I79" s="3"/>
      <c r="J79" s="3"/>
      <c r="K79" s="3"/>
      <c r="L79" s="192"/>
      <c r="M79" s="192"/>
      <c r="N79" s="19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</row>
    <row r="80" ht="16.5" customHeight="1">
      <c r="A80" s="3"/>
      <c r="B80" s="3" t="str">
        <f t="shared" si="36"/>
        <v/>
      </c>
      <c r="C80" s="3"/>
      <c r="D80" s="5"/>
      <c r="E80" s="3" t="str">
        <f t="shared" ref="E80:H80" si="77">IF(A80&lt;&gt;"", IF(A80=A79, "", A80), "")</f>
        <v/>
      </c>
      <c r="F80" s="191" t="str">
        <f t="shared" si="77"/>
        <v/>
      </c>
      <c r="G80" s="3" t="str">
        <f t="shared" si="77"/>
        <v/>
      </c>
      <c r="H80" s="5" t="str">
        <f t="shared" si="77"/>
        <v/>
      </c>
      <c r="I80" s="3"/>
      <c r="J80" s="3"/>
      <c r="K80" s="3"/>
      <c r="L80" s="192"/>
      <c r="M80" s="192"/>
      <c r="N80" s="19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</row>
    <row r="81" ht="16.5" customHeight="1">
      <c r="A81" s="3"/>
      <c r="B81" s="3" t="str">
        <f t="shared" si="36"/>
        <v/>
      </c>
      <c r="C81" s="3"/>
      <c r="D81" s="5"/>
      <c r="E81" s="3" t="str">
        <f t="shared" ref="E81:H81" si="78">IF(A81&lt;&gt;"", IF(A81=A80, "", A81), "")</f>
        <v/>
      </c>
      <c r="F81" s="191" t="str">
        <f t="shared" si="78"/>
        <v/>
      </c>
      <c r="G81" s="3" t="str">
        <f t="shared" si="78"/>
        <v/>
      </c>
      <c r="H81" s="5" t="str">
        <f t="shared" si="78"/>
        <v/>
      </c>
      <c r="I81" s="3"/>
      <c r="J81" s="3"/>
      <c r="K81" s="3"/>
      <c r="L81" s="192"/>
      <c r="M81" s="192"/>
      <c r="N81" s="19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</row>
    <row r="82" ht="16.5" customHeight="1">
      <c r="A82" s="3"/>
      <c r="B82" s="3" t="str">
        <f t="shared" si="36"/>
        <v/>
      </c>
      <c r="C82" s="3"/>
      <c r="D82" s="5"/>
      <c r="E82" s="3" t="str">
        <f t="shared" ref="E82:H82" si="79">IF(A82&lt;&gt;"", IF(A82=A81, "", A82), "")</f>
        <v/>
      </c>
      <c r="F82" s="191" t="str">
        <f t="shared" si="79"/>
        <v/>
      </c>
      <c r="G82" s="3" t="str">
        <f t="shared" si="79"/>
        <v/>
      </c>
      <c r="H82" s="5" t="str">
        <f t="shared" si="79"/>
        <v/>
      </c>
      <c r="I82" s="3"/>
      <c r="J82" s="3"/>
      <c r="K82" s="3"/>
      <c r="L82" s="192"/>
      <c r="M82" s="192"/>
      <c r="N82" s="19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</row>
    <row r="83" ht="16.5" customHeight="1">
      <c r="A83" s="3"/>
      <c r="B83" s="3" t="str">
        <f t="shared" si="36"/>
        <v/>
      </c>
      <c r="C83" s="3"/>
      <c r="D83" s="5"/>
      <c r="E83" s="3" t="str">
        <f t="shared" ref="E83:H83" si="80">IF(A83&lt;&gt;"", IF(A83=A82, "", A83), "")</f>
        <v/>
      </c>
      <c r="F83" s="191" t="str">
        <f t="shared" si="80"/>
        <v/>
      </c>
      <c r="G83" s="3" t="str">
        <f t="shared" si="80"/>
        <v/>
      </c>
      <c r="H83" s="5" t="str">
        <f t="shared" si="80"/>
        <v/>
      </c>
      <c r="I83" s="3"/>
      <c r="J83" s="3"/>
      <c r="K83" s="3"/>
      <c r="L83" s="192"/>
      <c r="M83" s="192"/>
      <c r="N83" s="19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</row>
    <row r="84" ht="16.5" customHeight="1">
      <c r="A84" s="3"/>
      <c r="B84" s="3" t="str">
        <f t="shared" si="36"/>
        <v/>
      </c>
      <c r="C84" s="3"/>
      <c r="D84" s="5"/>
      <c r="E84" s="3" t="str">
        <f t="shared" ref="E84:H84" si="81">IF(A84&lt;&gt;"", IF(A84=A83, "", A84), "")</f>
        <v/>
      </c>
      <c r="F84" s="191" t="str">
        <f t="shared" si="81"/>
        <v/>
      </c>
      <c r="G84" s="3" t="str">
        <f t="shared" si="81"/>
        <v/>
      </c>
      <c r="H84" s="5" t="str">
        <f t="shared" si="81"/>
        <v/>
      </c>
      <c r="I84" s="3"/>
      <c r="J84" s="3"/>
      <c r="K84" s="3"/>
      <c r="L84" s="192"/>
      <c r="M84" s="192"/>
      <c r="N84" s="19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</row>
    <row r="85" ht="16.5" customHeight="1">
      <c r="A85" s="3"/>
      <c r="B85" s="3" t="str">
        <f t="shared" si="36"/>
        <v/>
      </c>
      <c r="C85" s="3"/>
      <c r="D85" s="5"/>
      <c r="E85" s="3" t="str">
        <f t="shared" ref="E85:H85" si="82">IF(A85&lt;&gt;"", IF(A85=A84, "", A85), "")</f>
        <v/>
      </c>
      <c r="F85" s="191" t="str">
        <f t="shared" si="82"/>
        <v/>
      </c>
      <c r="G85" s="3" t="str">
        <f t="shared" si="82"/>
        <v/>
      </c>
      <c r="H85" s="5" t="str">
        <f t="shared" si="82"/>
        <v/>
      </c>
      <c r="I85" s="3"/>
      <c r="J85" s="3"/>
      <c r="K85" s="3"/>
      <c r="L85" s="192"/>
      <c r="M85" s="192"/>
      <c r="N85" s="19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</row>
    <row r="86" ht="16.5" customHeight="1">
      <c r="A86" s="3"/>
      <c r="B86" s="3" t="str">
        <f t="shared" si="36"/>
        <v/>
      </c>
      <c r="C86" s="3"/>
      <c r="D86" s="5"/>
      <c r="E86" s="3" t="str">
        <f t="shared" ref="E86:H86" si="83">IF(A86&lt;&gt;"", IF(A86=A85, "", A86), "")</f>
        <v/>
      </c>
      <c r="F86" s="191" t="str">
        <f t="shared" si="83"/>
        <v/>
      </c>
      <c r="G86" s="3" t="str">
        <f t="shared" si="83"/>
        <v/>
      </c>
      <c r="H86" s="5" t="str">
        <f t="shared" si="83"/>
        <v/>
      </c>
      <c r="I86" s="3"/>
      <c r="J86" s="3"/>
      <c r="K86" s="3"/>
      <c r="L86" s="192"/>
      <c r="M86" s="192"/>
      <c r="N86" s="19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</row>
    <row r="87" ht="16.5" customHeight="1">
      <c r="A87" s="3"/>
      <c r="B87" s="3" t="str">
        <f t="shared" si="36"/>
        <v/>
      </c>
      <c r="C87" s="3"/>
      <c r="D87" s="5"/>
      <c r="E87" s="3" t="str">
        <f t="shared" ref="E87:H87" si="84">IF(A87&lt;&gt;"", IF(A87=A86, "", A87), "")</f>
        <v/>
      </c>
      <c r="F87" s="191" t="str">
        <f t="shared" si="84"/>
        <v/>
      </c>
      <c r="G87" s="3" t="str">
        <f t="shared" si="84"/>
        <v/>
      </c>
      <c r="H87" s="5" t="str">
        <f t="shared" si="84"/>
        <v/>
      </c>
      <c r="I87" s="3"/>
      <c r="J87" s="3"/>
      <c r="K87" s="3"/>
      <c r="L87" s="192"/>
      <c r="M87" s="192"/>
      <c r="N87" s="19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</row>
    <row r="88" ht="16.5" customHeight="1">
      <c r="A88" s="3"/>
      <c r="B88" s="3" t="str">
        <f t="shared" si="36"/>
        <v/>
      </c>
      <c r="C88" s="3"/>
      <c r="D88" s="5"/>
      <c r="E88" s="3" t="str">
        <f t="shared" ref="E88:H88" si="85">IF(A88&lt;&gt;"", IF(A88=A87, "", A88), "")</f>
        <v/>
      </c>
      <c r="F88" s="191" t="str">
        <f t="shared" si="85"/>
        <v/>
      </c>
      <c r="G88" s="3" t="str">
        <f t="shared" si="85"/>
        <v/>
      </c>
      <c r="H88" s="5" t="str">
        <f t="shared" si="85"/>
        <v/>
      </c>
      <c r="I88" s="3"/>
      <c r="J88" s="3"/>
      <c r="K88" s="3"/>
      <c r="L88" s="192"/>
      <c r="M88" s="192"/>
      <c r="N88" s="19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</row>
    <row r="89" ht="16.5" customHeight="1">
      <c r="A89" s="3"/>
      <c r="B89" s="3" t="str">
        <f t="shared" si="36"/>
        <v/>
      </c>
      <c r="C89" s="3"/>
      <c r="D89" s="5"/>
      <c r="E89" s="3" t="str">
        <f t="shared" ref="E89:H89" si="86">IF(A89&lt;&gt;"", IF(A89=A88, "", A89), "")</f>
        <v/>
      </c>
      <c r="F89" s="191" t="str">
        <f t="shared" si="86"/>
        <v/>
      </c>
      <c r="G89" s="3" t="str">
        <f t="shared" si="86"/>
        <v/>
      </c>
      <c r="H89" s="5" t="str">
        <f t="shared" si="86"/>
        <v/>
      </c>
      <c r="I89" s="3"/>
      <c r="J89" s="3"/>
      <c r="K89" s="3"/>
      <c r="L89" s="192"/>
      <c r="M89" s="192"/>
      <c r="N89" s="19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</row>
    <row r="90" ht="16.5" customHeight="1">
      <c r="A90" s="3"/>
      <c r="B90" s="3" t="str">
        <f t="shared" si="36"/>
        <v/>
      </c>
      <c r="C90" s="3"/>
      <c r="D90" s="5"/>
      <c r="E90" s="3" t="str">
        <f t="shared" ref="E90:H90" si="87">IF(A90&lt;&gt;"", IF(A90=A89, "", A90), "")</f>
        <v/>
      </c>
      <c r="F90" s="191" t="str">
        <f t="shared" si="87"/>
        <v/>
      </c>
      <c r="G90" s="3" t="str">
        <f t="shared" si="87"/>
        <v/>
      </c>
      <c r="H90" s="5" t="str">
        <f t="shared" si="87"/>
        <v/>
      </c>
      <c r="I90" s="3"/>
      <c r="J90" s="3"/>
      <c r="K90" s="3"/>
      <c r="L90" s="192"/>
      <c r="M90" s="192"/>
      <c r="N90" s="19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</row>
    <row r="91" ht="16.5" customHeight="1">
      <c r="A91" s="3"/>
      <c r="B91" s="3" t="str">
        <f t="shared" si="36"/>
        <v/>
      </c>
      <c r="C91" s="3"/>
      <c r="D91" s="5"/>
      <c r="E91" s="3" t="str">
        <f t="shared" ref="E91:H91" si="88">IF(A91&lt;&gt;"", IF(A91=A90, "", A91), "")</f>
        <v/>
      </c>
      <c r="F91" s="191" t="str">
        <f t="shared" si="88"/>
        <v/>
      </c>
      <c r="G91" s="3" t="str">
        <f t="shared" si="88"/>
        <v/>
      </c>
      <c r="H91" s="5" t="str">
        <f t="shared" si="88"/>
        <v/>
      </c>
      <c r="I91" s="3"/>
      <c r="J91" s="3"/>
      <c r="K91" s="3"/>
      <c r="L91" s="192"/>
      <c r="M91" s="192"/>
      <c r="N91" s="19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</row>
    <row r="92" ht="16.5" customHeight="1">
      <c r="A92" s="3"/>
      <c r="B92" s="3" t="str">
        <f t="shared" si="36"/>
        <v/>
      </c>
      <c r="C92" s="3"/>
      <c r="D92" s="5"/>
      <c r="E92" s="3" t="str">
        <f t="shared" ref="E92:H92" si="89">IF(A92&lt;&gt;"", IF(A92=A91, "", A92), "")</f>
        <v/>
      </c>
      <c r="F92" s="191" t="str">
        <f t="shared" si="89"/>
        <v/>
      </c>
      <c r="G92" s="3" t="str">
        <f t="shared" si="89"/>
        <v/>
      </c>
      <c r="H92" s="5" t="str">
        <f t="shared" si="89"/>
        <v/>
      </c>
      <c r="I92" s="3"/>
      <c r="J92" s="3"/>
      <c r="K92" s="3"/>
      <c r="L92" s="192"/>
      <c r="M92" s="192"/>
      <c r="N92" s="19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</row>
    <row r="93" ht="16.5" customHeight="1">
      <c r="A93" s="3"/>
      <c r="B93" s="3" t="str">
        <f t="shared" si="36"/>
        <v/>
      </c>
      <c r="C93" s="3"/>
      <c r="D93" s="5"/>
      <c r="E93" s="3" t="str">
        <f t="shared" ref="E93:H93" si="90">IF(A93&lt;&gt;"", IF(A93=A92, "", A93), "")</f>
        <v/>
      </c>
      <c r="F93" s="191" t="str">
        <f t="shared" si="90"/>
        <v/>
      </c>
      <c r="G93" s="3" t="str">
        <f t="shared" si="90"/>
        <v/>
      </c>
      <c r="H93" s="5" t="str">
        <f t="shared" si="90"/>
        <v/>
      </c>
      <c r="I93" s="3"/>
      <c r="J93" s="3"/>
      <c r="K93" s="3"/>
      <c r="L93" s="192"/>
      <c r="M93" s="192"/>
      <c r="N93" s="19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</row>
    <row r="94" ht="16.5" customHeight="1">
      <c r="A94" s="3"/>
      <c r="B94" s="3" t="str">
        <f t="shared" si="36"/>
        <v/>
      </c>
      <c r="C94" s="3"/>
      <c r="D94" s="5"/>
      <c r="E94" s="3" t="str">
        <f t="shared" ref="E94:H94" si="91">IF(A94&lt;&gt;"", IF(A94=A93, "", A94), "")</f>
        <v/>
      </c>
      <c r="F94" s="191" t="str">
        <f t="shared" si="91"/>
        <v/>
      </c>
      <c r="G94" s="3" t="str">
        <f t="shared" si="91"/>
        <v/>
      </c>
      <c r="H94" s="5" t="str">
        <f t="shared" si="91"/>
        <v/>
      </c>
      <c r="I94" s="3"/>
      <c r="J94" s="3"/>
      <c r="K94" s="3"/>
      <c r="L94" s="192"/>
      <c r="M94" s="192"/>
      <c r="N94" s="19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</row>
    <row r="95" ht="16.5" customHeight="1">
      <c r="A95" s="3"/>
      <c r="B95" s="3" t="str">
        <f t="shared" si="36"/>
        <v/>
      </c>
      <c r="C95" s="3"/>
      <c r="D95" s="5"/>
      <c r="E95" s="3" t="str">
        <f t="shared" ref="E95:H95" si="92">IF(A95&lt;&gt;"", IF(A95=A94, "", A95), "")</f>
        <v/>
      </c>
      <c r="F95" s="191" t="str">
        <f t="shared" si="92"/>
        <v/>
      </c>
      <c r="G95" s="3" t="str">
        <f t="shared" si="92"/>
        <v/>
      </c>
      <c r="H95" s="5" t="str">
        <f t="shared" si="92"/>
        <v/>
      </c>
      <c r="I95" s="3"/>
      <c r="J95" s="3"/>
      <c r="K95" s="3"/>
      <c r="L95" s="192"/>
      <c r="M95" s="192"/>
      <c r="N95" s="19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</row>
    <row r="96" ht="16.5" customHeight="1">
      <c r="A96" s="3"/>
      <c r="B96" s="3" t="str">
        <f t="shared" si="36"/>
        <v/>
      </c>
      <c r="C96" s="3"/>
      <c r="D96" s="5"/>
      <c r="E96" s="3" t="str">
        <f t="shared" ref="E96:H96" si="93">IF(A96&lt;&gt;"", IF(A96=A95, "", A96), "")</f>
        <v/>
      </c>
      <c r="F96" s="191" t="str">
        <f t="shared" si="93"/>
        <v/>
      </c>
      <c r="G96" s="3" t="str">
        <f t="shared" si="93"/>
        <v/>
      </c>
      <c r="H96" s="5" t="str">
        <f t="shared" si="93"/>
        <v/>
      </c>
      <c r="I96" s="3"/>
      <c r="J96" s="3"/>
      <c r="K96" s="3"/>
      <c r="L96" s="192"/>
      <c r="M96" s="192"/>
      <c r="N96" s="19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</row>
    <row r="97" ht="16.5" customHeight="1">
      <c r="A97" s="3"/>
      <c r="B97" s="3" t="str">
        <f t="shared" si="36"/>
        <v/>
      </c>
      <c r="C97" s="3"/>
      <c r="D97" s="5"/>
      <c r="E97" s="3" t="str">
        <f t="shared" ref="E97:H97" si="94">IF(A97&lt;&gt;"", IF(A97=A96, "", A97), "")</f>
        <v/>
      </c>
      <c r="F97" s="191" t="str">
        <f t="shared" si="94"/>
        <v/>
      </c>
      <c r="G97" s="3" t="str">
        <f t="shared" si="94"/>
        <v/>
      </c>
      <c r="H97" s="5" t="str">
        <f t="shared" si="94"/>
        <v/>
      </c>
      <c r="I97" s="3"/>
      <c r="J97" s="3"/>
      <c r="K97" s="3"/>
      <c r="L97" s="192"/>
      <c r="M97" s="192"/>
      <c r="N97" s="19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</row>
    <row r="98" ht="16.5" customHeight="1">
      <c r="A98" s="3"/>
      <c r="B98" s="3" t="str">
        <f t="shared" si="36"/>
        <v/>
      </c>
      <c r="C98" s="3"/>
      <c r="D98" s="5"/>
      <c r="E98" s="3" t="str">
        <f t="shared" ref="E98:H98" si="95">IF(A98&lt;&gt;"", IF(A98=A97, "", A98), "")</f>
        <v/>
      </c>
      <c r="F98" s="191" t="str">
        <f t="shared" si="95"/>
        <v/>
      </c>
      <c r="G98" s="3" t="str">
        <f t="shared" si="95"/>
        <v/>
      </c>
      <c r="H98" s="5" t="str">
        <f t="shared" si="95"/>
        <v/>
      </c>
      <c r="I98" s="3"/>
      <c r="J98" s="3"/>
      <c r="K98" s="3"/>
      <c r="L98" s="192"/>
      <c r="M98" s="192"/>
      <c r="N98" s="19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</row>
    <row r="99" ht="16.5" customHeight="1">
      <c r="A99" s="3"/>
      <c r="B99" s="3" t="str">
        <f t="shared" si="36"/>
        <v/>
      </c>
      <c r="C99" s="3"/>
      <c r="D99" s="5"/>
      <c r="E99" s="3" t="str">
        <f t="shared" ref="E99:H99" si="96">IF(A99&lt;&gt;"", IF(A99=A98, "", A99), "")</f>
        <v/>
      </c>
      <c r="F99" s="191" t="str">
        <f t="shared" si="96"/>
        <v/>
      </c>
      <c r="G99" s="3" t="str">
        <f t="shared" si="96"/>
        <v/>
      </c>
      <c r="H99" s="5" t="str">
        <f t="shared" si="96"/>
        <v/>
      </c>
      <c r="I99" s="3"/>
      <c r="J99" s="3"/>
      <c r="K99" s="3"/>
      <c r="L99" s="192"/>
      <c r="M99" s="192"/>
      <c r="N99" s="19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</row>
    <row r="100" ht="16.5" customHeight="1">
      <c r="A100" s="3"/>
      <c r="B100" s="3" t="str">
        <f t="shared" si="36"/>
        <v/>
      </c>
      <c r="C100" s="3"/>
      <c r="D100" s="5"/>
      <c r="E100" s="3" t="str">
        <f t="shared" ref="E100:H100" si="97">IF(A100&lt;&gt;"", IF(A100=A99, "", A100), "")</f>
        <v/>
      </c>
      <c r="F100" s="191" t="str">
        <f t="shared" si="97"/>
        <v/>
      </c>
      <c r="G100" s="3" t="str">
        <f t="shared" si="97"/>
        <v/>
      </c>
      <c r="H100" s="5" t="str">
        <f t="shared" si="97"/>
        <v/>
      </c>
      <c r="I100" s="3"/>
      <c r="J100" s="3"/>
      <c r="K100" s="3"/>
      <c r="L100" s="192"/>
      <c r="M100" s="192"/>
      <c r="N100" s="19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</row>
    <row r="101" ht="16.5" customHeight="1">
      <c r="A101" s="3"/>
      <c r="B101" s="3" t="str">
        <f t="shared" si="36"/>
        <v/>
      </c>
      <c r="C101" s="3"/>
      <c r="D101" s="5"/>
      <c r="E101" s="3" t="str">
        <f t="shared" ref="E101:H101" si="98">IF(A101&lt;&gt;"", IF(A101=A100, "", A101), "")</f>
        <v/>
      </c>
      <c r="F101" s="191" t="str">
        <f t="shared" si="98"/>
        <v/>
      </c>
      <c r="G101" s="3" t="str">
        <f t="shared" si="98"/>
        <v/>
      </c>
      <c r="H101" s="5" t="str">
        <f t="shared" si="98"/>
        <v/>
      </c>
      <c r="I101" s="3"/>
      <c r="J101" s="3"/>
      <c r="K101" s="3"/>
      <c r="L101" s="192"/>
      <c r="M101" s="192"/>
      <c r="N101" s="19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</row>
    <row r="102" ht="16.5" customHeight="1">
      <c r="A102" s="3"/>
      <c r="B102" s="3" t="str">
        <f t="shared" si="36"/>
        <v/>
      </c>
      <c r="C102" s="3"/>
      <c r="D102" s="5"/>
      <c r="E102" s="3" t="str">
        <f t="shared" ref="E102:H102" si="99">IF(A102&lt;&gt;"", IF(A102=A101, "", A102), "")</f>
        <v/>
      </c>
      <c r="F102" s="191" t="str">
        <f t="shared" si="99"/>
        <v/>
      </c>
      <c r="G102" s="3" t="str">
        <f t="shared" si="99"/>
        <v/>
      </c>
      <c r="H102" s="5" t="str">
        <f t="shared" si="99"/>
        <v/>
      </c>
      <c r="I102" s="3"/>
      <c r="J102" s="3"/>
      <c r="K102" s="3"/>
      <c r="L102" s="192"/>
      <c r="M102" s="192"/>
      <c r="N102" s="19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</row>
    <row r="103" ht="16.5" customHeight="1">
      <c r="A103" s="3"/>
      <c r="B103" s="3" t="str">
        <f t="shared" si="36"/>
        <v/>
      </c>
      <c r="C103" s="3"/>
      <c r="D103" s="5"/>
      <c r="E103" s="3" t="str">
        <f t="shared" ref="E103:H103" si="100">IF(A103&lt;&gt;"", IF(A103=A102, "", A103), "")</f>
        <v/>
      </c>
      <c r="F103" s="191" t="str">
        <f t="shared" si="100"/>
        <v/>
      </c>
      <c r="G103" s="3" t="str">
        <f t="shared" si="100"/>
        <v/>
      </c>
      <c r="H103" s="5" t="str">
        <f t="shared" si="100"/>
        <v/>
      </c>
      <c r="I103" s="3"/>
      <c r="J103" s="3"/>
      <c r="K103" s="3"/>
      <c r="L103" s="192"/>
      <c r="M103" s="192"/>
      <c r="N103" s="19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</row>
    <row r="104" ht="16.5" customHeight="1">
      <c r="A104" s="3"/>
      <c r="B104" s="3" t="str">
        <f t="shared" si="36"/>
        <v/>
      </c>
      <c r="C104" s="3"/>
      <c r="D104" s="5"/>
      <c r="E104" s="3" t="str">
        <f t="shared" ref="E104:H104" si="101">IF(A104&lt;&gt;"", IF(A104=A103, "", A104), "")</f>
        <v/>
      </c>
      <c r="F104" s="191" t="str">
        <f t="shared" si="101"/>
        <v/>
      </c>
      <c r="G104" s="3" t="str">
        <f t="shared" si="101"/>
        <v/>
      </c>
      <c r="H104" s="5" t="str">
        <f t="shared" si="101"/>
        <v/>
      </c>
      <c r="I104" s="3"/>
      <c r="J104" s="3"/>
      <c r="K104" s="3"/>
      <c r="L104" s="192"/>
      <c r="M104" s="192"/>
      <c r="N104" s="19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</row>
    <row r="105" ht="16.5" customHeight="1">
      <c r="A105" s="3"/>
      <c r="B105" s="3" t="str">
        <f t="shared" si="36"/>
        <v/>
      </c>
      <c r="C105" s="3"/>
      <c r="D105" s="5"/>
      <c r="E105" s="3" t="str">
        <f t="shared" ref="E105:H105" si="102">IF(A105&lt;&gt;"", IF(A105=A104, "", A105), "")</f>
        <v/>
      </c>
      <c r="F105" s="191" t="str">
        <f t="shared" si="102"/>
        <v/>
      </c>
      <c r="G105" s="3" t="str">
        <f t="shared" si="102"/>
        <v/>
      </c>
      <c r="H105" s="5" t="str">
        <f t="shared" si="102"/>
        <v/>
      </c>
      <c r="I105" s="3"/>
      <c r="J105" s="3"/>
      <c r="K105" s="3"/>
      <c r="L105" s="192"/>
      <c r="M105" s="192"/>
      <c r="N105" s="19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</row>
    <row r="106" ht="16.5" customHeight="1">
      <c r="A106" s="3"/>
      <c r="B106" s="3" t="str">
        <f t="shared" si="36"/>
        <v/>
      </c>
      <c r="C106" s="3"/>
      <c r="D106" s="5"/>
      <c r="E106" s="3" t="str">
        <f t="shared" ref="E106:H106" si="103">IF(A106&lt;&gt;"", IF(A106=A105, "", A106), "")</f>
        <v/>
      </c>
      <c r="F106" s="191" t="str">
        <f t="shared" si="103"/>
        <v/>
      </c>
      <c r="G106" s="3" t="str">
        <f t="shared" si="103"/>
        <v/>
      </c>
      <c r="H106" s="5" t="str">
        <f t="shared" si="103"/>
        <v/>
      </c>
      <c r="I106" s="3"/>
      <c r="J106" s="3"/>
      <c r="K106" s="3"/>
      <c r="L106" s="192"/>
      <c r="M106" s="192"/>
      <c r="N106" s="19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</row>
    <row r="107" ht="16.5" customHeight="1">
      <c r="A107" s="3"/>
      <c r="B107" s="3" t="str">
        <f t="shared" si="36"/>
        <v/>
      </c>
      <c r="C107" s="3"/>
      <c r="D107" s="5"/>
      <c r="E107" s="3" t="str">
        <f t="shared" ref="E107:H107" si="104">IF(A107&lt;&gt;"", IF(A107=A106, "", A107), "")</f>
        <v/>
      </c>
      <c r="F107" s="191" t="str">
        <f t="shared" si="104"/>
        <v/>
      </c>
      <c r="G107" s="3" t="str">
        <f t="shared" si="104"/>
        <v/>
      </c>
      <c r="H107" s="5" t="str">
        <f t="shared" si="104"/>
        <v/>
      </c>
      <c r="I107" s="3"/>
      <c r="J107" s="3"/>
      <c r="K107" s="3"/>
      <c r="L107" s="192"/>
      <c r="M107" s="192"/>
      <c r="N107" s="19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</row>
    <row r="108" ht="16.5" customHeight="1">
      <c r="A108" s="3"/>
      <c r="B108" s="3" t="str">
        <f t="shared" si="36"/>
        <v/>
      </c>
      <c r="C108" s="3"/>
      <c r="D108" s="5"/>
      <c r="E108" s="3" t="str">
        <f t="shared" ref="E108:H108" si="105">IF(A108&lt;&gt;"", IF(A108=A107, "", A108), "")</f>
        <v/>
      </c>
      <c r="F108" s="191" t="str">
        <f t="shared" si="105"/>
        <v/>
      </c>
      <c r="G108" s="3" t="str">
        <f t="shared" si="105"/>
        <v/>
      </c>
      <c r="H108" s="5" t="str">
        <f t="shared" si="105"/>
        <v/>
      </c>
      <c r="I108" s="3"/>
      <c r="J108" s="3"/>
      <c r="K108" s="3"/>
      <c r="L108" s="192"/>
      <c r="M108" s="192"/>
      <c r="N108" s="19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</row>
    <row r="109" ht="16.5" customHeight="1">
      <c r="A109" s="3"/>
      <c r="B109" s="3" t="str">
        <f t="shared" si="36"/>
        <v/>
      </c>
      <c r="C109" s="3"/>
      <c r="D109" s="5"/>
      <c r="E109" s="3" t="str">
        <f t="shared" ref="E109:H109" si="106">IF(A109&lt;&gt;"", IF(A109=A108, "", A109), "")</f>
        <v/>
      </c>
      <c r="F109" s="191" t="str">
        <f t="shared" si="106"/>
        <v/>
      </c>
      <c r="G109" s="3" t="str">
        <f t="shared" si="106"/>
        <v/>
      </c>
      <c r="H109" s="5" t="str">
        <f t="shared" si="106"/>
        <v/>
      </c>
      <c r="I109" s="3"/>
      <c r="J109" s="3"/>
      <c r="K109" s="3"/>
      <c r="L109" s="192"/>
      <c r="M109" s="192"/>
      <c r="N109" s="19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</row>
    <row r="110" ht="16.5" customHeight="1">
      <c r="A110" s="3"/>
      <c r="B110" s="3" t="str">
        <f t="shared" si="36"/>
        <v/>
      </c>
      <c r="C110" s="3"/>
      <c r="D110" s="5"/>
      <c r="E110" s="3" t="str">
        <f t="shared" ref="E110:H110" si="107">IF(A110&lt;&gt;"", IF(A110=A109, "", A110), "")</f>
        <v/>
      </c>
      <c r="F110" s="191" t="str">
        <f t="shared" si="107"/>
        <v/>
      </c>
      <c r="G110" s="3" t="str">
        <f t="shared" si="107"/>
        <v/>
      </c>
      <c r="H110" s="5" t="str">
        <f t="shared" si="107"/>
        <v/>
      </c>
      <c r="I110" s="3"/>
      <c r="J110" s="3"/>
      <c r="K110" s="3"/>
      <c r="L110" s="192"/>
      <c r="M110" s="192"/>
      <c r="N110" s="19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</row>
    <row r="111" ht="16.5" customHeight="1">
      <c r="A111" s="3"/>
      <c r="B111" s="3" t="str">
        <f t="shared" si="36"/>
        <v/>
      </c>
      <c r="C111" s="3"/>
      <c r="D111" s="5"/>
      <c r="E111" s="3" t="str">
        <f t="shared" ref="E111:H111" si="108">IF(A111&lt;&gt;"", IF(A111=A110, "", A111), "")</f>
        <v/>
      </c>
      <c r="F111" s="191" t="str">
        <f t="shared" si="108"/>
        <v/>
      </c>
      <c r="G111" s="3" t="str">
        <f t="shared" si="108"/>
        <v/>
      </c>
      <c r="H111" s="5" t="str">
        <f t="shared" si="108"/>
        <v/>
      </c>
      <c r="I111" s="3"/>
      <c r="J111" s="3"/>
      <c r="K111" s="3"/>
      <c r="L111" s="192"/>
      <c r="M111" s="192"/>
      <c r="N111" s="19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</row>
    <row r="112" ht="16.5" customHeight="1">
      <c r="A112" s="3"/>
      <c r="B112" s="3" t="str">
        <f t="shared" si="36"/>
        <v/>
      </c>
      <c r="C112" s="3"/>
      <c r="D112" s="5"/>
      <c r="E112" s="3" t="str">
        <f t="shared" ref="E112:H112" si="109">IF(A112&lt;&gt;"", IF(A112=A111, "", A112), "")</f>
        <v/>
      </c>
      <c r="F112" s="191" t="str">
        <f t="shared" si="109"/>
        <v/>
      </c>
      <c r="G112" s="3" t="str">
        <f t="shared" si="109"/>
        <v/>
      </c>
      <c r="H112" s="5" t="str">
        <f t="shared" si="109"/>
        <v/>
      </c>
      <c r="I112" s="3"/>
      <c r="J112" s="3"/>
      <c r="K112" s="3"/>
      <c r="L112" s="192"/>
      <c r="M112" s="192"/>
      <c r="N112" s="19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</row>
    <row r="113" ht="16.5" customHeight="1">
      <c r="A113" s="3"/>
      <c r="B113" s="3" t="str">
        <f t="shared" si="36"/>
        <v/>
      </c>
      <c r="C113" s="3"/>
      <c r="D113" s="5"/>
      <c r="E113" s="3" t="str">
        <f t="shared" ref="E113:H113" si="110">IF(A113&lt;&gt;"", IF(A113=A112, "", A113), "")</f>
        <v/>
      </c>
      <c r="F113" s="191" t="str">
        <f t="shared" si="110"/>
        <v/>
      </c>
      <c r="G113" s="3" t="str">
        <f t="shared" si="110"/>
        <v/>
      </c>
      <c r="H113" s="5" t="str">
        <f t="shared" si="110"/>
        <v/>
      </c>
      <c r="I113" s="3"/>
      <c r="J113" s="3"/>
      <c r="K113" s="3"/>
      <c r="L113" s="192"/>
      <c r="M113" s="192"/>
      <c r="N113" s="19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</row>
    <row r="114" ht="16.5" customHeight="1">
      <c r="A114" s="3"/>
      <c r="B114" s="3" t="str">
        <f t="shared" si="36"/>
        <v/>
      </c>
      <c r="C114" s="3"/>
      <c r="D114" s="5"/>
      <c r="E114" s="3" t="str">
        <f t="shared" ref="E114:H114" si="111">IF(A114&lt;&gt;"", IF(A114=A113, "", A114), "")</f>
        <v/>
      </c>
      <c r="F114" s="191" t="str">
        <f t="shared" si="111"/>
        <v/>
      </c>
      <c r="G114" s="3" t="str">
        <f t="shared" si="111"/>
        <v/>
      </c>
      <c r="H114" s="5" t="str">
        <f t="shared" si="111"/>
        <v/>
      </c>
      <c r="I114" s="3"/>
      <c r="J114" s="3"/>
      <c r="K114" s="3"/>
      <c r="L114" s="192"/>
      <c r="M114" s="192"/>
      <c r="N114" s="19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</row>
    <row r="115" ht="16.5" customHeight="1">
      <c r="A115" s="3"/>
      <c r="B115" s="3" t="str">
        <f t="shared" si="36"/>
        <v/>
      </c>
      <c r="C115" s="3"/>
      <c r="D115" s="5"/>
      <c r="E115" s="3" t="str">
        <f t="shared" ref="E115:H115" si="112">IF(A115&lt;&gt;"", IF(A115=A114, "", A115), "")</f>
        <v/>
      </c>
      <c r="F115" s="191" t="str">
        <f t="shared" si="112"/>
        <v/>
      </c>
      <c r="G115" s="3" t="str">
        <f t="shared" si="112"/>
        <v/>
      </c>
      <c r="H115" s="5" t="str">
        <f t="shared" si="112"/>
        <v/>
      </c>
      <c r="I115" s="3"/>
      <c r="J115" s="3"/>
      <c r="K115" s="3"/>
      <c r="L115" s="192"/>
      <c r="M115" s="192"/>
      <c r="N115" s="19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</row>
    <row r="116" ht="16.5" customHeight="1">
      <c r="A116" s="3"/>
      <c r="B116" s="3" t="str">
        <f t="shared" si="36"/>
        <v/>
      </c>
      <c r="C116" s="3"/>
      <c r="D116" s="5"/>
      <c r="E116" s="3" t="str">
        <f t="shared" ref="E116:H116" si="113">IF(A116&lt;&gt;"", IF(A116=A115, "", A116), "")</f>
        <v/>
      </c>
      <c r="F116" s="191" t="str">
        <f t="shared" si="113"/>
        <v/>
      </c>
      <c r="G116" s="3" t="str">
        <f t="shared" si="113"/>
        <v/>
      </c>
      <c r="H116" s="5" t="str">
        <f t="shared" si="113"/>
        <v/>
      </c>
      <c r="I116" s="3"/>
      <c r="J116" s="3"/>
      <c r="K116" s="3"/>
      <c r="L116" s="192"/>
      <c r="M116" s="192"/>
      <c r="N116" s="19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</row>
    <row r="117" ht="16.5" customHeight="1">
      <c r="A117" s="3"/>
      <c r="B117" s="3" t="str">
        <f t="shared" si="36"/>
        <v/>
      </c>
      <c r="C117" s="3"/>
      <c r="D117" s="5"/>
      <c r="E117" s="3" t="str">
        <f t="shared" ref="E117:H117" si="114">IF(A117&lt;&gt;"", IF(A117=A116, "", A117), "")</f>
        <v/>
      </c>
      <c r="F117" s="191" t="str">
        <f t="shared" si="114"/>
        <v/>
      </c>
      <c r="G117" s="3" t="str">
        <f t="shared" si="114"/>
        <v/>
      </c>
      <c r="H117" s="5" t="str">
        <f t="shared" si="114"/>
        <v/>
      </c>
      <c r="I117" s="3"/>
      <c r="J117" s="3"/>
      <c r="K117" s="3"/>
      <c r="L117" s="192"/>
      <c r="M117" s="192"/>
      <c r="N117" s="19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</row>
    <row r="118" ht="16.5" customHeight="1">
      <c r="A118" s="3"/>
      <c r="B118" s="3" t="str">
        <f t="shared" si="36"/>
        <v/>
      </c>
      <c r="C118" s="3"/>
      <c r="D118" s="5"/>
      <c r="E118" s="3" t="str">
        <f t="shared" ref="E118:H118" si="115">IF(A118&lt;&gt;"", IF(A118=A117, "", A118), "")</f>
        <v/>
      </c>
      <c r="F118" s="191" t="str">
        <f t="shared" si="115"/>
        <v/>
      </c>
      <c r="G118" s="3" t="str">
        <f t="shared" si="115"/>
        <v/>
      </c>
      <c r="H118" s="5" t="str">
        <f t="shared" si="115"/>
        <v/>
      </c>
      <c r="I118" s="3"/>
      <c r="J118" s="3"/>
      <c r="K118" s="3"/>
      <c r="L118" s="192"/>
      <c r="M118" s="192"/>
      <c r="N118" s="19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</row>
    <row r="119" ht="16.5" customHeight="1">
      <c r="A119" s="3"/>
      <c r="B119" s="3" t="str">
        <f t="shared" si="36"/>
        <v/>
      </c>
      <c r="C119" s="3"/>
      <c r="D119" s="5"/>
      <c r="E119" s="3" t="str">
        <f t="shared" ref="E119:H119" si="116">IF(A119&lt;&gt;"", IF(A119=A118, "", A119), "")</f>
        <v/>
      </c>
      <c r="F119" s="191" t="str">
        <f t="shared" si="116"/>
        <v/>
      </c>
      <c r="G119" s="3" t="str">
        <f t="shared" si="116"/>
        <v/>
      </c>
      <c r="H119" s="5" t="str">
        <f t="shared" si="116"/>
        <v/>
      </c>
      <c r="I119" s="3"/>
      <c r="J119" s="3"/>
      <c r="K119" s="3"/>
      <c r="L119" s="192"/>
      <c r="M119" s="192"/>
      <c r="N119" s="19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</row>
    <row r="120" ht="16.5" customHeight="1">
      <c r="A120" s="3"/>
      <c r="B120" s="3" t="str">
        <f t="shared" si="36"/>
        <v/>
      </c>
      <c r="C120" s="3"/>
      <c r="D120" s="5"/>
      <c r="E120" s="3" t="str">
        <f t="shared" ref="E120:H120" si="117">IF(A120&lt;&gt;"", IF(A120=A119, "", A120), "")</f>
        <v/>
      </c>
      <c r="F120" s="191" t="str">
        <f t="shared" si="117"/>
        <v/>
      </c>
      <c r="G120" s="3" t="str">
        <f t="shared" si="117"/>
        <v/>
      </c>
      <c r="H120" s="5" t="str">
        <f t="shared" si="117"/>
        <v/>
      </c>
      <c r="I120" s="3"/>
      <c r="J120" s="3"/>
      <c r="K120" s="3"/>
      <c r="L120" s="192"/>
      <c r="M120" s="192"/>
      <c r="N120" s="19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</row>
    <row r="121" ht="16.5" customHeight="1">
      <c r="A121" s="3"/>
      <c r="B121" s="3" t="str">
        <f t="shared" si="36"/>
        <v/>
      </c>
      <c r="C121" s="3"/>
      <c r="D121" s="5"/>
      <c r="E121" s="3" t="str">
        <f t="shared" ref="E121:H121" si="118">IF(A121&lt;&gt;"", IF(A121=A120, "", A121), "")</f>
        <v/>
      </c>
      <c r="F121" s="191" t="str">
        <f t="shared" si="118"/>
        <v/>
      </c>
      <c r="G121" s="3" t="str">
        <f t="shared" si="118"/>
        <v/>
      </c>
      <c r="H121" s="5" t="str">
        <f t="shared" si="118"/>
        <v/>
      </c>
      <c r="I121" s="3"/>
      <c r="J121" s="3"/>
      <c r="K121" s="3"/>
      <c r="L121" s="192"/>
      <c r="M121" s="192"/>
      <c r="N121" s="19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</row>
    <row r="122" ht="16.5" customHeight="1">
      <c r="A122" s="3"/>
      <c r="B122" s="3" t="str">
        <f t="shared" si="36"/>
        <v/>
      </c>
      <c r="C122" s="3"/>
      <c r="D122" s="5"/>
      <c r="E122" s="3" t="str">
        <f t="shared" ref="E122:H122" si="119">IF(A122&lt;&gt;"", IF(A122=A121, "", A122), "")</f>
        <v/>
      </c>
      <c r="F122" s="191" t="str">
        <f t="shared" si="119"/>
        <v/>
      </c>
      <c r="G122" s="3" t="str">
        <f t="shared" si="119"/>
        <v/>
      </c>
      <c r="H122" s="5" t="str">
        <f t="shared" si="119"/>
        <v/>
      </c>
      <c r="I122" s="3"/>
      <c r="J122" s="3"/>
      <c r="K122" s="3"/>
      <c r="L122" s="192"/>
      <c r="M122" s="192"/>
      <c r="N122" s="19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</row>
    <row r="123" ht="16.5" customHeight="1">
      <c r="A123" s="3"/>
      <c r="B123" s="3" t="str">
        <f t="shared" si="36"/>
        <v/>
      </c>
      <c r="C123" s="3"/>
      <c r="D123" s="5"/>
      <c r="E123" s="3" t="str">
        <f t="shared" ref="E123:H123" si="120">IF(A123&lt;&gt;"", IF(A123=A122, "", A123), "")</f>
        <v/>
      </c>
      <c r="F123" s="191" t="str">
        <f t="shared" si="120"/>
        <v/>
      </c>
      <c r="G123" s="3" t="str">
        <f t="shared" si="120"/>
        <v/>
      </c>
      <c r="H123" s="5" t="str">
        <f t="shared" si="120"/>
        <v/>
      </c>
      <c r="I123" s="3"/>
      <c r="J123" s="3"/>
      <c r="K123" s="3"/>
      <c r="L123" s="192"/>
      <c r="M123" s="192"/>
      <c r="N123" s="19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</row>
    <row r="124" ht="16.5" customHeight="1">
      <c r="A124" s="3"/>
      <c r="B124" s="3" t="str">
        <f t="shared" si="36"/>
        <v/>
      </c>
      <c r="C124" s="3"/>
      <c r="D124" s="5"/>
      <c r="E124" s="3" t="str">
        <f t="shared" ref="E124:H124" si="121">IF(A124&lt;&gt;"", IF(A124=A123, "", A124), "")</f>
        <v/>
      </c>
      <c r="F124" s="191" t="str">
        <f t="shared" si="121"/>
        <v/>
      </c>
      <c r="G124" s="3" t="str">
        <f t="shared" si="121"/>
        <v/>
      </c>
      <c r="H124" s="5" t="str">
        <f t="shared" si="121"/>
        <v/>
      </c>
      <c r="I124" s="3"/>
      <c r="J124" s="3"/>
      <c r="K124" s="3"/>
      <c r="L124" s="192"/>
      <c r="M124" s="192"/>
      <c r="N124" s="19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</row>
    <row r="125" ht="16.5" customHeight="1">
      <c r="A125" s="3"/>
      <c r="B125" s="3" t="str">
        <f t="shared" si="36"/>
        <v/>
      </c>
      <c r="C125" s="3"/>
      <c r="D125" s="5"/>
      <c r="E125" s="3" t="str">
        <f t="shared" ref="E125:H125" si="122">IF(A125&lt;&gt;"", IF(A125=A124, "", A125), "")</f>
        <v/>
      </c>
      <c r="F125" s="191" t="str">
        <f t="shared" si="122"/>
        <v/>
      </c>
      <c r="G125" s="3" t="str">
        <f t="shared" si="122"/>
        <v/>
      </c>
      <c r="H125" s="5" t="str">
        <f t="shared" si="122"/>
        <v/>
      </c>
      <c r="I125" s="3"/>
      <c r="J125" s="3"/>
      <c r="K125" s="3"/>
      <c r="L125" s="192"/>
      <c r="M125" s="192"/>
      <c r="N125" s="19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</row>
    <row r="126" ht="16.5" customHeight="1">
      <c r="A126" s="3"/>
      <c r="B126" s="3" t="str">
        <f t="shared" si="36"/>
        <v/>
      </c>
      <c r="C126" s="3"/>
      <c r="D126" s="5"/>
      <c r="E126" s="3" t="str">
        <f t="shared" ref="E126:H126" si="123">IF(A126&lt;&gt;"", IF(A126=A125, "", A126), "")</f>
        <v/>
      </c>
      <c r="F126" s="191" t="str">
        <f t="shared" si="123"/>
        <v/>
      </c>
      <c r="G126" s="3" t="str">
        <f t="shared" si="123"/>
        <v/>
      </c>
      <c r="H126" s="5" t="str">
        <f t="shared" si="123"/>
        <v/>
      </c>
      <c r="I126" s="3"/>
      <c r="J126" s="3"/>
      <c r="K126" s="3"/>
      <c r="L126" s="192"/>
      <c r="M126" s="192"/>
      <c r="N126" s="19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</row>
    <row r="127" ht="16.5" customHeight="1">
      <c r="A127" s="3"/>
      <c r="B127" s="3" t="str">
        <f t="shared" si="36"/>
        <v/>
      </c>
      <c r="C127" s="3"/>
      <c r="D127" s="5"/>
      <c r="E127" s="3" t="str">
        <f t="shared" ref="E127:H127" si="124">IF(A127&lt;&gt;"", IF(A127=A126, "", A127), "")</f>
        <v/>
      </c>
      <c r="F127" s="191" t="str">
        <f t="shared" si="124"/>
        <v/>
      </c>
      <c r="G127" s="3" t="str">
        <f t="shared" si="124"/>
        <v/>
      </c>
      <c r="H127" s="5" t="str">
        <f t="shared" si="124"/>
        <v/>
      </c>
      <c r="I127" s="3"/>
      <c r="J127" s="3"/>
      <c r="K127" s="3"/>
      <c r="L127" s="192"/>
      <c r="M127" s="192"/>
      <c r="N127" s="19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</row>
    <row r="128" ht="16.5" customHeight="1">
      <c r="A128" s="3"/>
      <c r="B128" s="3" t="str">
        <f t="shared" si="36"/>
        <v/>
      </c>
      <c r="C128" s="3"/>
      <c r="D128" s="5"/>
      <c r="E128" s="3" t="str">
        <f t="shared" ref="E128:H128" si="125">IF(A128&lt;&gt;"", IF(A128=A127, "", A128), "")</f>
        <v/>
      </c>
      <c r="F128" s="191" t="str">
        <f t="shared" si="125"/>
        <v/>
      </c>
      <c r="G128" s="3" t="str">
        <f t="shared" si="125"/>
        <v/>
      </c>
      <c r="H128" s="5" t="str">
        <f t="shared" si="125"/>
        <v/>
      </c>
      <c r="I128" s="3"/>
      <c r="J128" s="3"/>
      <c r="K128" s="3"/>
      <c r="L128" s="192"/>
      <c r="M128" s="192"/>
      <c r="N128" s="19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</row>
    <row r="129" ht="16.5" customHeight="1">
      <c r="A129" s="3"/>
      <c r="B129" s="3" t="str">
        <f t="shared" si="36"/>
        <v/>
      </c>
      <c r="C129" s="3"/>
      <c r="D129" s="5"/>
      <c r="E129" s="3" t="str">
        <f t="shared" ref="E129:H129" si="126">IF(A129&lt;&gt;"", IF(A129=A128, "", A129), "")</f>
        <v/>
      </c>
      <c r="F129" s="191" t="str">
        <f t="shared" si="126"/>
        <v/>
      </c>
      <c r="G129" s="3" t="str">
        <f t="shared" si="126"/>
        <v/>
      </c>
      <c r="H129" s="5" t="str">
        <f t="shared" si="126"/>
        <v/>
      </c>
      <c r="I129" s="3"/>
      <c r="J129" s="3"/>
      <c r="K129" s="3"/>
      <c r="L129" s="192"/>
      <c r="M129" s="192"/>
      <c r="N129" s="19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</row>
    <row r="130" ht="16.5" customHeight="1">
      <c r="A130" s="3"/>
      <c r="B130" s="3" t="str">
        <f t="shared" si="36"/>
        <v/>
      </c>
      <c r="C130" s="3"/>
      <c r="D130" s="5"/>
      <c r="E130" s="3" t="str">
        <f t="shared" ref="E130:H130" si="127">IF(A130&lt;&gt;"", IF(A130=A129, "", A130), "")</f>
        <v/>
      </c>
      <c r="F130" s="191" t="str">
        <f t="shared" si="127"/>
        <v/>
      </c>
      <c r="G130" s="3" t="str">
        <f t="shared" si="127"/>
        <v/>
      </c>
      <c r="H130" s="5" t="str">
        <f t="shared" si="127"/>
        <v/>
      </c>
      <c r="I130" s="3"/>
      <c r="J130" s="3"/>
      <c r="K130" s="3"/>
      <c r="L130" s="192"/>
      <c r="M130" s="192"/>
      <c r="N130" s="19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</row>
    <row r="131" ht="16.5" customHeight="1">
      <c r="A131" s="3"/>
      <c r="B131" s="3" t="str">
        <f t="shared" si="36"/>
        <v/>
      </c>
      <c r="C131" s="3"/>
      <c r="D131" s="5"/>
      <c r="E131" s="3" t="str">
        <f t="shared" ref="E131:H131" si="128">IF(A131&lt;&gt;"", IF(A131=A130, "", A131), "")</f>
        <v/>
      </c>
      <c r="F131" s="191" t="str">
        <f t="shared" si="128"/>
        <v/>
      </c>
      <c r="G131" s="3" t="str">
        <f t="shared" si="128"/>
        <v/>
      </c>
      <c r="H131" s="5" t="str">
        <f t="shared" si="128"/>
        <v/>
      </c>
      <c r="I131" s="3"/>
      <c r="J131" s="3"/>
      <c r="K131" s="3"/>
      <c r="L131" s="192"/>
      <c r="M131" s="192"/>
      <c r="N131" s="19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</row>
    <row r="132" ht="16.5" customHeight="1">
      <c r="A132" s="3"/>
      <c r="B132" s="3" t="str">
        <f t="shared" si="36"/>
        <v/>
      </c>
      <c r="C132" s="3"/>
      <c r="D132" s="5"/>
      <c r="E132" s="3" t="str">
        <f t="shared" ref="E132:H132" si="129">IF(A132&lt;&gt;"", IF(A132=A131, "", A132), "")</f>
        <v/>
      </c>
      <c r="F132" s="191" t="str">
        <f t="shared" si="129"/>
        <v/>
      </c>
      <c r="G132" s="3" t="str">
        <f t="shared" si="129"/>
        <v/>
      </c>
      <c r="H132" s="5" t="str">
        <f t="shared" si="129"/>
        <v/>
      </c>
      <c r="I132" s="3"/>
      <c r="J132" s="3"/>
      <c r="K132" s="3"/>
      <c r="L132" s="192"/>
      <c r="M132" s="192"/>
      <c r="N132" s="19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</row>
    <row r="133" ht="16.5" customHeight="1">
      <c r="A133" s="3"/>
      <c r="B133" s="3" t="str">
        <f t="shared" si="36"/>
        <v/>
      </c>
      <c r="C133" s="3"/>
      <c r="D133" s="5"/>
      <c r="E133" s="3" t="str">
        <f t="shared" ref="E133:H133" si="130">IF(A133&lt;&gt;"", IF(A133=A132, "", A133), "")</f>
        <v/>
      </c>
      <c r="F133" s="191" t="str">
        <f t="shared" si="130"/>
        <v/>
      </c>
      <c r="G133" s="3" t="str">
        <f t="shared" si="130"/>
        <v/>
      </c>
      <c r="H133" s="5" t="str">
        <f t="shared" si="130"/>
        <v/>
      </c>
      <c r="I133" s="3"/>
      <c r="J133" s="3"/>
      <c r="K133" s="3"/>
      <c r="L133" s="192"/>
      <c r="M133" s="192"/>
      <c r="N133" s="19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</row>
    <row r="134" ht="16.5" customHeight="1">
      <c r="A134" s="3"/>
      <c r="B134" s="3" t="str">
        <f t="shared" si="36"/>
        <v/>
      </c>
      <c r="C134" s="3"/>
      <c r="D134" s="5"/>
      <c r="E134" s="3" t="str">
        <f t="shared" ref="E134:H134" si="131">IF(A134&lt;&gt;"", IF(A134=A133, "", A134), "")</f>
        <v/>
      </c>
      <c r="F134" s="191" t="str">
        <f t="shared" si="131"/>
        <v/>
      </c>
      <c r="G134" s="3" t="str">
        <f t="shared" si="131"/>
        <v/>
      </c>
      <c r="H134" s="5" t="str">
        <f t="shared" si="131"/>
        <v/>
      </c>
      <c r="I134" s="3"/>
      <c r="J134" s="3"/>
      <c r="K134" s="3"/>
      <c r="L134" s="192"/>
      <c r="M134" s="192"/>
      <c r="N134" s="19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</row>
    <row r="135" ht="16.5" customHeight="1">
      <c r="A135" s="3"/>
      <c r="B135" s="3" t="str">
        <f t="shared" si="36"/>
        <v/>
      </c>
      <c r="C135" s="3"/>
      <c r="D135" s="5"/>
      <c r="E135" s="3" t="str">
        <f t="shared" ref="E135:H135" si="132">IF(A135&lt;&gt;"", IF(A135=A134, "", A135), "")</f>
        <v/>
      </c>
      <c r="F135" s="191" t="str">
        <f t="shared" si="132"/>
        <v/>
      </c>
      <c r="G135" s="3" t="str">
        <f t="shared" si="132"/>
        <v/>
      </c>
      <c r="H135" s="5" t="str">
        <f t="shared" si="132"/>
        <v/>
      </c>
      <c r="I135" s="3"/>
      <c r="J135" s="3"/>
      <c r="K135" s="3"/>
      <c r="L135" s="192"/>
      <c r="M135" s="192"/>
      <c r="N135" s="19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</row>
    <row r="136" ht="16.5" customHeight="1">
      <c r="A136" s="3"/>
      <c r="B136" s="3" t="str">
        <f t="shared" si="36"/>
        <v/>
      </c>
      <c r="C136" s="3"/>
      <c r="D136" s="5"/>
      <c r="E136" s="3" t="str">
        <f t="shared" ref="E136:H136" si="133">IF(A136&lt;&gt;"", IF(A136=A135, "", A136), "")</f>
        <v/>
      </c>
      <c r="F136" s="191" t="str">
        <f t="shared" si="133"/>
        <v/>
      </c>
      <c r="G136" s="3" t="str">
        <f t="shared" si="133"/>
        <v/>
      </c>
      <c r="H136" s="5" t="str">
        <f t="shared" si="133"/>
        <v/>
      </c>
      <c r="I136" s="3"/>
      <c r="J136" s="3"/>
      <c r="K136" s="3"/>
      <c r="L136" s="192"/>
      <c r="M136" s="192"/>
      <c r="N136" s="19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</row>
    <row r="137" ht="16.5" customHeight="1">
      <c r="A137" s="3"/>
      <c r="B137" s="3" t="str">
        <f t="shared" si="36"/>
        <v/>
      </c>
      <c r="C137" s="3"/>
      <c r="D137" s="5"/>
      <c r="E137" s="3" t="str">
        <f t="shared" ref="E137:H137" si="134">IF(A137&lt;&gt;"", IF(A137=A136, "", A137), "")</f>
        <v/>
      </c>
      <c r="F137" s="191" t="str">
        <f t="shared" si="134"/>
        <v/>
      </c>
      <c r="G137" s="3" t="str">
        <f t="shared" si="134"/>
        <v/>
      </c>
      <c r="H137" s="5" t="str">
        <f t="shared" si="134"/>
        <v/>
      </c>
      <c r="I137" s="3"/>
      <c r="J137" s="3"/>
      <c r="K137" s="3"/>
      <c r="L137" s="192"/>
      <c r="M137" s="192"/>
      <c r="N137" s="19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</row>
    <row r="138" ht="16.5" customHeight="1">
      <c r="A138" s="3"/>
      <c r="B138" s="3" t="str">
        <f t="shared" si="36"/>
        <v/>
      </c>
      <c r="C138" s="3"/>
      <c r="D138" s="5"/>
      <c r="E138" s="3" t="str">
        <f t="shared" ref="E138:H138" si="135">IF(A138&lt;&gt;"", IF(A138=A137, "", A138), "")</f>
        <v/>
      </c>
      <c r="F138" s="191" t="str">
        <f t="shared" si="135"/>
        <v/>
      </c>
      <c r="G138" s="3" t="str">
        <f t="shared" si="135"/>
        <v/>
      </c>
      <c r="H138" s="5" t="str">
        <f t="shared" si="135"/>
        <v/>
      </c>
      <c r="I138" s="3"/>
      <c r="J138" s="3"/>
      <c r="K138" s="3"/>
      <c r="L138" s="192"/>
      <c r="M138" s="192"/>
      <c r="N138" s="19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</row>
    <row r="139" ht="16.5" customHeight="1">
      <c r="A139" s="3"/>
      <c r="B139" s="3" t="str">
        <f t="shared" si="36"/>
        <v/>
      </c>
      <c r="C139" s="3"/>
      <c r="D139" s="5"/>
      <c r="E139" s="3" t="str">
        <f t="shared" ref="E139:H139" si="136">IF(A139&lt;&gt;"", IF(A139=A138, "", A139), "")</f>
        <v/>
      </c>
      <c r="F139" s="191" t="str">
        <f t="shared" si="136"/>
        <v/>
      </c>
      <c r="G139" s="3" t="str">
        <f t="shared" si="136"/>
        <v/>
      </c>
      <c r="H139" s="5" t="str">
        <f t="shared" si="136"/>
        <v/>
      </c>
      <c r="I139" s="3"/>
      <c r="J139" s="3"/>
      <c r="K139" s="3"/>
      <c r="L139" s="192"/>
      <c r="M139" s="192"/>
      <c r="N139" s="19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</row>
    <row r="140" ht="16.5" customHeight="1">
      <c r="A140" s="3"/>
      <c r="B140" s="3" t="str">
        <f t="shared" si="36"/>
        <v/>
      </c>
      <c r="C140" s="3"/>
      <c r="D140" s="5"/>
      <c r="E140" s="3" t="str">
        <f t="shared" ref="E140:H140" si="137">IF(A140&lt;&gt;"", IF(A140=A139, "", A140), "")</f>
        <v/>
      </c>
      <c r="F140" s="191" t="str">
        <f t="shared" si="137"/>
        <v/>
      </c>
      <c r="G140" s="3" t="str">
        <f t="shared" si="137"/>
        <v/>
      </c>
      <c r="H140" s="5" t="str">
        <f t="shared" si="137"/>
        <v/>
      </c>
      <c r="I140" s="3"/>
      <c r="J140" s="3"/>
      <c r="K140" s="3"/>
      <c r="L140" s="192"/>
      <c r="M140" s="192"/>
      <c r="N140" s="19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</row>
    <row r="141" ht="16.5" customHeight="1">
      <c r="A141" s="3"/>
      <c r="B141" s="3" t="str">
        <f t="shared" si="36"/>
        <v/>
      </c>
      <c r="C141" s="3"/>
      <c r="D141" s="5"/>
      <c r="E141" s="3" t="str">
        <f t="shared" ref="E141:H141" si="138">IF(A141&lt;&gt;"", IF(A141=A140, "", A141), "")</f>
        <v/>
      </c>
      <c r="F141" s="191" t="str">
        <f t="shared" si="138"/>
        <v/>
      </c>
      <c r="G141" s="3" t="str">
        <f t="shared" si="138"/>
        <v/>
      </c>
      <c r="H141" s="5" t="str">
        <f t="shared" si="138"/>
        <v/>
      </c>
      <c r="I141" s="3"/>
      <c r="J141" s="3"/>
      <c r="K141" s="3"/>
      <c r="L141" s="192"/>
      <c r="M141" s="192"/>
      <c r="N141" s="19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</row>
    <row r="142" ht="16.5" customHeight="1">
      <c r="A142" s="3"/>
      <c r="B142" s="3" t="str">
        <f t="shared" si="36"/>
        <v/>
      </c>
      <c r="C142" s="3"/>
      <c r="D142" s="5"/>
      <c r="E142" s="3" t="str">
        <f t="shared" ref="E142:H142" si="139">IF(A142&lt;&gt;"", IF(A142=A141, "", A142), "")</f>
        <v/>
      </c>
      <c r="F142" s="191" t="str">
        <f t="shared" si="139"/>
        <v/>
      </c>
      <c r="G142" s="3" t="str">
        <f t="shared" si="139"/>
        <v/>
      </c>
      <c r="H142" s="5" t="str">
        <f t="shared" si="139"/>
        <v/>
      </c>
      <c r="I142" s="3"/>
      <c r="J142" s="3"/>
      <c r="K142" s="3"/>
      <c r="L142" s="192"/>
      <c r="M142" s="192"/>
      <c r="N142" s="19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</row>
    <row r="143" ht="16.5" customHeight="1">
      <c r="A143" s="3"/>
      <c r="B143" s="3" t="str">
        <f t="shared" si="36"/>
        <v/>
      </c>
      <c r="C143" s="3"/>
      <c r="D143" s="5"/>
      <c r="E143" s="3" t="str">
        <f t="shared" ref="E143:H143" si="140">IF(A143&lt;&gt;"", IF(A143=A142, "", A143), "")</f>
        <v/>
      </c>
      <c r="F143" s="191" t="str">
        <f t="shared" si="140"/>
        <v/>
      </c>
      <c r="G143" s="3" t="str">
        <f t="shared" si="140"/>
        <v/>
      </c>
      <c r="H143" s="5" t="str">
        <f t="shared" si="140"/>
        <v/>
      </c>
      <c r="I143" s="3"/>
      <c r="J143" s="3"/>
      <c r="K143" s="3"/>
      <c r="L143" s="192"/>
      <c r="M143" s="192"/>
      <c r="N143" s="19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</row>
    <row r="144" ht="16.5" customHeight="1">
      <c r="A144" s="3"/>
      <c r="B144" s="3" t="str">
        <f t="shared" si="36"/>
        <v/>
      </c>
      <c r="C144" s="3"/>
      <c r="D144" s="5"/>
      <c r="E144" s="3" t="str">
        <f t="shared" ref="E144:H144" si="141">IF(A144&lt;&gt;"", IF(A144=A143, "", A144), "")</f>
        <v/>
      </c>
      <c r="F144" s="191" t="str">
        <f t="shared" si="141"/>
        <v/>
      </c>
      <c r="G144" s="3" t="str">
        <f t="shared" si="141"/>
        <v/>
      </c>
      <c r="H144" s="5" t="str">
        <f t="shared" si="141"/>
        <v/>
      </c>
      <c r="I144" s="3"/>
      <c r="J144" s="3"/>
      <c r="K144" s="3"/>
      <c r="L144" s="192"/>
      <c r="M144" s="192"/>
      <c r="N144" s="19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</row>
    <row r="145" ht="16.5" customHeight="1">
      <c r="A145" s="3"/>
      <c r="B145" s="3" t="str">
        <f t="shared" si="36"/>
        <v/>
      </c>
      <c r="C145" s="3"/>
      <c r="D145" s="5"/>
      <c r="E145" s="3" t="str">
        <f t="shared" ref="E145:H145" si="142">IF(A145&lt;&gt;"", IF(A145=A144, "", A145), "")</f>
        <v/>
      </c>
      <c r="F145" s="191" t="str">
        <f t="shared" si="142"/>
        <v/>
      </c>
      <c r="G145" s="3" t="str">
        <f t="shared" si="142"/>
        <v/>
      </c>
      <c r="H145" s="5" t="str">
        <f t="shared" si="142"/>
        <v/>
      </c>
      <c r="I145" s="3"/>
      <c r="J145" s="3"/>
      <c r="K145" s="3"/>
      <c r="L145" s="192"/>
      <c r="M145" s="192"/>
      <c r="N145" s="19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</row>
    <row r="146" ht="16.5" customHeight="1">
      <c r="A146" s="3"/>
      <c r="B146" s="3" t="str">
        <f t="shared" si="36"/>
        <v/>
      </c>
      <c r="C146" s="3"/>
      <c r="D146" s="5"/>
      <c r="E146" s="3" t="str">
        <f t="shared" ref="E146:H146" si="143">IF(A146&lt;&gt;"", IF(A146=A145, "", A146), "")</f>
        <v/>
      </c>
      <c r="F146" s="191" t="str">
        <f t="shared" si="143"/>
        <v/>
      </c>
      <c r="G146" s="3" t="str">
        <f t="shared" si="143"/>
        <v/>
      </c>
      <c r="H146" s="5" t="str">
        <f t="shared" si="143"/>
        <v/>
      </c>
      <c r="I146" s="3"/>
      <c r="J146" s="3"/>
      <c r="K146" s="3"/>
      <c r="L146" s="192"/>
      <c r="M146" s="192"/>
      <c r="N146" s="19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</row>
    <row r="147" ht="16.5" customHeight="1">
      <c r="A147" s="3"/>
      <c r="B147" s="3" t="str">
        <f t="shared" si="36"/>
        <v/>
      </c>
      <c r="C147" s="3"/>
      <c r="D147" s="5"/>
      <c r="E147" s="3" t="str">
        <f t="shared" ref="E147:H147" si="144">IF(A147&lt;&gt;"", IF(A147=A146, "", A147), "")</f>
        <v/>
      </c>
      <c r="F147" s="191" t="str">
        <f t="shared" si="144"/>
        <v/>
      </c>
      <c r="G147" s="3" t="str">
        <f t="shared" si="144"/>
        <v/>
      </c>
      <c r="H147" s="5" t="str">
        <f t="shared" si="144"/>
        <v/>
      </c>
      <c r="I147" s="3"/>
      <c r="J147" s="3"/>
      <c r="K147" s="3"/>
      <c r="L147" s="192"/>
      <c r="M147" s="192"/>
      <c r="N147" s="19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</row>
    <row r="148" ht="16.5" customHeight="1">
      <c r="A148" s="3"/>
      <c r="B148" s="3" t="str">
        <f t="shared" si="36"/>
        <v/>
      </c>
      <c r="C148" s="3"/>
      <c r="D148" s="5"/>
      <c r="E148" s="3" t="str">
        <f t="shared" ref="E148:H148" si="145">IF(A148&lt;&gt;"", IF(A148=A147, "", A148), "")</f>
        <v/>
      </c>
      <c r="F148" s="191" t="str">
        <f t="shared" si="145"/>
        <v/>
      </c>
      <c r="G148" s="3" t="str">
        <f t="shared" si="145"/>
        <v/>
      </c>
      <c r="H148" s="5" t="str">
        <f t="shared" si="145"/>
        <v/>
      </c>
      <c r="I148" s="3"/>
      <c r="J148" s="3"/>
      <c r="K148" s="3"/>
      <c r="L148" s="192"/>
      <c r="M148" s="192"/>
      <c r="N148" s="19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</row>
    <row r="149" ht="16.5" customHeight="1">
      <c r="A149" s="3"/>
      <c r="B149" s="3" t="str">
        <f t="shared" si="36"/>
        <v/>
      </c>
      <c r="C149" s="3"/>
      <c r="D149" s="5"/>
      <c r="E149" s="3" t="str">
        <f t="shared" ref="E149:H149" si="146">IF(A149&lt;&gt;"", IF(A149=A148, "", A149), "")</f>
        <v/>
      </c>
      <c r="F149" s="191" t="str">
        <f t="shared" si="146"/>
        <v/>
      </c>
      <c r="G149" s="3" t="str">
        <f t="shared" si="146"/>
        <v/>
      </c>
      <c r="H149" s="5" t="str">
        <f t="shared" si="146"/>
        <v/>
      </c>
      <c r="I149" s="3"/>
      <c r="J149" s="3"/>
      <c r="K149" s="3"/>
      <c r="L149" s="192"/>
      <c r="M149" s="192"/>
      <c r="N149" s="19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</row>
    <row r="150" ht="16.5" customHeight="1">
      <c r="A150" s="3"/>
      <c r="B150" s="3" t="str">
        <f t="shared" si="36"/>
        <v/>
      </c>
      <c r="C150" s="3"/>
      <c r="D150" s="5"/>
      <c r="E150" s="3" t="str">
        <f t="shared" ref="E150:H150" si="147">IF(A150&lt;&gt;"", IF(A150=A149, "", A150), "")</f>
        <v/>
      </c>
      <c r="F150" s="191" t="str">
        <f t="shared" si="147"/>
        <v/>
      </c>
      <c r="G150" s="3" t="str">
        <f t="shared" si="147"/>
        <v/>
      </c>
      <c r="H150" s="5" t="str">
        <f t="shared" si="147"/>
        <v/>
      </c>
      <c r="I150" s="3"/>
      <c r="J150" s="3"/>
      <c r="K150" s="3"/>
      <c r="L150" s="192"/>
      <c r="M150" s="192"/>
      <c r="N150" s="19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</row>
    <row r="151" ht="16.5" customHeight="1">
      <c r="A151" s="3"/>
      <c r="B151" s="3" t="str">
        <f t="shared" si="36"/>
        <v/>
      </c>
      <c r="C151" s="3"/>
      <c r="D151" s="5"/>
      <c r="E151" s="3" t="str">
        <f t="shared" ref="E151:H151" si="148">IF(A151&lt;&gt;"", IF(A151=A150, "", A151), "")</f>
        <v/>
      </c>
      <c r="F151" s="191" t="str">
        <f t="shared" si="148"/>
        <v/>
      </c>
      <c r="G151" s="3" t="str">
        <f t="shared" si="148"/>
        <v/>
      </c>
      <c r="H151" s="5" t="str">
        <f t="shared" si="148"/>
        <v/>
      </c>
      <c r="I151" s="3"/>
      <c r="J151" s="3"/>
      <c r="K151" s="3"/>
      <c r="L151" s="192"/>
      <c r="M151" s="192"/>
      <c r="N151" s="19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</row>
    <row r="152" ht="16.5" customHeight="1">
      <c r="A152" s="3"/>
      <c r="B152" s="3" t="str">
        <f t="shared" si="36"/>
        <v/>
      </c>
      <c r="C152" s="3"/>
      <c r="D152" s="5"/>
      <c r="E152" s="3" t="str">
        <f t="shared" ref="E152:H152" si="149">IF(A152&lt;&gt;"", IF(A152=A151, "", A152), "")</f>
        <v/>
      </c>
      <c r="F152" s="191" t="str">
        <f t="shared" si="149"/>
        <v/>
      </c>
      <c r="G152" s="3" t="str">
        <f t="shared" si="149"/>
        <v/>
      </c>
      <c r="H152" s="5" t="str">
        <f t="shared" si="149"/>
        <v/>
      </c>
      <c r="I152" s="3"/>
      <c r="J152" s="3"/>
      <c r="K152" s="3"/>
      <c r="L152" s="192"/>
      <c r="M152" s="192"/>
      <c r="N152" s="19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</row>
    <row r="153" ht="16.5" customHeight="1">
      <c r="A153" s="3"/>
      <c r="B153" s="3" t="str">
        <f t="shared" si="36"/>
        <v/>
      </c>
      <c r="C153" s="3"/>
      <c r="D153" s="5"/>
      <c r="E153" s="3" t="str">
        <f t="shared" ref="E153:H153" si="150">IF(A153&lt;&gt;"", IF(A153=A152, "", A153), "")</f>
        <v/>
      </c>
      <c r="F153" s="191" t="str">
        <f t="shared" si="150"/>
        <v/>
      </c>
      <c r="G153" s="3" t="str">
        <f t="shared" si="150"/>
        <v/>
      </c>
      <c r="H153" s="5" t="str">
        <f t="shared" si="150"/>
        <v/>
      </c>
      <c r="I153" s="3"/>
      <c r="J153" s="3"/>
      <c r="K153" s="3"/>
      <c r="L153" s="192"/>
      <c r="M153" s="192"/>
      <c r="N153" s="19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</row>
    <row r="154" ht="16.5" customHeight="1">
      <c r="A154" s="3"/>
      <c r="B154" s="3" t="str">
        <f t="shared" si="36"/>
        <v/>
      </c>
      <c r="C154" s="3"/>
      <c r="D154" s="5"/>
      <c r="E154" s="3" t="str">
        <f t="shared" ref="E154:H154" si="151">IF(A154&lt;&gt;"", IF(A154=A153, "", A154), "")</f>
        <v/>
      </c>
      <c r="F154" s="191" t="str">
        <f t="shared" si="151"/>
        <v/>
      </c>
      <c r="G154" s="3" t="str">
        <f t="shared" si="151"/>
        <v/>
      </c>
      <c r="H154" s="5" t="str">
        <f t="shared" si="151"/>
        <v/>
      </c>
      <c r="I154" s="3"/>
      <c r="J154" s="3"/>
      <c r="K154" s="3"/>
      <c r="L154" s="192"/>
      <c r="M154" s="192"/>
      <c r="N154" s="19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</row>
    <row r="155" ht="16.5" customHeight="1">
      <c r="A155" s="3"/>
      <c r="B155" s="3" t="str">
        <f t="shared" si="36"/>
        <v/>
      </c>
      <c r="C155" s="3"/>
      <c r="D155" s="5"/>
      <c r="E155" s="3" t="str">
        <f t="shared" ref="E155:H155" si="152">IF(A155&lt;&gt;"", IF(A155=A154, "", A155), "")</f>
        <v/>
      </c>
      <c r="F155" s="191" t="str">
        <f t="shared" si="152"/>
        <v/>
      </c>
      <c r="G155" s="3" t="str">
        <f t="shared" si="152"/>
        <v/>
      </c>
      <c r="H155" s="5" t="str">
        <f t="shared" si="152"/>
        <v/>
      </c>
      <c r="I155" s="3"/>
      <c r="J155" s="3"/>
      <c r="K155" s="3"/>
      <c r="L155" s="192"/>
      <c r="M155" s="192"/>
      <c r="N155" s="19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</row>
    <row r="156" ht="16.5" customHeight="1">
      <c r="A156" s="3"/>
      <c r="B156" s="3" t="str">
        <f t="shared" si="36"/>
        <v/>
      </c>
      <c r="C156" s="3"/>
      <c r="D156" s="5"/>
      <c r="E156" s="3" t="str">
        <f t="shared" ref="E156:H156" si="153">IF(A156&lt;&gt;"", IF(A156=A155, "", A156), "")</f>
        <v/>
      </c>
      <c r="F156" s="191" t="str">
        <f t="shared" si="153"/>
        <v/>
      </c>
      <c r="G156" s="3" t="str">
        <f t="shared" si="153"/>
        <v/>
      </c>
      <c r="H156" s="5" t="str">
        <f t="shared" si="153"/>
        <v/>
      </c>
      <c r="I156" s="3"/>
      <c r="J156" s="3"/>
      <c r="K156" s="3"/>
      <c r="L156" s="192"/>
      <c r="M156" s="192"/>
      <c r="N156" s="19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</row>
    <row r="157" ht="16.5" customHeight="1">
      <c r="A157" s="3"/>
      <c r="B157" s="3" t="str">
        <f t="shared" si="36"/>
        <v/>
      </c>
      <c r="C157" s="3"/>
      <c r="D157" s="5"/>
      <c r="E157" s="3" t="str">
        <f t="shared" ref="E157:H157" si="154">IF(A157&lt;&gt;"", IF(A157=A156, "", A157), "")</f>
        <v/>
      </c>
      <c r="F157" s="191" t="str">
        <f t="shared" si="154"/>
        <v/>
      </c>
      <c r="G157" s="3" t="str">
        <f t="shared" si="154"/>
        <v/>
      </c>
      <c r="H157" s="5" t="str">
        <f t="shared" si="154"/>
        <v/>
      </c>
      <c r="I157" s="3"/>
      <c r="J157" s="3"/>
      <c r="K157" s="3"/>
      <c r="L157" s="192"/>
      <c r="M157" s="192"/>
      <c r="N157" s="19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</row>
    <row r="158" ht="16.5" customHeight="1">
      <c r="A158" s="3"/>
      <c r="B158" s="3" t="str">
        <f t="shared" si="36"/>
        <v/>
      </c>
      <c r="C158" s="3"/>
      <c r="D158" s="5"/>
      <c r="E158" s="3" t="str">
        <f t="shared" ref="E158:H158" si="155">IF(A158&lt;&gt;"", IF(A158=A157, "", A158), "")</f>
        <v/>
      </c>
      <c r="F158" s="191" t="str">
        <f t="shared" si="155"/>
        <v/>
      </c>
      <c r="G158" s="3" t="str">
        <f t="shared" si="155"/>
        <v/>
      </c>
      <c r="H158" s="5" t="str">
        <f t="shared" si="155"/>
        <v/>
      </c>
      <c r="I158" s="3"/>
      <c r="J158" s="3"/>
      <c r="K158" s="3"/>
      <c r="L158" s="192"/>
      <c r="M158" s="192"/>
      <c r="N158" s="19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</row>
    <row r="159" ht="16.5" customHeight="1">
      <c r="A159" s="3"/>
      <c r="B159" s="3" t="str">
        <f t="shared" si="36"/>
        <v/>
      </c>
      <c r="C159" s="3"/>
      <c r="D159" s="5"/>
      <c r="E159" s="3" t="str">
        <f t="shared" ref="E159:H159" si="156">IF(A159&lt;&gt;"", IF(A159=A158, "", A159), "")</f>
        <v/>
      </c>
      <c r="F159" s="191" t="str">
        <f t="shared" si="156"/>
        <v/>
      </c>
      <c r="G159" s="3" t="str">
        <f t="shared" si="156"/>
        <v/>
      </c>
      <c r="H159" s="5" t="str">
        <f t="shared" si="156"/>
        <v/>
      </c>
      <c r="I159" s="3"/>
      <c r="J159" s="3"/>
      <c r="K159" s="3"/>
      <c r="L159" s="192"/>
      <c r="M159" s="192"/>
      <c r="N159" s="19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</row>
    <row r="160" ht="16.5" customHeight="1">
      <c r="A160" s="3"/>
      <c r="B160" s="3" t="str">
        <f t="shared" si="36"/>
        <v/>
      </c>
      <c r="C160" s="3"/>
      <c r="D160" s="5"/>
      <c r="E160" s="3" t="str">
        <f t="shared" ref="E160:H160" si="157">IF(A160&lt;&gt;"", IF(A160=A159, "", A160), "")</f>
        <v/>
      </c>
      <c r="F160" s="191" t="str">
        <f t="shared" si="157"/>
        <v/>
      </c>
      <c r="G160" s="3" t="str">
        <f t="shared" si="157"/>
        <v/>
      </c>
      <c r="H160" s="5" t="str">
        <f t="shared" si="157"/>
        <v/>
      </c>
      <c r="I160" s="3"/>
      <c r="J160" s="3"/>
      <c r="K160" s="3"/>
      <c r="L160" s="192"/>
      <c r="M160" s="192"/>
      <c r="N160" s="19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</row>
    <row r="161" ht="16.5" customHeight="1">
      <c r="A161" s="3"/>
      <c r="B161" s="3" t="str">
        <f t="shared" si="36"/>
        <v/>
      </c>
      <c r="C161" s="3"/>
      <c r="D161" s="5"/>
      <c r="E161" s="3" t="str">
        <f t="shared" ref="E161:H161" si="158">IF(A161&lt;&gt;"", IF(A161=A160, "", A161), "")</f>
        <v/>
      </c>
      <c r="F161" s="191" t="str">
        <f t="shared" si="158"/>
        <v/>
      </c>
      <c r="G161" s="3" t="str">
        <f t="shared" si="158"/>
        <v/>
      </c>
      <c r="H161" s="5" t="str">
        <f t="shared" si="158"/>
        <v/>
      </c>
      <c r="I161" s="3"/>
      <c r="J161" s="3"/>
      <c r="K161" s="3"/>
      <c r="L161" s="192"/>
      <c r="M161" s="192"/>
      <c r="N161" s="19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</row>
    <row r="162" ht="16.5" customHeight="1">
      <c r="A162" s="3"/>
      <c r="B162" s="3" t="str">
        <f t="shared" si="36"/>
        <v/>
      </c>
      <c r="C162" s="3"/>
      <c r="D162" s="5"/>
      <c r="E162" s="3" t="str">
        <f t="shared" ref="E162:H162" si="159">IF(A162&lt;&gt;"", IF(A162=A161, "", A162), "")</f>
        <v/>
      </c>
      <c r="F162" s="191" t="str">
        <f t="shared" si="159"/>
        <v/>
      </c>
      <c r="G162" s="3" t="str">
        <f t="shared" si="159"/>
        <v/>
      </c>
      <c r="H162" s="5" t="str">
        <f t="shared" si="159"/>
        <v/>
      </c>
      <c r="I162" s="3"/>
      <c r="J162" s="3"/>
      <c r="K162" s="3"/>
      <c r="L162" s="192"/>
      <c r="M162" s="192"/>
      <c r="N162" s="19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</row>
    <row r="163" ht="16.5" customHeight="1">
      <c r="A163" s="3"/>
      <c r="B163" s="3" t="str">
        <f t="shared" si="36"/>
        <v/>
      </c>
      <c r="C163" s="3"/>
      <c r="D163" s="5"/>
      <c r="E163" s="3" t="str">
        <f t="shared" ref="E163:H163" si="160">IF(A163&lt;&gt;"", IF(A163=A162, "", A163), "")</f>
        <v/>
      </c>
      <c r="F163" s="191" t="str">
        <f t="shared" si="160"/>
        <v/>
      </c>
      <c r="G163" s="3" t="str">
        <f t="shared" si="160"/>
        <v/>
      </c>
      <c r="H163" s="5" t="str">
        <f t="shared" si="160"/>
        <v/>
      </c>
      <c r="I163" s="3"/>
      <c r="J163" s="3"/>
      <c r="K163" s="3"/>
      <c r="L163" s="192"/>
      <c r="M163" s="192"/>
      <c r="N163" s="19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</row>
    <row r="164" ht="16.5" customHeight="1">
      <c r="A164" s="3"/>
      <c r="B164" s="3" t="str">
        <f t="shared" si="36"/>
        <v/>
      </c>
      <c r="C164" s="3"/>
      <c r="D164" s="5"/>
      <c r="E164" s="3" t="str">
        <f t="shared" ref="E164:H164" si="161">IF(A164&lt;&gt;"", IF(A164=A163, "", A164), "")</f>
        <v/>
      </c>
      <c r="F164" s="191" t="str">
        <f t="shared" si="161"/>
        <v/>
      </c>
      <c r="G164" s="3" t="str">
        <f t="shared" si="161"/>
        <v/>
      </c>
      <c r="H164" s="5" t="str">
        <f t="shared" si="161"/>
        <v/>
      </c>
      <c r="I164" s="3"/>
      <c r="J164" s="3"/>
      <c r="K164" s="3"/>
      <c r="L164" s="192"/>
      <c r="M164" s="192"/>
      <c r="N164" s="19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</row>
    <row r="165" ht="16.5" customHeight="1">
      <c r="A165" s="3"/>
      <c r="B165" s="3" t="str">
        <f t="shared" si="36"/>
        <v/>
      </c>
      <c r="C165" s="3"/>
      <c r="D165" s="5"/>
      <c r="E165" s="3" t="str">
        <f t="shared" ref="E165:H165" si="162">IF(A165&lt;&gt;"", IF(A165=A164, "", A165), "")</f>
        <v/>
      </c>
      <c r="F165" s="191" t="str">
        <f t="shared" si="162"/>
        <v/>
      </c>
      <c r="G165" s="3" t="str">
        <f t="shared" si="162"/>
        <v/>
      </c>
      <c r="H165" s="5" t="str">
        <f t="shared" si="162"/>
        <v/>
      </c>
      <c r="I165" s="3"/>
      <c r="J165" s="3"/>
      <c r="K165" s="3"/>
      <c r="L165" s="192"/>
      <c r="M165" s="192"/>
      <c r="N165" s="19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</row>
    <row r="166" ht="16.5" customHeight="1">
      <c r="A166" s="3"/>
      <c r="B166" s="3" t="str">
        <f t="shared" si="36"/>
        <v/>
      </c>
      <c r="C166" s="3"/>
      <c r="D166" s="5"/>
      <c r="E166" s="3" t="str">
        <f t="shared" ref="E166:H166" si="163">IF(A166&lt;&gt;"", IF(A166=A165, "", A166), "")</f>
        <v/>
      </c>
      <c r="F166" s="191" t="str">
        <f t="shared" si="163"/>
        <v/>
      </c>
      <c r="G166" s="3" t="str">
        <f t="shared" si="163"/>
        <v/>
      </c>
      <c r="H166" s="5" t="str">
        <f t="shared" si="163"/>
        <v/>
      </c>
      <c r="I166" s="3"/>
      <c r="J166" s="3"/>
      <c r="K166" s="3"/>
      <c r="L166" s="192"/>
      <c r="M166" s="192"/>
      <c r="N166" s="19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</row>
    <row r="167" ht="16.5" customHeight="1">
      <c r="A167" s="3"/>
      <c r="B167" s="3" t="str">
        <f t="shared" si="36"/>
        <v/>
      </c>
      <c r="C167" s="3"/>
      <c r="D167" s="5"/>
      <c r="E167" s="3" t="str">
        <f t="shared" ref="E167:H167" si="164">IF(A167&lt;&gt;"", IF(A167=A166, "", A167), "")</f>
        <v/>
      </c>
      <c r="F167" s="191" t="str">
        <f t="shared" si="164"/>
        <v/>
      </c>
      <c r="G167" s="3" t="str">
        <f t="shared" si="164"/>
        <v/>
      </c>
      <c r="H167" s="5" t="str">
        <f t="shared" si="164"/>
        <v/>
      </c>
      <c r="I167" s="3"/>
      <c r="J167" s="3"/>
      <c r="K167" s="3"/>
      <c r="L167" s="192"/>
      <c r="M167" s="192"/>
      <c r="N167" s="19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</row>
    <row r="168" ht="16.5" customHeight="1">
      <c r="A168" s="3"/>
      <c r="B168" s="3" t="str">
        <f t="shared" si="36"/>
        <v/>
      </c>
      <c r="C168" s="3"/>
      <c r="D168" s="5"/>
      <c r="E168" s="3" t="str">
        <f t="shared" ref="E168:H168" si="165">IF(A168&lt;&gt;"", IF(A168=A167, "", A168), "")</f>
        <v/>
      </c>
      <c r="F168" s="191" t="str">
        <f t="shared" si="165"/>
        <v/>
      </c>
      <c r="G168" s="3" t="str">
        <f t="shared" si="165"/>
        <v/>
      </c>
      <c r="H168" s="5" t="str">
        <f t="shared" si="165"/>
        <v/>
      </c>
      <c r="I168" s="3"/>
      <c r="J168" s="3"/>
      <c r="K168" s="3"/>
      <c r="L168" s="192"/>
      <c r="M168" s="192"/>
      <c r="N168" s="19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</row>
    <row r="169" ht="16.5" customHeight="1">
      <c r="A169" s="3"/>
      <c r="B169" s="3" t="str">
        <f t="shared" si="36"/>
        <v/>
      </c>
      <c r="C169" s="3"/>
      <c r="D169" s="5"/>
      <c r="E169" s="3" t="str">
        <f t="shared" ref="E169:H169" si="166">IF(A169&lt;&gt;"", IF(A169=A168, "", A169), "")</f>
        <v/>
      </c>
      <c r="F169" s="191" t="str">
        <f t="shared" si="166"/>
        <v/>
      </c>
      <c r="G169" s="3" t="str">
        <f t="shared" si="166"/>
        <v/>
      </c>
      <c r="H169" s="5" t="str">
        <f t="shared" si="166"/>
        <v/>
      </c>
      <c r="I169" s="3"/>
      <c r="J169" s="3"/>
      <c r="K169" s="3"/>
      <c r="L169" s="192"/>
      <c r="M169" s="192"/>
      <c r="N169" s="19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</row>
    <row r="170" ht="16.5" customHeight="1">
      <c r="A170" s="3"/>
      <c r="B170" s="3" t="str">
        <f t="shared" si="36"/>
        <v/>
      </c>
      <c r="C170" s="3"/>
      <c r="D170" s="5"/>
      <c r="E170" s="3" t="str">
        <f t="shared" ref="E170:H170" si="167">IF(A170&lt;&gt;"", IF(A170=A169, "", A170), "")</f>
        <v/>
      </c>
      <c r="F170" s="191" t="str">
        <f t="shared" si="167"/>
        <v/>
      </c>
      <c r="G170" s="3" t="str">
        <f t="shared" si="167"/>
        <v/>
      </c>
      <c r="H170" s="5" t="str">
        <f t="shared" si="167"/>
        <v/>
      </c>
      <c r="I170" s="3"/>
      <c r="J170" s="3"/>
      <c r="K170" s="3"/>
      <c r="L170" s="192"/>
      <c r="M170" s="192"/>
      <c r="N170" s="19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</row>
    <row r="171" ht="16.5" customHeight="1">
      <c r="A171" s="3"/>
      <c r="B171" s="3" t="str">
        <f t="shared" si="36"/>
        <v/>
      </c>
      <c r="C171" s="3"/>
      <c r="D171" s="5"/>
      <c r="E171" s="3" t="str">
        <f t="shared" ref="E171:H171" si="168">IF(A171&lt;&gt;"", IF(A171=A170, "", A171), "")</f>
        <v/>
      </c>
      <c r="F171" s="191" t="str">
        <f t="shared" si="168"/>
        <v/>
      </c>
      <c r="G171" s="3" t="str">
        <f t="shared" si="168"/>
        <v/>
      </c>
      <c r="H171" s="5" t="str">
        <f t="shared" si="168"/>
        <v/>
      </c>
      <c r="I171" s="3"/>
      <c r="J171" s="3"/>
      <c r="K171" s="3"/>
      <c r="L171" s="192"/>
      <c r="M171" s="192"/>
      <c r="N171" s="19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</row>
    <row r="172" ht="16.5" customHeight="1">
      <c r="A172" s="3"/>
      <c r="B172" s="3" t="str">
        <f t="shared" si="36"/>
        <v/>
      </c>
      <c r="C172" s="3"/>
      <c r="D172" s="5"/>
      <c r="E172" s="3" t="str">
        <f t="shared" ref="E172:H172" si="169">IF(A172&lt;&gt;"", IF(A172=A171, "", A172), "")</f>
        <v/>
      </c>
      <c r="F172" s="191" t="str">
        <f t="shared" si="169"/>
        <v/>
      </c>
      <c r="G172" s="3" t="str">
        <f t="shared" si="169"/>
        <v/>
      </c>
      <c r="H172" s="5" t="str">
        <f t="shared" si="169"/>
        <v/>
      </c>
      <c r="I172" s="3"/>
      <c r="J172" s="3"/>
      <c r="K172" s="3"/>
      <c r="L172" s="192"/>
      <c r="M172" s="192"/>
      <c r="N172" s="19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</row>
    <row r="173" ht="16.5" customHeight="1">
      <c r="A173" s="3"/>
      <c r="B173" s="3" t="str">
        <f t="shared" si="36"/>
        <v/>
      </c>
      <c r="C173" s="3"/>
      <c r="D173" s="5"/>
      <c r="E173" s="3" t="str">
        <f t="shared" ref="E173:H173" si="170">IF(A173&lt;&gt;"", IF(A173=A172, "", A173), "")</f>
        <v/>
      </c>
      <c r="F173" s="191" t="str">
        <f t="shared" si="170"/>
        <v/>
      </c>
      <c r="G173" s="3" t="str">
        <f t="shared" si="170"/>
        <v/>
      </c>
      <c r="H173" s="5" t="str">
        <f t="shared" si="170"/>
        <v/>
      </c>
      <c r="I173" s="3"/>
      <c r="J173" s="3"/>
      <c r="K173" s="3"/>
      <c r="L173" s="192"/>
      <c r="M173" s="192"/>
      <c r="N173" s="19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</row>
    <row r="174" ht="16.5" customHeight="1">
      <c r="A174" s="3"/>
      <c r="B174" s="3" t="str">
        <f t="shared" si="36"/>
        <v/>
      </c>
      <c r="C174" s="3"/>
      <c r="D174" s="5"/>
      <c r="E174" s="3" t="str">
        <f t="shared" ref="E174:H174" si="171">IF(A174&lt;&gt;"", IF(A174=A173, "", A174), "")</f>
        <v/>
      </c>
      <c r="F174" s="191" t="str">
        <f t="shared" si="171"/>
        <v/>
      </c>
      <c r="G174" s="3" t="str">
        <f t="shared" si="171"/>
        <v/>
      </c>
      <c r="H174" s="5" t="str">
        <f t="shared" si="171"/>
        <v/>
      </c>
      <c r="I174" s="3"/>
      <c r="J174" s="3"/>
      <c r="K174" s="3"/>
      <c r="L174" s="192"/>
      <c r="M174" s="192"/>
      <c r="N174" s="19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</row>
    <row r="175" ht="16.5" customHeight="1">
      <c r="A175" s="3"/>
      <c r="B175" s="3" t="str">
        <f t="shared" si="36"/>
        <v/>
      </c>
      <c r="C175" s="3"/>
      <c r="D175" s="5"/>
      <c r="E175" s="3" t="str">
        <f t="shared" ref="E175:H175" si="172">IF(A175&lt;&gt;"", IF(A175=A174, "", A175), "")</f>
        <v/>
      </c>
      <c r="F175" s="191" t="str">
        <f t="shared" si="172"/>
        <v/>
      </c>
      <c r="G175" s="3" t="str">
        <f t="shared" si="172"/>
        <v/>
      </c>
      <c r="H175" s="5" t="str">
        <f t="shared" si="172"/>
        <v/>
      </c>
      <c r="I175" s="3"/>
      <c r="J175" s="3"/>
      <c r="K175" s="3"/>
      <c r="L175" s="192"/>
      <c r="M175" s="192"/>
      <c r="N175" s="19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</row>
    <row r="176" ht="16.5" customHeight="1">
      <c r="A176" s="3"/>
      <c r="B176" s="3" t="str">
        <f t="shared" si="36"/>
        <v/>
      </c>
      <c r="C176" s="3"/>
      <c r="D176" s="5"/>
      <c r="E176" s="3" t="str">
        <f t="shared" ref="E176:H176" si="173">IF(A176&lt;&gt;"", IF(A176=A175, "", A176), "")</f>
        <v/>
      </c>
      <c r="F176" s="191" t="str">
        <f t="shared" si="173"/>
        <v/>
      </c>
      <c r="G176" s="3" t="str">
        <f t="shared" si="173"/>
        <v/>
      </c>
      <c r="H176" s="5" t="str">
        <f t="shared" si="173"/>
        <v/>
      </c>
      <c r="I176" s="3"/>
      <c r="J176" s="3"/>
      <c r="K176" s="3"/>
      <c r="L176" s="192"/>
      <c r="M176" s="192"/>
      <c r="N176" s="19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</row>
    <row r="177" ht="16.5" customHeight="1">
      <c r="A177" s="3"/>
      <c r="B177" s="3" t="str">
        <f t="shared" si="36"/>
        <v/>
      </c>
      <c r="C177" s="3"/>
      <c r="D177" s="5"/>
      <c r="E177" s="3" t="str">
        <f t="shared" ref="E177:H177" si="174">IF(A177&lt;&gt;"", IF(A177=A176, "", A177), "")</f>
        <v/>
      </c>
      <c r="F177" s="191" t="str">
        <f t="shared" si="174"/>
        <v/>
      </c>
      <c r="G177" s="3" t="str">
        <f t="shared" si="174"/>
        <v/>
      </c>
      <c r="H177" s="5" t="str">
        <f t="shared" si="174"/>
        <v/>
      </c>
      <c r="I177" s="3"/>
      <c r="J177" s="3"/>
      <c r="K177" s="3"/>
      <c r="L177" s="192"/>
      <c r="M177" s="192"/>
      <c r="N177" s="19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</row>
    <row r="178" ht="16.5" customHeight="1">
      <c r="A178" s="3"/>
      <c r="B178" s="3" t="str">
        <f t="shared" si="36"/>
        <v/>
      </c>
      <c r="C178" s="3"/>
      <c r="D178" s="5"/>
      <c r="E178" s="3" t="str">
        <f t="shared" ref="E178:H178" si="175">IF(A178&lt;&gt;"", IF(A178=A177, "", A178), "")</f>
        <v/>
      </c>
      <c r="F178" s="191" t="str">
        <f t="shared" si="175"/>
        <v/>
      </c>
      <c r="G178" s="3" t="str">
        <f t="shared" si="175"/>
        <v/>
      </c>
      <c r="H178" s="5" t="str">
        <f t="shared" si="175"/>
        <v/>
      </c>
      <c r="I178" s="3"/>
      <c r="J178" s="3"/>
      <c r="K178" s="3"/>
      <c r="L178" s="192"/>
      <c r="M178" s="192"/>
      <c r="N178" s="19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</row>
    <row r="179" ht="16.5" customHeight="1">
      <c r="A179" s="3"/>
      <c r="B179" s="3" t="str">
        <f t="shared" si="36"/>
        <v/>
      </c>
      <c r="C179" s="3"/>
      <c r="D179" s="5"/>
      <c r="E179" s="3" t="str">
        <f t="shared" ref="E179:H179" si="176">IF(A179&lt;&gt;"", IF(A179=A178, "", A179), "")</f>
        <v/>
      </c>
      <c r="F179" s="191" t="str">
        <f t="shared" si="176"/>
        <v/>
      </c>
      <c r="G179" s="3" t="str">
        <f t="shared" si="176"/>
        <v/>
      </c>
      <c r="H179" s="5" t="str">
        <f t="shared" si="176"/>
        <v/>
      </c>
      <c r="I179" s="3"/>
      <c r="J179" s="3"/>
      <c r="K179" s="3"/>
      <c r="L179" s="192"/>
      <c r="M179" s="192"/>
      <c r="N179" s="19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</row>
    <row r="180" ht="16.5" customHeight="1">
      <c r="A180" s="3"/>
      <c r="B180" s="3" t="str">
        <f t="shared" si="36"/>
        <v/>
      </c>
      <c r="C180" s="3"/>
      <c r="D180" s="5"/>
      <c r="E180" s="3" t="str">
        <f t="shared" ref="E180:H180" si="177">IF(A180&lt;&gt;"", IF(A180=A179, "", A180), "")</f>
        <v/>
      </c>
      <c r="F180" s="191" t="str">
        <f t="shared" si="177"/>
        <v/>
      </c>
      <c r="G180" s="3" t="str">
        <f t="shared" si="177"/>
        <v/>
      </c>
      <c r="H180" s="5" t="str">
        <f t="shared" si="177"/>
        <v/>
      </c>
      <c r="I180" s="3"/>
      <c r="J180" s="3"/>
      <c r="K180" s="3"/>
      <c r="L180" s="192"/>
      <c r="M180" s="192"/>
      <c r="N180" s="19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</row>
    <row r="181" ht="16.5" customHeight="1">
      <c r="A181" s="3"/>
      <c r="B181" s="3" t="str">
        <f t="shared" si="36"/>
        <v/>
      </c>
      <c r="C181" s="3"/>
      <c r="D181" s="5"/>
      <c r="E181" s="3" t="str">
        <f t="shared" ref="E181:H181" si="178">IF(A181&lt;&gt;"", IF(A181=A180, "", A181), "")</f>
        <v/>
      </c>
      <c r="F181" s="191" t="str">
        <f t="shared" si="178"/>
        <v/>
      </c>
      <c r="G181" s="3" t="str">
        <f t="shared" si="178"/>
        <v/>
      </c>
      <c r="H181" s="5" t="str">
        <f t="shared" si="178"/>
        <v/>
      </c>
      <c r="I181" s="3"/>
      <c r="J181" s="3"/>
      <c r="K181" s="3"/>
      <c r="L181" s="192"/>
      <c r="M181" s="192"/>
      <c r="N181" s="19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</row>
    <row r="182" ht="16.5" customHeight="1">
      <c r="A182" s="3"/>
      <c r="B182" s="3" t="str">
        <f t="shared" si="36"/>
        <v/>
      </c>
      <c r="C182" s="3"/>
      <c r="D182" s="5"/>
      <c r="E182" s="3" t="str">
        <f t="shared" ref="E182:H182" si="179">IF(A182&lt;&gt;"", IF(A182=A181, "", A182), "")</f>
        <v/>
      </c>
      <c r="F182" s="191" t="str">
        <f t="shared" si="179"/>
        <v/>
      </c>
      <c r="G182" s="3" t="str">
        <f t="shared" si="179"/>
        <v/>
      </c>
      <c r="H182" s="5" t="str">
        <f t="shared" si="179"/>
        <v/>
      </c>
      <c r="I182" s="3"/>
      <c r="J182" s="3"/>
      <c r="K182" s="3"/>
      <c r="L182" s="192"/>
      <c r="M182" s="192"/>
      <c r="N182" s="19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</row>
    <row r="183" ht="16.5" customHeight="1">
      <c r="A183" s="3"/>
      <c r="B183" s="3" t="str">
        <f t="shared" si="36"/>
        <v/>
      </c>
      <c r="C183" s="3"/>
      <c r="D183" s="5"/>
      <c r="E183" s="3" t="str">
        <f t="shared" ref="E183:H183" si="180">IF(A183&lt;&gt;"", IF(A183=A182, "", A183), "")</f>
        <v/>
      </c>
      <c r="F183" s="191" t="str">
        <f t="shared" si="180"/>
        <v/>
      </c>
      <c r="G183" s="3" t="str">
        <f t="shared" si="180"/>
        <v/>
      </c>
      <c r="H183" s="5" t="str">
        <f t="shared" si="180"/>
        <v/>
      </c>
      <c r="I183" s="3"/>
      <c r="J183" s="3"/>
      <c r="K183" s="3"/>
      <c r="L183" s="192"/>
      <c r="M183" s="192"/>
      <c r="N183" s="19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</row>
    <row r="184" ht="16.5" customHeight="1">
      <c r="A184" s="3"/>
      <c r="B184" s="3" t="str">
        <f t="shared" si="36"/>
        <v/>
      </c>
      <c r="C184" s="3"/>
      <c r="D184" s="5"/>
      <c r="E184" s="3" t="str">
        <f t="shared" ref="E184:H184" si="181">IF(A184&lt;&gt;"", IF(A184=A183, "", A184), "")</f>
        <v/>
      </c>
      <c r="F184" s="191" t="str">
        <f t="shared" si="181"/>
        <v/>
      </c>
      <c r="G184" s="3" t="str">
        <f t="shared" si="181"/>
        <v/>
      </c>
      <c r="H184" s="5" t="str">
        <f t="shared" si="181"/>
        <v/>
      </c>
      <c r="I184" s="3"/>
      <c r="J184" s="3"/>
      <c r="K184" s="3"/>
      <c r="L184" s="192"/>
      <c r="M184" s="192"/>
      <c r="N184" s="19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</row>
    <row r="185" ht="16.5" customHeight="1">
      <c r="A185" s="3"/>
      <c r="B185" s="3" t="str">
        <f t="shared" si="36"/>
        <v/>
      </c>
      <c r="C185" s="3"/>
      <c r="D185" s="5"/>
      <c r="E185" s="3" t="str">
        <f t="shared" ref="E185:H185" si="182">IF(A185&lt;&gt;"", IF(A185=A184, "", A185), "")</f>
        <v/>
      </c>
      <c r="F185" s="191" t="str">
        <f t="shared" si="182"/>
        <v/>
      </c>
      <c r="G185" s="3" t="str">
        <f t="shared" si="182"/>
        <v/>
      </c>
      <c r="H185" s="5" t="str">
        <f t="shared" si="182"/>
        <v/>
      </c>
      <c r="I185" s="3"/>
      <c r="J185" s="3"/>
      <c r="K185" s="3"/>
      <c r="L185" s="192"/>
      <c r="M185" s="192"/>
      <c r="N185" s="19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</row>
    <row r="186" ht="16.5" customHeight="1">
      <c r="A186" s="3"/>
      <c r="B186" s="3" t="str">
        <f t="shared" si="36"/>
        <v/>
      </c>
      <c r="C186" s="3"/>
      <c r="D186" s="5"/>
      <c r="E186" s="3" t="str">
        <f t="shared" ref="E186:H186" si="183">IF(A186&lt;&gt;"", IF(A186=A185, "", A186), "")</f>
        <v/>
      </c>
      <c r="F186" s="191" t="str">
        <f t="shared" si="183"/>
        <v/>
      </c>
      <c r="G186" s="3" t="str">
        <f t="shared" si="183"/>
        <v/>
      </c>
      <c r="H186" s="5" t="str">
        <f t="shared" si="183"/>
        <v/>
      </c>
      <c r="I186" s="3"/>
      <c r="J186" s="3"/>
      <c r="K186" s="3"/>
      <c r="L186" s="192"/>
      <c r="M186" s="192"/>
      <c r="N186" s="19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</row>
    <row r="187" ht="16.5" customHeight="1">
      <c r="A187" s="3"/>
      <c r="B187" s="3" t="str">
        <f t="shared" si="36"/>
        <v/>
      </c>
      <c r="C187" s="3"/>
      <c r="D187" s="5"/>
      <c r="E187" s="3" t="str">
        <f t="shared" ref="E187:H187" si="184">IF(A187&lt;&gt;"", IF(A187=A186, "", A187), "")</f>
        <v/>
      </c>
      <c r="F187" s="191" t="str">
        <f t="shared" si="184"/>
        <v/>
      </c>
      <c r="G187" s="3" t="str">
        <f t="shared" si="184"/>
        <v/>
      </c>
      <c r="H187" s="5" t="str">
        <f t="shared" si="184"/>
        <v/>
      </c>
      <c r="I187" s="3"/>
      <c r="J187" s="3"/>
      <c r="K187" s="3"/>
      <c r="L187" s="192"/>
      <c r="M187" s="192"/>
      <c r="N187" s="19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</row>
    <row r="188" ht="16.5" customHeight="1">
      <c r="A188" s="3"/>
      <c r="B188" s="3" t="str">
        <f t="shared" si="36"/>
        <v/>
      </c>
      <c r="C188" s="3"/>
      <c r="D188" s="5"/>
      <c r="E188" s="3" t="str">
        <f t="shared" ref="E188:H188" si="185">IF(A188&lt;&gt;"", IF(A188=A187, "", A188), "")</f>
        <v/>
      </c>
      <c r="F188" s="191" t="str">
        <f t="shared" si="185"/>
        <v/>
      </c>
      <c r="G188" s="3" t="str">
        <f t="shared" si="185"/>
        <v/>
      </c>
      <c r="H188" s="5" t="str">
        <f t="shared" si="185"/>
        <v/>
      </c>
      <c r="I188" s="3"/>
      <c r="J188" s="3"/>
      <c r="K188" s="3"/>
      <c r="L188" s="192"/>
      <c r="M188" s="192"/>
      <c r="N188" s="19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</row>
    <row r="189" ht="16.5" customHeight="1">
      <c r="A189" s="3"/>
      <c r="B189" s="3" t="str">
        <f t="shared" si="36"/>
        <v/>
      </c>
      <c r="C189" s="3"/>
      <c r="D189" s="5"/>
      <c r="E189" s="3" t="str">
        <f t="shared" ref="E189:H189" si="186">IF(A189&lt;&gt;"", IF(A189=A188, "", A189), "")</f>
        <v/>
      </c>
      <c r="F189" s="191" t="str">
        <f t="shared" si="186"/>
        <v/>
      </c>
      <c r="G189" s="3" t="str">
        <f t="shared" si="186"/>
        <v/>
      </c>
      <c r="H189" s="5" t="str">
        <f t="shared" si="186"/>
        <v/>
      </c>
      <c r="I189" s="3"/>
      <c r="J189" s="3"/>
      <c r="K189" s="3"/>
      <c r="L189" s="192"/>
      <c r="M189" s="192"/>
      <c r="N189" s="19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</row>
    <row r="190" ht="16.5" customHeight="1">
      <c r="A190" s="3"/>
      <c r="B190" s="3" t="str">
        <f t="shared" si="36"/>
        <v/>
      </c>
      <c r="C190" s="3"/>
      <c r="D190" s="5"/>
      <c r="E190" s="3" t="str">
        <f t="shared" ref="E190:H190" si="187">IF(A190&lt;&gt;"", IF(A190=A189, "", A190), "")</f>
        <v/>
      </c>
      <c r="F190" s="191" t="str">
        <f t="shared" si="187"/>
        <v/>
      </c>
      <c r="G190" s="3" t="str">
        <f t="shared" si="187"/>
        <v/>
      </c>
      <c r="H190" s="5" t="str">
        <f t="shared" si="187"/>
        <v/>
      </c>
      <c r="I190" s="3"/>
      <c r="J190" s="3"/>
      <c r="K190" s="3"/>
      <c r="L190" s="192"/>
      <c r="M190" s="192"/>
      <c r="N190" s="19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</row>
    <row r="191" ht="16.5" customHeight="1">
      <c r="A191" s="3"/>
      <c r="B191" s="3" t="str">
        <f t="shared" si="36"/>
        <v/>
      </c>
      <c r="C191" s="3"/>
      <c r="D191" s="5"/>
      <c r="E191" s="3" t="str">
        <f t="shared" ref="E191:H191" si="188">IF(A191&lt;&gt;"", IF(A191=A190, "", A191), "")</f>
        <v/>
      </c>
      <c r="F191" s="191" t="str">
        <f t="shared" si="188"/>
        <v/>
      </c>
      <c r="G191" s="3" t="str">
        <f t="shared" si="188"/>
        <v/>
      </c>
      <c r="H191" s="5" t="str">
        <f t="shared" si="188"/>
        <v/>
      </c>
      <c r="I191" s="3"/>
      <c r="J191" s="3"/>
      <c r="K191" s="3"/>
      <c r="L191" s="192"/>
      <c r="M191" s="192"/>
      <c r="N191" s="19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</row>
    <row r="192" ht="16.5" customHeight="1">
      <c r="A192" s="3"/>
      <c r="B192" s="3" t="str">
        <f t="shared" si="36"/>
        <v/>
      </c>
      <c r="C192" s="3"/>
      <c r="D192" s="5"/>
      <c r="E192" s="3" t="str">
        <f t="shared" ref="E192:H192" si="189">IF(A192&lt;&gt;"", IF(A192=A191, "", A192), "")</f>
        <v/>
      </c>
      <c r="F192" s="191" t="str">
        <f t="shared" si="189"/>
        <v/>
      </c>
      <c r="G192" s="3" t="str">
        <f t="shared" si="189"/>
        <v/>
      </c>
      <c r="H192" s="5" t="str">
        <f t="shared" si="189"/>
        <v/>
      </c>
      <c r="I192" s="3"/>
      <c r="J192" s="3"/>
      <c r="K192" s="3"/>
      <c r="L192" s="192"/>
      <c r="M192" s="192"/>
      <c r="N192" s="19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</row>
    <row r="193" ht="16.5" customHeight="1">
      <c r="A193" s="3"/>
      <c r="B193" s="3" t="str">
        <f t="shared" si="36"/>
        <v/>
      </c>
      <c r="C193" s="3"/>
      <c r="D193" s="5"/>
      <c r="E193" s="3" t="str">
        <f t="shared" ref="E193:H193" si="190">IF(A193&lt;&gt;"", IF(A193=A192, "", A193), "")</f>
        <v/>
      </c>
      <c r="F193" s="191" t="str">
        <f t="shared" si="190"/>
        <v/>
      </c>
      <c r="G193" s="3" t="str">
        <f t="shared" si="190"/>
        <v/>
      </c>
      <c r="H193" s="5" t="str">
        <f t="shared" si="190"/>
        <v/>
      </c>
      <c r="I193" s="3"/>
      <c r="J193" s="3"/>
      <c r="K193" s="3"/>
      <c r="L193" s="192"/>
      <c r="M193" s="192"/>
      <c r="N193" s="19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</row>
    <row r="194" ht="16.5" customHeight="1">
      <c r="A194" s="3"/>
      <c r="B194" s="3" t="str">
        <f t="shared" si="36"/>
        <v/>
      </c>
      <c r="C194" s="3"/>
      <c r="D194" s="5"/>
      <c r="E194" s="3" t="str">
        <f t="shared" ref="E194:H194" si="191">IF(A194&lt;&gt;"", IF(A194=A193, "", A194), "")</f>
        <v/>
      </c>
      <c r="F194" s="191" t="str">
        <f t="shared" si="191"/>
        <v/>
      </c>
      <c r="G194" s="3" t="str">
        <f t="shared" si="191"/>
        <v/>
      </c>
      <c r="H194" s="5" t="str">
        <f t="shared" si="191"/>
        <v/>
      </c>
      <c r="I194" s="3"/>
      <c r="J194" s="3"/>
      <c r="K194" s="3"/>
      <c r="L194" s="192"/>
      <c r="M194" s="192"/>
      <c r="N194" s="19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</row>
    <row r="195" ht="16.5" customHeight="1">
      <c r="A195" s="3"/>
      <c r="B195" s="3" t="str">
        <f t="shared" si="36"/>
        <v/>
      </c>
      <c r="C195" s="3"/>
      <c r="D195" s="5"/>
      <c r="E195" s="3" t="str">
        <f t="shared" ref="E195:H195" si="192">IF(A195&lt;&gt;"", IF(A195=A194, "", A195), "")</f>
        <v/>
      </c>
      <c r="F195" s="191" t="str">
        <f t="shared" si="192"/>
        <v/>
      </c>
      <c r="G195" s="3" t="str">
        <f t="shared" si="192"/>
        <v/>
      </c>
      <c r="H195" s="5" t="str">
        <f t="shared" si="192"/>
        <v/>
      </c>
      <c r="I195" s="3"/>
      <c r="J195" s="3"/>
      <c r="K195" s="3"/>
      <c r="L195" s="192"/>
      <c r="M195" s="192"/>
      <c r="N195" s="19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</row>
    <row r="196" ht="16.5" customHeight="1">
      <c r="A196" s="3"/>
      <c r="B196" s="3" t="str">
        <f t="shared" si="36"/>
        <v/>
      </c>
      <c r="C196" s="3"/>
      <c r="D196" s="5"/>
      <c r="E196" s="3" t="str">
        <f t="shared" ref="E196:H196" si="193">IF(A196&lt;&gt;"", IF(A196=A195, "", A196), "")</f>
        <v/>
      </c>
      <c r="F196" s="191" t="str">
        <f t="shared" si="193"/>
        <v/>
      </c>
      <c r="G196" s="3" t="str">
        <f t="shared" si="193"/>
        <v/>
      </c>
      <c r="H196" s="5" t="str">
        <f t="shared" si="193"/>
        <v/>
      </c>
      <c r="I196" s="3"/>
      <c r="J196" s="3"/>
      <c r="K196" s="3"/>
      <c r="L196" s="192"/>
      <c r="M196" s="192"/>
      <c r="N196" s="19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</row>
    <row r="197" ht="16.5" customHeight="1">
      <c r="A197" s="3"/>
      <c r="B197" s="3" t="str">
        <f t="shared" si="36"/>
        <v/>
      </c>
      <c r="C197" s="3"/>
      <c r="D197" s="5"/>
      <c r="E197" s="3" t="str">
        <f t="shared" ref="E197:H197" si="194">IF(A197&lt;&gt;"", IF(A197=A196, "", A197), "")</f>
        <v/>
      </c>
      <c r="F197" s="191" t="str">
        <f t="shared" si="194"/>
        <v/>
      </c>
      <c r="G197" s="3" t="str">
        <f t="shared" si="194"/>
        <v/>
      </c>
      <c r="H197" s="5" t="str">
        <f t="shared" si="194"/>
        <v/>
      </c>
      <c r="I197" s="3"/>
      <c r="J197" s="3"/>
      <c r="K197" s="3"/>
      <c r="L197" s="192"/>
      <c r="M197" s="192"/>
      <c r="N197" s="19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</row>
    <row r="198" ht="16.5" customHeight="1">
      <c r="A198" s="3"/>
      <c r="B198" s="3" t="str">
        <f t="shared" si="36"/>
        <v/>
      </c>
      <c r="C198" s="3"/>
      <c r="D198" s="5"/>
      <c r="E198" s="3" t="str">
        <f t="shared" ref="E198:H198" si="195">IF(A198&lt;&gt;"", IF(A198=A197, "", A198), "")</f>
        <v/>
      </c>
      <c r="F198" s="191" t="str">
        <f t="shared" si="195"/>
        <v/>
      </c>
      <c r="G198" s="3" t="str">
        <f t="shared" si="195"/>
        <v/>
      </c>
      <c r="H198" s="5" t="str">
        <f t="shared" si="195"/>
        <v/>
      </c>
      <c r="I198" s="3"/>
      <c r="J198" s="3"/>
      <c r="K198" s="3"/>
      <c r="L198" s="192"/>
      <c r="M198" s="192"/>
      <c r="N198" s="19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</row>
    <row r="199" ht="16.5" customHeight="1">
      <c r="A199" s="3"/>
      <c r="B199" s="3" t="str">
        <f t="shared" si="36"/>
        <v/>
      </c>
      <c r="C199" s="3"/>
      <c r="D199" s="5"/>
      <c r="E199" s="3" t="str">
        <f t="shared" ref="E199:H199" si="196">IF(A199&lt;&gt;"", IF(A199=A198, "", A199), "")</f>
        <v/>
      </c>
      <c r="F199" s="191" t="str">
        <f t="shared" si="196"/>
        <v/>
      </c>
      <c r="G199" s="3" t="str">
        <f t="shared" si="196"/>
        <v/>
      </c>
      <c r="H199" s="5" t="str">
        <f t="shared" si="196"/>
        <v/>
      </c>
      <c r="I199" s="3"/>
      <c r="J199" s="3"/>
      <c r="K199" s="3"/>
      <c r="L199" s="192"/>
      <c r="M199" s="192"/>
      <c r="N199" s="19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</row>
    <row r="200" ht="16.5" customHeight="1">
      <c r="A200" s="3"/>
      <c r="B200" s="3" t="str">
        <f t="shared" si="36"/>
        <v/>
      </c>
      <c r="C200" s="3"/>
      <c r="D200" s="5"/>
      <c r="E200" s="3" t="str">
        <f t="shared" ref="E200:H200" si="197">IF(A200&lt;&gt;"", IF(A200=A199, "", A200), "")</f>
        <v/>
      </c>
      <c r="F200" s="191" t="str">
        <f t="shared" si="197"/>
        <v/>
      </c>
      <c r="G200" s="3" t="str">
        <f t="shared" si="197"/>
        <v/>
      </c>
      <c r="H200" s="5" t="str">
        <f t="shared" si="197"/>
        <v/>
      </c>
      <c r="I200" s="3"/>
      <c r="J200" s="3"/>
      <c r="K200" s="3"/>
      <c r="L200" s="192"/>
      <c r="M200" s="192"/>
      <c r="N200" s="19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</row>
    <row r="201" ht="16.5" customHeight="1">
      <c r="A201" s="3"/>
      <c r="B201" s="3" t="str">
        <f t="shared" si="36"/>
        <v/>
      </c>
      <c r="C201" s="3"/>
      <c r="D201" s="5"/>
      <c r="E201" s="3" t="str">
        <f t="shared" ref="E201:H201" si="198">IF(A201&lt;&gt;"", IF(A201=A200, "", A201), "")</f>
        <v/>
      </c>
      <c r="F201" s="191" t="str">
        <f t="shared" si="198"/>
        <v/>
      </c>
      <c r="G201" s="3" t="str">
        <f t="shared" si="198"/>
        <v/>
      </c>
      <c r="H201" s="5" t="str">
        <f t="shared" si="198"/>
        <v/>
      </c>
      <c r="I201" s="3"/>
      <c r="J201" s="3"/>
      <c r="K201" s="3"/>
      <c r="L201" s="192"/>
      <c r="M201" s="192"/>
      <c r="N201" s="19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</row>
    <row r="202" ht="16.5" customHeight="1">
      <c r="A202" s="3"/>
      <c r="B202" s="3" t="str">
        <f t="shared" si="36"/>
        <v/>
      </c>
      <c r="C202" s="3"/>
      <c r="D202" s="5"/>
      <c r="E202" s="3" t="str">
        <f t="shared" ref="E202:H202" si="199">IF(A202&lt;&gt;"", IF(A202=A201, "", A202), "")</f>
        <v/>
      </c>
      <c r="F202" s="191" t="str">
        <f t="shared" si="199"/>
        <v/>
      </c>
      <c r="G202" s="3" t="str">
        <f t="shared" si="199"/>
        <v/>
      </c>
      <c r="H202" s="5" t="str">
        <f t="shared" si="199"/>
        <v/>
      </c>
      <c r="I202" s="3"/>
      <c r="J202" s="3"/>
      <c r="K202" s="3"/>
      <c r="L202" s="192"/>
      <c r="M202" s="192"/>
      <c r="N202" s="19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</row>
    <row r="203" ht="16.5" customHeight="1">
      <c r="A203" s="3"/>
      <c r="B203" s="3" t="str">
        <f t="shared" si="36"/>
        <v/>
      </c>
      <c r="C203" s="3"/>
      <c r="D203" s="5"/>
      <c r="E203" s="3" t="str">
        <f t="shared" ref="E203:H203" si="200">IF(A203&lt;&gt;"", IF(A203=A202, "", A203), "")</f>
        <v/>
      </c>
      <c r="F203" s="191" t="str">
        <f t="shared" si="200"/>
        <v/>
      </c>
      <c r="G203" s="3" t="str">
        <f t="shared" si="200"/>
        <v/>
      </c>
      <c r="H203" s="5" t="str">
        <f t="shared" si="200"/>
        <v/>
      </c>
      <c r="I203" s="3"/>
      <c r="J203" s="3"/>
      <c r="K203" s="3"/>
      <c r="L203" s="192"/>
      <c r="M203" s="192"/>
      <c r="N203" s="19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</row>
    <row r="204" ht="16.5" customHeight="1">
      <c r="A204" s="3"/>
      <c r="B204" s="3"/>
      <c r="C204" s="3"/>
      <c r="D204" s="5"/>
      <c r="E204" s="3" t="str">
        <f t="shared" ref="E204:H204" si="201">IF(A204&lt;&gt;"", IF(A204=A203, "", A204), "")</f>
        <v/>
      </c>
      <c r="F204" s="191" t="str">
        <f t="shared" si="201"/>
        <v/>
      </c>
      <c r="G204" s="3" t="str">
        <f t="shared" si="201"/>
        <v/>
      </c>
      <c r="H204" s="5" t="str">
        <f t="shared" si="201"/>
        <v/>
      </c>
      <c r="I204" s="3"/>
      <c r="J204" s="3"/>
      <c r="K204" s="3"/>
      <c r="L204" s="192"/>
      <c r="M204" s="192"/>
      <c r="N204" s="19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</row>
    <row r="205" ht="16.5" customHeight="1">
      <c r="A205" s="3"/>
      <c r="B205" s="3"/>
      <c r="C205" s="3"/>
      <c r="D205" s="5"/>
      <c r="E205" s="3" t="str">
        <f t="shared" ref="E205:H205" si="202">IF(A205&lt;&gt;"", IF(A205=A204, "", A205), "")</f>
        <v/>
      </c>
      <c r="F205" s="191" t="str">
        <f t="shared" si="202"/>
        <v/>
      </c>
      <c r="G205" s="3" t="str">
        <f t="shared" si="202"/>
        <v/>
      </c>
      <c r="H205" s="5" t="str">
        <f t="shared" si="202"/>
        <v/>
      </c>
      <c r="I205" s="3"/>
      <c r="J205" s="3"/>
      <c r="K205" s="3"/>
      <c r="L205" s="192"/>
      <c r="M205" s="192"/>
      <c r="N205" s="19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</row>
    <row r="206" ht="16.5" customHeight="1">
      <c r="A206" s="3"/>
      <c r="B206" s="3"/>
      <c r="C206" s="3"/>
      <c r="D206" s="5"/>
      <c r="E206" s="3" t="str">
        <f t="shared" ref="E206:H206" si="203">IF(A206&lt;&gt;"", IF(A206=A205, "", A206), "")</f>
        <v/>
      </c>
      <c r="F206" s="191" t="str">
        <f t="shared" si="203"/>
        <v/>
      </c>
      <c r="G206" s="3" t="str">
        <f t="shared" si="203"/>
        <v/>
      </c>
      <c r="H206" s="5" t="str">
        <f t="shared" si="203"/>
        <v/>
      </c>
      <c r="I206" s="3"/>
      <c r="J206" s="3"/>
      <c r="K206" s="3"/>
      <c r="L206" s="192"/>
      <c r="M206" s="192"/>
      <c r="N206" s="19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</row>
    <row r="207" ht="16.5" customHeight="1">
      <c r="A207" s="3"/>
      <c r="B207" s="3"/>
      <c r="C207" s="3"/>
      <c r="D207" s="5"/>
      <c r="E207" s="3" t="str">
        <f t="shared" ref="E207:H207" si="204">IF(A207&lt;&gt;"", IF(A207=A206, "", A207), "")</f>
        <v/>
      </c>
      <c r="F207" s="191" t="str">
        <f t="shared" si="204"/>
        <v/>
      </c>
      <c r="G207" s="3" t="str">
        <f t="shared" si="204"/>
        <v/>
      </c>
      <c r="H207" s="5" t="str">
        <f t="shared" si="204"/>
        <v/>
      </c>
      <c r="I207" s="3"/>
      <c r="J207" s="3"/>
      <c r="K207" s="3"/>
      <c r="L207" s="192"/>
      <c r="M207" s="192"/>
      <c r="N207" s="19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</row>
    <row r="208" ht="16.5" customHeight="1">
      <c r="A208" s="3"/>
      <c r="B208" s="3"/>
      <c r="C208" s="3"/>
      <c r="D208" s="5"/>
      <c r="E208" s="3" t="str">
        <f t="shared" ref="E208:H208" si="205">IF(A208&lt;&gt;"", IF(A208=A207, "", A208), "")</f>
        <v/>
      </c>
      <c r="F208" s="191" t="str">
        <f t="shared" si="205"/>
        <v/>
      </c>
      <c r="G208" s="3" t="str">
        <f t="shared" si="205"/>
        <v/>
      </c>
      <c r="H208" s="5" t="str">
        <f t="shared" si="205"/>
        <v/>
      </c>
      <c r="I208" s="3"/>
      <c r="J208" s="3"/>
      <c r="K208" s="3"/>
      <c r="L208" s="192"/>
      <c r="M208" s="192"/>
      <c r="N208" s="19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</row>
    <row r="209" ht="16.5" customHeight="1">
      <c r="A209" s="3"/>
      <c r="B209" s="3"/>
      <c r="C209" s="3"/>
      <c r="D209" s="5"/>
      <c r="E209" s="3" t="str">
        <f t="shared" ref="E209:H209" si="206">IF(A209&lt;&gt;"", IF(A209=A208, "", A209), "")</f>
        <v/>
      </c>
      <c r="F209" s="191" t="str">
        <f t="shared" si="206"/>
        <v/>
      </c>
      <c r="G209" s="3" t="str">
        <f t="shared" si="206"/>
        <v/>
      </c>
      <c r="H209" s="5" t="str">
        <f t="shared" si="206"/>
        <v/>
      </c>
      <c r="I209" s="3"/>
      <c r="J209" s="3"/>
      <c r="K209" s="3"/>
      <c r="L209" s="192"/>
      <c r="M209" s="192"/>
      <c r="N209" s="19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</row>
    <row r="210" ht="16.5" customHeight="1">
      <c r="A210" s="3"/>
      <c r="B210" s="3"/>
      <c r="C210" s="3"/>
      <c r="D210" s="5"/>
      <c r="E210" s="3" t="str">
        <f t="shared" ref="E210:H210" si="207">IF(A210&lt;&gt;"", IF(A210=A209, "", A210), "")</f>
        <v/>
      </c>
      <c r="F210" s="191" t="str">
        <f t="shared" si="207"/>
        <v/>
      </c>
      <c r="G210" s="3" t="str">
        <f t="shared" si="207"/>
        <v/>
      </c>
      <c r="H210" s="5" t="str">
        <f t="shared" si="207"/>
        <v/>
      </c>
      <c r="I210" s="3"/>
      <c r="J210" s="3"/>
      <c r="K210" s="3"/>
      <c r="L210" s="192"/>
      <c r="M210" s="192"/>
      <c r="N210" s="19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</row>
    <row r="211" ht="16.5" customHeight="1">
      <c r="A211" s="3"/>
      <c r="B211" s="3"/>
      <c r="C211" s="3"/>
      <c r="D211" s="5"/>
      <c r="E211" s="3" t="str">
        <f t="shared" ref="E211:H211" si="208">IF(A211&lt;&gt;"", IF(A211=A210, "", A211), "")</f>
        <v/>
      </c>
      <c r="F211" s="191" t="str">
        <f t="shared" si="208"/>
        <v/>
      </c>
      <c r="G211" s="3" t="str">
        <f t="shared" si="208"/>
        <v/>
      </c>
      <c r="H211" s="5" t="str">
        <f t="shared" si="208"/>
        <v/>
      </c>
      <c r="I211" s="3"/>
      <c r="J211" s="3"/>
      <c r="K211" s="3"/>
      <c r="L211" s="192"/>
      <c r="M211" s="192"/>
      <c r="N211" s="19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</row>
    <row r="212" ht="16.5" customHeight="1">
      <c r="A212" s="3"/>
      <c r="B212" s="3"/>
      <c r="C212" s="3"/>
      <c r="D212" s="5"/>
      <c r="E212" s="3" t="str">
        <f t="shared" ref="E212:H212" si="209">IF(A212&lt;&gt;"", IF(A212=A211, "", A212), "")</f>
        <v/>
      </c>
      <c r="F212" s="191" t="str">
        <f t="shared" si="209"/>
        <v/>
      </c>
      <c r="G212" s="3" t="str">
        <f t="shared" si="209"/>
        <v/>
      </c>
      <c r="H212" s="5" t="str">
        <f t="shared" si="209"/>
        <v/>
      </c>
      <c r="I212" s="3"/>
      <c r="J212" s="3"/>
      <c r="K212" s="3"/>
      <c r="L212" s="192"/>
      <c r="M212" s="192"/>
      <c r="N212" s="19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</row>
    <row r="213" ht="16.5" customHeight="1">
      <c r="A213" s="3"/>
      <c r="B213" s="3"/>
      <c r="C213" s="3"/>
      <c r="D213" s="5"/>
      <c r="E213" s="3" t="str">
        <f t="shared" ref="E213:H213" si="210">IF(A213&lt;&gt;"", IF(A213=A212, "", A213), "")</f>
        <v/>
      </c>
      <c r="F213" s="191" t="str">
        <f t="shared" si="210"/>
        <v/>
      </c>
      <c r="G213" s="3" t="str">
        <f t="shared" si="210"/>
        <v/>
      </c>
      <c r="H213" s="5" t="str">
        <f t="shared" si="210"/>
        <v/>
      </c>
      <c r="I213" s="3"/>
      <c r="J213" s="3"/>
      <c r="K213" s="3"/>
      <c r="L213" s="192"/>
      <c r="M213" s="192"/>
      <c r="N213" s="19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</row>
    <row r="214" ht="16.5" customHeight="1">
      <c r="A214" s="3"/>
      <c r="B214" s="3"/>
      <c r="C214" s="3"/>
      <c r="D214" s="5"/>
      <c r="E214" s="3" t="str">
        <f t="shared" ref="E214:H214" si="211">IF(A214&lt;&gt;"", IF(A214=A213, "", A214), "")</f>
        <v/>
      </c>
      <c r="F214" s="191" t="str">
        <f t="shared" si="211"/>
        <v/>
      </c>
      <c r="G214" s="3" t="str">
        <f t="shared" si="211"/>
        <v/>
      </c>
      <c r="H214" s="5" t="str">
        <f t="shared" si="211"/>
        <v/>
      </c>
      <c r="I214" s="3"/>
      <c r="J214" s="3"/>
      <c r="K214" s="3"/>
      <c r="L214" s="192"/>
      <c r="M214" s="192"/>
      <c r="N214" s="19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</row>
    <row r="215" ht="16.5" customHeight="1">
      <c r="A215" s="3"/>
      <c r="B215" s="3"/>
      <c r="C215" s="3"/>
      <c r="D215" s="5"/>
      <c r="E215" s="3" t="str">
        <f t="shared" ref="E215:H215" si="212">IF(A215&lt;&gt;"", IF(A215=A214, "", A215), "")</f>
        <v/>
      </c>
      <c r="F215" s="191" t="str">
        <f t="shared" si="212"/>
        <v/>
      </c>
      <c r="G215" s="3" t="str">
        <f t="shared" si="212"/>
        <v/>
      </c>
      <c r="H215" s="5" t="str">
        <f t="shared" si="212"/>
        <v/>
      </c>
      <c r="I215" s="3"/>
      <c r="J215" s="3"/>
      <c r="K215" s="3"/>
      <c r="L215" s="192"/>
      <c r="M215" s="192"/>
      <c r="N215" s="19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</row>
    <row r="216" ht="16.5" customHeight="1">
      <c r="A216" s="3"/>
      <c r="B216" s="3"/>
      <c r="C216" s="3"/>
      <c r="D216" s="5"/>
      <c r="E216" s="3" t="str">
        <f t="shared" ref="E216:H216" si="213">IF(A216&lt;&gt;"", IF(A216=A215, "", A216), "")</f>
        <v/>
      </c>
      <c r="F216" s="191" t="str">
        <f t="shared" si="213"/>
        <v/>
      </c>
      <c r="G216" s="3" t="str">
        <f t="shared" si="213"/>
        <v/>
      </c>
      <c r="H216" s="5" t="str">
        <f t="shared" si="213"/>
        <v/>
      </c>
      <c r="I216" s="3"/>
      <c r="J216" s="3"/>
      <c r="K216" s="3"/>
      <c r="L216" s="192"/>
      <c r="M216" s="192"/>
      <c r="N216" s="19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</row>
    <row r="217" ht="16.5" customHeight="1">
      <c r="A217" s="3"/>
      <c r="B217" s="3"/>
      <c r="C217" s="3"/>
      <c r="D217" s="5"/>
      <c r="E217" s="3" t="str">
        <f t="shared" ref="E217:H217" si="214">IF(A217&lt;&gt;"", IF(A217=A216, "", A217), "")</f>
        <v/>
      </c>
      <c r="F217" s="191" t="str">
        <f t="shared" si="214"/>
        <v/>
      </c>
      <c r="G217" s="3" t="str">
        <f t="shared" si="214"/>
        <v/>
      </c>
      <c r="H217" s="5" t="str">
        <f t="shared" si="214"/>
        <v/>
      </c>
      <c r="I217" s="3"/>
      <c r="J217" s="3"/>
      <c r="K217" s="3"/>
      <c r="L217" s="192"/>
      <c r="M217" s="192"/>
      <c r="N217" s="19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</row>
    <row r="218" ht="16.5" customHeight="1">
      <c r="A218" s="3"/>
      <c r="B218" s="3"/>
      <c r="C218" s="3"/>
      <c r="D218" s="5"/>
      <c r="E218" s="3" t="str">
        <f t="shared" ref="E218:H218" si="215">IF(A218&lt;&gt;"", IF(A218=A217, "", A218), "")</f>
        <v/>
      </c>
      <c r="F218" s="191" t="str">
        <f t="shared" si="215"/>
        <v/>
      </c>
      <c r="G218" s="3" t="str">
        <f t="shared" si="215"/>
        <v/>
      </c>
      <c r="H218" s="5" t="str">
        <f t="shared" si="215"/>
        <v/>
      </c>
      <c r="I218" s="3"/>
      <c r="J218" s="3"/>
      <c r="K218" s="3"/>
      <c r="L218" s="192"/>
      <c r="M218" s="192"/>
      <c r="N218" s="19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</row>
    <row r="219" ht="16.5" customHeight="1">
      <c r="A219" s="3"/>
      <c r="B219" s="3"/>
      <c r="C219" s="3"/>
      <c r="D219" s="5"/>
      <c r="E219" s="3" t="str">
        <f t="shared" ref="E219:H219" si="216">IF(A219&lt;&gt;"", IF(A219=A218, "", A219), "")</f>
        <v/>
      </c>
      <c r="F219" s="191" t="str">
        <f t="shared" si="216"/>
        <v/>
      </c>
      <c r="G219" s="3" t="str">
        <f t="shared" si="216"/>
        <v/>
      </c>
      <c r="H219" s="5" t="str">
        <f t="shared" si="216"/>
        <v/>
      </c>
      <c r="I219" s="3"/>
      <c r="J219" s="3"/>
      <c r="K219" s="3"/>
      <c r="L219" s="192"/>
      <c r="M219" s="192"/>
      <c r="N219" s="19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</row>
    <row r="220" ht="16.5" customHeight="1">
      <c r="A220" s="3"/>
      <c r="B220" s="3"/>
      <c r="C220" s="3"/>
      <c r="D220" s="5"/>
      <c r="E220" s="3" t="str">
        <f t="shared" ref="E220:H220" si="217">IF(A220&lt;&gt;"", IF(A220=A219, "", A220), "")</f>
        <v/>
      </c>
      <c r="F220" s="191" t="str">
        <f t="shared" si="217"/>
        <v/>
      </c>
      <c r="G220" s="3" t="str">
        <f t="shared" si="217"/>
        <v/>
      </c>
      <c r="H220" s="5" t="str">
        <f t="shared" si="217"/>
        <v/>
      </c>
      <c r="I220" s="3"/>
      <c r="J220" s="3"/>
      <c r="K220" s="3"/>
      <c r="L220" s="192"/>
      <c r="M220" s="192"/>
      <c r="N220" s="19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</row>
    <row r="221" ht="16.5" customHeight="1">
      <c r="A221" s="3"/>
      <c r="B221" s="3"/>
      <c r="C221" s="3"/>
      <c r="D221" s="5"/>
      <c r="E221" s="3" t="str">
        <f t="shared" ref="E221:H221" si="218">IF(A221&lt;&gt;"", IF(A221=A220, "", A221), "")</f>
        <v/>
      </c>
      <c r="F221" s="191" t="str">
        <f t="shared" si="218"/>
        <v/>
      </c>
      <c r="G221" s="3" t="str">
        <f t="shared" si="218"/>
        <v/>
      </c>
      <c r="H221" s="5" t="str">
        <f t="shared" si="218"/>
        <v/>
      </c>
      <c r="I221" s="3"/>
      <c r="J221" s="3"/>
      <c r="K221" s="3"/>
      <c r="L221" s="192"/>
      <c r="M221" s="192"/>
      <c r="N221" s="19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</row>
    <row r="222" ht="16.5" customHeight="1">
      <c r="A222" s="3"/>
      <c r="B222" s="3"/>
      <c r="C222" s="3"/>
      <c r="D222" s="5"/>
      <c r="E222" s="3" t="str">
        <f t="shared" ref="E222:H222" si="219">IF(A222&lt;&gt;"", IF(A222=A221, "", A222), "")</f>
        <v/>
      </c>
      <c r="F222" s="191" t="str">
        <f t="shared" si="219"/>
        <v/>
      </c>
      <c r="G222" s="3" t="str">
        <f t="shared" si="219"/>
        <v/>
      </c>
      <c r="H222" s="5" t="str">
        <f t="shared" si="219"/>
        <v/>
      </c>
      <c r="I222" s="3"/>
      <c r="J222" s="3"/>
      <c r="K222" s="3"/>
      <c r="L222" s="192"/>
      <c r="M222" s="192"/>
      <c r="N222" s="19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</row>
    <row r="223" ht="16.5" customHeight="1">
      <c r="A223" s="3"/>
      <c r="B223" s="3"/>
      <c r="C223" s="3"/>
      <c r="D223" s="5"/>
      <c r="E223" s="3" t="str">
        <f t="shared" ref="E223:H223" si="220">IF(A223&lt;&gt;"", IF(A223=A222, "", A223), "")</f>
        <v/>
      </c>
      <c r="F223" s="191" t="str">
        <f t="shared" si="220"/>
        <v/>
      </c>
      <c r="G223" s="3" t="str">
        <f t="shared" si="220"/>
        <v/>
      </c>
      <c r="H223" s="5" t="str">
        <f t="shared" si="220"/>
        <v/>
      </c>
      <c r="I223" s="3"/>
      <c r="J223" s="3"/>
      <c r="K223" s="3"/>
      <c r="L223" s="192"/>
      <c r="M223" s="192"/>
      <c r="N223" s="19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</row>
    <row r="224" ht="16.5" customHeight="1">
      <c r="A224" s="3"/>
      <c r="B224" s="3"/>
      <c r="C224" s="3"/>
      <c r="D224" s="5"/>
      <c r="E224" s="3" t="str">
        <f t="shared" ref="E224:H224" si="221">IF(A224&lt;&gt;"", IF(A224=A223, "", A224), "")</f>
        <v/>
      </c>
      <c r="F224" s="191" t="str">
        <f t="shared" si="221"/>
        <v/>
      </c>
      <c r="G224" s="3" t="str">
        <f t="shared" si="221"/>
        <v/>
      </c>
      <c r="H224" s="5" t="str">
        <f t="shared" si="221"/>
        <v/>
      </c>
      <c r="I224" s="3"/>
      <c r="J224" s="3"/>
      <c r="K224" s="3"/>
      <c r="L224" s="192"/>
      <c r="M224" s="192"/>
      <c r="N224" s="19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</row>
    <row r="225" ht="16.5" customHeight="1">
      <c r="A225" s="3"/>
      <c r="B225" s="3"/>
      <c r="C225" s="3"/>
      <c r="D225" s="5"/>
      <c r="E225" s="3" t="str">
        <f t="shared" ref="E225:H225" si="222">IF(A225&lt;&gt;"", IF(A225=A224, "", A225), "")</f>
        <v/>
      </c>
      <c r="F225" s="191" t="str">
        <f t="shared" si="222"/>
        <v/>
      </c>
      <c r="G225" s="3" t="str">
        <f t="shared" si="222"/>
        <v/>
      </c>
      <c r="H225" s="5" t="str">
        <f t="shared" si="222"/>
        <v/>
      </c>
      <c r="I225" s="3"/>
      <c r="J225" s="3"/>
      <c r="K225" s="3"/>
      <c r="L225" s="192"/>
      <c r="M225" s="192"/>
      <c r="N225" s="19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</row>
    <row r="226" ht="16.5" customHeight="1">
      <c r="A226" s="3"/>
      <c r="B226" s="3"/>
      <c r="C226" s="3"/>
      <c r="D226" s="5"/>
      <c r="E226" s="3" t="str">
        <f t="shared" ref="E226:H226" si="223">IF(A226&lt;&gt;"", IF(A226=A225, "", A226), "")</f>
        <v/>
      </c>
      <c r="F226" s="191" t="str">
        <f t="shared" si="223"/>
        <v/>
      </c>
      <c r="G226" s="3" t="str">
        <f t="shared" si="223"/>
        <v/>
      </c>
      <c r="H226" s="5" t="str">
        <f t="shared" si="223"/>
        <v/>
      </c>
      <c r="I226" s="3"/>
      <c r="J226" s="3"/>
      <c r="K226" s="3"/>
      <c r="L226" s="192"/>
      <c r="M226" s="192"/>
      <c r="N226" s="19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</row>
    <row r="227" ht="16.5" customHeight="1">
      <c r="A227" s="3"/>
      <c r="B227" s="3"/>
      <c r="C227" s="3"/>
      <c r="D227" s="5"/>
      <c r="E227" s="3" t="str">
        <f t="shared" ref="E227:H227" si="224">IF(A227&lt;&gt;"", IF(A227=A226, "", A227), "")</f>
        <v/>
      </c>
      <c r="F227" s="191" t="str">
        <f t="shared" si="224"/>
        <v/>
      </c>
      <c r="G227" s="3" t="str">
        <f t="shared" si="224"/>
        <v/>
      </c>
      <c r="H227" s="5" t="str">
        <f t="shared" si="224"/>
        <v/>
      </c>
      <c r="I227" s="3"/>
      <c r="J227" s="3"/>
      <c r="K227" s="3"/>
      <c r="L227" s="192"/>
      <c r="M227" s="192"/>
      <c r="N227" s="19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</row>
    <row r="228" ht="16.5" customHeight="1">
      <c r="A228" s="3"/>
      <c r="B228" s="3"/>
      <c r="C228" s="3"/>
      <c r="D228" s="5"/>
      <c r="E228" s="3" t="str">
        <f t="shared" ref="E228:H228" si="225">IF(A228&lt;&gt;"", IF(A228=A227, "", A228), "")</f>
        <v/>
      </c>
      <c r="F228" s="191" t="str">
        <f t="shared" si="225"/>
        <v/>
      </c>
      <c r="G228" s="3" t="str">
        <f t="shared" si="225"/>
        <v/>
      </c>
      <c r="H228" s="5" t="str">
        <f t="shared" si="225"/>
        <v/>
      </c>
      <c r="I228" s="3"/>
      <c r="J228" s="3"/>
      <c r="K228" s="3"/>
      <c r="L228" s="192"/>
      <c r="M228" s="192"/>
      <c r="N228" s="19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</row>
    <row r="229" ht="16.5" customHeight="1">
      <c r="A229" s="3"/>
      <c r="B229" s="3"/>
      <c r="C229" s="3"/>
      <c r="D229" s="5"/>
      <c r="E229" s="3" t="str">
        <f t="shared" ref="E229:H229" si="226">IF(A229&lt;&gt;"", IF(A229=A228, "", A229), "")</f>
        <v/>
      </c>
      <c r="F229" s="191" t="str">
        <f t="shared" si="226"/>
        <v/>
      </c>
      <c r="G229" s="3" t="str">
        <f t="shared" si="226"/>
        <v/>
      </c>
      <c r="H229" s="5" t="str">
        <f t="shared" si="226"/>
        <v/>
      </c>
      <c r="I229" s="3"/>
      <c r="J229" s="3"/>
      <c r="K229" s="3"/>
      <c r="L229" s="192"/>
      <c r="M229" s="192"/>
      <c r="N229" s="19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</row>
    <row r="230" ht="16.5" customHeight="1">
      <c r="A230" s="3"/>
      <c r="B230" s="3"/>
      <c r="C230" s="3"/>
      <c r="D230" s="5"/>
      <c r="E230" s="3" t="str">
        <f t="shared" ref="E230:H230" si="227">IF(A230&lt;&gt;"", IF(A230=A229, "", A230), "")</f>
        <v/>
      </c>
      <c r="F230" s="191" t="str">
        <f t="shared" si="227"/>
        <v/>
      </c>
      <c r="G230" s="3" t="str">
        <f t="shared" si="227"/>
        <v/>
      </c>
      <c r="H230" s="5" t="str">
        <f t="shared" si="227"/>
        <v/>
      </c>
      <c r="I230" s="3"/>
      <c r="J230" s="3"/>
      <c r="K230" s="3"/>
      <c r="L230" s="192"/>
      <c r="M230" s="192"/>
      <c r="N230" s="19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</row>
    <row r="231" ht="16.5" customHeight="1">
      <c r="A231" s="3"/>
      <c r="B231" s="3"/>
      <c r="C231" s="3"/>
      <c r="D231" s="5"/>
      <c r="E231" s="3" t="str">
        <f t="shared" ref="E231:H231" si="228">IF(A231&lt;&gt;"", IF(A231=A230, "", A231), "")</f>
        <v/>
      </c>
      <c r="F231" s="191" t="str">
        <f t="shared" si="228"/>
        <v/>
      </c>
      <c r="G231" s="3" t="str">
        <f t="shared" si="228"/>
        <v/>
      </c>
      <c r="H231" s="5" t="str">
        <f t="shared" si="228"/>
        <v/>
      </c>
      <c r="I231" s="3"/>
      <c r="J231" s="3"/>
      <c r="K231" s="3"/>
      <c r="L231" s="192"/>
      <c r="M231" s="192"/>
      <c r="N231" s="19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</row>
    <row r="232" ht="16.5" customHeight="1">
      <c r="A232" s="3"/>
      <c r="B232" s="3"/>
      <c r="C232" s="3"/>
      <c r="D232" s="5"/>
      <c r="E232" s="3" t="str">
        <f t="shared" ref="E232:H232" si="229">IF(A232&lt;&gt;"", IF(A232=A231, "", A232), "")</f>
        <v/>
      </c>
      <c r="F232" s="191" t="str">
        <f t="shared" si="229"/>
        <v/>
      </c>
      <c r="G232" s="3" t="str">
        <f t="shared" si="229"/>
        <v/>
      </c>
      <c r="H232" s="5" t="str">
        <f t="shared" si="229"/>
        <v/>
      </c>
      <c r="I232" s="3"/>
      <c r="J232" s="3"/>
      <c r="K232" s="3"/>
      <c r="L232" s="192"/>
      <c r="M232" s="192"/>
      <c r="N232" s="19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</row>
    <row r="233" ht="16.5" customHeight="1">
      <c r="A233" s="3"/>
      <c r="B233" s="3"/>
      <c r="C233" s="3"/>
      <c r="D233" s="5"/>
      <c r="E233" s="3" t="str">
        <f t="shared" ref="E233:H233" si="230">IF(A233&lt;&gt;"", IF(A233=A232, "", A233), "")</f>
        <v/>
      </c>
      <c r="F233" s="191" t="str">
        <f t="shared" si="230"/>
        <v/>
      </c>
      <c r="G233" s="3" t="str">
        <f t="shared" si="230"/>
        <v/>
      </c>
      <c r="H233" s="5" t="str">
        <f t="shared" si="230"/>
        <v/>
      </c>
      <c r="I233" s="3"/>
      <c r="J233" s="3"/>
      <c r="K233" s="3"/>
      <c r="L233" s="192"/>
      <c r="M233" s="192"/>
      <c r="N233" s="19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</row>
    <row r="234" ht="16.5" customHeight="1">
      <c r="A234" s="3"/>
      <c r="B234" s="3"/>
      <c r="C234" s="3"/>
      <c r="D234" s="5"/>
      <c r="E234" s="3" t="str">
        <f t="shared" ref="E234:H234" si="231">IF(A234&lt;&gt;"", IF(A234=A233, "", A234), "")</f>
        <v/>
      </c>
      <c r="F234" s="191" t="str">
        <f t="shared" si="231"/>
        <v/>
      </c>
      <c r="G234" s="3" t="str">
        <f t="shared" si="231"/>
        <v/>
      </c>
      <c r="H234" s="5" t="str">
        <f t="shared" si="231"/>
        <v/>
      </c>
      <c r="I234" s="3"/>
      <c r="J234" s="3"/>
      <c r="K234" s="3"/>
      <c r="L234" s="192"/>
      <c r="M234" s="192"/>
      <c r="N234" s="19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</row>
    <row r="235" ht="16.5" customHeight="1">
      <c r="A235" s="3"/>
      <c r="B235" s="3"/>
      <c r="C235" s="3"/>
      <c r="D235" s="5"/>
      <c r="E235" s="3" t="str">
        <f t="shared" ref="E235:H235" si="232">IF(A235&lt;&gt;"", IF(A235=A234, "", A235), "")</f>
        <v/>
      </c>
      <c r="F235" s="191" t="str">
        <f t="shared" si="232"/>
        <v/>
      </c>
      <c r="G235" s="3" t="str">
        <f t="shared" si="232"/>
        <v/>
      </c>
      <c r="H235" s="5" t="str">
        <f t="shared" si="232"/>
        <v/>
      </c>
      <c r="I235" s="3"/>
      <c r="J235" s="3"/>
      <c r="K235" s="3"/>
      <c r="L235" s="192"/>
      <c r="M235" s="192"/>
      <c r="N235" s="19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</row>
    <row r="236" ht="16.5" customHeight="1">
      <c r="A236" s="3"/>
      <c r="B236" s="3"/>
      <c r="C236" s="3"/>
      <c r="D236" s="5"/>
      <c r="E236" s="3" t="str">
        <f t="shared" ref="E236:H236" si="233">IF(A236&lt;&gt;"", IF(A236=A235, "", A236), "")</f>
        <v/>
      </c>
      <c r="F236" s="191" t="str">
        <f t="shared" si="233"/>
        <v/>
      </c>
      <c r="G236" s="3" t="str">
        <f t="shared" si="233"/>
        <v/>
      </c>
      <c r="H236" s="5" t="str">
        <f t="shared" si="233"/>
        <v/>
      </c>
      <c r="I236" s="3"/>
      <c r="J236" s="3"/>
      <c r="K236" s="3"/>
      <c r="L236" s="192"/>
      <c r="M236" s="192"/>
      <c r="N236" s="19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</row>
    <row r="237" ht="16.5" customHeight="1">
      <c r="A237" s="3"/>
      <c r="B237" s="3"/>
      <c r="C237" s="3"/>
      <c r="D237" s="5"/>
      <c r="E237" s="3" t="str">
        <f t="shared" ref="E237:H237" si="234">IF(A237&lt;&gt;"", IF(A237=A236, "", A237), "")</f>
        <v/>
      </c>
      <c r="F237" s="191" t="str">
        <f t="shared" si="234"/>
        <v/>
      </c>
      <c r="G237" s="3" t="str">
        <f t="shared" si="234"/>
        <v/>
      </c>
      <c r="H237" s="5" t="str">
        <f t="shared" si="234"/>
        <v/>
      </c>
      <c r="I237" s="3"/>
      <c r="J237" s="3"/>
      <c r="K237" s="3"/>
      <c r="L237" s="192"/>
      <c r="M237" s="192"/>
      <c r="N237" s="19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</row>
    <row r="238" ht="16.5" customHeight="1">
      <c r="A238" s="3"/>
      <c r="B238" s="3"/>
      <c r="C238" s="3"/>
      <c r="D238" s="5"/>
      <c r="E238" s="3" t="str">
        <f t="shared" ref="E238:H238" si="235">IF(A238&lt;&gt;"", IF(A238=A237, "", A238), "")</f>
        <v/>
      </c>
      <c r="F238" s="191" t="str">
        <f t="shared" si="235"/>
        <v/>
      </c>
      <c r="G238" s="3" t="str">
        <f t="shared" si="235"/>
        <v/>
      </c>
      <c r="H238" s="5" t="str">
        <f t="shared" si="235"/>
        <v/>
      </c>
      <c r="I238" s="3"/>
      <c r="J238" s="3"/>
      <c r="K238" s="3"/>
      <c r="L238" s="192"/>
      <c r="M238" s="192"/>
      <c r="N238" s="19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</row>
    <row r="239" ht="16.5" customHeight="1">
      <c r="A239" s="3"/>
      <c r="B239" s="3"/>
      <c r="C239" s="3"/>
      <c r="D239" s="5"/>
      <c r="E239" s="3" t="str">
        <f t="shared" ref="E239:H239" si="236">IF(A239&lt;&gt;"", IF(A239=A238, "", A239), "")</f>
        <v/>
      </c>
      <c r="F239" s="191" t="str">
        <f t="shared" si="236"/>
        <v/>
      </c>
      <c r="G239" s="3" t="str">
        <f t="shared" si="236"/>
        <v/>
      </c>
      <c r="H239" s="5" t="str">
        <f t="shared" si="236"/>
        <v/>
      </c>
      <c r="I239" s="3"/>
      <c r="J239" s="3"/>
      <c r="K239" s="3"/>
      <c r="L239" s="192"/>
      <c r="M239" s="192"/>
      <c r="N239" s="19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</row>
    <row r="240" ht="16.5" customHeight="1">
      <c r="A240" s="3"/>
      <c r="B240" s="3"/>
      <c r="C240" s="3"/>
      <c r="D240" s="5"/>
      <c r="E240" s="3" t="str">
        <f t="shared" ref="E240:H240" si="237">IF(A240&lt;&gt;"", IF(A240=A239, "", A240), "")</f>
        <v/>
      </c>
      <c r="F240" s="191" t="str">
        <f t="shared" si="237"/>
        <v/>
      </c>
      <c r="G240" s="3" t="str">
        <f t="shared" si="237"/>
        <v/>
      </c>
      <c r="H240" s="5" t="str">
        <f t="shared" si="237"/>
        <v/>
      </c>
      <c r="I240" s="3"/>
      <c r="J240" s="3"/>
      <c r="K240" s="3"/>
      <c r="L240" s="192"/>
      <c r="M240" s="192"/>
      <c r="N240" s="19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</row>
    <row r="241" ht="16.5" customHeight="1">
      <c r="A241" s="3"/>
      <c r="B241" s="3"/>
      <c r="C241" s="3"/>
      <c r="D241" s="5"/>
      <c r="E241" s="3" t="str">
        <f t="shared" ref="E241:H241" si="238">IF(A241&lt;&gt;"", IF(A241=A240, "", A241), "")</f>
        <v/>
      </c>
      <c r="F241" s="191" t="str">
        <f t="shared" si="238"/>
        <v/>
      </c>
      <c r="G241" s="3" t="str">
        <f t="shared" si="238"/>
        <v/>
      </c>
      <c r="H241" s="5" t="str">
        <f t="shared" si="238"/>
        <v/>
      </c>
      <c r="I241" s="3"/>
      <c r="J241" s="3"/>
      <c r="K241" s="3"/>
      <c r="L241" s="192"/>
      <c r="M241" s="192"/>
      <c r="N241" s="19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</row>
    <row r="242" ht="16.5" customHeight="1">
      <c r="A242" s="3"/>
      <c r="B242" s="3"/>
      <c r="C242" s="3"/>
      <c r="D242" s="5"/>
      <c r="E242" s="3" t="str">
        <f t="shared" ref="E242:H242" si="239">IF(A242&lt;&gt;"", IF(A242=A241, "", A242), "")</f>
        <v/>
      </c>
      <c r="F242" s="191" t="str">
        <f t="shared" si="239"/>
        <v/>
      </c>
      <c r="G242" s="3" t="str">
        <f t="shared" si="239"/>
        <v/>
      </c>
      <c r="H242" s="5" t="str">
        <f t="shared" si="239"/>
        <v/>
      </c>
      <c r="I242" s="3"/>
      <c r="J242" s="3"/>
      <c r="K242" s="3"/>
      <c r="L242" s="192"/>
      <c r="M242" s="192"/>
      <c r="N242" s="19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</row>
    <row r="243" ht="16.5" customHeight="1">
      <c r="A243" s="3"/>
      <c r="B243" s="3"/>
      <c r="C243" s="3"/>
      <c r="D243" s="5"/>
      <c r="E243" s="3" t="str">
        <f t="shared" ref="E243:H243" si="240">IF(A243&lt;&gt;"", IF(A243=A242, "", A243), "")</f>
        <v/>
      </c>
      <c r="F243" s="191" t="str">
        <f t="shared" si="240"/>
        <v/>
      </c>
      <c r="G243" s="3" t="str">
        <f t="shared" si="240"/>
        <v/>
      </c>
      <c r="H243" s="5" t="str">
        <f t="shared" si="240"/>
        <v/>
      </c>
      <c r="I243" s="3"/>
      <c r="J243" s="3"/>
      <c r="K243" s="3"/>
      <c r="L243" s="192"/>
      <c r="M243" s="192"/>
      <c r="N243" s="19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</row>
    <row r="244" ht="16.5" customHeight="1">
      <c r="A244" s="3"/>
      <c r="B244" s="3"/>
      <c r="C244" s="3"/>
      <c r="D244" s="5"/>
      <c r="E244" s="3" t="str">
        <f t="shared" ref="E244:H244" si="241">IF(A244&lt;&gt;"", IF(A244=A243, "", A244), "")</f>
        <v/>
      </c>
      <c r="F244" s="191" t="str">
        <f t="shared" si="241"/>
        <v/>
      </c>
      <c r="G244" s="3" t="str">
        <f t="shared" si="241"/>
        <v/>
      </c>
      <c r="H244" s="5" t="str">
        <f t="shared" si="241"/>
        <v/>
      </c>
      <c r="I244" s="3"/>
      <c r="J244" s="3"/>
      <c r="K244" s="3"/>
      <c r="L244" s="192"/>
      <c r="M244" s="192"/>
      <c r="N244" s="19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</row>
    <row r="245" ht="16.5" customHeight="1">
      <c r="A245" s="3"/>
      <c r="B245" s="3"/>
      <c r="C245" s="3"/>
      <c r="D245" s="5"/>
      <c r="E245" s="3" t="str">
        <f t="shared" ref="E245:H245" si="242">IF(A245&lt;&gt;"", IF(A245=A244, "", A245), "")</f>
        <v/>
      </c>
      <c r="F245" s="191" t="str">
        <f t="shared" si="242"/>
        <v/>
      </c>
      <c r="G245" s="3" t="str">
        <f t="shared" si="242"/>
        <v/>
      </c>
      <c r="H245" s="5" t="str">
        <f t="shared" si="242"/>
        <v/>
      </c>
      <c r="I245" s="3"/>
      <c r="J245" s="3"/>
      <c r="K245" s="3"/>
      <c r="L245" s="192"/>
      <c r="M245" s="192"/>
      <c r="N245" s="19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</row>
    <row r="246" ht="16.5" customHeight="1">
      <c r="A246" s="3"/>
      <c r="B246" s="3"/>
      <c r="C246" s="3"/>
      <c r="D246" s="5"/>
      <c r="E246" s="3" t="str">
        <f t="shared" ref="E246:H246" si="243">IF(A246&lt;&gt;"", IF(A246=A245, "", A246), "")</f>
        <v/>
      </c>
      <c r="F246" s="191" t="str">
        <f t="shared" si="243"/>
        <v/>
      </c>
      <c r="G246" s="3" t="str">
        <f t="shared" si="243"/>
        <v/>
      </c>
      <c r="H246" s="5" t="str">
        <f t="shared" si="243"/>
        <v/>
      </c>
      <c r="I246" s="3"/>
      <c r="J246" s="3"/>
      <c r="K246" s="3"/>
      <c r="L246" s="192"/>
      <c r="M246" s="192"/>
      <c r="N246" s="19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</row>
    <row r="247" ht="16.5" customHeight="1">
      <c r="A247" s="3"/>
      <c r="B247" s="3"/>
      <c r="C247" s="3"/>
      <c r="D247" s="5"/>
      <c r="E247" s="3" t="str">
        <f t="shared" ref="E247:H247" si="244">IF(A247&lt;&gt;"", IF(A247=A246, "", A247), "")</f>
        <v/>
      </c>
      <c r="F247" s="191" t="str">
        <f t="shared" si="244"/>
        <v/>
      </c>
      <c r="G247" s="3" t="str">
        <f t="shared" si="244"/>
        <v/>
      </c>
      <c r="H247" s="5" t="str">
        <f t="shared" si="244"/>
        <v/>
      </c>
      <c r="I247" s="3"/>
      <c r="J247" s="3"/>
      <c r="K247" s="3"/>
      <c r="L247" s="192"/>
      <c r="M247" s="192"/>
      <c r="N247" s="19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</row>
    <row r="248" ht="16.5" customHeight="1">
      <c r="A248" s="3"/>
      <c r="B248" s="3"/>
      <c r="C248" s="3"/>
      <c r="D248" s="5"/>
      <c r="E248" s="3" t="str">
        <f t="shared" ref="E248:H248" si="245">IF(A248&lt;&gt;"", IF(A248=A247, "", A248), "")</f>
        <v/>
      </c>
      <c r="F248" s="191" t="str">
        <f t="shared" si="245"/>
        <v/>
      </c>
      <c r="G248" s="3" t="str">
        <f t="shared" si="245"/>
        <v/>
      </c>
      <c r="H248" s="5" t="str">
        <f t="shared" si="245"/>
        <v/>
      </c>
      <c r="I248" s="3"/>
      <c r="J248" s="3"/>
      <c r="K248" s="3"/>
      <c r="L248" s="192"/>
      <c r="M248" s="192"/>
      <c r="N248" s="19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</row>
    <row r="249" ht="16.5" customHeight="1">
      <c r="A249" s="3"/>
      <c r="B249" s="3"/>
      <c r="C249" s="3"/>
      <c r="D249" s="5"/>
      <c r="E249" s="3" t="str">
        <f t="shared" ref="E249:H249" si="246">IF(A249&lt;&gt;"", IF(A249=A248, "", A249), "")</f>
        <v/>
      </c>
      <c r="F249" s="191" t="str">
        <f t="shared" si="246"/>
        <v/>
      </c>
      <c r="G249" s="3" t="str">
        <f t="shared" si="246"/>
        <v/>
      </c>
      <c r="H249" s="5" t="str">
        <f t="shared" si="246"/>
        <v/>
      </c>
      <c r="I249" s="3"/>
      <c r="J249" s="3"/>
      <c r="K249" s="3"/>
      <c r="L249" s="192"/>
      <c r="M249" s="192"/>
      <c r="N249" s="19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</row>
    <row r="250" ht="16.5" customHeight="1">
      <c r="A250" s="3"/>
      <c r="B250" s="3"/>
      <c r="C250" s="3"/>
      <c r="D250" s="5"/>
      <c r="E250" s="3" t="str">
        <f t="shared" ref="E250:H250" si="247">IF(A250&lt;&gt;"", IF(A250=A249, "", A250), "")</f>
        <v/>
      </c>
      <c r="F250" s="191" t="str">
        <f t="shared" si="247"/>
        <v/>
      </c>
      <c r="G250" s="3" t="str">
        <f t="shared" si="247"/>
        <v/>
      </c>
      <c r="H250" s="5" t="str">
        <f t="shared" si="247"/>
        <v/>
      </c>
      <c r="I250" s="3"/>
      <c r="J250" s="3"/>
      <c r="K250" s="3"/>
      <c r="L250" s="192"/>
      <c r="M250" s="192"/>
      <c r="N250" s="19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</row>
    <row r="251" ht="16.5" customHeight="1">
      <c r="A251" s="3"/>
      <c r="B251" s="3"/>
      <c r="C251" s="3"/>
      <c r="D251" s="5"/>
      <c r="E251" s="3" t="str">
        <f t="shared" ref="E251:H251" si="248">IF(A251&lt;&gt;"", IF(A251=A250, "", A251), "")</f>
        <v/>
      </c>
      <c r="F251" s="191" t="str">
        <f t="shared" si="248"/>
        <v/>
      </c>
      <c r="G251" s="3" t="str">
        <f t="shared" si="248"/>
        <v/>
      </c>
      <c r="H251" s="5" t="str">
        <f t="shared" si="248"/>
        <v/>
      </c>
      <c r="I251" s="3"/>
      <c r="J251" s="3"/>
      <c r="K251" s="3"/>
      <c r="L251" s="192"/>
      <c r="M251" s="192"/>
      <c r="N251" s="19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</row>
    <row r="252" ht="16.5" customHeight="1">
      <c r="A252" s="3"/>
      <c r="B252" s="3"/>
      <c r="C252" s="3"/>
      <c r="D252" s="5"/>
      <c r="E252" s="3" t="str">
        <f t="shared" ref="E252:H252" si="249">IF(A252&lt;&gt;"", IF(A252=A251, "", A252), "")</f>
        <v/>
      </c>
      <c r="F252" s="191" t="str">
        <f t="shared" si="249"/>
        <v/>
      </c>
      <c r="G252" s="3" t="str">
        <f t="shared" si="249"/>
        <v/>
      </c>
      <c r="H252" s="5" t="str">
        <f t="shared" si="249"/>
        <v/>
      </c>
      <c r="I252" s="3"/>
      <c r="J252" s="3"/>
      <c r="K252" s="3"/>
      <c r="L252" s="192"/>
      <c r="M252" s="192"/>
      <c r="N252" s="19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</row>
    <row r="253" ht="16.5" customHeight="1">
      <c r="A253" s="3"/>
      <c r="B253" s="3"/>
      <c r="C253" s="3"/>
      <c r="D253" s="5"/>
      <c r="E253" s="3" t="str">
        <f t="shared" ref="E253:H253" si="250">IF(A253&lt;&gt;"", IF(A253=A252, "", A253), "")</f>
        <v/>
      </c>
      <c r="F253" s="191" t="str">
        <f t="shared" si="250"/>
        <v/>
      </c>
      <c r="G253" s="3" t="str">
        <f t="shared" si="250"/>
        <v/>
      </c>
      <c r="H253" s="5" t="str">
        <f t="shared" si="250"/>
        <v/>
      </c>
      <c r="I253" s="3"/>
      <c r="J253" s="3"/>
      <c r="K253" s="3"/>
      <c r="L253" s="192"/>
      <c r="M253" s="192"/>
      <c r="N253" s="19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</row>
    <row r="254" ht="16.5" customHeight="1">
      <c r="A254" s="3"/>
      <c r="B254" s="3"/>
      <c r="C254" s="3"/>
      <c r="D254" s="5"/>
      <c r="E254" s="3" t="str">
        <f t="shared" ref="E254:H254" si="251">IF(A254&lt;&gt;"", IF(A254=A253, "", A254), "")</f>
        <v/>
      </c>
      <c r="F254" s="191" t="str">
        <f t="shared" si="251"/>
        <v/>
      </c>
      <c r="G254" s="3" t="str">
        <f t="shared" si="251"/>
        <v/>
      </c>
      <c r="H254" s="5" t="str">
        <f t="shared" si="251"/>
        <v/>
      </c>
      <c r="I254" s="3"/>
      <c r="J254" s="3"/>
      <c r="K254" s="3"/>
      <c r="L254" s="192"/>
      <c r="M254" s="192"/>
      <c r="N254" s="19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</row>
    <row r="255" ht="16.5" customHeight="1">
      <c r="A255" s="3"/>
      <c r="B255" s="3"/>
      <c r="C255" s="3"/>
      <c r="D255" s="5"/>
      <c r="E255" s="3" t="str">
        <f t="shared" ref="E255:H255" si="252">IF(A255&lt;&gt;"", IF(A255=A254, "", A255), "")</f>
        <v/>
      </c>
      <c r="F255" s="191" t="str">
        <f t="shared" si="252"/>
        <v/>
      </c>
      <c r="G255" s="3" t="str">
        <f t="shared" si="252"/>
        <v/>
      </c>
      <c r="H255" s="5" t="str">
        <f t="shared" si="252"/>
        <v/>
      </c>
      <c r="I255" s="3"/>
      <c r="J255" s="3"/>
      <c r="K255" s="3"/>
      <c r="L255" s="192"/>
      <c r="M255" s="192"/>
      <c r="N255" s="19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</row>
    <row r="256" ht="16.5" customHeight="1">
      <c r="A256" s="3"/>
      <c r="B256" s="3"/>
      <c r="C256" s="3"/>
      <c r="D256" s="5"/>
      <c r="E256" s="3" t="str">
        <f t="shared" ref="E256:H256" si="253">IF(A256&lt;&gt;"", IF(A256=A255, "", A256), "")</f>
        <v/>
      </c>
      <c r="F256" s="191" t="str">
        <f t="shared" si="253"/>
        <v/>
      </c>
      <c r="G256" s="3" t="str">
        <f t="shared" si="253"/>
        <v/>
      </c>
      <c r="H256" s="5" t="str">
        <f t="shared" si="253"/>
        <v/>
      </c>
      <c r="I256" s="3"/>
      <c r="J256" s="3"/>
      <c r="K256" s="3"/>
      <c r="L256" s="192"/>
      <c r="M256" s="192"/>
      <c r="N256" s="19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</row>
    <row r="257" ht="16.5" customHeight="1">
      <c r="A257" s="3"/>
      <c r="B257" s="3"/>
      <c r="C257" s="3"/>
      <c r="D257" s="5"/>
      <c r="E257" s="3" t="str">
        <f t="shared" ref="E257:H257" si="254">IF(A257&lt;&gt;"", IF(A257=A256, "", A257), "")</f>
        <v/>
      </c>
      <c r="F257" s="191" t="str">
        <f t="shared" si="254"/>
        <v/>
      </c>
      <c r="G257" s="3" t="str">
        <f t="shared" si="254"/>
        <v/>
      </c>
      <c r="H257" s="5" t="str">
        <f t="shared" si="254"/>
        <v/>
      </c>
      <c r="I257" s="3"/>
      <c r="J257" s="3"/>
      <c r="K257" s="3"/>
      <c r="L257" s="192"/>
      <c r="M257" s="192"/>
      <c r="N257" s="19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</row>
    <row r="258" ht="16.5" customHeight="1">
      <c r="A258" s="3"/>
      <c r="B258" s="3"/>
      <c r="C258" s="3"/>
      <c r="D258" s="5"/>
      <c r="E258" s="3" t="str">
        <f t="shared" ref="E258:H258" si="255">IF(A258&lt;&gt;"", IF(A258=A257, "", A258), "")</f>
        <v/>
      </c>
      <c r="F258" s="191" t="str">
        <f t="shared" si="255"/>
        <v/>
      </c>
      <c r="G258" s="3" t="str">
        <f t="shared" si="255"/>
        <v/>
      </c>
      <c r="H258" s="5" t="str">
        <f t="shared" si="255"/>
        <v/>
      </c>
      <c r="I258" s="3"/>
      <c r="J258" s="3"/>
      <c r="K258" s="3"/>
      <c r="L258" s="192"/>
      <c r="M258" s="192"/>
      <c r="N258" s="19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</row>
    <row r="259" ht="16.5" customHeight="1">
      <c r="A259" s="3"/>
      <c r="B259" s="3"/>
      <c r="C259" s="3"/>
      <c r="D259" s="5"/>
      <c r="E259" s="3" t="str">
        <f t="shared" ref="E259:H259" si="256">IF(A259&lt;&gt;"", IF(A259=A258, "", A259), "")</f>
        <v/>
      </c>
      <c r="F259" s="191" t="str">
        <f t="shared" si="256"/>
        <v/>
      </c>
      <c r="G259" s="3" t="str">
        <f t="shared" si="256"/>
        <v/>
      </c>
      <c r="H259" s="5" t="str">
        <f t="shared" si="256"/>
        <v/>
      </c>
      <c r="I259" s="3"/>
      <c r="J259" s="3"/>
      <c r="K259" s="3"/>
      <c r="L259" s="192"/>
      <c r="M259" s="192"/>
      <c r="N259" s="19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</row>
    <row r="260" ht="16.5" customHeight="1">
      <c r="A260" s="3"/>
      <c r="B260" s="3"/>
      <c r="C260" s="3"/>
      <c r="D260" s="5"/>
      <c r="E260" s="3" t="str">
        <f t="shared" ref="E260:H260" si="257">IF(A260&lt;&gt;"", IF(A260=A259, "", A260), "")</f>
        <v/>
      </c>
      <c r="F260" s="191" t="str">
        <f t="shared" si="257"/>
        <v/>
      </c>
      <c r="G260" s="3" t="str">
        <f t="shared" si="257"/>
        <v/>
      </c>
      <c r="H260" s="5" t="str">
        <f t="shared" si="257"/>
        <v/>
      </c>
      <c r="I260" s="3"/>
      <c r="J260" s="3"/>
      <c r="K260" s="3"/>
      <c r="L260" s="192"/>
      <c r="M260" s="192"/>
      <c r="N260" s="19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</row>
    <row r="261" ht="16.5" customHeight="1">
      <c r="A261" s="3"/>
      <c r="B261" s="3"/>
      <c r="C261" s="3"/>
      <c r="D261" s="5"/>
      <c r="E261" s="3" t="str">
        <f t="shared" ref="E261:H261" si="258">IF(A261&lt;&gt;"", IF(A261=A260, "", A261), "")</f>
        <v/>
      </c>
      <c r="F261" s="191" t="str">
        <f t="shared" si="258"/>
        <v/>
      </c>
      <c r="G261" s="3" t="str">
        <f t="shared" si="258"/>
        <v/>
      </c>
      <c r="H261" s="5" t="str">
        <f t="shared" si="258"/>
        <v/>
      </c>
      <c r="I261" s="3"/>
      <c r="J261" s="3"/>
      <c r="K261" s="3"/>
      <c r="L261" s="192"/>
      <c r="M261" s="192"/>
      <c r="N261" s="19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</row>
    <row r="262" ht="16.5" customHeight="1">
      <c r="A262" s="3"/>
      <c r="B262" s="3"/>
      <c r="C262" s="3"/>
      <c r="D262" s="5"/>
      <c r="E262" s="3" t="str">
        <f t="shared" ref="E262:H262" si="259">IF(A262&lt;&gt;"", IF(A262=A261, "", A262), "")</f>
        <v/>
      </c>
      <c r="F262" s="191" t="str">
        <f t="shared" si="259"/>
        <v/>
      </c>
      <c r="G262" s="3" t="str">
        <f t="shared" si="259"/>
        <v/>
      </c>
      <c r="H262" s="5" t="str">
        <f t="shared" si="259"/>
        <v/>
      </c>
      <c r="I262" s="3"/>
      <c r="J262" s="3"/>
      <c r="K262" s="3"/>
      <c r="L262" s="192"/>
      <c r="M262" s="192"/>
      <c r="N262" s="19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</row>
    <row r="263" ht="16.5" customHeight="1">
      <c r="A263" s="3"/>
      <c r="B263" s="3"/>
      <c r="C263" s="3"/>
      <c r="D263" s="5"/>
      <c r="E263" s="3" t="str">
        <f t="shared" ref="E263:H263" si="260">IF(A263&lt;&gt;"", IF(A263=A262, "", A263), "")</f>
        <v/>
      </c>
      <c r="F263" s="191" t="str">
        <f t="shared" si="260"/>
        <v/>
      </c>
      <c r="G263" s="3" t="str">
        <f t="shared" si="260"/>
        <v/>
      </c>
      <c r="H263" s="5" t="str">
        <f t="shared" si="260"/>
        <v/>
      </c>
      <c r="I263" s="3"/>
      <c r="J263" s="3"/>
      <c r="K263" s="3"/>
      <c r="L263" s="192"/>
      <c r="M263" s="192"/>
      <c r="N263" s="19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</row>
    <row r="264" ht="16.5" customHeight="1">
      <c r="A264" s="3"/>
      <c r="B264" s="3"/>
      <c r="C264" s="3"/>
      <c r="D264" s="5"/>
      <c r="E264" s="3" t="str">
        <f t="shared" ref="E264:H264" si="261">IF(A264&lt;&gt;"", IF(A264=A263, "", A264), "")</f>
        <v/>
      </c>
      <c r="F264" s="191" t="str">
        <f t="shared" si="261"/>
        <v/>
      </c>
      <c r="G264" s="3" t="str">
        <f t="shared" si="261"/>
        <v/>
      </c>
      <c r="H264" s="5" t="str">
        <f t="shared" si="261"/>
        <v/>
      </c>
      <c r="I264" s="3"/>
      <c r="J264" s="3"/>
      <c r="K264" s="3"/>
      <c r="L264" s="192"/>
      <c r="M264" s="192"/>
      <c r="N264" s="19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</row>
    <row r="265" ht="16.5" customHeight="1">
      <c r="A265" s="3"/>
      <c r="B265" s="3"/>
      <c r="C265" s="3"/>
      <c r="D265" s="5"/>
      <c r="E265" s="3" t="str">
        <f t="shared" ref="E265:H265" si="262">IF(A265&lt;&gt;"", IF(A265=A264, "", A265), "")</f>
        <v/>
      </c>
      <c r="F265" s="191" t="str">
        <f t="shared" si="262"/>
        <v/>
      </c>
      <c r="G265" s="3" t="str">
        <f t="shared" si="262"/>
        <v/>
      </c>
      <c r="H265" s="5" t="str">
        <f t="shared" si="262"/>
        <v/>
      </c>
      <c r="I265" s="3"/>
      <c r="J265" s="3"/>
      <c r="K265" s="3"/>
      <c r="L265" s="192"/>
      <c r="M265" s="192"/>
      <c r="N265" s="19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</row>
    <row r="266" ht="16.5" customHeight="1">
      <c r="A266" s="3"/>
      <c r="B266" s="3"/>
      <c r="C266" s="3"/>
      <c r="D266" s="5"/>
      <c r="E266" s="3" t="str">
        <f t="shared" ref="E266:H266" si="263">IF(A266&lt;&gt;"", IF(A266=A265, "", A266), "")</f>
        <v/>
      </c>
      <c r="F266" s="191" t="str">
        <f t="shared" si="263"/>
        <v/>
      </c>
      <c r="G266" s="3" t="str">
        <f t="shared" si="263"/>
        <v/>
      </c>
      <c r="H266" s="5" t="str">
        <f t="shared" si="263"/>
        <v/>
      </c>
      <c r="I266" s="3"/>
      <c r="J266" s="3"/>
      <c r="K266" s="3"/>
      <c r="L266" s="192"/>
      <c r="M266" s="192"/>
      <c r="N266" s="19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</row>
    <row r="267" ht="16.5" customHeight="1">
      <c r="A267" s="3"/>
      <c r="B267" s="3"/>
      <c r="C267" s="3"/>
      <c r="D267" s="5"/>
      <c r="E267" s="3" t="str">
        <f t="shared" ref="E267:H267" si="264">IF(A267&lt;&gt;"", IF(A267=A266, "", A267), "")</f>
        <v/>
      </c>
      <c r="F267" s="191" t="str">
        <f t="shared" si="264"/>
        <v/>
      </c>
      <c r="G267" s="3" t="str">
        <f t="shared" si="264"/>
        <v/>
      </c>
      <c r="H267" s="5" t="str">
        <f t="shared" si="264"/>
        <v/>
      </c>
      <c r="I267" s="3"/>
      <c r="J267" s="3"/>
      <c r="K267" s="3"/>
      <c r="L267" s="192"/>
      <c r="M267" s="192"/>
      <c r="N267" s="19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</row>
    <row r="268" ht="16.5" customHeight="1">
      <c r="A268" s="3"/>
      <c r="B268" s="3"/>
      <c r="C268" s="3"/>
      <c r="D268" s="5"/>
      <c r="E268" s="3" t="str">
        <f t="shared" ref="E268:H268" si="265">IF(A268&lt;&gt;"", IF(A268=A267, "", A268), "")</f>
        <v/>
      </c>
      <c r="F268" s="191" t="str">
        <f t="shared" si="265"/>
        <v/>
      </c>
      <c r="G268" s="3" t="str">
        <f t="shared" si="265"/>
        <v/>
      </c>
      <c r="H268" s="5" t="str">
        <f t="shared" si="265"/>
        <v/>
      </c>
      <c r="I268" s="3"/>
      <c r="J268" s="3"/>
      <c r="K268" s="3"/>
      <c r="L268" s="192"/>
      <c r="M268" s="192"/>
      <c r="N268" s="19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</row>
    <row r="269" ht="16.5" customHeight="1">
      <c r="A269" s="3"/>
      <c r="B269" s="3"/>
      <c r="C269" s="3"/>
      <c r="D269" s="5"/>
      <c r="E269" s="3" t="str">
        <f t="shared" ref="E269:H269" si="266">IF(A269&lt;&gt;"", IF(A269=A268, "", A269), "")</f>
        <v/>
      </c>
      <c r="F269" s="191" t="str">
        <f t="shared" si="266"/>
        <v/>
      </c>
      <c r="G269" s="3" t="str">
        <f t="shared" si="266"/>
        <v/>
      </c>
      <c r="H269" s="5" t="str">
        <f t="shared" si="266"/>
        <v/>
      </c>
      <c r="I269" s="3"/>
      <c r="J269" s="3"/>
      <c r="K269" s="3"/>
      <c r="L269" s="192"/>
      <c r="M269" s="192"/>
      <c r="N269" s="19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</row>
    <row r="270" ht="16.5" customHeight="1">
      <c r="A270" s="3"/>
      <c r="B270" s="3"/>
      <c r="C270" s="3"/>
      <c r="D270" s="5"/>
      <c r="E270" s="3" t="str">
        <f t="shared" ref="E270:H270" si="267">IF(A270&lt;&gt;"", IF(A270=A269, "", A270), "")</f>
        <v/>
      </c>
      <c r="F270" s="191" t="str">
        <f t="shared" si="267"/>
        <v/>
      </c>
      <c r="G270" s="3" t="str">
        <f t="shared" si="267"/>
        <v/>
      </c>
      <c r="H270" s="5" t="str">
        <f t="shared" si="267"/>
        <v/>
      </c>
      <c r="I270" s="3"/>
      <c r="J270" s="3"/>
      <c r="K270" s="3"/>
      <c r="L270" s="192"/>
      <c r="M270" s="192"/>
      <c r="N270" s="19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</row>
    <row r="271" ht="16.5" customHeight="1">
      <c r="A271" s="3"/>
      <c r="B271" s="3"/>
      <c r="C271" s="3"/>
      <c r="D271" s="5"/>
      <c r="E271" s="3" t="str">
        <f t="shared" ref="E271:H271" si="268">IF(A271&lt;&gt;"", IF(A271=A270, "", A271), "")</f>
        <v/>
      </c>
      <c r="F271" s="191" t="str">
        <f t="shared" si="268"/>
        <v/>
      </c>
      <c r="G271" s="3" t="str">
        <f t="shared" si="268"/>
        <v/>
      </c>
      <c r="H271" s="5" t="str">
        <f t="shared" si="268"/>
        <v/>
      </c>
      <c r="I271" s="3"/>
      <c r="J271" s="3"/>
      <c r="K271" s="3"/>
      <c r="L271" s="192"/>
      <c r="M271" s="192"/>
      <c r="N271" s="19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</row>
    <row r="272" ht="16.5" customHeight="1">
      <c r="A272" s="3"/>
      <c r="B272" s="3"/>
      <c r="C272" s="3"/>
      <c r="D272" s="5"/>
      <c r="E272" s="3" t="str">
        <f t="shared" ref="E272:H272" si="269">IF(A272&lt;&gt;"", IF(A272=A271, "", A272), "")</f>
        <v/>
      </c>
      <c r="F272" s="191" t="str">
        <f t="shared" si="269"/>
        <v/>
      </c>
      <c r="G272" s="3" t="str">
        <f t="shared" si="269"/>
        <v/>
      </c>
      <c r="H272" s="5" t="str">
        <f t="shared" si="269"/>
        <v/>
      </c>
      <c r="I272" s="3"/>
      <c r="J272" s="3"/>
      <c r="K272" s="3"/>
      <c r="L272" s="192"/>
      <c r="M272" s="192"/>
      <c r="N272" s="19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</row>
    <row r="273" ht="16.5" customHeight="1">
      <c r="A273" s="3"/>
      <c r="B273" s="3"/>
      <c r="C273" s="3"/>
      <c r="D273" s="5"/>
      <c r="E273" s="3" t="str">
        <f t="shared" ref="E273:H273" si="270">IF(A273&lt;&gt;"", IF(A273=A272, "", A273), "")</f>
        <v/>
      </c>
      <c r="F273" s="191" t="str">
        <f t="shared" si="270"/>
        <v/>
      </c>
      <c r="G273" s="3" t="str">
        <f t="shared" si="270"/>
        <v/>
      </c>
      <c r="H273" s="5" t="str">
        <f t="shared" si="270"/>
        <v/>
      </c>
      <c r="I273" s="3"/>
      <c r="J273" s="3"/>
      <c r="K273" s="3"/>
      <c r="L273" s="192"/>
      <c r="M273" s="192"/>
      <c r="N273" s="19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</row>
    <row r="274" ht="16.5" customHeight="1">
      <c r="A274" s="3"/>
      <c r="B274" s="3"/>
      <c r="C274" s="3"/>
      <c r="D274" s="5"/>
      <c r="E274" s="3" t="str">
        <f t="shared" ref="E274:H274" si="271">IF(A274&lt;&gt;"", IF(A274=A273, "", A274), "")</f>
        <v/>
      </c>
      <c r="F274" s="191" t="str">
        <f t="shared" si="271"/>
        <v/>
      </c>
      <c r="G274" s="3" t="str">
        <f t="shared" si="271"/>
        <v/>
      </c>
      <c r="H274" s="5" t="str">
        <f t="shared" si="271"/>
        <v/>
      </c>
      <c r="I274" s="3"/>
      <c r="J274" s="3"/>
      <c r="K274" s="3"/>
      <c r="L274" s="192"/>
      <c r="M274" s="192"/>
      <c r="N274" s="19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</row>
    <row r="275" ht="16.5" customHeight="1">
      <c r="A275" s="3"/>
      <c r="B275" s="3"/>
      <c r="C275" s="3"/>
      <c r="D275" s="5"/>
      <c r="E275" s="3" t="str">
        <f t="shared" ref="E275:H275" si="272">IF(A275&lt;&gt;"", IF(A275=A274, "", A275), "")</f>
        <v/>
      </c>
      <c r="F275" s="191" t="str">
        <f t="shared" si="272"/>
        <v/>
      </c>
      <c r="G275" s="3" t="str">
        <f t="shared" si="272"/>
        <v/>
      </c>
      <c r="H275" s="5" t="str">
        <f t="shared" si="272"/>
        <v/>
      </c>
      <c r="I275" s="3"/>
      <c r="J275" s="3"/>
      <c r="K275" s="3"/>
      <c r="L275" s="192"/>
      <c r="M275" s="192"/>
      <c r="N275" s="19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</row>
    <row r="276" ht="16.5" customHeight="1">
      <c r="A276" s="3"/>
      <c r="B276" s="3"/>
      <c r="C276" s="3"/>
      <c r="D276" s="5"/>
      <c r="E276" s="3" t="str">
        <f t="shared" ref="E276:H276" si="273">IF(A276&lt;&gt;"", IF(A276=A275, "", A276), "")</f>
        <v/>
      </c>
      <c r="F276" s="191" t="str">
        <f t="shared" si="273"/>
        <v/>
      </c>
      <c r="G276" s="3" t="str">
        <f t="shared" si="273"/>
        <v/>
      </c>
      <c r="H276" s="5" t="str">
        <f t="shared" si="273"/>
        <v/>
      </c>
      <c r="I276" s="3"/>
      <c r="J276" s="3"/>
      <c r="K276" s="3"/>
      <c r="L276" s="192"/>
      <c r="M276" s="192"/>
      <c r="N276" s="19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</row>
    <row r="277" ht="16.5" customHeight="1">
      <c r="A277" s="3"/>
      <c r="B277" s="3"/>
      <c r="C277" s="3"/>
      <c r="D277" s="5"/>
      <c r="E277" s="3" t="str">
        <f t="shared" ref="E277:H277" si="274">IF(A277&lt;&gt;"", IF(A277=A276, "", A277), "")</f>
        <v/>
      </c>
      <c r="F277" s="191" t="str">
        <f t="shared" si="274"/>
        <v/>
      </c>
      <c r="G277" s="3" t="str">
        <f t="shared" si="274"/>
        <v/>
      </c>
      <c r="H277" s="5" t="str">
        <f t="shared" si="274"/>
        <v/>
      </c>
      <c r="I277" s="3"/>
      <c r="J277" s="3"/>
      <c r="K277" s="3"/>
      <c r="L277" s="192"/>
      <c r="M277" s="192"/>
      <c r="N277" s="19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</row>
    <row r="278" ht="16.5" customHeight="1">
      <c r="A278" s="3"/>
      <c r="B278" s="3"/>
      <c r="C278" s="3"/>
      <c r="D278" s="5"/>
      <c r="E278" s="3" t="str">
        <f t="shared" ref="E278:H278" si="275">IF(A278&lt;&gt;"", IF(A278=A277, "", A278), "")</f>
        <v/>
      </c>
      <c r="F278" s="191" t="str">
        <f t="shared" si="275"/>
        <v/>
      </c>
      <c r="G278" s="3" t="str">
        <f t="shared" si="275"/>
        <v/>
      </c>
      <c r="H278" s="5" t="str">
        <f t="shared" si="275"/>
        <v/>
      </c>
      <c r="I278" s="3"/>
      <c r="J278" s="3"/>
      <c r="K278" s="3"/>
      <c r="L278" s="192"/>
      <c r="M278" s="192"/>
      <c r="N278" s="19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</row>
    <row r="279" ht="16.5" customHeight="1">
      <c r="A279" s="3"/>
      <c r="B279" s="3"/>
      <c r="C279" s="3"/>
      <c r="D279" s="5"/>
      <c r="E279" s="3" t="str">
        <f t="shared" ref="E279:H279" si="276">IF(A279&lt;&gt;"", IF(A279=A278, "", A279), "")</f>
        <v/>
      </c>
      <c r="F279" s="191" t="str">
        <f t="shared" si="276"/>
        <v/>
      </c>
      <c r="G279" s="3" t="str">
        <f t="shared" si="276"/>
        <v/>
      </c>
      <c r="H279" s="5" t="str">
        <f t="shared" si="276"/>
        <v/>
      </c>
      <c r="I279" s="3"/>
      <c r="J279" s="3"/>
      <c r="K279" s="3"/>
      <c r="L279" s="192"/>
      <c r="M279" s="192"/>
      <c r="N279" s="19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</row>
    <row r="280" ht="16.5" customHeight="1">
      <c r="A280" s="3"/>
      <c r="B280" s="3"/>
      <c r="C280" s="3"/>
      <c r="D280" s="5"/>
      <c r="E280" s="3" t="str">
        <f t="shared" ref="E280:H280" si="277">IF(A280&lt;&gt;"", IF(A280=A279, "", A280), "")</f>
        <v/>
      </c>
      <c r="F280" s="191" t="str">
        <f t="shared" si="277"/>
        <v/>
      </c>
      <c r="G280" s="3" t="str">
        <f t="shared" si="277"/>
        <v/>
      </c>
      <c r="H280" s="5" t="str">
        <f t="shared" si="277"/>
        <v/>
      </c>
      <c r="I280" s="3"/>
      <c r="J280" s="3"/>
      <c r="K280" s="3"/>
      <c r="L280" s="192"/>
      <c r="M280" s="192"/>
      <c r="N280" s="19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</row>
    <row r="281" ht="16.5" customHeight="1">
      <c r="A281" s="3"/>
      <c r="B281" s="3"/>
      <c r="C281" s="3"/>
      <c r="D281" s="5"/>
      <c r="E281" s="3" t="str">
        <f t="shared" ref="E281:H281" si="278">IF(A281&lt;&gt;"", IF(A281=A280, "", A281), "")</f>
        <v/>
      </c>
      <c r="F281" s="191" t="str">
        <f t="shared" si="278"/>
        <v/>
      </c>
      <c r="G281" s="3" t="str">
        <f t="shared" si="278"/>
        <v/>
      </c>
      <c r="H281" s="5" t="str">
        <f t="shared" si="278"/>
        <v/>
      </c>
      <c r="I281" s="3"/>
      <c r="J281" s="3"/>
      <c r="K281" s="3"/>
      <c r="L281" s="192"/>
      <c r="M281" s="192"/>
      <c r="N281" s="19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</row>
    <row r="282" ht="16.5" customHeight="1">
      <c r="A282" s="3"/>
      <c r="B282" s="3"/>
      <c r="C282" s="3"/>
      <c r="D282" s="5"/>
      <c r="E282" s="3" t="str">
        <f t="shared" ref="E282:H282" si="279">IF(A282&lt;&gt;"", IF(A282=A281, "", A282), "")</f>
        <v/>
      </c>
      <c r="F282" s="191" t="str">
        <f t="shared" si="279"/>
        <v/>
      </c>
      <c r="G282" s="3" t="str">
        <f t="shared" si="279"/>
        <v/>
      </c>
      <c r="H282" s="5" t="str">
        <f t="shared" si="279"/>
        <v/>
      </c>
      <c r="I282" s="3"/>
      <c r="J282" s="3"/>
      <c r="K282" s="3"/>
      <c r="L282" s="192"/>
      <c r="M282" s="192"/>
      <c r="N282" s="19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</row>
    <row r="283" ht="16.5" customHeight="1">
      <c r="A283" s="3"/>
      <c r="B283" s="3"/>
      <c r="C283" s="3"/>
      <c r="D283" s="5"/>
      <c r="E283" s="3" t="str">
        <f t="shared" ref="E283:H283" si="280">IF(A283&lt;&gt;"", IF(A283=A282, "", A283), "")</f>
        <v/>
      </c>
      <c r="F283" s="191" t="str">
        <f t="shared" si="280"/>
        <v/>
      </c>
      <c r="G283" s="3" t="str">
        <f t="shared" si="280"/>
        <v/>
      </c>
      <c r="H283" s="5" t="str">
        <f t="shared" si="280"/>
        <v/>
      </c>
      <c r="I283" s="3"/>
      <c r="J283" s="3"/>
      <c r="K283" s="3"/>
      <c r="L283" s="192"/>
      <c r="M283" s="192"/>
      <c r="N283" s="19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</row>
    <row r="284" ht="16.5" customHeight="1">
      <c r="A284" s="3"/>
      <c r="B284" s="3"/>
      <c r="C284" s="3"/>
      <c r="D284" s="5"/>
      <c r="E284" s="3" t="str">
        <f t="shared" ref="E284:H284" si="281">IF(A284&lt;&gt;"", IF(A284=A283, "", A284), "")</f>
        <v/>
      </c>
      <c r="F284" s="191" t="str">
        <f t="shared" si="281"/>
        <v/>
      </c>
      <c r="G284" s="3" t="str">
        <f t="shared" si="281"/>
        <v/>
      </c>
      <c r="H284" s="5" t="str">
        <f t="shared" si="281"/>
        <v/>
      </c>
      <c r="I284" s="3"/>
      <c r="J284" s="3"/>
      <c r="K284" s="3"/>
      <c r="L284" s="192"/>
      <c r="M284" s="192"/>
      <c r="N284" s="19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</row>
    <row r="285" ht="16.5" customHeight="1">
      <c r="A285" s="3"/>
      <c r="B285" s="3"/>
      <c r="C285" s="3"/>
      <c r="D285" s="5"/>
      <c r="E285" s="3" t="str">
        <f t="shared" ref="E285:H285" si="282">IF(A285&lt;&gt;"", IF(A285=A284, "", A285), "")</f>
        <v/>
      </c>
      <c r="F285" s="191" t="str">
        <f t="shared" si="282"/>
        <v/>
      </c>
      <c r="G285" s="3" t="str">
        <f t="shared" si="282"/>
        <v/>
      </c>
      <c r="H285" s="5" t="str">
        <f t="shared" si="282"/>
        <v/>
      </c>
      <c r="I285" s="3"/>
      <c r="J285" s="3"/>
      <c r="K285" s="3"/>
      <c r="L285" s="192"/>
      <c r="M285" s="192"/>
      <c r="N285" s="19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</row>
    <row r="286" ht="16.5" customHeight="1">
      <c r="A286" s="3"/>
      <c r="B286" s="3"/>
      <c r="C286" s="3"/>
      <c r="D286" s="5"/>
      <c r="E286" s="3" t="str">
        <f t="shared" ref="E286:H286" si="283">IF(A286&lt;&gt;"", IF(A286=A285, "", A286), "")</f>
        <v/>
      </c>
      <c r="F286" s="191" t="str">
        <f t="shared" si="283"/>
        <v/>
      </c>
      <c r="G286" s="3" t="str">
        <f t="shared" si="283"/>
        <v/>
      </c>
      <c r="H286" s="5" t="str">
        <f t="shared" si="283"/>
        <v/>
      </c>
      <c r="I286" s="3"/>
      <c r="J286" s="3"/>
      <c r="K286" s="3"/>
      <c r="L286" s="192"/>
      <c r="M286" s="192"/>
      <c r="N286" s="19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</row>
    <row r="287" ht="16.5" customHeight="1">
      <c r="A287" s="3"/>
      <c r="B287" s="3"/>
      <c r="C287" s="3"/>
      <c r="D287" s="5"/>
      <c r="E287" s="3" t="str">
        <f t="shared" ref="E287:H287" si="284">IF(A287&lt;&gt;"", IF(A287=A286, "", A287), "")</f>
        <v/>
      </c>
      <c r="F287" s="191" t="str">
        <f t="shared" si="284"/>
        <v/>
      </c>
      <c r="G287" s="3" t="str">
        <f t="shared" si="284"/>
        <v/>
      </c>
      <c r="H287" s="5" t="str">
        <f t="shared" si="284"/>
        <v/>
      </c>
      <c r="I287" s="3"/>
      <c r="J287" s="3"/>
      <c r="K287" s="3"/>
      <c r="L287" s="192"/>
      <c r="M287" s="192"/>
      <c r="N287" s="19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</row>
    <row r="288" ht="16.5" customHeight="1">
      <c r="A288" s="3"/>
      <c r="B288" s="3"/>
      <c r="C288" s="3"/>
      <c r="D288" s="5"/>
      <c r="E288" s="3" t="str">
        <f t="shared" ref="E288:H288" si="285">IF(A288&lt;&gt;"", IF(A288=A287, "", A288), "")</f>
        <v/>
      </c>
      <c r="F288" s="191" t="str">
        <f t="shared" si="285"/>
        <v/>
      </c>
      <c r="G288" s="3" t="str">
        <f t="shared" si="285"/>
        <v/>
      </c>
      <c r="H288" s="5" t="str">
        <f t="shared" si="285"/>
        <v/>
      </c>
      <c r="I288" s="3"/>
      <c r="J288" s="3"/>
      <c r="K288" s="3"/>
      <c r="L288" s="192"/>
      <c r="M288" s="192"/>
      <c r="N288" s="19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</row>
    <row r="289" ht="16.5" customHeight="1">
      <c r="A289" s="3"/>
      <c r="B289" s="3"/>
      <c r="C289" s="3"/>
      <c r="D289" s="5"/>
      <c r="E289" s="3" t="str">
        <f t="shared" ref="E289:H289" si="286">IF(A289&lt;&gt;"", IF(A289=A288, "", A289), "")</f>
        <v/>
      </c>
      <c r="F289" s="191" t="str">
        <f t="shared" si="286"/>
        <v/>
      </c>
      <c r="G289" s="3" t="str">
        <f t="shared" si="286"/>
        <v/>
      </c>
      <c r="H289" s="5" t="str">
        <f t="shared" si="286"/>
        <v/>
      </c>
      <c r="I289" s="3"/>
      <c r="J289" s="3"/>
      <c r="K289" s="3"/>
      <c r="L289" s="192"/>
      <c r="M289" s="192"/>
      <c r="N289" s="19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</row>
    <row r="290" ht="16.5" customHeight="1">
      <c r="A290" s="3"/>
      <c r="B290" s="3"/>
      <c r="C290" s="3"/>
      <c r="D290" s="5"/>
      <c r="E290" s="3" t="str">
        <f t="shared" ref="E290:H290" si="287">IF(A290&lt;&gt;"", IF(A290=A289, "", A290), "")</f>
        <v/>
      </c>
      <c r="F290" s="191" t="str">
        <f t="shared" si="287"/>
        <v/>
      </c>
      <c r="G290" s="3" t="str">
        <f t="shared" si="287"/>
        <v/>
      </c>
      <c r="H290" s="5" t="str">
        <f t="shared" si="287"/>
        <v/>
      </c>
      <c r="I290" s="3"/>
      <c r="J290" s="3"/>
      <c r="K290" s="3"/>
      <c r="L290" s="192"/>
      <c r="M290" s="192"/>
      <c r="N290" s="19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</row>
    <row r="291" ht="16.5" customHeight="1">
      <c r="A291" s="3"/>
      <c r="B291" s="3"/>
      <c r="C291" s="3"/>
      <c r="D291" s="5"/>
      <c r="E291" s="3" t="str">
        <f t="shared" ref="E291:H291" si="288">IF(A291&lt;&gt;"", IF(A291=A290, "", A291), "")</f>
        <v/>
      </c>
      <c r="F291" s="191" t="str">
        <f t="shared" si="288"/>
        <v/>
      </c>
      <c r="G291" s="3" t="str">
        <f t="shared" si="288"/>
        <v/>
      </c>
      <c r="H291" s="5" t="str">
        <f t="shared" si="288"/>
        <v/>
      </c>
      <c r="I291" s="3"/>
      <c r="J291" s="3"/>
      <c r="K291" s="3"/>
      <c r="L291" s="192"/>
      <c r="M291" s="192"/>
      <c r="N291" s="19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</row>
    <row r="292" ht="16.5" customHeight="1">
      <c r="A292" s="3"/>
      <c r="B292" s="3"/>
      <c r="C292" s="3"/>
      <c r="D292" s="5"/>
      <c r="E292" s="3" t="str">
        <f t="shared" ref="E292:H292" si="289">IF(A292&lt;&gt;"", IF(A292=A291, "", A292), "")</f>
        <v/>
      </c>
      <c r="F292" s="191" t="str">
        <f t="shared" si="289"/>
        <v/>
      </c>
      <c r="G292" s="3" t="str">
        <f t="shared" si="289"/>
        <v/>
      </c>
      <c r="H292" s="5" t="str">
        <f t="shared" si="289"/>
        <v/>
      </c>
      <c r="I292" s="3"/>
      <c r="J292" s="3"/>
      <c r="K292" s="3"/>
      <c r="L292" s="192"/>
      <c r="M292" s="192"/>
      <c r="N292" s="19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</row>
    <row r="293" ht="16.5" customHeight="1">
      <c r="A293" s="3"/>
      <c r="B293" s="3"/>
      <c r="C293" s="3"/>
      <c r="D293" s="5"/>
      <c r="E293" s="3" t="str">
        <f t="shared" ref="E293:H293" si="290">IF(A293&lt;&gt;"", IF(A293=A292, "", A293), "")</f>
        <v/>
      </c>
      <c r="F293" s="191" t="str">
        <f t="shared" si="290"/>
        <v/>
      </c>
      <c r="G293" s="3" t="str">
        <f t="shared" si="290"/>
        <v/>
      </c>
      <c r="H293" s="5" t="str">
        <f t="shared" si="290"/>
        <v/>
      </c>
      <c r="I293" s="3"/>
      <c r="J293" s="3"/>
      <c r="K293" s="3"/>
      <c r="L293" s="192"/>
      <c r="M293" s="192"/>
      <c r="N293" s="19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</row>
    <row r="294" ht="16.5" customHeight="1">
      <c r="A294" s="3"/>
      <c r="B294" s="3"/>
      <c r="C294" s="3"/>
      <c r="D294" s="5"/>
      <c r="E294" s="3" t="str">
        <f t="shared" ref="E294:H294" si="291">IF(A294&lt;&gt;"", IF(A294=A293, "", A294), "")</f>
        <v/>
      </c>
      <c r="F294" s="191" t="str">
        <f t="shared" si="291"/>
        <v/>
      </c>
      <c r="G294" s="3" t="str">
        <f t="shared" si="291"/>
        <v/>
      </c>
      <c r="H294" s="5" t="str">
        <f t="shared" si="291"/>
        <v/>
      </c>
      <c r="I294" s="3"/>
      <c r="J294" s="3"/>
      <c r="K294" s="3"/>
      <c r="L294" s="192"/>
      <c r="M294" s="192"/>
      <c r="N294" s="19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</row>
    <row r="295" ht="16.5" customHeight="1">
      <c r="A295" s="3"/>
      <c r="B295" s="3"/>
      <c r="C295" s="3"/>
      <c r="D295" s="5"/>
      <c r="E295" s="3" t="str">
        <f t="shared" ref="E295:H295" si="292">IF(A295&lt;&gt;"", IF(A295=A294, "", A295), "")</f>
        <v/>
      </c>
      <c r="F295" s="191" t="str">
        <f t="shared" si="292"/>
        <v/>
      </c>
      <c r="G295" s="3" t="str">
        <f t="shared" si="292"/>
        <v/>
      </c>
      <c r="H295" s="5" t="str">
        <f t="shared" si="292"/>
        <v/>
      </c>
      <c r="I295" s="3"/>
      <c r="J295" s="3"/>
      <c r="K295" s="3"/>
      <c r="L295" s="192"/>
      <c r="M295" s="192"/>
      <c r="N295" s="19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</row>
    <row r="296" ht="16.5" customHeight="1">
      <c r="A296" s="3"/>
      <c r="B296" s="3"/>
      <c r="C296" s="3"/>
      <c r="D296" s="5"/>
      <c r="E296" s="3" t="str">
        <f t="shared" ref="E296:H296" si="293">IF(A296&lt;&gt;"", IF(A296=A295, "", A296), "")</f>
        <v/>
      </c>
      <c r="F296" s="191" t="str">
        <f t="shared" si="293"/>
        <v/>
      </c>
      <c r="G296" s="3" t="str">
        <f t="shared" si="293"/>
        <v/>
      </c>
      <c r="H296" s="5" t="str">
        <f t="shared" si="293"/>
        <v/>
      </c>
      <c r="I296" s="3"/>
      <c r="J296" s="3"/>
      <c r="K296" s="3"/>
      <c r="L296" s="192"/>
      <c r="M296" s="192"/>
      <c r="N296" s="19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</row>
    <row r="297" ht="16.5" customHeight="1">
      <c r="A297" s="3"/>
      <c r="B297" s="3"/>
      <c r="C297" s="3"/>
      <c r="D297" s="5"/>
      <c r="E297" s="3" t="str">
        <f t="shared" ref="E297:H297" si="294">IF(A297&lt;&gt;"", IF(A297=A296, "", A297), "")</f>
        <v/>
      </c>
      <c r="F297" s="191" t="str">
        <f t="shared" si="294"/>
        <v/>
      </c>
      <c r="G297" s="3" t="str">
        <f t="shared" si="294"/>
        <v/>
      </c>
      <c r="H297" s="5" t="str">
        <f t="shared" si="294"/>
        <v/>
      </c>
      <c r="I297" s="3"/>
      <c r="J297" s="3"/>
      <c r="K297" s="3"/>
      <c r="L297" s="192"/>
      <c r="M297" s="192"/>
      <c r="N297" s="19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</row>
  </sheetData>
  <conditionalFormatting sqref="H5:M38">
    <cfRule type="expression" dxfId="12" priority="1">
      <formula>$I5="DX道場"</formula>
    </cfRule>
  </conditionalFormatting>
  <conditionalFormatting sqref="N5:N297">
    <cfRule type="containsText" dxfId="13" priority="2" operator="containsText" text="準備中">
      <formula>NOT(ISERROR(SEARCH(("準備中"),(N5))))</formula>
    </cfRule>
  </conditionalFormatting>
  <conditionalFormatting sqref="O3:CU38">
    <cfRule type="expression" dxfId="14" priority="3">
      <formula>AND(OR(O$4="土",O$4="日"))</formula>
    </cfRule>
  </conditionalFormatting>
  <conditionalFormatting sqref="O5:CU38">
    <cfRule type="expression" dxfId="15" priority="4">
      <formula>AND($I5="DX道場",O$3&gt;=$L5,O$3&lt;=$M5)</formula>
    </cfRule>
  </conditionalFormatting>
  <conditionalFormatting sqref="O5:CU38">
    <cfRule type="expression" dxfId="16" priority="5">
      <formula>AND($I5="インフラ",O$3&gt;=$L5,O$3&lt;=$M5)</formula>
    </cfRule>
  </conditionalFormatting>
  <conditionalFormatting sqref="F5:J38">
    <cfRule type="expression" dxfId="17" priority="6">
      <formula>NOT(ISNUMBER($F5))</formula>
    </cfRule>
  </conditionalFormatting>
  <conditionalFormatting sqref="J5:J38">
    <cfRule type="expression" dxfId="18" priority="7">
      <formula>AND($H5&lt;&gt;"",$J5="")</formula>
    </cfRule>
  </conditionalFormatting>
  <conditionalFormatting sqref="N5:N297">
    <cfRule type="containsText" dxfId="19" priority="8" operator="containsText" text="完了">
      <formula>NOT(ISERROR(SEARCH(("完了"),(N5))))</formula>
    </cfRule>
  </conditionalFormatting>
  <conditionalFormatting sqref="N5:N297">
    <cfRule type="containsText" dxfId="20" priority="9" operator="containsText" text="進行中">
      <formula>NOT(ISERROR(SEARCH(("進行中"),(N5))))</formula>
    </cfRule>
  </conditionalFormatting>
  <conditionalFormatting sqref="M10">
    <cfRule type="containsText" dxfId="19" priority="10" operator="containsText" text="完了">
      <formula>NOT(ISERROR(SEARCH(("完了"),(M10))))</formula>
    </cfRule>
  </conditionalFormatting>
  <conditionalFormatting sqref="M10">
    <cfRule type="containsText" dxfId="20" priority="11" operator="containsText" text="進行中">
      <formula>NOT(ISERROR(SEARCH(("進行中"),(M10))))</formula>
    </cfRule>
  </conditionalFormatting>
  <dataValidations>
    <dataValidation type="list" allowBlank="1" showErrorMessage="1" sqref="N5:N297">
      <formula1>"準備中,進行中,完了"</formula1>
    </dataValidation>
    <dataValidation type="list" allowBlank="1" showErrorMessage="1" sqref="I5:I297">
      <formula1>"データ基盤,インフラ,DX道場"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43"/>
    <col customWidth="1" min="2" max="2" width="9.43"/>
    <col customWidth="1" min="3" max="6" width="9.0"/>
    <col customWidth="1" min="7" max="26" width="8.71"/>
  </cols>
  <sheetData>
    <row r="1" ht="16.5" customHeight="1">
      <c r="A1" s="1" t="s">
        <v>0</v>
      </c>
      <c r="B1" s="1" t="s">
        <v>2</v>
      </c>
      <c r="C1" s="1" t="s">
        <v>3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16.5" customHeight="1">
      <c r="A2" s="1" t="s">
        <v>7</v>
      </c>
      <c r="B2" s="6">
        <v>46023.0</v>
      </c>
      <c r="C2" s="1" t="s">
        <v>10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ht="16.5" customHeight="1">
      <c r="A3" s="1" t="s">
        <v>13</v>
      </c>
      <c r="B3" s="6">
        <v>46034.0</v>
      </c>
      <c r="C3" s="1" t="s">
        <v>15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6.5" customHeight="1">
      <c r="A4" s="1" t="s">
        <v>17</v>
      </c>
      <c r="B4" s="6">
        <v>46064.0</v>
      </c>
      <c r="C4" s="1" t="s">
        <v>19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16.5" customHeight="1">
      <c r="A5" s="1" t="s">
        <v>22</v>
      </c>
      <c r="B5" s="6">
        <v>46076.0</v>
      </c>
      <c r="C5" s="1" t="s">
        <v>15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16.5" customHeight="1">
      <c r="A6" s="1" t="s">
        <v>25</v>
      </c>
      <c r="B6" s="6">
        <v>46101.0</v>
      </c>
      <c r="C6" s="1" t="s">
        <v>26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16.5" customHeight="1">
      <c r="A7" s="1" t="s">
        <v>29</v>
      </c>
      <c r="B7" s="6">
        <v>46141.0</v>
      </c>
      <c r="C7" s="1" t="s">
        <v>19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16.5" customHeight="1">
      <c r="A8" s="1" t="s">
        <v>32</v>
      </c>
      <c r="B8" s="6">
        <v>46145.0</v>
      </c>
      <c r="C8" s="1" t="s">
        <v>33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ht="16.5" customHeight="1">
      <c r="A9" s="1" t="s">
        <v>37</v>
      </c>
      <c r="B9" s="6">
        <v>46146.0</v>
      </c>
      <c r="C9" s="1" t="s">
        <v>15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16.5" customHeight="1">
      <c r="A10" s="1" t="s">
        <v>41</v>
      </c>
      <c r="B10" s="6">
        <v>46147.0</v>
      </c>
      <c r="C10" s="1" t="s">
        <v>42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16.5" customHeight="1">
      <c r="A11" s="1" t="s">
        <v>46</v>
      </c>
      <c r="B11" s="6">
        <v>46148.0</v>
      </c>
      <c r="C11" s="1" t="s">
        <v>19</v>
      </c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16.5" customHeight="1">
      <c r="A12" s="1" t="s">
        <v>50</v>
      </c>
      <c r="B12" s="6">
        <v>46223.0</v>
      </c>
      <c r="C12" s="1" t="s">
        <v>15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16.5" customHeight="1">
      <c r="A13" s="1" t="s">
        <v>55</v>
      </c>
      <c r="B13" s="6">
        <v>46245.0</v>
      </c>
      <c r="C13" s="1" t="s">
        <v>42</v>
      </c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16.5" customHeight="1">
      <c r="A14" s="1" t="s">
        <v>61</v>
      </c>
      <c r="B14" s="6">
        <v>46286.0</v>
      </c>
      <c r="C14" s="1" t="s">
        <v>15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ht="16.5" customHeight="1">
      <c r="A15" s="1" t="s">
        <v>66</v>
      </c>
      <c r="B15" s="6">
        <v>46287.0</v>
      </c>
      <c r="C15" s="1" t="s">
        <v>42</v>
      </c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16.5" customHeight="1">
      <c r="A16" s="1" t="s">
        <v>70</v>
      </c>
      <c r="B16" s="6">
        <v>46288.0</v>
      </c>
      <c r="C16" s="1" t="s">
        <v>19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16.5" customHeight="1">
      <c r="A17" s="1" t="s">
        <v>79</v>
      </c>
      <c r="B17" s="6">
        <v>46307.0</v>
      </c>
      <c r="C17" s="1" t="s">
        <v>15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16.5" customHeight="1">
      <c r="A18" s="1" t="s">
        <v>86</v>
      </c>
      <c r="B18" s="6">
        <v>46329.0</v>
      </c>
      <c r="C18" s="1" t="s">
        <v>42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16.5" customHeight="1">
      <c r="A19" s="3" t="s">
        <v>90</v>
      </c>
      <c r="B19" s="29">
        <v>46349.0</v>
      </c>
      <c r="C19" s="3" t="s">
        <v>15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16.5" customHeight="1">
      <c r="A20" s="3" t="s">
        <v>93</v>
      </c>
      <c r="B20" s="29">
        <v>46244.0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6.5" customHeight="1">
      <c r="A21" s="3" t="s">
        <v>93</v>
      </c>
      <c r="B21" s="29">
        <v>46246.0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6.5" customHeight="1">
      <c r="A22" s="3" t="s">
        <v>93</v>
      </c>
      <c r="B22" s="29">
        <v>46247.0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6.5" customHeight="1">
      <c r="A23" s="3" t="s">
        <v>93</v>
      </c>
      <c r="B23" s="29">
        <v>46248.0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6.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6.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6.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6.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6.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6.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6.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6.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6.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6.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6.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6.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6.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6.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6.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6.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6.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6.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6.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6.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6.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6.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6.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6.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6.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6.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6.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6.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6.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6.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6.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6.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6.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6.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6.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6.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6.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6.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6.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6.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6.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6.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6.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6.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6.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6.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6.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6.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6.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6.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6.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6.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6.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6.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6.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6.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6.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6.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6.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6.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6.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6.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6.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6.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6.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6.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6.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6.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6.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6.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6.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6.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6.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6.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6.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6.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6.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6.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6.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6.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6.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6.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6.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6.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6.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6.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6.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6.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6.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6.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6.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6.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6.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6.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6.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6.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6.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6.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6.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6.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6.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6.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6.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6.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6.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6.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6.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6.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6.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6.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6.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6.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6.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6.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6.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6.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6.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6.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6.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6.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6.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6.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6.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6.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6.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6.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6.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6.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6.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6.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6.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6.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6.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6.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6.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6.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6.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6.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6.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6.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6.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6.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6.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6.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6.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6.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6.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6.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6.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6.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6.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6.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6.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6.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6.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6.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6.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6.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6.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6.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6.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6.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6.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6.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6.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6.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6.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6.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6.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6.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6.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6.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6.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6.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6.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6.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6.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6.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6.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6.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6.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6.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6.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6.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6.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6.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6.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6.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6.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6.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6.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6.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6.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6.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6.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6.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6.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6.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6.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6.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6.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6.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6.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6.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6.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6.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6.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6.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6.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6.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6.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6.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6.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6.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6.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6.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6.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6.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6.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6.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6.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6.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6.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6.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6.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6.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6.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6.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6.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6.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6.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6.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6.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6.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6.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6.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6.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6.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6.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6.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6.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6.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6.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6.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6.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6.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6.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6.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6.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6.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6.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6.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6.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6.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6.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6.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6.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6.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6.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6.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6.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6.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6.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6.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6.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6.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6.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6.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6.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6.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6.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6.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6.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6.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6.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6.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6.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6.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6.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6.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6.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6.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6.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6.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6.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6.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6.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6.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6.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6.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6.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6.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6.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6.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6.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6.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6.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6.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6.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6.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6.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6.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6.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6.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6.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6.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6.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6.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6.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6.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6.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6.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6.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6.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6.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6.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6.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6.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6.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6.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6.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6.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6.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6.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6.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6.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6.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6.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6.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6.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6.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6.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6.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6.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6.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6.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6.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6.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6.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6.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6.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6.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6.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6.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6.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6.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6.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6.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6.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6.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6.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6.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6.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6.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6.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6.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6.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6.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6.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6.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6.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6.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6.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6.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6.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6.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6.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6.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6.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6.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6.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6.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6.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6.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6.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6.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6.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6.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6.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6.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6.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6.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6.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6.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6.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6.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6.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6.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6.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6.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6.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6.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6.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6.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6.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6.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6.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6.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6.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6.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6.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6.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6.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6.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6.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6.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6.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6.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6.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6.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6.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6.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6.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6.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6.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6.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6.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6.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6.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6.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6.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6.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6.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6.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6.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6.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6.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6.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6.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6.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6.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6.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6.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6.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6.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6.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6.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6.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6.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6.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6.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6.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6.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6.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6.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6.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6.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6.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6.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6.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6.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6.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6.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6.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6.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6.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6.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6.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6.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6.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6.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6.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6.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6.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6.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6.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6.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6.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6.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6.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6.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6.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6.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6.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6.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6.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6.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6.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6.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6.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6.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6.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6.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6.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6.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6.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6.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6.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6.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6.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6.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6.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6.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6.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6.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6.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6.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6.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6.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6.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6.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6.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6.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6.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6.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6.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6.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6.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6.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6.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6.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6.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6.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6.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6.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6.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6.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6.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6.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6.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6.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6.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6.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6.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6.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6.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6.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6.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6.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6.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6.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6.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6.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6.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6.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6.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6.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6.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6.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6.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6.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6.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6.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6.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6.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6.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6.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6.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6.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6.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6.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6.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6.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6.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6.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6.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6.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6.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6.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6.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6.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6.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6.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6.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6.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6.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6.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6.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6.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6.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6.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6.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6.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6.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6.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6.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6.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6.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6.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6.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6.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6.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6.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6.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6.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6.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6.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6.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6.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6.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6.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6.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6.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6.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6.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6.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6.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6.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6.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6.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6.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6.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6.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6.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6.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6.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6.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6.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6.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6.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6.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6.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6.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6.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6.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6.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6.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6.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6.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6.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6.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6.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6.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6.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6.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6.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6.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6.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6.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6.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6.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6.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6.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6.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6.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6.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6.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6.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6.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6.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6.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6.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6.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6.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6.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6.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6.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6.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6.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6.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6.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6.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6.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6.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6.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6.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6.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6.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6.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6.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6.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6.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6.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6.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6.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6.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6.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6.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6.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6.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6.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6.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6.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6.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6.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6.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6.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6.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6.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6.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6.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6.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6.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6.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6.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6.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6.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6.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6.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6.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6.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6.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6.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6.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6.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6.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6.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6.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6.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6.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6.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6.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6.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6.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6.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6.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6.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6.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6.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6.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6.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6.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6.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6.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6.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6.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6.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6.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6.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6.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6.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6.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6.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6.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6.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6.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6.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6.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6.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6.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6.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6.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6.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6.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6.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6.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6.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6.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6.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6.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6.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6.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6.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6.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6.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6.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6.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6.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6.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6.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6.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6.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6.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6.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6.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6.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6.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6.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6.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6.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6.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6.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6.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6.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6.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6.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6.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6.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6.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6.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6.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6.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6.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6.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6.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6.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6.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6.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6.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6.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6.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6.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6.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6.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6.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6.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6.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6.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6.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6.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6.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6.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6.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6.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6.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6.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6.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6.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6.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6.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6.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6.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6.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6.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6.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6.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6.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6.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6.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6.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6.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6.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6.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6.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6.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6.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6.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6.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6.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6.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6.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6.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6.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6.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6.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6.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6.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6.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6.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6.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6.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6.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6.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6.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6.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6.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6.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6.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6.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6.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6.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6.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6.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6.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6.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6.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6.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6.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6.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6.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6.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6.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6.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6.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6.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6.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6.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6.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6.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6.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6.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6.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6.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6.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6.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6.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6.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6.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6.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6.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6.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6.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6.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6.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6.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6.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6.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6.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6.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6.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6.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6.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6.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6.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6.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6.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6.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6.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6.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6.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6.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6.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6.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6.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6.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6.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6.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6.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6.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6.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6.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6.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6.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6.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6.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6.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6.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6.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6.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6.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6.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6.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6.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6.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6.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6.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6.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6.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6.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6.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6.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6.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6.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6.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6.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6.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6.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6.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6.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6.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6.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6.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6.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6.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6.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6.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6.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6.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6.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6.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6.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6.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6.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6.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6.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6.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6.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6.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6.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6.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6.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6.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6.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6.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6.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6.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6.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6.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6.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6.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6.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6.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6.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6.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6.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6.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6.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6.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6.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6.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6.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6.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6.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6.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6.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6.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6.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1.0"/>
    <col customWidth="1" min="2" max="3" width="24.0"/>
    <col customWidth="1" min="4" max="4" width="38.0"/>
    <col customWidth="1" min="5" max="5" width="15.0"/>
    <col customWidth="1" min="6" max="7" width="44.0"/>
    <col customWidth="1" min="8" max="9" width="15.0"/>
    <col customWidth="1" min="10" max="10" width="19.0"/>
    <col customWidth="1" min="11" max="12" width="13.0"/>
    <col customWidth="1" min="13" max="13" width="16.0"/>
    <col customWidth="1" min="14" max="14" width="32.0"/>
    <col customWidth="1" min="15" max="15" width="9.0"/>
    <col customWidth="1" min="16" max="16" width="23.0"/>
    <col customWidth="1" min="17" max="17" width="16.0"/>
    <col customWidth="1" min="18" max="18" width="48.0"/>
    <col customWidth="1" min="19" max="26" width="8.71"/>
  </cols>
  <sheetData>
    <row r="1" ht="30.0" customHeight="1">
      <c r="A1" s="203" t="s">
        <v>208</v>
      </c>
    </row>
    <row r="2" ht="45.75" customHeight="1">
      <c r="A2" s="204" t="s">
        <v>209</v>
      </c>
      <c r="P2" s="19"/>
      <c r="Q2" s="19"/>
      <c r="R2" s="19"/>
    </row>
    <row r="3" ht="24.0" customHeight="1">
      <c r="A3" s="205" t="s">
        <v>210</v>
      </c>
      <c r="C3" s="206" t="s">
        <v>211</v>
      </c>
      <c r="E3" s="207" t="s">
        <v>212</v>
      </c>
      <c r="G3" s="208" t="s">
        <v>213</v>
      </c>
      <c r="I3" s="208" t="s">
        <v>214</v>
      </c>
      <c r="K3" s="209" t="s">
        <v>215</v>
      </c>
    </row>
    <row r="4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5" ht="27.75" customHeight="1">
      <c r="A5" s="210" t="s">
        <v>216</v>
      </c>
      <c r="B5" s="210" t="s">
        <v>73</v>
      </c>
      <c r="C5" s="210" t="s">
        <v>76</v>
      </c>
      <c r="D5" s="210" t="s">
        <v>77</v>
      </c>
      <c r="E5" s="210" t="s">
        <v>217</v>
      </c>
      <c r="F5" s="210" t="s">
        <v>218</v>
      </c>
      <c r="G5" s="210" t="s">
        <v>219</v>
      </c>
      <c r="H5" s="210" t="s">
        <v>105</v>
      </c>
      <c r="I5" s="210" t="s">
        <v>106</v>
      </c>
      <c r="J5" s="210" t="s">
        <v>220</v>
      </c>
      <c r="K5" s="210" t="s">
        <v>108</v>
      </c>
      <c r="L5" s="210" t="s">
        <v>109</v>
      </c>
      <c r="M5" s="210" t="s">
        <v>221</v>
      </c>
      <c r="N5" s="210" t="s">
        <v>222</v>
      </c>
      <c r="O5" s="210" t="s">
        <v>223</v>
      </c>
      <c r="P5" s="211" t="s">
        <v>224</v>
      </c>
      <c r="Q5" s="211" t="s">
        <v>225</v>
      </c>
      <c r="R5" s="211" t="s">
        <v>226</v>
      </c>
    </row>
    <row r="6" ht="42.0" customHeight="1">
      <c r="A6" s="212" t="s">
        <v>227</v>
      </c>
      <c r="B6" s="213" t="s">
        <v>163</v>
      </c>
      <c r="C6" s="213" t="s">
        <v>164</v>
      </c>
      <c r="D6" s="213" t="s">
        <v>165</v>
      </c>
      <c r="E6" s="212" t="s">
        <v>210</v>
      </c>
      <c r="F6" s="214" t="s">
        <v>228</v>
      </c>
      <c r="G6" s="214" t="s">
        <v>229</v>
      </c>
      <c r="H6" s="212"/>
      <c r="I6" s="212"/>
      <c r="J6" s="212" t="s">
        <v>230</v>
      </c>
      <c r="K6" s="215">
        <v>46237.0</v>
      </c>
      <c r="L6" s="215">
        <v>46248.0</v>
      </c>
      <c r="M6" s="213" t="s">
        <v>231</v>
      </c>
      <c r="N6" s="213" t="s">
        <v>232</v>
      </c>
      <c r="O6" s="212">
        <v>5.0</v>
      </c>
      <c r="P6" s="216" t="s">
        <v>233</v>
      </c>
      <c r="Q6" s="216" t="s">
        <v>234</v>
      </c>
      <c r="R6" s="216" t="s">
        <v>235</v>
      </c>
    </row>
    <row r="7" ht="42.0" customHeight="1">
      <c r="A7" s="212" t="s">
        <v>236</v>
      </c>
      <c r="B7" s="213" t="s">
        <v>163</v>
      </c>
      <c r="C7" s="213" t="s">
        <v>164</v>
      </c>
      <c r="D7" s="213" t="s">
        <v>173</v>
      </c>
      <c r="E7" s="212" t="s">
        <v>210</v>
      </c>
      <c r="F7" s="214" t="s">
        <v>237</v>
      </c>
      <c r="G7" s="214" t="s">
        <v>238</v>
      </c>
      <c r="H7" s="212"/>
      <c r="I7" s="212"/>
      <c r="J7" s="212" t="s">
        <v>230</v>
      </c>
      <c r="K7" s="215">
        <v>46237.0</v>
      </c>
      <c r="L7" s="215">
        <v>46246.0</v>
      </c>
      <c r="M7" s="213" t="s">
        <v>231</v>
      </c>
      <c r="N7" s="213" t="s">
        <v>239</v>
      </c>
      <c r="O7" s="212">
        <v>6.0</v>
      </c>
      <c r="P7" s="216" t="s">
        <v>233</v>
      </c>
      <c r="Q7" s="216" t="s">
        <v>234</v>
      </c>
      <c r="R7" s="216" t="s">
        <v>235</v>
      </c>
    </row>
    <row r="8" ht="42.0" customHeight="1">
      <c r="A8" s="212" t="s">
        <v>240</v>
      </c>
      <c r="B8" s="213" t="s">
        <v>163</v>
      </c>
      <c r="C8" s="213" t="s">
        <v>164</v>
      </c>
      <c r="D8" s="213" t="s">
        <v>182</v>
      </c>
      <c r="E8" s="212" t="s">
        <v>210</v>
      </c>
      <c r="F8" s="214" t="s">
        <v>241</v>
      </c>
      <c r="G8" s="214" t="s">
        <v>243</v>
      </c>
      <c r="H8" s="212"/>
      <c r="I8" s="212"/>
      <c r="J8" s="212" t="s">
        <v>230</v>
      </c>
      <c r="K8" s="215">
        <v>46237.0</v>
      </c>
      <c r="L8" s="215">
        <v>46248.0</v>
      </c>
      <c r="M8" s="213" t="s">
        <v>244</v>
      </c>
      <c r="N8" s="213" t="s">
        <v>245</v>
      </c>
      <c r="O8" s="212">
        <v>7.0</v>
      </c>
      <c r="P8" s="216" t="s">
        <v>233</v>
      </c>
      <c r="Q8" s="216" t="s">
        <v>234</v>
      </c>
      <c r="R8" s="216" t="s">
        <v>235</v>
      </c>
    </row>
    <row r="9" ht="42.0" customHeight="1">
      <c r="A9" s="212" t="s">
        <v>246</v>
      </c>
      <c r="B9" s="213" t="s">
        <v>163</v>
      </c>
      <c r="C9" s="213" t="s">
        <v>164</v>
      </c>
      <c r="D9" s="213" t="s">
        <v>191</v>
      </c>
      <c r="E9" s="212" t="s">
        <v>210</v>
      </c>
      <c r="F9" s="214" t="s">
        <v>247</v>
      </c>
      <c r="G9" s="214" t="s">
        <v>248</v>
      </c>
      <c r="H9" s="212"/>
      <c r="I9" s="212"/>
      <c r="J9" s="212" t="s">
        <v>249</v>
      </c>
      <c r="K9" s="215">
        <v>46237.0</v>
      </c>
      <c r="L9" s="215">
        <v>46241.0</v>
      </c>
      <c r="M9" s="213" t="s">
        <v>244</v>
      </c>
      <c r="N9" s="213" t="s">
        <v>250</v>
      </c>
      <c r="O9" s="212">
        <v>8.0</v>
      </c>
      <c r="P9" s="216" t="s">
        <v>233</v>
      </c>
      <c r="Q9" s="216" t="s">
        <v>234</v>
      </c>
      <c r="R9" s="216" t="s">
        <v>235</v>
      </c>
    </row>
    <row r="10" ht="42.0" customHeight="1">
      <c r="A10" s="212" t="s">
        <v>251</v>
      </c>
      <c r="B10" s="213" t="s">
        <v>163</v>
      </c>
      <c r="C10" s="213" t="s">
        <v>164</v>
      </c>
      <c r="D10" s="213" t="s">
        <v>195</v>
      </c>
      <c r="E10" s="212" t="s">
        <v>210</v>
      </c>
      <c r="F10" s="214" t="s">
        <v>252</v>
      </c>
      <c r="G10" s="214" t="s">
        <v>253</v>
      </c>
      <c r="H10" s="212"/>
      <c r="I10" s="212"/>
      <c r="J10" s="212" t="s">
        <v>254</v>
      </c>
      <c r="K10" s="215">
        <v>46237.0</v>
      </c>
      <c r="L10" s="215">
        <v>46246.0</v>
      </c>
      <c r="M10" s="213" t="s">
        <v>255</v>
      </c>
      <c r="N10" s="213" t="s">
        <v>256</v>
      </c>
      <c r="O10" s="212">
        <v>9.0</v>
      </c>
      <c r="P10" s="216" t="s">
        <v>233</v>
      </c>
      <c r="Q10" s="216" t="s">
        <v>234</v>
      </c>
      <c r="R10" s="216" t="s">
        <v>235</v>
      </c>
    </row>
    <row r="11" ht="42.0" customHeight="1">
      <c r="A11" s="212" t="s">
        <v>257</v>
      </c>
      <c r="B11" s="213" t="s">
        <v>163</v>
      </c>
      <c r="C11" s="213" t="s">
        <v>164</v>
      </c>
      <c r="D11" s="213" t="s">
        <v>196</v>
      </c>
      <c r="E11" s="212" t="s">
        <v>214</v>
      </c>
      <c r="F11" s="214" t="s">
        <v>258</v>
      </c>
      <c r="G11" s="214" t="s">
        <v>259</v>
      </c>
      <c r="H11" s="212"/>
      <c r="I11" s="212"/>
      <c r="J11" s="212" t="s">
        <v>260</v>
      </c>
      <c r="K11" s="215">
        <v>46248.0</v>
      </c>
      <c r="L11" s="215">
        <v>46248.0</v>
      </c>
      <c r="M11" s="213" t="s">
        <v>244</v>
      </c>
      <c r="N11" s="213" t="s">
        <v>261</v>
      </c>
      <c r="O11" s="212">
        <v>10.0</v>
      </c>
      <c r="P11" s="216" t="s">
        <v>233</v>
      </c>
      <c r="Q11" s="216" t="s">
        <v>234</v>
      </c>
      <c r="R11" s="216" t="s">
        <v>235</v>
      </c>
    </row>
    <row r="12" ht="42.0" customHeight="1">
      <c r="A12" s="212" t="s">
        <v>262</v>
      </c>
      <c r="B12" s="213" t="s">
        <v>163</v>
      </c>
      <c r="C12" s="213" t="s">
        <v>125</v>
      </c>
      <c r="D12" s="213" t="s">
        <v>197</v>
      </c>
      <c r="E12" s="212" t="s">
        <v>263</v>
      </c>
      <c r="F12" s="214" t="s">
        <v>264</v>
      </c>
      <c r="G12" s="214" t="s">
        <v>265</v>
      </c>
      <c r="H12" s="212"/>
      <c r="I12" s="212"/>
      <c r="J12" s="212" t="s">
        <v>260</v>
      </c>
      <c r="K12" s="215">
        <v>46237.0</v>
      </c>
      <c r="L12" s="215">
        <v>46283.0</v>
      </c>
      <c r="M12" s="213" t="s">
        <v>244</v>
      </c>
      <c r="N12" s="213" t="s">
        <v>266</v>
      </c>
      <c r="O12" s="212">
        <v>11.0</v>
      </c>
      <c r="P12" s="216" t="s">
        <v>233</v>
      </c>
      <c r="Q12" s="216" t="s">
        <v>267</v>
      </c>
      <c r="R12" s="216" t="s">
        <v>268</v>
      </c>
    </row>
    <row r="13" ht="42.0" customHeight="1">
      <c r="A13" s="212" t="s">
        <v>269</v>
      </c>
      <c r="B13" s="213" t="s">
        <v>163</v>
      </c>
      <c r="C13" s="213" t="s">
        <v>125</v>
      </c>
      <c r="D13" s="213" t="s">
        <v>198</v>
      </c>
      <c r="E13" s="212" t="s">
        <v>263</v>
      </c>
      <c r="F13" s="214" t="s">
        <v>270</v>
      </c>
      <c r="G13" s="214" t="s">
        <v>271</v>
      </c>
      <c r="H13" s="212"/>
      <c r="I13" s="212"/>
      <c r="J13" s="212" t="s">
        <v>260</v>
      </c>
      <c r="K13" s="215">
        <v>46237.0</v>
      </c>
      <c r="L13" s="215">
        <v>46283.0</v>
      </c>
      <c r="M13" s="213" t="s">
        <v>244</v>
      </c>
      <c r="N13" s="213" t="s">
        <v>266</v>
      </c>
      <c r="O13" s="212">
        <v>12.0</v>
      </c>
      <c r="P13" s="216" t="s">
        <v>233</v>
      </c>
      <c r="Q13" s="216" t="s">
        <v>267</v>
      </c>
      <c r="R13" s="216" t="s">
        <v>268</v>
      </c>
    </row>
    <row r="14" ht="42.0" customHeight="1">
      <c r="A14" s="212" t="s">
        <v>272</v>
      </c>
      <c r="B14" s="213" t="s">
        <v>163</v>
      </c>
      <c r="C14" s="213" t="s">
        <v>125</v>
      </c>
      <c r="D14" s="213" t="s">
        <v>199</v>
      </c>
      <c r="E14" s="212" t="s">
        <v>263</v>
      </c>
      <c r="F14" s="214" t="s">
        <v>273</v>
      </c>
      <c r="G14" s="214" t="s">
        <v>274</v>
      </c>
      <c r="H14" s="212"/>
      <c r="I14" s="212"/>
      <c r="J14" s="212" t="s">
        <v>260</v>
      </c>
      <c r="K14" s="215">
        <v>46237.0</v>
      </c>
      <c r="L14" s="215">
        <v>46283.0</v>
      </c>
      <c r="M14" s="213" t="s">
        <v>231</v>
      </c>
      <c r="N14" s="213" t="s">
        <v>275</v>
      </c>
      <c r="O14" s="212">
        <v>13.0</v>
      </c>
      <c r="P14" s="216" t="s">
        <v>233</v>
      </c>
      <c r="Q14" s="216" t="s">
        <v>267</v>
      </c>
      <c r="R14" s="216" t="s">
        <v>268</v>
      </c>
    </row>
    <row r="15" ht="42.0" customHeight="1">
      <c r="A15" s="212" t="s">
        <v>276</v>
      </c>
      <c r="B15" s="213" t="s">
        <v>163</v>
      </c>
      <c r="C15" s="213" t="s">
        <v>125</v>
      </c>
      <c r="D15" s="213" t="s">
        <v>200</v>
      </c>
      <c r="E15" s="212" t="s">
        <v>263</v>
      </c>
      <c r="F15" s="214" t="s">
        <v>277</v>
      </c>
      <c r="G15" s="214" t="s">
        <v>278</v>
      </c>
      <c r="H15" s="212"/>
      <c r="I15" s="212"/>
      <c r="J15" s="212" t="s">
        <v>260</v>
      </c>
      <c r="K15" s="215">
        <v>46244.0</v>
      </c>
      <c r="L15" s="215">
        <v>46281.0</v>
      </c>
      <c r="M15" s="213" t="s">
        <v>244</v>
      </c>
      <c r="N15" s="213" t="s">
        <v>266</v>
      </c>
      <c r="O15" s="212">
        <v>14.0</v>
      </c>
      <c r="P15" s="216" t="s">
        <v>233</v>
      </c>
      <c r="Q15" s="216" t="s">
        <v>267</v>
      </c>
      <c r="R15" s="216" t="s">
        <v>268</v>
      </c>
    </row>
    <row r="16" ht="42.0" customHeight="1">
      <c r="A16" s="212" t="s">
        <v>279</v>
      </c>
      <c r="B16" s="213" t="s">
        <v>163</v>
      </c>
      <c r="C16" s="213" t="s">
        <v>125</v>
      </c>
      <c r="D16" s="213" t="s">
        <v>201</v>
      </c>
      <c r="E16" s="212" t="s">
        <v>263</v>
      </c>
      <c r="F16" s="214" t="s">
        <v>280</v>
      </c>
      <c r="G16" s="214" t="s">
        <v>281</v>
      </c>
      <c r="H16" s="212"/>
      <c r="I16" s="212"/>
      <c r="J16" s="212" t="s">
        <v>260</v>
      </c>
      <c r="K16" s="215">
        <v>46265.0</v>
      </c>
      <c r="L16" s="215">
        <v>46283.0</v>
      </c>
      <c r="M16" s="213" t="s">
        <v>244</v>
      </c>
      <c r="N16" s="213" t="s">
        <v>282</v>
      </c>
      <c r="O16" s="212">
        <v>15.0</v>
      </c>
      <c r="P16" s="216" t="s">
        <v>233</v>
      </c>
      <c r="Q16" s="216" t="s">
        <v>283</v>
      </c>
      <c r="R16" s="216" t="s">
        <v>268</v>
      </c>
    </row>
    <row r="17" ht="42.0" customHeight="1">
      <c r="A17" s="212" t="s">
        <v>284</v>
      </c>
      <c r="B17" s="213" t="s">
        <v>163</v>
      </c>
      <c r="C17" s="213" t="s">
        <v>125</v>
      </c>
      <c r="D17" s="213" t="s">
        <v>202</v>
      </c>
      <c r="E17" s="212" t="s">
        <v>263</v>
      </c>
      <c r="F17" s="214" t="s">
        <v>285</v>
      </c>
      <c r="G17" s="214" t="s">
        <v>286</v>
      </c>
      <c r="H17" s="212"/>
      <c r="I17" s="212"/>
      <c r="J17" s="212" t="s">
        <v>260</v>
      </c>
      <c r="K17" s="215"/>
      <c r="L17" s="215"/>
      <c r="M17" s="213" t="s">
        <v>287</v>
      </c>
      <c r="N17" s="213" t="s">
        <v>266</v>
      </c>
      <c r="O17" s="212">
        <v>16.0</v>
      </c>
      <c r="P17" s="217" t="s">
        <v>288</v>
      </c>
      <c r="Q17" s="217" t="s">
        <v>267</v>
      </c>
      <c r="R17" s="217" t="s">
        <v>289</v>
      </c>
    </row>
    <row r="18" ht="42.0" customHeight="1">
      <c r="A18" s="212" t="s">
        <v>290</v>
      </c>
      <c r="B18" s="213" t="s">
        <v>163</v>
      </c>
      <c r="C18" s="213" t="s">
        <v>203</v>
      </c>
      <c r="D18" s="213" t="s">
        <v>204</v>
      </c>
      <c r="E18" s="212" t="s">
        <v>263</v>
      </c>
      <c r="F18" s="214" t="s">
        <v>291</v>
      </c>
      <c r="G18" s="214" t="s">
        <v>292</v>
      </c>
      <c r="H18" s="212"/>
      <c r="I18" s="212"/>
      <c r="J18" s="212" t="s">
        <v>249</v>
      </c>
      <c r="K18" s="215">
        <v>46237.0</v>
      </c>
      <c r="L18" s="215">
        <v>46246.0</v>
      </c>
      <c r="M18" s="213" t="s">
        <v>293</v>
      </c>
      <c r="N18" s="213"/>
      <c r="O18" s="212">
        <v>17.0</v>
      </c>
      <c r="P18" s="216" t="s">
        <v>233</v>
      </c>
      <c r="Q18" s="216" t="s">
        <v>267</v>
      </c>
      <c r="R18" s="216" t="s">
        <v>294</v>
      </c>
    </row>
    <row r="19" ht="42.0" customHeight="1">
      <c r="A19" s="212" t="s">
        <v>295</v>
      </c>
      <c r="B19" s="213" t="s">
        <v>163</v>
      </c>
      <c r="C19" s="213" t="s">
        <v>203</v>
      </c>
      <c r="D19" s="213" t="s">
        <v>205</v>
      </c>
      <c r="E19" s="212" t="s">
        <v>263</v>
      </c>
      <c r="F19" s="214" t="s">
        <v>296</v>
      </c>
      <c r="G19" s="214" t="s">
        <v>297</v>
      </c>
      <c r="H19" s="212"/>
      <c r="I19" s="212"/>
      <c r="J19" s="212" t="s">
        <v>249</v>
      </c>
      <c r="K19" s="215">
        <v>46237.0</v>
      </c>
      <c r="L19" s="215">
        <v>46246.0</v>
      </c>
      <c r="M19" s="213" t="s">
        <v>287</v>
      </c>
      <c r="N19" s="213"/>
      <c r="O19" s="212">
        <v>18.0</v>
      </c>
      <c r="P19" s="216" t="s">
        <v>233</v>
      </c>
      <c r="Q19" s="216" t="s">
        <v>267</v>
      </c>
      <c r="R19" s="216" t="s">
        <v>294</v>
      </c>
    </row>
    <row r="20" ht="42.0" customHeight="1">
      <c r="A20" s="212" t="s">
        <v>298</v>
      </c>
      <c r="B20" s="213" t="s">
        <v>163</v>
      </c>
      <c r="C20" s="213" t="s">
        <v>203</v>
      </c>
      <c r="D20" s="213" t="s">
        <v>206</v>
      </c>
      <c r="E20" s="212" t="s">
        <v>263</v>
      </c>
      <c r="F20" s="214" t="s">
        <v>299</v>
      </c>
      <c r="G20" s="214" t="s">
        <v>300</v>
      </c>
      <c r="H20" s="212"/>
      <c r="I20" s="212"/>
      <c r="J20" s="212" t="s">
        <v>249</v>
      </c>
      <c r="K20" s="215">
        <v>46237.0</v>
      </c>
      <c r="L20" s="215">
        <v>46246.0</v>
      </c>
      <c r="M20" s="213" t="s">
        <v>287</v>
      </c>
      <c r="N20" s="213"/>
      <c r="O20" s="212">
        <v>19.0</v>
      </c>
      <c r="P20" s="216" t="s">
        <v>233</v>
      </c>
      <c r="Q20" s="216" t="s">
        <v>267</v>
      </c>
      <c r="R20" s="216" t="s">
        <v>294</v>
      </c>
    </row>
    <row r="21" ht="42.0" customHeight="1">
      <c r="A21" s="212" t="s">
        <v>301</v>
      </c>
      <c r="B21" s="213" t="s">
        <v>163</v>
      </c>
      <c r="C21" s="213" t="s">
        <v>203</v>
      </c>
      <c r="D21" s="213" t="s">
        <v>207</v>
      </c>
      <c r="E21" s="212" t="s">
        <v>263</v>
      </c>
      <c r="F21" s="214" t="s">
        <v>302</v>
      </c>
      <c r="G21" s="214" t="s">
        <v>303</v>
      </c>
      <c r="H21" s="212"/>
      <c r="I21" s="212"/>
      <c r="J21" s="212" t="s">
        <v>249</v>
      </c>
      <c r="K21" s="215"/>
      <c r="L21" s="215"/>
      <c r="M21" s="213" t="s">
        <v>255</v>
      </c>
      <c r="N21" s="213"/>
      <c r="O21" s="212">
        <v>20.0</v>
      </c>
      <c r="P21" s="217" t="s">
        <v>288</v>
      </c>
      <c r="Q21" s="217" t="s">
        <v>267</v>
      </c>
      <c r="R21" s="217" t="s">
        <v>289</v>
      </c>
    </row>
    <row r="22" ht="42.0" customHeight="1">
      <c r="A22" s="212" t="s">
        <v>304</v>
      </c>
      <c r="B22" s="213" t="s">
        <v>163</v>
      </c>
      <c r="C22" s="213" t="s">
        <v>203</v>
      </c>
      <c r="D22" s="213" t="s">
        <v>242</v>
      </c>
      <c r="E22" s="212" t="s">
        <v>263</v>
      </c>
      <c r="F22" s="214" t="s">
        <v>305</v>
      </c>
      <c r="G22" s="214" t="s">
        <v>306</v>
      </c>
      <c r="H22" s="212"/>
      <c r="I22" s="212"/>
      <c r="J22" s="212" t="s">
        <v>249</v>
      </c>
      <c r="K22" s="215"/>
      <c r="L22" s="215"/>
      <c r="M22" s="213" t="s">
        <v>231</v>
      </c>
      <c r="N22" s="213" t="s">
        <v>309</v>
      </c>
      <c r="O22" s="212">
        <v>21.0</v>
      </c>
      <c r="P22" s="217" t="s">
        <v>288</v>
      </c>
      <c r="Q22" s="217" t="s">
        <v>267</v>
      </c>
      <c r="R22" s="217" t="s">
        <v>310</v>
      </c>
    </row>
    <row r="23" ht="42.0" customHeight="1">
      <c r="A23" s="212" t="s">
        <v>311</v>
      </c>
      <c r="B23" s="213" t="s">
        <v>163</v>
      </c>
      <c r="C23" s="213" t="s">
        <v>307</v>
      </c>
      <c r="D23" s="213" t="s">
        <v>308</v>
      </c>
      <c r="E23" s="212" t="s">
        <v>263</v>
      </c>
      <c r="F23" s="214" t="s">
        <v>312</v>
      </c>
      <c r="G23" s="214" t="s">
        <v>313</v>
      </c>
      <c r="H23" s="212"/>
      <c r="I23" s="212"/>
      <c r="J23" s="212" t="s">
        <v>249</v>
      </c>
      <c r="K23" s="215">
        <v>46237.0</v>
      </c>
      <c r="L23" s="215">
        <v>46246.0</v>
      </c>
      <c r="M23" s="213" t="s">
        <v>244</v>
      </c>
      <c r="N23" s="213" t="s">
        <v>314</v>
      </c>
      <c r="O23" s="212">
        <v>22.0</v>
      </c>
      <c r="P23" s="216" t="s">
        <v>233</v>
      </c>
      <c r="Q23" s="216" t="s">
        <v>267</v>
      </c>
      <c r="R23" s="216" t="s">
        <v>294</v>
      </c>
    </row>
    <row r="24" ht="42.0" customHeight="1">
      <c r="A24" s="212" t="s">
        <v>315</v>
      </c>
      <c r="B24" s="213" t="s">
        <v>163</v>
      </c>
      <c r="C24" s="213" t="s">
        <v>307</v>
      </c>
      <c r="D24" s="213" t="s">
        <v>316</v>
      </c>
      <c r="E24" s="212" t="s">
        <v>263</v>
      </c>
      <c r="F24" s="214" t="s">
        <v>317</v>
      </c>
      <c r="G24" s="214" t="s">
        <v>318</v>
      </c>
      <c r="H24" s="212"/>
      <c r="I24" s="212"/>
      <c r="J24" s="212" t="s">
        <v>249</v>
      </c>
      <c r="K24" s="215">
        <v>46237.0</v>
      </c>
      <c r="L24" s="215">
        <v>46246.0</v>
      </c>
      <c r="M24" s="213" t="s">
        <v>287</v>
      </c>
      <c r="N24" s="213"/>
      <c r="O24" s="212">
        <v>23.0</v>
      </c>
      <c r="P24" s="216" t="s">
        <v>233</v>
      </c>
      <c r="Q24" s="216" t="s">
        <v>267</v>
      </c>
      <c r="R24" s="216" t="s">
        <v>294</v>
      </c>
    </row>
    <row r="25" ht="42.0" customHeight="1">
      <c r="A25" s="212" t="s">
        <v>319</v>
      </c>
      <c r="B25" s="213" t="s">
        <v>163</v>
      </c>
      <c r="C25" s="213" t="s">
        <v>307</v>
      </c>
      <c r="D25" s="213" t="s">
        <v>320</v>
      </c>
      <c r="E25" s="212" t="s">
        <v>263</v>
      </c>
      <c r="F25" s="214" t="s">
        <v>321</v>
      </c>
      <c r="G25" s="214" t="s">
        <v>322</v>
      </c>
      <c r="H25" s="212"/>
      <c r="I25" s="212"/>
      <c r="J25" s="212" t="s">
        <v>249</v>
      </c>
      <c r="K25" s="215">
        <v>46237.0</v>
      </c>
      <c r="L25" s="215">
        <v>46246.0</v>
      </c>
      <c r="M25" s="213" t="s">
        <v>287</v>
      </c>
      <c r="N25" s="213" t="s">
        <v>323</v>
      </c>
      <c r="O25" s="212">
        <v>24.0</v>
      </c>
      <c r="P25" s="216" t="s">
        <v>233</v>
      </c>
      <c r="Q25" s="216" t="s">
        <v>267</v>
      </c>
      <c r="R25" s="216" t="s">
        <v>294</v>
      </c>
    </row>
    <row r="26" ht="42.0" customHeight="1">
      <c r="A26" s="212" t="s">
        <v>324</v>
      </c>
      <c r="B26" s="213" t="s">
        <v>163</v>
      </c>
      <c r="C26" s="213" t="s">
        <v>307</v>
      </c>
      <c r="D26" s="213" t="s">
        <v>325</v>
      </c>
      <c r="E26" s="212" t="s">
        <v>263</v>
      </c>
      <c r="F26" s="214" t="s">
        <v>326</v>
      </c>
      <c r="G26" s="214" t="s">
        <v>327</v>
      </c>
      <c r="H26" s="212"/>
      <c r="I26" s="212"/>
      <c r="J26" s="212" t="s">
        <v>249</v>
      </c>
      <c r="K26" s="215">
        <v>46237.0</v>
      </c>
      <c r="L26" s="215">
        <v>46246.0</v>
      </c>
      <c r="M26" s="213" t="s">
        <v>287</v>
      </c>
      <c r="N26" s="213" t="s">
        <v>328</v>
      </c>
      <c r="O26" s="212">
        <v>25.0</v>
      </c>
      <c r="P26" s="216" t="s">
        <v>233</v>
      </c>
      <c r="Q26" s="216" t="s">
        <v>267</v>
      </c>
      <c r="R26" s="216" t="s">
        <v>294</v>
      </c>
    </row>
    <row r="27" ht="42.0" customHeight="1">
      <c r="A27" s="212" t="s">
        <v>329</v>
      </c>
      <c r="B27" s="213" t="s">
        <v>163</v>
      </c>
      <c r="C27" s="213" t="s">
        <v>307</v>
      </c>
      <c r="D27" s="213" t="s">
        <v>330</v>
      </c>
      <c r="E27" s="212" t="s">
        <v>263</v>
      </c>
      <c r="F27" s="214" t="s">
        <v>331</v>
      </c>
      <c r="G27" s="214" t="s">
        <v>332</v>
      </c>
      <c r="H27" s="212"/>
      <c r="I27" s="212"/>
      <c r="J27" s="212" t="s">
        <v>249</v>
      </c>
      <c r="K27" s="215">
        <v>46237.0</v>
      </c>
      <c r="L27" s="215">
        <v>46246.0</v>
      </c>
      <c r="M27" s="213" t="s">
        <v>287</v>
      </c>
      <c r="N27" s="213" t="s">
        <v>333</v>
      </c>
      <c r="O27" s="212">
        <v>26.0</v>
      </c>
      <c r="P27" s="216" t="s">
        <v>233</v>
      </c>
      <c r="Q27" s="216" t="s">
        <v>267</v>
      </c>
      <c r="R27" s="216" t="s">
        <v>294</v>
      </c>
    </row>
    <row r="28" ht="42.0" customHeight="1">
      <c r="A28" s="212" t="s">
        <v>334</v>
      </c>
      <c r="B28" s="213" t="s">
        <v>163</v>
      </c>
      <c r="C28" s="213" t="s">
        <v>307</v>
      </c>
      <c r="D28" s="213" t="s">
        <v>335</v>
      </c>
      <c r="E28" s="212" t="s">
        <v>263</v>
      </c>
      <c r="F28" s="214" t="s">
        <v>336</v>
      </c>
      <c r="G28" s="214" t="s">
        <v>337</v>
      </c>
      <c r="H28" s="212"/>
      <c r="I28" s="212"/>
      <c r="J28" s="212" t="s">
        <v>249</v>
      </c>
      <c r="K28" s="215"/>
      <c r="L28" s="215"/>
      <c r="M28" s="213" t="s">
        <v>244</v>
      </c>
      <c r="N28" s="213"/>
      <c r="O28" s="212">
        <v>27.0</v>
      </c>
      <c r="P28" s="217" t="s">
        <v>288</v>
      </c>
      <c r="Q28" s="217" t="s">
        <v>267</v>
      </c>
      <c r="R28" s="217" t="s">
        <v>310</v>
      </c>
    </row>
    <row r="29" ht="42.0" customHeight="1">
      <c r="A29" s="212" t="s">
        <v>338</v>
      </c>
      <c r="B29" s="213" t="s">
        <v>163</v>
      </c>
      <c r="C29" s="213" t="s">
        <v>339</v>
      </c>
      <c r="D29" s="213" t="s">
        <v>340</v>
      </c>
      <c r="E29" s="212" t="s">
        <v>263</v>
      </c>
      <c r="F29" s="214" t="s">
        <v>341</v>
      </c>
      <c r="G29" s="214" t="s">
        <v>342</v>
      </c>
      <c r="H29" s="212"/>
      <c r="I29" s="212"/>
      <c r="J29" s="212" t="s">
        <v>343</v>
      </c>
      <c r="K29" s="215">
        <v>46244.0</v>
      </c>
      <c r="L29" s="215">
        <v>46253.0</v>
      </c>
      <c r="M29" s="213" t="s">
        <v>244</v>
      </c>
      <c r="N29" s="213" t="s">
        <v>344</v>
      </c>
      <c r="O29" s="212">
        <v>28.0</v>
      </c>
      <c r="P29" s="216" t="s">
        <v>233</v>
      </c>
      <c r="Q29" s="216" t="s">
        <v>267</v>
      </c>
      <c r="R29" s="216" t="s">
        <v>268</v>
      </c>
    </row>
    <row r="30" ht="42.0" customHeight="1">
      <c r="A30" s="212" t="s">
        <v>345</v>
      </c>
      <c r="B30" s="213" t="s">
        <v>163</v>
      </c>
      <c r="C30" s="213" t="s">
        <v>339</v>
      </c>
      <c r="D30" s="213" t="s">
        <v>346</v>
      </c>
      <c r="E30" s="212" t="s">
        <v>263</v>
      </c>
      <c r="F30" s="214" t="s">
        <v>347</v>
      </c>
      <c r="G30" s="214" t="s">
        <v>348</v>
      </c>
      <c r="H30" s="212"/>
      <c r="I30" s="212"/>
      <c r="J30" s="212" t="s">
        <v>343</v>
      </c>
      <c r="K30" s="215">
        <v>46244.0</v>
      </c>
      <c r="L30" s="215">
        <v>46253.0</v>
      </c>
      <c r="M30" s="213" t="s">
        <v>231</v>
      </c>
      <c r="N30" s="213"/>
      <c r="O30" s="212">
        <v>29.0</v>
      </c>
      <c r="P30" s="216" t="s">
        <v>233</v>
      </c>
      <c r="Q30" s="216" t="s">
        <v>267</v>
      </c>
      <c r="R30" s="216" t="s">
        <v>268</v>
      </c>
    </row>
    <row r="31" ht="42.0" customHeight="1">
      <c r="A31" s="212" t="s">
        <v>349</v>
      </c>
      <c r="B31" s="213" t="s">
        <v>163</v>
      </c>
      <c r="C31" s="213" t="s">
        <v>339</v>
      </c>
      <c r="D31" s="213" t="s">
        <v>350</v>
      </c>
      <c r="E31" s="212" t="s">
        <v>263</v>
      </c>
      <c r="F31" s="214" t="s">
        <v>351</v>
      </c>
      <c r="G31" s="214" t="s">
        <v>352</v>
      </c>
      <c r="H31" s="212"/>
      <c r="I31" s="212"/>
      <c r="J31" s="212" t="s">
        <v>343</v>
      </c>
      <c r="K31" s="215"/>
      <c r="L31" s="215"/>
      <c r="M31" s="213" t="s">
        <v>287</v>
      </c>
      <c r="N31" s="213" t="s">
        <v>353</v>
      </c>
      <c r="O31" s="212">
        <v>30.0</v>
      </c>
      <c r="P31" s="217" t="s">
        <v>288</v>
      </c>
      <c r="Q31" s="217" t="s">
        <v>267</v>
      </c>
      <c r="R31" s="217" t="s">
        <v>354</v>
      </c>
    </row>
    <row r="32" ht="42.0" customHeight="1">
      <c r="A32" s="212" t="s">
        <v>355</v>
      </c>
      <c r="B32" s="213" t="s">
        <v>163</v>
      </c>
      <c r="C32" s="213" t="s">
        <v>339</v>
      </c>
      <c r="D32" s="213" t="s">
        <v>356</v>
      </c>
      <c r="E32" s="212" t="s">
        <v>263</v>
      </c>
      <c r="F32" s="214" t="s">
        <v>357</v>
      </c>
      <c r="G32" s="214" t="s">
        <v>358</v>
      </c>
      <c r="H32" s="212"/>
      <c r="I32" s="212"/>
      <c r="J32" s="212" t="s">
        <v>343</v>
      </c>
      <c r="K32" s="215"/>
      <c r="L32" s="215"/>
      <c r="M32" s="213" t="s">
        <v>287</v>
      </c>
      <c r="N32" s="213"/>
      <c r="O32" s="212">
        <v>31.0</v>
      </c>
      <c r="P32" s="217" t="s">
        <v>288</v>
      </c>
      <c r="Q32" s="217" t="s">
        <v>267</v>
      </c>
      <c r="R32" s="217" t="s">
        <v>359</v>
      </c>
    </row>
    <row r="33" ht="42.0" customHeight="1">
      <c r="A33" s="212" t="s">
        <v>360</v>
      </c>
      <c r="B33" s="213" t="s">
        <v>163</v>
      </c>
      <c r="C33" s="213" t="s">
        <v>339</v>
      </c>
      <c r="D33" s="213" t="s">
        <v>361</v>
      </c>
      <c r="E33" s="212" t="s">
        <v>263</v>
      </c>
      <c r="F33" s="214" t="s">
        <v>362</v>
      </c>
      <c r="G33" s="214" t="s">
        <v>363</v>
      </c>
      <c r="H33" s="212"/>
      <c r="I33" s="212"/>
      <c r="J33" s="212" t="s">
        <v>343</v>
      </c>
      <c r="K33" s="215">
        <v>46244.0</v>
      </c>
      <c r="L33" s="215">
        <v>46253.0</v>
      </c>
      <c r="M33" s="213" t="s">
        <v>244</v>
      </c>
      <c r="N33" s="213"/>
      <c r="O33" s="212">
        <v>32.0</v>
      </c>
      <c r="P33" s="216" t="s">
        <v>233</v>
      </c>
      <c r="Q33" s="216" t="s">
        <v>267</v>
      </c>
      <c r="R33" s="216" t="s">
        <v>268</v>
      </c>
    </row>
    <row r="34" ht="42.0" customHeight="1">
      <c r="A34" s="212" t="s">
        <v>364</v>
      </c>
      <c r="B34" s="213" t="s">
        <v>163</v>
      </c>
      <c r="C34" s="213" t="s">
        <v>339</v>
      </c>
      <c r="D34" s="213" t="s">
        <v>365</v>
      </c>
      <c r="E34" s="212" t="s">
        <v>263</v>
      </c>
      <c r="F34" s="214" t="s">
        <v>366</v>
      </c>
      <c r="G34" s="214" t="s">
        <v>367</v>
      </c>
      <c r="H34" s="212"/>
      <c r="I34" s="212"/>
      <c r="J34" s="212" t="s">
        <v>343</v>
      </c>
      <c r="K34" s="215"/>
      <c r="L34" s="215"/>
      <c r="M34" s="213" t="s">
        <v>287</v>
      </c>
      <c r="N34" s="213"/>
      <c r="O34" s="212">
        <v>33.0</v>
      </c>
      <c r="P34" s="217" t="s">
        <v>288</v>
      </c>
      <c r="Q34" s="217" t="s">
        <v>267</v>
      </c>
      <c r="R34" s="217" t="s">
        <v>368</v>
      </c>
    </row>
    <row r="35" ht="42.0" customHeight="1">
      <c r="A35" s="212" t="s">
        <v>369</v>
      </c>
      <c r="B35" s="213" t="s">
        <v>163</v>
      </c>
      <c r="C35" s="213" t="s">
        <v>339</v>
      </c>
      <c r="D35" s="213" t="s">
        <v>370</v>
      </c>
      <c r="E35" s="212" t="s">
        <v>263</v>
      </c>
      <c r="F35" s="214" t="s">
        <v>371</v>
      </c>
      <c r="G35" s="214" t="s">
        <v>372</v>
      </c>
      <c r="H35" s="212"/>
      <c r="I35" s="212"/>
      <c r="J35" s="212" t="s">
        <v>343</v>
      </c>
      <c r="K35" s="215"/>
      <c r="L35" s="215"/>
      <c r="M35" s="213" t="s">
        <v>287</v>
      </c>
      <c r="N35" s="213"/>
      <c r="O35" s="212">
        <v>34.0</v>
      </c>
      <c r="P35" s="217" t="s">
        <v>288</v>
      </c>
      <c r="Q35" s="217" t="s">
        <v>267</v>
      </c>
      <c r="R35" s="217" t="s">
        <v>310</v>
      </c>
    </row>
    <row r="36" ht="42.0" customHeight="1">
      <c r="A36" s="212" t="s">
        <v>373</v>
      </c>
      <c r="B36" s="213" t="s">
        <v>163</v>
      </c>
      <c r="C36" s="213" t="s">
        <v>374</v>
      </c>
      <c r="D36" s="213" t="s">
        <v>375</v>
      </c>
      <c r="E36" s="212" t="s">
        <v>263</v>
      </c>
      <c r="F36" s="214" t="s">
        <v>376</v>
      </c>
      <c r="G36" s="214" t="s">
        <v>377</v>
      </c>
      <c r="H36" s="212"/>
      <c r="I36" s="212"/>
      <c r="J36" s="212" t="s">
        <v>378</v>
      </c>
      <c r="K36" s="215">
        <v>46244.0</v>
      </c>
      <c r="L36" s="215">
        <v>46253.0</v>
      </c>
      <c r="M36" s="213" t="s">
        <v>244</v>
      </c>
      <c r="N36" s="213"/>
      <c r="O36" s="212">
        <v>35.0</v>
      </c>
      <c r="P36" s="216" t="s">
        <v>233</v>
      </c>
      <c r="Q36" s="216" t="s">
        <v>267</v>
      </c>
      <c r="R36" s="216" t="s">
        <v>379</v>
      </c>
    </row>
    <row r="37" ht="42.0" customHeight="1">
      <c r="A37" s="212" t="s">
        <v>380</v>
      </c>
      <c r="B37" s="213" t="s">
        <v>163</v>
      </c>
      <c r="C37" s="213" t="s">
        <v>374</v>
      </c>
      <c r="D37" s="213" t="s">
        <v>381</v>
      </c>
      <c r="E37" s="212" t="s">
        <v>263</v>
      </c>
      <c r="F37" s="214" t="s">
        <v>382</v>
      </c>
      <c r="G37" s="214" t="s">
        <v>383</v>
      </c>
      <c r="H37" s="212"/>
      <c r="I37" s="212"/>
      <c r="J37" s="212" t="s">
        <v>378</v>
      </c>
      <c r="K37" s="215">
        <v>46244.0</v>
      </c>
      <c r="L37" s="215">
        <v>46253.0</v>
      </c>
      <c r="M37" s="213" t="s">
        <v>244</v>
      </c>
      <c r="N37" s="213" t="s">
        <v>384</v>
      </c>
      <c r="O37" s="212">
        <v>36.0</v>
      </c>
      <c r="P37" s="216" t="s">
        <v>233</v>
      </c>
      <c r="Q37" s="216" t="s">
        <v>267</v>
      </c>
      <c r="R37" s="216" t="s">
        <v>379</v>
      </c>
    </row>
    <row r="38" ht="42.0" customHeight="1">
      <c r="A38" s="212" t="s">
        <v>385</v>
      </c>
      <c r="B38" s="213" t="s">
        <v>163</v>
      </c>
      <c r="C38" s="213" t="s">
        <v>374</v>
      </c>
      <c r="D38" s="213" t="s">
        <v>386</v>
      </c>
      <c r="E38" s="212" t="s">
        <v>263</v>
      </c>
      <c r="F38" s="214" t="s">
        <v>387</v>
      </c>
      <c r="G38" s="214" t="s">
        <v>388</v>
      </c>
      <c r="H38" s="212"/>
      <c r="I38" s="212"/>
      <c r="J38" s="212" t="s">
        <v>378</v>
      </c>
      <c r="K38" s="215">
        <v>46244.0</v>
      </c>
      <c r="L38" s="215">
        <v>46253.0</v>
      </c>
      <c r="M38" s="213" t="s">
        <v>287</v>
      </c>
      <c r="N38" s="213" t="s">
        <v>389</v>
      </c>
      <c r="O38" s="212">
        <v>37.0</v>
      </c>
      <c r="P38" s="216" t="s">
        <v>233</v>
      </c>
      <c r="Q38" s="216" t="s">
        <v>267</v>
      </c>
      <c r="R38" s="216" t="s">
        <v>379</v>
      </c>
    </row>
    <row r="39" ht="42.0" customHeight="1">
      <c r="A39" s="212" t="s">
        <v>390</v>
      </c>
      <c r="B39" s="213" t="s">
        <v>163</v>
      </c>
      <c r="C39" s="213" t="s">
        <v>374</v>
      </c>
      <c r="D39" s="213" t="s">
        <v>391</v>
      </c>
      <c r="E39" s="212" t="s">
        <v>263</v>
      </c>
      <c r="F39" s="214" t="s">
        <v>392</v>
      </c>
      <c r="G39" s="214" t="s">
        <v>393</v>
      </c>
      <c r="H39" s="212"/>
      <c r="I39" s="212"/>
      <c r="J39" s="212" t="s">
        <v>378</v>
      </c>
      <c r="K39" s="215">
        <v>46244.0</v>
      </c>
      <c r="L39" s="215">
        <v>46253.0</v>
      </c>
      <c r="M39" s="213" t="s">
        <v>244</v>
      </c>
      <c r="N39" s="213"/>
      <c r="O39" s="212">
        <v>38.0</v>
      </c>
      <c r="P39" s="216" t="s">
        <v>233</v>
      </c>
      <c r="Q39" s="216" t="s">
        <v>267</v>
      </c>
      <c r="R39" s="216" t="s">
        <v>379</v>
      </c>
    </row>
    <row r="40" ht="42.0" customHeight="1">
      <c r="A40" s="212" t="s">
        <v>394</v>
      </c>
      <c r="B40" s="213" t="s">
        <v>163</v>
      </c>
      <c r="C40" s="213" t="s">
        <v>374</v>
      </c>
      <c r="D40" s="213" t="s">
        <v>395</v>
      </c>
      <c r="E40" s="212" t="s">
        <v>263</v>
      </c>
      <c r="F40" s="214" t="s">
        <v>396</v>
      </c>
      <c r="G40" s="214" t="s">
        <v>397</v>
      </c>
      <c r="H40" s="212"/>
      <c r="I40" s="212"/>
      <c r="J40" s="212" t="s">
        <v>378</v>
      </c>
      <c r="K40" s="215"/>
      <c r="L40" s="215"/>
      <c r="M40" s="213" t="s">
        <v>287</v>
      </c>
      <c r="N40" s="213"/>
      <c r="O40" s="212">
        <v>39.0</v>
      </c>
      <c r="P40" s="217" t="s">
        <v>288</v>
      </c>
      <c r="Q40" s="217" t="s">
        <v>267</v>
      </c>
      <c r="R40" s="217" t="s">
        <v>368</v>
      </c>
    </row>
    <row r="41" ht="42.0" customHeight="1">
      <c r="A41" s="212" t="s">
        <v>398</v>
      </c>
      <c r="B41" s="213" t="s">
        <v>163</v>
      </c>
      <c r="C41" s="213" t="s">
        <v>374</v>
      </c>
      <c r="D41" s="213" t="s">
        <v>399</v>
      </c>
      <c r="E41" s="212" t="s">
        <v>263</v>
      </c>
      <c r="F41" s="214" t="s">
        <v>400</v>
      </c>
      <c r="G41" s="214" t="s">
        <v>401</v>
      </c>
      <c r="H41" s="212"/>
      <c r="I41" s="212"/>
      <c r="J41" s="212" t="s">
        <v>378</v>
      </c>
      <c r="K41" s="215"/>
      <c r="L41" s="215"/>
      <c r="M41" s="213" t="s">
        <v>231</v>
      </c>
      <c r="N41" s="213"/>
      <c r="O41" s="212">
        <v>40.0</v>
      </c>
      <c r="P41" s="217" t="s">
        <v>288</v>
      </c>
      <c r="Q41" s="217" t="s">
        <v>267</v>
      </c>
      <c r="R41" s="217" t="s">
        <v>310</v>
      </c>
    </row>
    <row r="42" ht="42.0" customHeight="1">
      <c r="A42" s="212" t="s">
        <v>402</v>
      </c>
      <c r="B42" s="213" t="s">
        <v>163</v>
      </c>
      <c r="C42" s="213" t="s">
        <v>403</v>
      </c>
      <c r="D42" s="213" t="s">
        <v>404</v>
      </c>
      <c r="E42" s="212" t="s">
        <v>263</v>
      </c>
      <c r="F42" s="214" t="s">
        <v>405</v>
      </c>
      <c r="G42" s="214" t="s">
        <v>406</v>
      </c>
      <c r="H42" s="212" t="s">
        <v>154</v>
      </c>
      <c r="I42" s="212"/>
      <c r="J42" s="212" t="s">
        <v>378</v>
      </c>
      <c r="K42" s="215">
        <v>46244.0</v>
      </c>
      <c r="L42" s="215">
        <v>46248.0</v>
      </c>
      <c r="M42" s="213" t="s">
        <v>244</v>
      </c>
      <c r="N42" s="213"/>
      <c r="O42" s="212">
        <v>41.0</v>
      </c>
      <c r="P42" s="216" t="s">
        <v>233</v>
      </c>
      <c r="Q42" s="216" t="s">
        <v>267</v>
      </c>
      <c r="R42" s="216" t="s">
        <v>379</v>
      </c>
    </row>
    <row r="43" ht="42.0" customHeight="1">
      <c r="A43" s="212" t="s">
        <v>407</v>
      </c>
      <c r="B43" s="213" t="s">
        <v>163</v>
      </c>
      <c r="C43" s="213" t="s">
        <v>403</v>
      </c>
      <c r="D43" s="213" t="s">
        <v>408</v>
      </c>
      <c r="E43" s="212" t="s">
        <v>263</v>
      </c>
      <c r="F43" s="214" t="s">
        <v>409</v>
      </c>
      <c r="G43" s="214" t="s">
        <v>410</v>
      </c>
      <c r="H43" s="212" t="s">
        <v>154</v>
      </c>
      <c r="I43" s="212"/>
      <c r="J43" s="212" t="s">
        <v>378</v>
      </c>
      <c r="K43" s="215">
        <v>46244.0</v>
      </c>
      <c r="L43" s="215">
        <v>46248.0</v>
      </c>
      <c r="M43" s="213" t="s">
        <v>287</v>
      </c>
      <c r="N43" s="213"/>
      <c r="O43" s="212">
        <v>42.0</v>
      </c>
      <c r="P43" s="216" t="s">
        <v>233</v>
      </c>
      <c r="Q43" s="216" t="s">
        <v>267</v>
      </c>
      <c r="R43" s="216" t="s">
        <v>379</v>
      </c>
    </row>
    <row r="44" ht="42.0" customHeight="1">
      <c r="A44" s="212" t="s">
        <v>411</v>
      </c>
      <c r="B44" s="213" t="s">
        <v>163</v>
      </c>
      <c r="C44" s="213" t="s">
        <v>403</v>
      </c>
      <c r="D44" s="213" t="s">
        <v>412</v>
      </c>
      <c r="E44" s="212" t="s">
        <v>263</v>
      </c>
      <c r="F44" s="214" t="s">
        <v>413</v>
      </c>
      <c r="G44" s="214" t="s">
        <v>414</v>
      </c>
      <c r="H44" s="212" t="s">
        <v>154</v>
      </c>
      <c r="I44" s="212"/>
      <c r="J44" s="212" t="s">
        <v>378</v>
      </c>
      <c r="K44" s="215">
        <v>46244.0</v>
      </c>
      <c r="L44" s="215">
        <v>46248.0</v>
      </c>
      <c r="M44" s="213" t="s">
        <v>244</v>
      </c>
      <c r="N44" s="213"/>
      <c r="O44" s="212">
        <v>43.0</v>
      </c>
      <c r="P44" s="216" t="s">
        <v>233</v>
      </c>
      <c r="Q44" s="216" t="s">
        <v>267</v>
      </c>
      <c r="R44" s="216" t="s">
        <v>379</v>
      </c>
    </row>
    <row r="45" ht="42.0" customHeight="1">
      <c r="A45" s="212" t="s">
        <v>415</v>
      </c>
      <c r="B45" s="213" t="s">
        <v>163</v>
      </c>
      <c r="C45" s="213" t="s">
        <v>403</v>
      </c>
      <c r="D45" s="213" t="s">
        <v>416</v>
      </c>
      <c r="E45" s="212" t="s">
        <v>263</v>
      </c>
      <c r="F45" s="214" t="s">
        <v>417</v>
      </c>
      <c r="G45" s="214" t="s">
        <v>418</v>
      </c>
      <c r="H45" s="212" t="s">
        <v>154</v>
      </c>
      <c r="I45" s="212"/>
      <c r="J45" s="212" t="s">
        <v>378</v>
      </c>
      <c r="K45" s="215">
        <v>46251.0</v>
      </c>
      <c r="L45" s="215">
        <v>46255.0</v>
      </c>
      <c r="M45" s="213" t="s">
        <v>244</v>
      </c>
      <c r="N45" s="213" t="s">
        <v>419</v>
      </c>
      <c r="O45" s="212">
        <v>44.0</v>
      </c>
      <c r="P45" s="216" t="s">
        <v>233</v>
      </c>
      <c r="Q45" s="216" t="s">
        <v>267</v>
      </c>
      <c r="R45" s="216" t="s">
        <v>379</v>
      </c>
    </row>
    <row r="46" ht="42.0" customHeight="1">
      <c r="A46" s="212" t="s">
        <v>420</v>
      </c>
      <c r="B46" s="213" t="s">
        <v>163</v>
      </c>
      <c r="C46" s="213" t="s">
        <v>403</v>
      </c>
      <c r="D46" s="213" t="s">
        <v>421</v>
      </c>
      <c r="E46" s="212" t="s">
        <v>263</v>
      </c>
      <c r="F46" s="214" t="s">
        <v>422</v>
      </c>
      <c r="G46" s="214" t="s">
        <v>423</v>
      </c>
      <c r="H46" s="212" t="s">
        <v>154</v>
      </c>
      <c r="I46" s="212"/>
      <c r="J46" s="212" t="s">
        <v>378</v>
      </c>
      <c r="K46" s="215">
        <v>46251.0</v>
      </c>
      <c r="L46" s="215">
        <v>46255.0</v>
      </c>
      <c r="M46" s="213" t="s">
        <v>287</v>
      </c>
      <c r="N46" s="213"/>
      <c r="O46" s="212">
        <v>45.0</v>
      </c>
      <c r="P46" s="216" t="s">
        <v>233</v>
      </c>
      <c r="Q46" s="216" t="s">
        <v>267</v>
      </c>
      <c r="R46" s="216" t="s">
        <v>379</v>
      </c>
    </row>
    <row r="47" ht="42.0" customHeight="1">
      <c r="A47" s="212" t="s">
        <v>424</v>
      </c>
      <c r="B47" s="213" t="s">
        <v>163</v>
      </c>
      <c r="C47" s="213" t="s">
        <v>403</v>
      </c>
      <c r="D47" s="213" t="s">
        <v>425</v>
      </c>
      <c r="E47" s="212" t="s">
        <v>263</v>
      </c>
      <c r="F47" s="214" t="s">
        <v>426</v>
      </c>
      <c r="G47" s="214" t="s">
        <v>427</v>
      </c>
      <c r="H47" s="212" t="s">
        <v>154</v>
      </c>
      <c r="I47" s="212"/>
      <c r="J47" s="212" t="s">
        <v>378</v>
      </c>
      <c r="K47" s="215"/>
      <c r="L47" s="215"/>
      <c r="M47" s="213" t="s">
        <v>287</v>
      </c>
      <c r="N47" s="213"/>
      <c r="O47" s="212">
        <v>46.0</v>
      </c>
      <c r="P47" s="217" t="s">
        <v>288</v>
      </c>
      <c r="Q47" s="217" t="s">
        <v>267</v>
      </c>
      <c r="R47" s="217" t="s">
        <v>368</v>
      </c>
    </row>
    <row r="48" ht="42.0" customHeight="1">
      <c r="A48" s="212" t="s">
        <v>428</v>
      </c>
      <c r="B48" s="213" t="s">
        <v>163</v>
      </c>
      <c r="C48" s="213" t="s">
        <v>403</v>
      </c>
      <c r="D48" s="213" t="s">
        <v>429</v>
      </c>
      <c r="E48" s="212" t="s">
        <v>263</v>
      </c>
      <c r="F48" s="214" t="s">
        <v>430</v>
      </c>
      <c r="G48" s="214" t="s">
        <v>401</v>
      </c>
      <c r="H48" s="212" t="s">
        <v>154</v>
      </c>
      <c r="I48" s="212"/>
      <c r="J48" s="212" t="s">
        <v>378</v>
      </c>
      <c r="K48" s="215"/>
      <c r="L48" s="215"/>
      <c r="M48" s="213" t="s">
        <v>231</v>
      </c>
      <c r="N48" s="213"/>
      <c r="O48" s="212">
        <v>47.0</v>
      </c>
      <c r="P48" s="217" t="s">
        <v>288</v>
      </c>
      <c r="Q48" s="217" t="s">
        <v>267</v>
      </c>
      <c r="R48" s="217" t="s">
        <v>310</v>
      </c>
    </row>
    <row r="49" ht="42.0" customHeight="1">
      <c r="A49" s="212" t="s">
        <v>431</v>
      </c>
      <c r="B49" s="213" t="s">
        <v>163</v>
      </c>
      <c r="C49" s="213" t="s">
        <v>432</v>
      </c>
      <c r="D49" s="213" t="s">
        <v>433</v>
      </c>
      <c r="E49" s="212" t="s">
        <v>263</v>
      </c>
      <c r="F49" s="214" t="s">
        <v>434</v>
      </c>
      <c r="G49" s="214" t="s">
        <v>435</v>
      </c>
      <c r="H49" s="212"/>
      <c r="I49" s="212"/>
      <c r="J49" s="212" t="s">
        <v>436</v>
      </c>
      <c r="K49" s="215">
        <v>46251.0</v>
      </c>
      <c r="L49" s="215">
        <v>46260.0</v>
      </c>
      <c r="M49" s="213" t="s">
        <v>244</v>
      </c>
      <c r="N49" s="213"/>
      <c r="O49" s="212">
        <v>48.0</v>
      </c>
      <c r="P49" s="216" t="s">
        <v>233</v>
      </c>
      <c r="Q49" s="216" t="s">
        <v>267</v>
      </c>
      <c r="R49" s="216" t="s">
        <v>437</v>
      </c>
    </row>
    <row r="50" ht="42.0" customHeight="1">
      <c r="A50" s="212" t="s">
        <v>438</v>
      </c>
      <c r="B50" s="213" t="s">
        <v>163</v>
      </c>
      <c r="C50" s="213" t="s">
        <v>432</v>
      </c>
      <c r="D50" s="213" t="s">
        <v>439</v>
      </c>
      <c r="E50" s="212" t="s">
        <v>263</v>
      </c>
      <c r="F50" s="214" t="s">
        <v>440</v>
      </c>
      <c r="G50" s="214" t="s">
        <v>441</v>
      </c>
      <c r="H50" s="212"/>
      <c r="I50" s="212"/>
      <c r="J50" s="212" t="s">
        <v>436</v>
      </c>
      <c r="K50" s="215">
        <v>46251.0</v>
      </c>
      <c r="L50" s="215">
        <v>46260.0</v>
      </c>
      <c r="M50" s="213" t="s">
        <v>244</v>
      </c>
      <c r="N50" s="213"/>
      <c r="O50" s="212">
        <v>49.0</v>
      </c>
      <c r="P50" s="216" t="s">
        <v>233</v>
      </c>
      <c r="Q50" s="216" t="s">
        <v>267</v>
      </c>
      <c r="R50" s="216" t="s">
        <v>437</v>
      </c>
    </row>
    <row r="51" ht="42.0" customHeight="1">
      <c r="A51" s="212" t="s">
        <v>442</v>
      </c>
      <c r="B51" s="213" t="s">
        <v>163</v>
      </c>
      <c r="C51" s="213" t="s">
        <v>432</v>
      </c>
      <c r="D51" s="213" t="s">
        <v>443</v>
      </c>
      <c r="E51" s="212" t="s">
        <v>263</v>
      </c>
      <c r="F51" s="214" t="s">
        <v>444</v>
      </c>
      <c r="G51" s="214" t="s">
        <v>445</v>
      </c>
      <c r="H51" s="212"/>
      <c r="I51" s="212"/>
      <c r="J51" s="212" t="s">
        <v>436</v>
      </c>
      <c r="K51" s="215">
        <v>46251.0</v>
      </c>
      <c r="L51" s="215">
        <v>46260.0</v>
      </c>
      <c r="M51" s="213" t="s">
        <v>287</v>
      </c>
      <c r="N51" s="213"/>
      <c r="O51" s="212">
        <v>50.0</v>
      </c>
      <c r="P51" s="216" t="s">
        <v>233</v>
      </c>
      <c r="Q51" s="216" t="s">
        <v>267</v>
      </c>
      <c r="R51" s="216" t="s">
        <v>437</v>
      </c>
    </row>
    <row r="52" ht="42.0" customHeight="1">
      <c r="A52" s="212" t="s">
        <v>446</v>
      </c>
      <c r="B52" s="213" t="s">
        <v>163</v>
      </c>
      <c r="C52" s="213" t="s">
        <v>432</v>
      </c>
      <c r="D52" s="213" t="s">
        <v>447</v>
      </c>
      <c r="E52" s="212" t="s">
        <v>263</v>
      </c>
      <c r="F52" s="214" t="s">
        <v>448</v>
      </c>
      <c r="G52" s="214" t="s">
        <v>449</v>
      </c>
      <c r="H52" s="212"/>
      <c r="I52" s="212"/>
      <c r="J52" s="212" t="s">
        <v>450</v>
      </c>
      <c r="K52" s="215">
        <v>46251.0</v>
      </c>
      <c r="L52" s="215">
        <v>46260.0</v>
      </c>
      <c r="M52" s="213" t="s">
        <v>231</v>
      </c>
      <c r="N52" s="213"/>
      <c r="O52" s="212">
        <v>51.0</v>
      </c>
      <c r="P52" s="216" t="s">
        <v>233</v>
      </c>
      <c r="Q52" s="216" t="s">
        <v>267</v>
      </c>
      <c r="R52" s="216" t="s">
        <v>437</v>
      </c>
    </row>
    <row r="53" ht="42.0" customHeight="1">
      <c r="A53" s="212" t="s">
        <v>451</v>
      </c>
      <c r="B53" s="213" t="s">
        <v>163</v>
      </c>
      <c r="C53" s="213" t="s">
        <v>432</v>
      </c>
      <c r="D53" s="213" t="s">
        <v>452</v>
      </c>
      <c r="E53" s="212" t="s">
        <v>263</v>
      </c>
      <c r="F53" s="214" t="s">
        <v>453</v>
      </c>
      <c r="G53" s="214" t="s">
        <v>454</v>
      </c>
      <c r="H53" s="212"/>
      <c r="I53" s="212"/>
      <c r="J53" s="212" t="s">
        <v>450</v>
      </c>
      <c r="K53" s="215"/>
      <c r="L53" s="215"/>
      <c r="M53" s="213" t="s">
        <v>231</v>
      </c>
      <c r="N53" s="213"/>
      <c r="O53" s="212">
        <v>52.0</v>
      </c>
      <c r="P53" s="217" t="s">
        <v>288</v>
      </c>
      <c r="Q53" s="217" t="s">
        <v>267</v>
      </c>
      <c r="R53" s="217" t="s">
        <v>455</v>
      </c>
    </row>
    <row r="54" ht="42.0" customHeight="1">
      <c r="A54" s="212" t="s">
        <v>456</v>
      </c>
      <c r="B54" s="213" t="s">
        <v>163</v>
      </c>
      <c r="C54" s="213" t="s">
        <v>432</v>
      </c>
      <c r="D54" s="213" t="s">
        <v>457</v>
      </c>
      <c r="E54" s="212" t="s">
        <v>263</v>
      </c>
      <c r="F54" s="214" t="s">
        <v>458</v>
      </c>
      <c r="G54" s="214" t="s">
        <v>401</v>
      </c>
      <c r="H54" s="212"/>
      <c r="I54" s="212"/>
      <c r="J54" s="212" t="s">
        <v>343</v>
      </c>
      <c r="K54" s="215"/>
      <c r="L54" s="215"/>
      <c r="M54" s="213" t="s">
        <v>231</v>
      </c>
      <c r="N54" s="213"/>
      <c r="O54" s="212">
        <v>53.0</v>
      </c>
      <c r="P54" s="217" t="s">
        <v>288</v>
      </c>
      <c r="Q54" s="217" t="s">
        <v>267</v>
      </c>
      <c r="R54" s="217" t="s">
        <v>310</v>
      </c>
    </row>
    <row r="55" ht="42.0" customHeight="1">
      <c r="A55" s="212" t="s">
        <v>459</v>
      </c>
      <c r="B55" s="213" t="s">
        <v>163</v>
      </c>
      <c r="C55" s="213" t="s">
        <v>432</v>
      </c>
      <c r="D55" s="213" t="s">
        <v>460</v>
      </c>
      <c r="E55" s="212" t="s">
        <v>263</v>
      </c>
      <c r="F55" s="214" t="s">
        <v>461</v>
      </c>
      <c r="G55" s="214" t="s">
        <v>401</v>
      </c>
      <c r="H55" s="212"/>
      <c r="I55" s="212"/>
      <c r="J55" s="212" t="s">
        <v>436</v>
      </c>
      <c r="K55" s="215">
        <v>46258.0</v>
      </c>
      <c r="L55" s="215">
        <v>46262.0</v>
      </c>
      <c r="M55" s="213" t="s">
        <v>231</v>
      </c>
      <c r="N55" s="213"/>
      <c r="O55" s="212">
        <v>54.0</v>
      </c>
      <c r="P55" s="216" t="s">
        <v>233</v>
      </c>
      <c r="Q55" s="216" t="s">
        <v>267</v>
      </c>
      <c r="R55" s="216" t="s">
        <v>437</v>
      </c>
    </row>
    <row r="56" ht="42.0" customHeight="1">
      <c r="A56" s="212" t="s">
        <v>462</v>
      </c>
      <c r="B56" s="213" t="s">
        <v>163</v>
      </c>
      <c r="C56" s="213" t="s">
        <v>463</v>
      </c>
      <c r="D56" s="213" t="s">
        <v>464</v>
      </c>
      <c r="E56" s="212" t="s">
        <v>263</v>
      </c>
      <c r="F56" s="214" t="s">
        <v>465</v>
      </c>
      <c r="G56" s="214" t="s">
        <v>466</v>
      </c>
      <c r="H56" s="212"/>
      <c r="I56" s="212"/>
      <c r="J56" s="212" t="s">
        <v>450</v>
      </c>
      <c r="K56" s="215">
        <v>46251.0</v>
      </c>
      <c r="L56" s="215">
        <v>46262.0</v>
      </c>
      <c r="M56" s="213" t="s">
        <v>231</v>
      </c>
      <c r="N56" s="213" t="s">
        <v>384</v>
      </c>
      <c r="O56" s="212">
        <v>55.0</v>
      </c>
      <c r="P56" s="216" t="s">
        <v>233</v>
      </c>
      <c r="Q56" s="216" t="s">
        <v>267</v>
      </c>
      <c r="R56" s="216" t="s">
        <v>437</v>
      </c>
    </row>
    <row r="57" ht="42.0" customHeight="1">
      <c r="A57" s="212" t="s">
        <v>467</v>
      </c>
      <c r="B57" s="213" t="s">
        <v>163</v>
      </c>
      <c r="C57" s="213" t="s">
        <v>463</v>
      </c>
      <c r="D57" s="213" t="s">
        <v>468</v>
      </c>
      <c r="E57" s="212" t="s">
        <v>263</v>
      </c>
      <c r="F57" s="214" t="s">
        <v>469</v>
      </c>
      <c r="G57" s="214" t="s">
        <v>470</v>
      </c>
      <c r="H57" s="212"/>
      <c r="I57" s="212"/>
      <c r="J57" s="212" t="s">
        <v>450</v>
      </c>
      <c r="K57" s="215"/>
      <c r="L57" s="215"/>
      <c r="M57" s="213" t="s">
        <v>287</v>
      </c>
      <c r="N57" s="213" t="s">
        <v>471</v>
      </c>
      <c r="O57" s="212">
        <v>56.0</v>
      </c>
      <c r="P57" s="217" t="s">
        <v>288</v>
      </c>
      <c r="Q57" s="217" t="s">
        <v>267</v>
      </c>
      <c r="R57" s="217" t="s">
        <v>354</v>
      </c>
    </row>
    <row r="58" ht="42.0" customHeight="1">
      <c r="A58" s="212" t="s">
        <v>472</v>
      </c>
      <c r="B58" s="213" t="s">
        <v>163</v>
      </c>
      <c r="C58" s="213" t="s">
        <v>463</v>
      </c>
      <c r="D58" s="213" t="s">
        <v>473</v>
      </c>
      <c r="E58" s="212" t="s">
        <v>263</v>
      </c>
      <c r="F58" s="214" t="s">
        <v>474</v>
      </c>
      <c r="G58" s="214" t="s">
        <v>475</v>
      </c>
      <c r="H58" s="212"/>
      <c r="I58" s="212"/>
      <c r="J58" s="212" t="s">
        <v>450</v>
      </c>
      <c r="K58" s="215">
        <v>46251.0</v>
      </c>
      <c r="L58" s="215">
        <v>46262.0</v>
      </c>
      <c r="M58" s="213" t="s">
        <v>231</v>
      </c>
      <c r="N58" s="213"/>
      <c r="O58" s="212">
        <v>57.0</v>
      </c>
      <c r="P58" s="216" t="s">
        <v>233</v>
      </c>
      <c r="Q58" s="216" t="s">
        <v>267</v>
      </c>
      <c r="R58" s="216" t="s">
        <v>437</v>
      </c>
    </row>
    <row r="59" ht="42.0" customHeight="1">
      <c r="A59" s="212" t="s">
        <v>476</v>
      </c>
      <c r="B59" s="213" t="s">
        <v>163</v>
      </c>
      <c r="C59" s="213" t="s">
        <v>477</v>
      </c>
      <c r="D59" s="213" t="s">
        <v>478</v>
      </c>
      <c r="E59" s="212" t="s">
        <v>263</v>
      </c>
      <c r="F59" s="214" t="s">
        <v>479</v>
      </c>
      <c r="G59" s="214" t="s">
        <v>480</v>
      </c>
      <c r="H59" s="212"/>
      <c r="I59" s="212"/>
      <c r="J59" s="212" t="s">
        <v>378</v>
      </c>
      <c r="K59" s="215">
        <v>46251.0</v>
      </c>
      <c r="L59" s="215">
        <v>46255.0</v>
      </c>
      <c r="M59" s="213" t="s">
        <v>244</v>
      </c>
      <c r="N59" s="213" t="s">
        <v>481</v>
      </c>
      <c r="O59" s="212">
        <v>58.0</v>
      </c>
      <c r="P59" s="216" t="s">
        <v>233</v>
      </c>
      <c r="Q59" s="216" t="s">
        <v>283</v>
      </c>
      <c r="R59" s="216" t="s">
        <v>482</v>
      </c>
    </row>
    <row r="60" ht="42.0" customHeight="1">
      <c r="A60" s="212" t="s">
        <v>483</v>
      </c>
      <c r="B60" s="213" t="s">
        <v>163</v>
      </c>
      <c r="C60" s="213" t="s">
        <v>477</v>
      </c>
      <c r="D60" s="213" t="s">
        <v>484</v>
      </c>
      <c r="E60" s="212" t="s">
        <v>263</v>
      </c>
      <c r="F60" s="214" t="s">
        <v>485</v>
      </c>
      <c r="G60" s="214" t="s">
        <v>486</v>
      </c>
      <c r="H60" s="212"/>
      <c r="I60" s="212"/>
      <c r="J60" s="212" t="s">
        <v>450</v>
      </c>
      <c r="K60" s="215">
        <v>46251.0</v>
      </c>
      <c r="L60" s="215">
        <v>46255.0</v>
      </c>
      <c r="M60" s="213" t="s">
        <v>231</v>
      </c>
      <c r="N60" s="213" t="s">
        <v>487</v>
      </c>
      <c r="O60" s="212">
        <v>59.0</v>
      </c>
      <c r="P60" s="216" t="s">
        <v>233</v>
      </c>
      <c r="Q60" s="216" t="s">
        <v>283</v>
      </c>
      <c r="R60" s="216" t="s">
        <v>482</v>
      </c>
    </row>
    <row r="61" ht="42.0" customHeight="1">
      <c r="A61" s="212" t="s">
        <v>488</v>
      </c>
      <c r="B61" s="213" t="s">
        <v>163</v>
      </c>
      <c r="C61" s="213" t="s">
        <v>477</v>
      </c>
      <c r="D61" s="213" t="s">
        <v>489</v>
      </c>
      <c r="E61" s="212" t="s">
        <v>263</v>
      </c>
      <c r="F61" s="214" t="s">
        <v>490</v>
      </c>
      <c r="G61" s="214" t="s">
        <v>491</v>
      </c>
      <c r="H61" s="212"/>
      <c r="I61" s="212"/>
      <c r="J61" s="212" t="s">
        <v>450</v>
      </c>
      <c r="K61" s="215">
        <v>46251.0</v>
      </c>
      <c r="L61" s="215">
        <v>46255.0</v>
      </c>
      <c r="M61" s="213" t="s">
        <v>244</v>
      </c>
      <c r="N61" s="213"/>
      <c r="O61" s="212">
        <v>60.0</v>
      </c>
      <c r="P61" s="216" t="s">
        <v>233</v>
      </c>
      <c r="Q61" s="216" t="s">
        <v>283</v>
      </c>
      <c r="R61" s="216" t="s">
        <v>482</v>
      </c>
    </row>
    <row r="62" ht="42.0" customHeight="1">
      <c r="A62" s="212" t="s">
        <v>492</v>
      </c>
      <c r="B62" s="213" t="s">
        <v>163</v>
      </c>
      <c r="C62" s="213" t="s">
        <v>477</v>
      </c>
      <c r="D62" s="213" t="s">
        <v>493</v>
      </c>
      <c r="E62" s="212" t="s">
        <v>263</v>
      </c>
      <c r="F62" s="214" t="s">
        <v>494</v>
      </c>
      <c r="G62" s="214" t="s">
        <v>495</v>
      </c>
      <c r="H62" s="212"/>
      <c r="I62" s="212"/>
      <c r="J62" s="212" t="s">
        <v>450</v>
      </c>
      <c r="K62" s="215">
        <v>46251.0</v>
      </c>
      <c r="L62" s="215">
        <v>46255.0</v>
      </c>
      <c r="M62" s="213" t="s">
        <v>287</v>
      </c>
      <c r="N62" s="213" t="s">
        <v>496</v>
      </c>
      <c r="O62" s="212">
        <v>61.0</v>
      </c>
      <c r="P62" s="216" t="s">
        <v>233</v>
      </c>
      <c r="Q62" s="216" t="s">
        <v>283</v>
      </c>
      <c r="R62" s="216" t="s">
        <v>482</v>
      </c>
    </row>
    <row r="63" ht="42.0" customHeight="1">
      <c r="A63" s="212" t="s">
        <v>497</v>
      </c>
      <c r="B63" s="213" t="s">
        <v>163</v>
      </c>
      <c r="C63" s="213" t="s">
        <v>498</v>
      </c>
      <c r="D63" s="213" t="s">
        <v>499</v>
      </c>
      <c r="E63" s="212" t="s">
        <v>263</v>
      </c>
      <c r="F63" s="214" t="s">
        <v>500</v>
      </c>
      <c r="G63" s="214" t="s">
        <v>501</v>
      </c>
      <c r="H63" s="212"/>
      <c r="I63" s="212"/>
      <c r="J63" s="212" t="s">
        <v>450</v>
      </c>
      <c r="K63" s="215">
        <v>46258.0</v>
      </c>
      <c r="L63" s="215">
        <v>46267.0</v>
      </c>
      <c r="M63" s="213" t="s">
        <v>231</v>
      </c>
      <c r="N63" s="213"/>
      <c r="O63" s="212">
        <v>62.0</v>
      </c>
      <c r="P63" s="216" t="s">
        <v>233</v>
      </c>
      <c r="Q63" s="216" t="s">
        <v>283</v>
      </c>
      <c r="R63" s="216" t="s">
        <v>502</v>
      </c>
    </row>
    <row r="64" ht="42.0" customHeight="1">
      <c r="A64" s="212" t="s">
        <v>503</v>
      </c>
      <c r="B64" s="213" t="s">
        <v>163</v>
      </c>
      <c r="C64" s="213" t="s">
        <v>498</v>
      </c>
      <c r="D64" s="213" t="s">
        <v>504</v>
      </c>
      <c r="E64" s="212" t="s">
        <v>263</v>
      </c>
      <c r="F64" s="214" t="s">
        <v>505</v>
      </c>
      <c r="G64" s="214" t="s">
        <v>506</v>
      </c>
      <c r="H64" s="212"/>
      <c r="I64" s="212"/>
      <c r="J64" s="212" t="s">
        <v>450</v>
      </c>
      <c r="K64" s="215">
        <v>46258.0</v>
      </c>
      <c r="L64" s="215">
        <v>46267.0</v>
      </c>
      <c r="M64" s="213" t="s">
        <v>231</v>
      </c>
      <c r="N64" s="213" t="s">
        <v>384</v>
      </c>
      <c r="O64" s="212">
        <v>63.0</v>
      </c>
      <c r="P64" s="216" t="s">
        <v>233</v>
      </c>
      <c r="Q64" s="216" t="s">
        <v>283</v>
      </c>
      <c r="R64" s="216" t="s">
        <v>502</v>
      </c>
    </row>
    <row r="65" ht="42.0" customHeight="1">
      <c r="A65" s="212" t="s">
        <v>507</v>
      </c>
      <c r="B65" s="213" t="s">
        <v>163</v>
      </c>
      <c r="C65" s="213" t="s">
        <v>498</v>
      </c>
      <c r="D65" s="213" t="s">
        <v>508</v>
      </c>
      <c r="E65" s="212" t="s">
        <v>263</v>
      </c>
      <c r="F65" s="214" t="s">
        <v>509</v>
      </c>
      <c r="G65" s="214" t="s">
        <v>510</v>
      </c>
      <c r="H65" s="212"/>
      <c r="I65" s="212"/>
      <c r="J65" s="212" t="s">
        <v>450</v>
      </c>
      <c r="K65" s="215"/>
      <c r="L65" s="215"/>
      <c r="M65" s="213" t="s">
        <v>287</v>
      </c>
      <c r="N65" s="213"/>
      <c r="O65" s="212">
        <v>64.0</v>
      </c>
      <c r="P65" s="217" t="s">
        <v>288</v>
      </c>
      <c r="Q65" s="217" t="s">
        <v>267</v>
      </c>
      <c r="R65" s="217" t="s">
        <v>511</v>
      </c>
    </row>
    <row r="66" ht="42.0" customHeight="1">
      <c r="A66" s="212" t="s">
        <v>512</v>
      </c>
      <c r="B66" s="213" t="s">
        <v>163</v>
      </c>
      <c r="C66" s="213" t="s">
        <v>498</v>
      </c>
      <c r="D66" s="213" t="s">
        <v>513</v>
      </c>
      <c r="E66" s="212" t="s">
        <v>263</v>
      </c>
      <c r="F66" s="214" t="s">
        <v>514</v>
      </c>
      <c r="G66" s="214" t="s">
        <v>515</v>
      </c>
      <c r="H66" s="212"/>
      <c r="I66" s="212"/>
      <c r="J66" s="212" t="s">
        <v>450</v>
      </c>
      <c r="K66" s="215">
        <v>46258.0</v>
      </c>
      <c r="L66" s="215">
        <v>46267.0</v>
      </c>
      <c r="M66" s="213" t="s">
        <v>287</v>
      </c>
      <c r="N66" s="213"/>
      <c r="O66" s="212">
        <v>65.0</v>
      </c>
      <c r="P66" s="216" t="s">
        <v>233</v>
      </c>
      <c r="Q66" s="216" t="s">
        <v>283</v>
      </c>
      <c r="R66" s="216" t="s">
        <v>502</v>
      </c>
    </row>
    <row r="67" ht="42.0" customHeight="1">
      <c r="A67" s="212" t="s">
        <v>516</v>
      </c>
      <c r="B67" s="213" t="s">
        <v>163</v>
      </c>
      <c r="C67" s="213" t="s">
        <v>498</v>
      </c>
      <c r="D67" s="213" t="s">
        <v>517</v>
      </c>
      <c r="E67" s="212" t="s">
        <v>263</v>
      </c>
      <c r="F67" s="214" t="s">
        <v>518</v>
      </c>
      <c r="G67" s="214" t="s">
        <v>519</v>
      </c>
      <c r="H67" s="212"/>
      <c r="I67" s="212"/>
      <c r="J67" s="212" t="s">
        <v>450</v>
      </c>
      <c r="K67" s="215">
        <v>46258.0</v>
      </c>
      <c r="L67" s="215">
        <v>46267.0</v>
      </c>
      <c r="M67" s="213" t="s">
        <v>244</v>
      </c>
      <c r="N67" s="213"/>
      <c r="O67" s="212">
        <v>66.0</v>
      </c>
      <c r="P67" s="216" t="s">
        <v>233</v>
      </c>
      <c r="Q67" s="216" t="s">
        <v>283</v>
      </c>
      <c r="R67" s="216" t="s">
        <v>502</v>
      </c>
    </row>
    <row r="68" ht="42.0" customHeight="1">
      <c r="A68" s="212" t="s">
        <v>520</v>
      </c>
      <c r="B68" s="213" t="s">
        <v>163</v>
      </c>
      <c r="C68" s="213" t="s">
        <v>498</v>
      </c>
      <c r="D68" s="213" t="s">
        <v>521</v>
      </c>
      <c r="E68" s="212" t="s">
        <v>263</v>
      </c>
      <c r="F68" s="214" t="s">
        <v>522</v>
      </c>
      <c r="G68" s="214" t="s">
        <v>523</v>
      </c>
      <c r="H68" s="212"/>
      <c r="I68" s="212"/>
      <c r="J68" s="212" t="s">
        <v>450</v>
      </c>
      <c r="K68" s="215"/>
      <c r="L68" s="215"/>
      <c r="M68" s="213" t="s">
        <v>287</v>
      </c>
      <c r="N68" s="213" t="s">
        <v>524</v>
      </c>
      <c r="O68" s="212">
        <v>67.0</v>
      </c>
      <c r="P68" s="217" t="s">
        <v>288</v>
      </c>
      <c r="Q68" s="217" t="s">
        <v>267</v>
      </c>
      <c r="R68" s="217" t="s">
        <v>354</v>
      </c>
    </row>
    <row r="69" ht="42.0" customHeight="1">
      <c r="A69" s="212" t="s">
        <v>525</v>
      </c>
      <c r="B69" s="213" t="s">
        <v>163</v>
      </c>
      <c r="C69" s="213" t="s">
        <v>498</v>
      </c>
      <c r="D69" s="213" t="s">
        <v>526</v>
      </c>
      <c r="E69" s="212" t="s">
        <v>263</v>
      </c>
      <c r="F69" s="214" t="s">
        <v>527</v>
      </c>
      <c r="G69" s="214" t="s">
        <v>528</v>
      </c>
      <c r="H69" s="212"/>
      <c r="I69" s="212"/>
      <c r="J69" s="212" t="s">
        <v>450</v>
      </c>
      <c r="K69" s="215">
        <v>46265.0</v>
      </c>
      <c r="L69" s="215">
        <v>46269.0</v>
      </c>
      <c r="M69" s="213" t="s">
        <v>529</v>
      </c>
      <c r="N69" s="213" t="s">
        <v>530</v>
      </c>
      <c r="O69" s="212">
        <v>68.0</v>
      </c>
      <c r="P69" s="216" t="s">
        <v>233</v>
      </c>
      <c r="Q69" s="216" t="s">
        <v>283</v>
      </c>
      <c r="R69" s="216" t="s">
        <v>502</v>
      </c>
    </row>
    <row r="70" ht="42.0" customHeight="1">
      <c r="A70" s="212" t="s">
        <v>531</v>
      </c>
      <c r="B70" s="213" t="s">
        <v>163</v>
      </c>
      <c r="C70" s="213" t="s">
        <v>498</v>
      </c>
      <c r="D70" s="213" t="s">
        <v>532</v>
      </c>
      <c r="E70" s="212" t="s">
        <v>211</v>
      </c>
      <c r="F70" s="214" t="s">
        <v>533</v>
      </c>
      <c r="G70" s="214" t="s">
        <v>534</v>
      </c>
      <c r="H70" s="212"/>
      <c r="I70" s="212"/>
      <c r="J70" s="212" t="s">
        <v>535</v>
      </c>
      <c r="K70" s="215"/>
      <c r="L70" s="215"/>
      <c r="M70" s="213" t="s">
        <v>536</v>
      </c>
      <c r="N70" s="213" t="s">
        <v>537</v>
      </c>
      <c r="O70" s="212">
        <v>69.0</v>
      </c>
      <c r="P70" s="218" t="s">
        <v>538</v>
      </c>
      <c r="Q70" s="218" t="s">
        <v>539</v>
      </c>
      <c r="R70" s="218" t="s">
        <v>540</v>
      </c>
    </row>
    <row r="71" ht="42.0" customHeight="1">
      <c r="A71" s="212" t="s">
        <v>541</v>
      </c>
      <c r="B71" s="213" t="s">
        <v>163</v>
      </c>
      <c r="C71" s="213" t="s">
        <v>542</v>
      </c>
      <c r="D71" s="213" t="s">
        <v>543</v>
      </c>
      <c r="E71" s="212" t="s">
        <v>263</v>
      </c>
      <c r="F71" s="214" t="s">
        <v>544</v>
      </c>
      <c r="G71" s="214" t="s">
        <v>545</v>
      </c>
      <c r="H71" s="212"/>
      <c r="I71" s="212"/>
      <c r="J71" s="212" t="s">
        <v>450</v>
      </c>
      <c r="K71" s="215">
        <v>46265.0</v>
      </c>
      <c r="L71" s="215">
        <v>46267.0</v>
      </c>
      <c r="M71" s="213" t="s">
        <v>231</v>
      </c>
      <c r="N71" s="213"/>
      <c r="O71" s="212">
        <v>70.0</v>
      </c>
      <c r="P71" s="216" t="s">
        <v>233</v>
      </c>
      <c r="Q71" s="216" t="s">
        <v>267</v>
      </c>
      <c r="R71" s="216" t="s">
        <v>546</v>
      </c>
    </row>
    <row r="72" ht="42.0" customHeight="1">
      <c r="A72" s="212" t="s">
        <v>547</v>
      </c>
      <c r="B72" s="213" t="s">
        <v>163</v>
      </c>
      <c r="C72" s="213" t="s">
        <v>542</v>
      </c>
      <c r="D72" s="213" t="s">
        <v>548</v>
      </c>
      <c r="E72" s="212" t="s">
        <v>263</v>
      </c>
      <c r="F72" s="214" t="s">
        <v>549</v>
      </c>
      <c r="G72" s="214" t="s">
        <v>550</v>
      </c>
      <c r="H72" s="212"/>
      <c r="I72" s="212"/>
      <c r="J72" s="212" t="s">
        <v>551</v>
      </c>
      <c r="K72" s="215">
        <v>46268.0</v>
      </c>
      <c r="L72" s="215">
        <v>46275.0</v>
      </c>
      <c r="M72" s="213" t="s">
        <v>244</v>
      </c>
      <c r="N72" s="213" t="s">
        <v>552</v>
      </c>
      <c r="O72" s="212">
        <v>71.0</v>
      </c>
      <c r="P72" s="216" t="s">
        <v>233</v>
      </c>
      <c r="Q72" s="216" t="s">
        <v>267</v>
      </c>
      <c r="R72" s="216" t="s">
        <v>546</v>
      </c>
    </row>
    <row r="73" ht="42.0" customHeight="1">
      <c r="A73" s="212" t="s">
        <v>553</v>
      </c>
      <c r="B73" s="213" t="s">
        <v>163</v>
      </c>
      <c r="C73" s="213" t="s">
        <v>542</v>
      </c>
      <c r="D73" s="213" t="s">
        <v>554</v>
      </c>
      <c r="E73" s="212" t="s">
        <v>263</v>
      </c>
      <c r="F73" s="214" t="s">
        <v>555</v>
      </c>
      <c r="G73" s="214" t="s">
        <v>556</v>
      </c>
      <c r="H73" s="212"/>
      <c r="I73" s="212"/>
      <c r="J73" s="212" t="s">
        <v>551</v>
      </c>
      <c r="K73" s="215">
        <v>46268.0</v>
      </c>
      <c r="L73" s="215">
        <v>46275.0</v>
      </c>
      <c r="M73" s="213" t="s">
        <v>244</v>
      </c>
      <c r="N73" s="213" t="s">
        <v>552</v>
      </c>
      <c r="O73" s="212">
        <v>72.0</v>
      </c>
      <c r="P73" s="216" t="s">
        <v>233</v>
      </c>
      <c r="Q73" s="216" t="s">
        <v>267</v>
      </c>
      <c r="R73" s="216" t="s">
        <v>546</v>
      </c>
    </row>
    <row r="74" ht="42.0" customHeight="1">
      <c r="A74" s="212" t="s">
        <v>557</v>
      </c>
      <c r="B74" s="213" t="s">
        <v>163</v>
      </c>
      <c r="C74" s="213" t="s">
        <v>542</v>
      </c>
      <c r="D74" s="213" t="s">
        <v>558</v>
      </c>
      <c r="E74" s="212" t="s">
        <v>263</v>
      </c>
      <c r="F74" s="214" t="s">
        <v>559</v>
      </c>
      <c r="G74" s="214" t="s">
        <v>560</v>
      </c>
      <c r="H74" s="212"/>
      <c r="I74" s="212"/>
      <c r="J74" s="212" t="s">
        <v>551</v>
      </c>
      <c r="K74" s="215"/>
      <c r="L74" s="215"/>
      <c r="M74" s="213" t="s">
        <v>244</v>
      </c>
      <c r="N74" s="213" t="s">
        <v>561</v>
      </c>
      <c r="O74" s="212">
        <v>73.0</v>
      </c>
      <c r="P74" s="217" t="s">
        <v>288</v>
      </c>
      <c r="Q74" s="217" t="s">
        <v>267</v>
      </c>
      <c r="R74" s="217" t="s">
        <v>511</v>
      </c>
    </row>
    <row r="75" ht="42.0" customHeight="1">
      <c r="A75" s="212" t="s">
        <v>562</v>
      </c>
      <c r="B75" s="213" t="s">
        <v>163</v>
      </c>
      <c r="C75" s="213" t="s">
        <v>542</v>
      </c>
      <c r="D75" s="213" t="s">
        <v>563</v>
      </c>
      <c r="E75" s="212" t="s">
        <v>263</v>
      </c>
      <c r="F75" s="214" t="s">
        <v>564</v>
      </c>
      <c r="G75" s="214" t="s">
        <v>565</v>
      </c>
      <c r="H75" s="212"/>
      <c r="I75" s="212"/>
      <c r="J75" s="212" t="s">
        <v>551</v>
      </c>
      <c r="K75" s="215">
        <v>46268.0</v>
      </c>
      <c r="L75" s="215">
        <v>46275.0</v>
      </c>
      <c r="M75" s="213" t="s">
        <v>244</v>
      </c>
      <c r="N75" s="213" t="s">
        <v>552</v>
      </c>
      <c r="O75" s="212">
        <v>74.0</v>
      </c>
      <c r="P75" s="216" t="s">
        <v>233</v>
      </c>
      <c r="Q75" s="216" t="s">
        <v>267</v>
      </c>
      <c r="R75" s="216" t="s">
        <v>546</v>
      </c>
    </row>
    <row r="76" ht="42.0" customHeight="1">
      <c r="A76" s="212" t="s">
        <v>566</v>
      </c>
      <c r="B76" s="213" t="s">
        <v>163</v>
      </c>
      <c r="C76" s="213" t="s">
        <v>542</v>
      </c>
      <c r="D76" s="213" t="s">
        <v>567</v>
      </c>
      <c r="E76" s="212" t="s">
        <v>263</v>
      </c>
      <c r="F76" s="214" t="s">
        <v>568</v>
      </c>
      <c r="G76" s="214" t="s">
        <v>569</v>
      </c>
      <c r="H76" s="212"/>
      <c r="I76" s="212"/>
      <c r="J76" s="212" t="s">
        <v>551</v>
      </c>
      <c r="K76" s="215"/>
      <c r="L76" s="215"/>
      <c r="M76" s="213" t="s">
        <v>231</v>
      </c>
      <c r="N76" s="213" t="s">
        <v>570</v>
      </c>
      <c r="O76" s="212">
        <v>75.0</v>
      </c>
      <c r="P76" s="217" t="s">
        <v>288</v>
      </c>
      <c r="Q76" s="217" t="s">
        <v>267</v>
      </c>
      <c r="R76" s="217" t="s">
        <v>310</v>
      </c>
    </row>
    <row r="77" ht="42.0" customHeight="1">
      <c r="A77" s="212" t="s">
        <v>571</v>
      </c>
      <c r="B77" s="213" t="s">
        <v>163</v>
      </c>
      <c r="C77" s="213" t="s">
        <v>572</v>
      </c>
      <c r="D77" s="213" t="s">
        <v>573</v>
      </c>
      <c r="E77" s="212" t="s">
        <v>263</v>
      </c>
      <c r="F77" s="214" t="s">
        <v>574</v>
      </c>
      <c r="G77" s="214" t="s">
        <v>575</v>
      </c>
      <c r="H77" s="212"/>
      <c r="I77" s="212"/>
      <c r="J77" s="212" t="s">
        <v>576</v>
      </c>
      <c r="K77" s="215">
        <v>46272.0</v>
      </c>
      <c r="L77" s="215">
        <v>46273.0</v>
      </c>
      <c r="M77" s="213" t="s">
        <v>529</v>
      </c>
      <c r="N77" s="213"/>
      <c r="O77" s="212">
        <v>76.0</v>
      </c>
      <c r="P77" s="216" t="s">
        <v>233</v>
      </c>
      <c r="Q77" s="216" t="s">
        <v>283</v>
      </c>
      <c r="R77" s="216" t="s">
        <v>546</v>
      </c>
    </row>
    <row r="78" ht="42.0" customHeight="1">
      <c r="A78" s="212" t="s">
        <v>577</v>
      </c>
      <c r="B78" s="213" t="s">
        <v>163</v>
      </c>
      <c r="C78" s="213" t="s">
        <v>572</v>
      </c>
      <c r="D78" s="213" t="s">
        <v>578</v>
      </c>
      <c r="E78" s="212" t="s">
        <v>263</v>
      </c>
      <c r="F78" s="214" t="s">
        <v>579</v>
      </c>
      <c r="G78" s="214" t="s">
        <v>580</v>
      </c>
      <c r="H78" s="212"/>
      <c r="I78" s="212"/>
      <c r="J78" s="212" t="s">
        <v>576</v>
      </c>
      <c r="K78" s="215">
        <v>46274.0</v>
      </c>
      <c r="L78" s="215">
        <v>46280.0</v>
      </c>
      <c r="M78" s="213" t="s">
        <v>244</v>
      </c>
      <c r="N78" s="213" t="s">
        <v>552</v>
      </c>
      <c r="O78" s="212">
        <v>77.0</v>
      </c>
      <c r="P78" s="216" t="s">
        <v>233</v>
      </c>
      <c r="Q78" s="216" t="s">
        <v>283</v>
      </c>
      <c r="R78" s="216" t="s">
        <v>546</v>
      </c>
    </row>
    <row r="79" ht="42.0" customHeight="1">
      <c r="A79" s="212" t="s">
        <v>581</v>
      </c>
      <c r="B79" s="213" t="s">
        <v>163</v>
      </c>
      <c r="C79" s="213" t="s">
        <v>572</v>
      </c>
      <c r="D79" s="213" t="s">
        <v>582</v>
      </c>
      <c r="E79" s="212" t="s">
        <v>263</v>
      </c>
      <c r="F79" s="214" t="s">
        <v>583</v>
      </c>
      <c r="G79" s="214" t="s">
        <v>584</v>
      </c>
      <c r="H79" s="212"/>
      <c r="I79" s="212"/>
      <c r="J79" s="212" t="s">
        <v>576</v>
      </c>
      <c r="K79" s="215">
        <v>46274.0</v>
      </c>
      <c r="L79" s="215">
        <v>46280.0</v>
      </c>
      <c r="M79" s="213" t="s">
        <v>287</v>
      </c>
      <c r="N79" s="213"/>
      <c r="O79" s="212">
        <v>78.0</v>
      </c>
      <c r="P79" s="216" t="s">
        <v>233</v>
      </c>
      <c r="Q79" s="216" t="s">
        <v>283</v>
      </c>
      <c r="R79" s="216" t="s">
        <v>546</v>
      </c>
    </row>
    <row r="80" ht="42.0" customHeight="1">
      <c r="A80" s="212" t="s">
        <v>585</v>
      </c>
      <c r="B80" s="213" t="s">
        <v>163</v>
      </c>
      <c r="C80" s="213" t="s">
        <v>572</v>
      </c>
      <c r="D80" s="213" t="s">
        <v>586</v>
      </c>
      <c r="E80" s="212" t="s">
        <v>263</v>
      </c>
      <c r="F80" s="214" t="s">
        <v>587</v>
      </c>
      <c r="G80" s="214" t="s">
        <v>588</v>
      </c>
      <c r="H80" s="212"/>
      <c r="I80" s="212"/>
      <c r="J80" s="212" t="s">
        <v>576</v>
      </c>
      <c r="K80" s="215">
        <v>46274.0</v>
      </c>
      <c r="L80" s="215">
        <v>46280.0</v>
      </c>
      <c r="M80" s="213" t="s">
        <v>244</v>
      </c>
      <c r="N80" s="213"/>
      <c r="O80" s="212">
        <v>79.0</v>
      </c>
      <c r="P80" s="216" t="s">
        <v>233</v>
      </c>
      <c r="Q80" s="216" t="s">
        <v>283</v>
      </c>
      <c r="R80" s="216" t="s">
        <v>546</v>
      </c>
    </row>
    <row r="81" ht="42.0" customHeight="1">
      <c r="A81" s="212" t="s">
        <v>589</v>
      </c>
      <c r="B81" s="213" t="s">
        <v>163</v>
      </c>
      <c r="C81" s="213" t="s">
        <v>572</v>
      </c>
      <c r="D81" s="213" t="s">
        <v>590</v>
      </c>
      <c r="E81" s="212" t="s">
        <v>263</v>
      </c>
      <c r="F81" s="214" t="s">
        <v>591</v>
      </c>
      <c r="G81" s="214" t="s">
        <v>592</v>
      </c>
      <c r="H81" s="212"/>
      <c r="I81" s="212"/>
      <c r="J81" s="212" t="s">
        <v>576</v>
      </c>
      <c r="K81" s="215"/>
      <c r="L81" s="215"/>
      <c r="M81" s="213" t="s">
        <v>287</v>
      </c>
      <c r="N81" s="213"/>
      <c r="O81" s="212">
        <v>80.0</v>
      </c>
      <c r="P81" s="217" t="s">
        <v>288</v>
      </c>
      <c r="Q81" s="217" t="s">
        <v>267</v>
      </c>
      <c r="R81" s="217" t="s">
        <v>359</v>
      </c>
    </row>
    <row r="82" ht="42.0" customHeight="1">
      <c r="A82" s="212" t="s">
        <v>593</v>
      </c>
      <c r="B82" s="213" t="s">
        <v>163</v>
      </c>
      <c r="C82" s="213" t="s">
        <v>572</v>
      </c>
      <c r="D82" s="213" t="s">
        <v>594</v>
      </c>
      <c r="E82" s="212" t="s">
        <v>263</v>
      </c>
      <c r="F82" s="214" t="s">
        <v>595</v>
      </c>
      <c r="G82" s="214" t="s">
        <v>596</v>
      </c>
      <c r="H82" s="212"/>
      <c r="I82" s="212"/>
      <c r="J82" s="212" t="s">
        <v>576</v>
      </c>
      <c r="K82" s="215"/>
      <c r="L82" s="215"/>
      <c r="M82" s="213" t="s">
        <v>231</v>
      </c>
      <c r="N82" s="213" t="s">
        <v>597</v>
      </c>
      <c r="O82" s="212">
        <v>81.0</v>
      </c>
      <c r="P82" s="217" t="s">
        <v>288</v>
      </c>
      <c r="Q82" s="217" t="s">
        <v>267</v>
      </c>
      <c r="R82" s="217" t="s">
        <v>310</v>
      </c>
    </row>
    <row r="83" ht="42.0" customHeight="1">
      <c r="A83" s="212" t="s">
        <v>598</v>
      </c>
      <c r="B83" s="213" t="s">
        <v>163</v>
      </c>
      <c r="C83" s="213" t="s">
        <v>599</v>
      </c>
      <c r="D83" s="213" t="s">
        <v>600</v>
      </c>
      <c r="E83" s="212" t="s">
        <v>263</v>
      </c>
      <c r="F83" s="214" t="s">
        <v>601</v>
      </c>
      <c r="G83" s="214" t="s">
        <v>602</v>
      </c>
      <c r="H83" s="212"/>
      <c r="I83" s="212"/>
      <c r="J83" s="212" t="s">
        <v>603</v>
      </c>
      <c r="K83" s="215">
        <v>46265.0</v>
      </c>
      <c r="L83" s="215">
        <v>46275.0</v>
      </c>
      <c r="M83" s="213" t="s">
        <v>244</v>
      </c>
      <c r="N83" s="213"/>
      <c r="O83" s="212">
        <v>82.0</v>
      </c>
      <c r="P83" s="216" t="s">
        <v>233</v>
      </c>
      <c r="Q83" s="216" t="s">
        <v>267</v>
      </c>
      <c r="R83" s="216" t="s">
        <v>546</v>
      </c>
    </row>
    <row r="84" ht="42.0" customHeight="1">
      <c r="A84" s="212" t="s">
        <v>604</v>
      </c>
      <c r="B84" s="213" t="s">
        <v>163</v>
      </c>
      <c r="C84" s="213" t="s">
        <v>599</v>
      </c>
      <c r="D84" s="213" t="s">
        <v>605</v>
      </c>
      <c r="E84" s="212" t="s">
        <v>263</v>
      </c>
      <c r="F84" s="214" t="s">
        <v>606</v>
      </c>
      <c r="G84" s="214" t="s">
        <v>607</v>
      </c>
      <c r="H84" s="212"/>
      <c r="I84" s="212"/>
      <c r="J84" s="212" t="s">
        <v>603</v>
      </c>
      <c r="K84" s="215">
        <v>46265.0</v>
      </c>
      <c r="L84" s="215">
        <v>46275.0</v>
      </c>
      <c r="M84" s="213" t="s">
        <v>244</v>
      </c>
      <c r="N84" s="213"/>
      <c r="O84" s="212">
        <v>83.0</v>
      </c>
      <c r="P84" s="216" t="s">
        <v>233</v>
      </c>
      <c r="Q84" s="216" t="s">
        <v>267</v>
      </c>
      <c r="R84" s="216" t="s">
        <v>546</v>
      </c>
    </row>
    <row r="85" ht="42.0" customHeight="1">
      <c r="A85" s="212" t="s">
        <v>608</v>
      </c>
      <c r="B85" s="213" t="s">
        <v>163</v>
      </c>
      <c r="C85" s="213" t="s">
        <v>599</v>
      </c>
      <c r="D85" s="213" t="s">
        <v>609</v>
      </c>
      <c r="E85" s="212" t="s">
        <v>263</v>
      </c>
      <c r="F85" s="214" t="s">
        <v>610</v>
      </c>
      <c r="G85" s="214" t="s">
        <v>611</v>
      </c>
      <c r="H85" s="212"/>
      <c r="I85" s="212"/>
      <c r="J85" s="212" t="s">
        <v>603</v>
      </c>
      <c r="K85" s="215">
        <v>46265.0</v>
      </c>
      <c r="L85" s="215">
        <v>46275.0</v>
      </c>
      <c r="M85" s="213" t="s">
        <v>287</v>
      </c>
      <c r="N85" s="213"/>
      <c r="O85" s="212">
        <v>84.0</v>
      </c>
      <c r="P85" s="216" t="s">
        <v>233</v>
      </c>
      <c r="Q85" s="216" t="s">
        <v>267</v>
      </c>
      <c r="R85" s="216" t="s">
        <v>546</v>
      </c>
    </row>
    <row r="86" ht="42.0" customHeight="1">
      <c r="A86" s="212" t="s">
        <v>612</v>
      </c>
      <c r="B86" s="213" t="s">
        <v>163</v>
      </c>
      <c r="C86" s="213" t="s">
        <v>599</v>
      </c>
      <c r="D86" s="213" t="s">
        <v>613</v>
      </c>
      <c r="E86" s="212" t="s">
        <v>263</v>
      </c>
      <c r="F86" s="214" t="s">
        <v>615</v>
      </c>
      <c r="G86" s="214" t="s">
        <v>616</v>
      </c>
      <c r="H86" s="212" t="s">
        <v>154</v>
      </c>
      <c r="I86" s="212"/>
      <c r="J86" s="212" t="s">
        <v>603</v>
      </c>
      <c r="K86" s="215">
        <v>46265.0</v>
      </c>
      <c r="L86" s="215">
        <v>46275.0</v>
      </c>
      <c r="M86" s="213" t="s">
        <v>244</v>
      </c>
      <c r="N86" s="213"/>
      <c r="O86" s="212">
        <v>85.0</v>
      </c>
      <c r="P86" s="216" t="s">
        <v>233</v>
      </c>
      <c r="Q86" s="216" t="s">
        <v>267</v>
      </c>
      <c r="R86" s="216" t="s">
        <v>546</v>
      </c>
    </row>
    <row r="87" ht="42.0" customHeight="1">
      <c r="A87" s="212" t="s">
        <v>620</v>
      </c>
      <c r="B87" s="213" t="s">
        <v>163</v>
      </c>
      <c r="C87" s="213" t="s">
        <v>599</v>
      </c>
      <c r="D87" s="213" t="s">
        <v>623</v>
      </c>
      <c r="E87" s="212" t="s">
        <v>263</v>
      </c>
      <c r="F87" s="214" t="s">
        <v>626</v>
      </c>
      <c r="G87" s="214" t="s">
        <v>628</v>
      </c>
      <c r="H87" s="212" t="s">
        <v>154</v>
      </c>
      <c r="I87" s="212"/>
      <c r="J87" s="212" t="s">
        <v>603</v>
      </c>
      <c r="K87" s="215">
        <v>46265.0</v>
      </c>
      <c r="L87" s="215">
        <v>46275.0</v>
      </c>
      <c r="M87" s="213" t="s">
        <v>287</v>
      </c>
      <c r="N87" s="213"/>
      <c r="O87" s="212">
        <v>86.0</v>
      </c>
      <c r="P87" s="216" t="s">
        <v>233</v>
      </c>
      <c r="Q87" s="216" t="s">
        <v>267</v>
      </c>
      <c r="R87" s="216" t="s">
        <v>546</v>
      </c>
    </row>
    <row r="88" ht="42.0" customHeight="1">
      <c r="A88" s="212" t="s">
        <v>632</v>
      </c>
      <c r="B88" s="213" t="s">
        <v>163</v>
      </c>
      <c r="C88" s="213" t="s">
        <v>599</v>
      </c>
      <c r="D88" s="213" t="s">
        <v>635</v>
      </c>
      <c r="E88" s="212" t="s">
        <v>263</v>
      </c>
      <c r="F88" s="214" t="s">
        <v>636</v>
      </c>
      <c r="G88" s="214" t="s">
        <v>637</v>
      </c>
      <c r="H88" s="212" t="s">
        <v>154</v>
      </c>
      <c r="I88" s="212"/>
      <c r="J88" s="212" t="s">
        <v>603</v>
      </c>
      <c r="K88" s="215"/>
      <c r="L88" s="215"/>
      <c r="M88" s="213" t="s">
        <v>244</v>
      </c>
      <c r="N88" s="213"/>
      <c r="O88" s="212">
        <v>87.0</v>
      </c>
      <c r="P88" s="217" t="s">
        <v>288</v>
      </c>
      <c r="Q88" s="217" t="s">
        <v>267</v>
      </c>
      <c r="R88" s="217" t="s">
        <v>310</v>
      </c>
    </row>
    <row r="89" ht="42.0" customHeight="1">
      <c r="A89" s="212" t="s">
        <v>643</v>
      </c>
      <c r="B89" s="213" t="s">
        <v>163</v>
      </c>
      <c r="C89" s="213" t="s">
        <v>645</v>
      </c>
      <c r="D89" s="213" t="s">
        <v>646</v>
      </c>
      <c r="E89" s="212" t="s">
        <v>263</v>
      </c>
      <c r="F89" s="214" t="s">
        <v>647</v>
      </c>
      <c r="G89" s="214" t="s">
        <v>649</v>
      </c>
      <c r="H89" s="212"/>
      <c r="I89" s="212"/>
      <c r="J89" s="212" t="s">
        <v>653</v>
      </c>
      <c r="K89" s="215"/>
      <c r="L89" s="215"/>
      <c r="M89" s="213" t="s">
        <v>287</v>
      </c>
      <c r="N89" s="213" t="s">
        <v>659</v>
      </c>
      <c r="O89" s="212">
        <v>88.0</v>
      </c>
      <c r="P89" s="217" t="s">
        <v>288</v>
      </c>
      <c r="Q89" s="217" t="s">
        <v>661</v>
      </c>
      <c r="R89" s="217" t="s">
        <v>662</v>
      </c>
    </row>
    <row r="90" ht="42.0" customHeight="1">
      <c r="A90" s="212" t="s">
        <v>663</v>
      </c>
      <c r="B90" s="213" t="s">
        <v>163</v>
      </c>
      <c r="C90" s="213" t="s">
        <v>645</v>
      </c>
      <c r="D90" s="213" t="s">
        <v>664</v>
      </c>
      <c r="E90" s="212" t="s">
        <v>263</v>
      </c>
      <c r="F90" s="214" t="s">
        <v>666</v>
      </c>
      <c r="G90" s="214" t="s">
        <v>667</v>
      </c>
      <c r="H90" s="212"/>
      <c r="I90" s="212"/>
      <c r="J90" s="212" t="s">
        <v>653</v>
      </c>
      <c r="K90" s="215"/>
      <c r="L90" s="215"/>
      <c r="M90" s="213" t="s">
        <v>287</v>
      </c>
      <c r="N90" s="213"/>
      <c r="O90" s="212">
        <v>89.0</v>
      </c>
      <c r="P90" s="217" t="s">
        <v>288</v>
      </c>
      <c r="Q90" s="217" t="s">
        <v>661</v>
      </c>
      <c r="R90" s="217" t="s">
        <v>662</v>
      </c>
    </row>
    <row r="91" ht="42.0" customHeight="1">
      <c r="A91" s="212" t="s">
        <v>670</v>
      </c>
      <c r="B91" s="213" t="s">
        <v>163</v>
      </c>
      <c r="C91" s="213" t="s">
        <v>645</v>
      </c>
      <c r="D91" s="213" t="s">
        <v>673</v>
      </c>
      <c r="E91" s="212" t="s">
        <v>263</v>
      </c>
      <c r="F91" s="214" t="s">
        <v>675</v>
      </c>
      <c r="G91" s="214" t="s">
        <v>677</v>
      </c>
      <c r="H91" s="212"/>
      <c r="I91" s="212"/>
      <c r="J91" s="212" t="s">
        <v>653</v>
      </c>
      <c r="K91" s="215"/>
      <c r="L91" s="215"/>
      <c r="M91" s="213" t="s">
        <v>244</v>
      </c>
      <c r="N91" s="213"/>
      <c r="O91" s="212">
        <v>90.0</v>
      </c>
      <c r="P91" s="217" t="s">
        <v>288</v>
      </c>
      <c r="Q91" s="217" t="s">
        <v>661</v>
      </c>
      <c r="R91" s="217" t="s">
        <v>662</v>
      </c>
    </row>
    <row r="92" ht="42.0" customHeight="1">
      <c r="A92" s="212" t="s">
        <v>682</v>
      </c>
      <c r="B92" s="213" t="s">
        <v>163</v>
      </c>
      <c r="C92" s="213" t="s">
        <v>645</v>
      </c>
      <c r="D92" s="213" t="s">
        <v>683</v>
      </c>
      <c r="E92" s="212" t="s">
        <v>263</v>
      </c>
      <c r="F92" s="214" t="s">
        <v>685</v>
      </c>
      <c r="G92" s="214" t="s">
        <v>687</v>
      </c>
      <c r="H92" s="212"/>
      <c r="I92" s="212"/>
      <c r="J92" s="212" t="s">
        <v>653</v>
      </c>
      <c r="K92" s="215"/>
      <c r="L92" s="215"/>
      <c r="M92" s="213" t="s">
        <v>287</v>
      </c>
      <c r="N92" s="213"/>
      <c r="O92" s="212">
        <v>91.0</v>
      </c>
      <c r="P92" s="217" t="s">
        <v>288</v>
      </c>
      <c r="Q92" s="217" t="s">
        <v>661</v>
      </c>
      <c r="R92" s="217" t="s">
        <v>662</v>
      </c>
    </row>
    <row r="93" ht="42.0" customHeight="1">
      <c r="A93" s="212" t="s">
        <v>697</v>
      </c>
      <c r="B93" s="213" t="s">
        <v>163</v>
      </c>
      <c r="C93" s="213" t="s">
        <v>645</v>
      </c>
      <c r="D93" s="213" t="s">
        <v>698</v>
      </c>
      <c r="E93" s="212" t="s">
        <v>263</v>
      </c>
      <c r="F93" s="214" t="s">
        <v>699</v>
      </c>
      <c r="G93" s="214" t="s">
        <v>700</v>
      </c>
      <c r="H93" s="212"/>
      <c r="I93" s="212"/>
      <c r="J93" s="212" t="s">
        <v>653</v>
      </c>
      <c r="K93" s="215"/>
      <c r="L93" s="215"/>
      <c r="M93" s="213" t="s">
        <v>287</v>
      </c>
      <c r="N93" s="213"/>
      <c r="O93" s="212">
        <v>92.0</v>
      </c>
      <c r="P93" s="217" t="s">
        <v>288</v>
      </c>
      <c r="Q93" s="217" t="s">
        <v>661</v>
      </c>
      <c r="R93" s="217" t="s">
        <v>662</v>
      </c>
    </row>
    <row r="94" ht="42.0" customHeight="1">
      <c r="A94" s="212" t="s">
        <v>701</v>
      </c>
      <c r="B94" s="213" t="s">
        <v>163</v>
      </c>
      <c r="C94" s="213" t="s">
        <v>645</v>
      </c>
      <c r="D94" s="213" t="s">
        <v>702</v>
      </c>
      <c r="E94" s="212" t="s">
        <v>263</v>
      </c>
      <c r="F94" s="214" t="s">
        <v>703</v>
      </c>
      <c r="G94" s="214" t="s">
        <v>704</v>
      </c>
      <c r="H94" s="212"/>
      <c r="I94" s="212"/>
      <c r="J94" s="212" t="s">
        <v>653</v>
      </c>
      <c r="K94" s="215"/>
      <c r="L94" s="215"/>
      <c r="M94" s="213" t="s">
        <v>287</v>
      </c>
      <c r="N94" s="213" t="s">
        <v>705</v>
      </c>
      <c r="O94" s="212">
        <v>93.0</v>
      </c>
      <c r="P94" s="217" t="s">
        <v>288</v>
      </c>
      <c r="Q94" s="217" t="s">
        <v>661</v>
      </c>
      <c r="R94" s="217" t="s">
        <v>662</v>
      </c>
    </row>
    <row r="95" ht="42.0" customHeight="1">
      <c r="A95" s="212" t="s">
        <v>706</v>
      </c>
      <c r="B95" s="213" t="s">
        <v>163</v>
      </c>
      <c r="C95" s="213" t="s">
        <v>707</v>
      </c>
      <c r="D95" s="213" t="s">
        <v>708</v>
      </c>
      <c r="E95" s="212" t="s">
        <v>211</v>
      </c>
      <c r="F95" s="214" t="s">
        <v>709</v>
      </c>
      <c r="G95" s="214" t="s">
        <v>710</v>
      </c>
      <c r="H95" s="212"/>
      <c r="I95" s="212"/>
      <c r="J95" s="212" t="s">
        <v>711</v>
      </c>
      <c r="K95" s="215"/>
      <c r="L95" s="215"/>
      <c r="M95" s="213" t="s">
        <v>536</v>
      </c>
      <c r="N95" s="213" t="s">
        <v>712</v>
      </c>
      <c r="O95" s="212">
        <v>94.0</v>
      </c>
      <c r="P95" s="217" t="s">
        <v>288</v>
      </c>
      <c r="Q95" s="217" t="s">
        <v>661</v>
      </c>
      <c r="R95" s="217" t="s">
        <v>713</v>
      </c>
    </row>
    <row r="96" ht="42.0" customHeight="1">
      <c r="A96" s="212" t="s">
        <v>714</v>
      </c>
      <c r="B96" s="213" t="s">
        <v>163</v>
      </c>
      <c r="C96" s="213" t="s">
        <v>707</v>
      </c>
      <c r="D96" s="213" t="s">
        <v>715</v>
      </c>
      <c r="E96" s="212" t="s">
        <v>211</v>
      </c>
      <c r="F96" s="214" t="s">
        <v>716</v>
      </c>
      <c r="G96" s="214" t="s">
        <v>717</v>
      </c>
      <c r="H96" s="212"/>
      <c r="I96" s="212"/>
      <c r="J96" s="212" t="s">
        <v>711</v>
      </c>
      <c r="K96" s="215"/>
      <c r="L96" s="215"/>
      <c r="M96" s="213" t="s">
        <v>536</v>
      </c>
      <c r="N96" s="213" t="s">
        <v>712</v>
      </c>
      <c r="O96" s="212">
        <v>95.0</v>
      </c>
      <c r="P96" s="217" t="s">
        <v>288</v>
      </c>
      <c r="Q96" s="217" t="s">
        <v>661</v>
      </c>
      <c r="R96" s="217" t="s">
        <v>713</v>
      </c>
    </row>
    <row r="97" ht="42.0" customHeight="1">
      <c r="A97" s="212" t="s">
        <v>718</v>
      </c>
      <c r="B97" s="213" t="s">
        <v>163</v>
      </c>
      <c r="C97" s="213" t="s">
        <v>707</v>
      </c>
      <c r="D97" s="213" t="s">
        <v>719</v>
      </c>
      <c r="E97" s="212" t="s">
        <v>211</v>
      </c>
      <c r="F97" s="214" t="s">
        <v>720</v>
      </c>
      <c r="G97" s="214" t="s">
        <v>721</v>
      </c>
      <c r="H97" s="212"/>
      <c r="I97" s="212"/>
      <c r="J97" s="212" t="s">
        <v>711</v>
      </c>
      <c r="K97" s="215"/>
      <c r="L97" s="215"/>
      <c r="M97" s="213" t="s">
        <v>536</v>
      </c>
      <c r="N97" s="213" t="s">
        <v>712</v>
      </c>
      <c r="O97" s="212">
        <v>96.0</v>
      </c>
      <c r="P97" s="217" t="s">
        <v>288</v>
      </c>
      <c r="Q97" s="217" t="s">
        <v>661</v>
      </c>
      <c r="R97" s="217" t="s">
        <v>713</v>
      </c>
    </row>
    <row r="98" ht="42.0" customHeight="1">
      <c r="A98" s="212" t="s">
        <v>722</v>
      </c>
      <c r="B98" s="213" t="s">
        <v>163</v>
      </c>
      <c r="C98" s="213" t="s">
        <v>707</v>
      </c>
      <c r="D98" s="213" t="s">
        <v>723</v>
      </c>
      <c r="E98" s="212" t="s">
        <v>211</v>
      </c>
      <c r="F98" s="214" t="s">
        <v>724</v>
      </c>
      <c r="G98" s="214" t="s">
        <v>725</v>
      </c>
      <c r="H98" s="212"/>
      <c r="I98" s="212"/>
      <c r="J98" s="212" t="s">
        <v>711</v>
      </c>
      <c r="K98" s="215"/>
      <c r="L98" s="215"/>
      <c r="M98" s="213" t="s">
        <v>536</v>
      </c>
      <c r="N98" s="213" t="s">
        <v>712</v>
      </c>
      <c r="O98" s="212">
        <v>97.0</v>
      </c>
      <c r="P98" s="217" t="s">
        <v>288</v>
      </c>
      <c r="Q98" s="217" t="s">
        <v>661</v>
      </c>
      <c r="R98" s="217" t="s">
        <v>713</v>
      </c>
    </row>
    <row r="99" ht="42.0" customHeight="1">
      <c r="A99" s="212" t="s">
        <v>726</v>
      </c>
      <c r="B99" s="213" t="s">
        <v>163</v>
      </c>
      <c r="C99" s="213" t="s">
        <v>707</v>
      </c>
      <c r="D99" s="213" t="s">
        <v>727</v>
      </c>
      <c r="E99" s="212" t="s">
        <v>211</v>
      </c>
      <c r="F99" s="214" t="s">
        <v>728</v>
      </c>
      <c r="G99" s="214" t="s">
        <v>729</v>
      </c>
      <c r="H99" s="212"/>
      <c r="I99" s="212"/>
      <c r="J99" s="212" t="s">
        <v>711</v>
      </c>
      <c r="K99" s="215"/>
      <c r="L99" s="215"/>
      <c r="M99" s="213" t="s">
        <v>536</v>
      </c>
      <c r="N99" s="213" t="s">
        <v>712</v>
      </c>
      <c r="O99" s="212">
        <v>98.0</v>
      </c>
      <c r="P99" s="217" t="s">
        <v>288</v>
      </c>
      <c r="Q99" s="217" t="s">
        <v>661</v>
      </c>
      <c r="R99" s="217" t="s">
        <v>713</v>
      </c>
    </row>
    <row r="100" ht="42.0" customHeight="1">
      <c r="A100" s="212" t="s">
        <v>730</v>
      </c>
      <c r="B100" s="213" t="s">
        <v>163</v>
      </c>
      <c r="C100" s="213" t="s">
        <v>707</v>
      </c>
      <c r="D100" s="213" t="s">
        <v>731</v>
      </c>
      <c r="E100" s="212" t="s">
        <v>211</v>
      </c>
      <c r="F100" s="214" t="s">
        <v>732</v>
      </c>
      <c r="G100" s="214" t="s">
        <v>733</v>
      </c>
      <c r="H100" s="212"/>
      <c r="I100" s="212"/>
      <c r="J100" s="212" t="s">
        <v>711</v>
      </c>
      <c r="K100" s="215"/>
      <c r="L100" s="215"/>
      <c r="M100" s="213" t="s">
        <v>536</v>
      </c>
      <c r="N100" s="213" t="s">
        <v>712</v>
      </c>
      <c r="O100" s="212">
        <v>99.0</v>
      </c>
      <c r="P100" s="217" t="s">
        <v>288</v>
      </c>
      <c r="Q100" s="217" t="s">
        <v>661</v>
      </c>
      <c r="R100" s="217" t="s">
        <v>713</v>
      </c>
    </row>
    <row r="101" ht="42.0" customHeight="1">
      <c r="A101" s="212" t="s">
        <v>734</v>
      </c>
      <c r="B101" s="213" t="s">
        <v>163</v>
      </c>
      <c r="C101" s="213" t="s">
        <v>707</v>
      </c>
      <c r="D101" s="213" t="s">
        <v>735</v>
      </c>
      <c r="E101" s="212" t="s">
        <v>211</v>
      </c>
      <c r="F101" s="214" t="s">
        <v>736</v>
      </c>
      <c r="G101" s="214" t="s">
        <v>737</v>
      </c>
      <c r="H101" s="212"/>
      <c r="I101" s="212"/>
      <c r="J101" s="212" t="s">
        <v>711</v>
      </c>
      <c r="K101" s="215"/>
      <c r="L101" s="215"/>
      <c r="M101" s="213" t="s">
        <v>536</v>
      </c>
      <c r="N101" s="213" t="s">
        <v>712</v>
      </c>
      <c r="O101" s="212">
        <v>100.0</v>
      </c>
      <c r="P101" s="217" t="s">
        <v>288</v>
      </c>
      <c r="Q101" s="217" t="s">
        <v>661</v>
      </c>
      <c r="R101" s="217" t="s">
        <v>713</v>
      </c>
    </row>
    <row r="102" ht="42.0" customHeight="1">
      <c r="A102" s="212" t="s">
        <v>738</v>
      </c>
      <c r="B102" s="213" t="s">
        <v>163</v>
      </c>
      <c r="C102" s="213" t="s">
        <v>707</v>
      </c>
      <c r="D102" s="213" t="s">
        <v>739</v>
      </c>
      <c r="E102" s="212" t="s">
        <v>211</v>
      </c>
      <c r="F102" s="214" t="s">
        <v>740</v>
      </c>
      <c r="G102" s="214" t="s">
        <v>741</v>
      </c>
      <c r="H102" s="212"/>
      <c r="I102" s="212"/>
      <c r="J102" s="212" t="s">
        <v>711</v>
      </c>
      <c r="K102" s="215"/>
      <c r="L102" s="215"/>
      <c r="M102" s="213" t="s">
        <v>536</v>
      </c>
      <c r="N102" s="213" t="s">
        <v>712</v>
      </c>
      <c r="O102" s="212">
        <v>101.0</v>
      </c>
      <c r="P102" s="217" t="s">
        <v>288</v>
      </c>
      <c r="Q102" s="217" t="s">
        <v>661</v>
      </c>
      <c r="R102" s="217" t="s">
        <v>713</v>
      </c>
    </row>
    <row r="103" ht="42.0" customHeight="1">
      <c r="A103" s="212" t="s">
        <v>744</v>
      </c>
      <c r="B103" s="213" t="s">
        <v>163</v>
      </c>
      <c r="C103" s="213" t="s">
        <v>747</v>
      </c>
      <c r="D103" s="213" t="s">
        <v>749</v>
      </c>
      <c r="E103" s="212" t="s">
        <v>214</v>
      </c>
      <c r="F103" s="214" t="s">
        <v>754</v>
      </c>
      <c r="G103" s="214" t="s">
        <v>755</v>
      </c>
      <c r="H103" s="212"/>
      <c r="I103" s="212"/>
      <c r="J103" s="212" t="s">
        <v>260</v>
      </c>
      <c r="K103" s="215">
        <v>46283.0</v>
      </c>
      <c r="L103" s="215">
        <v>46283.0</v>
      </c>
      <c r="M103" s="213" t="s">
        <v>255</v>
      </c>
      <c r="N103" s="213" t="s">
        <v>759</v>
      </c>
      <c r="O103" s="212">
        <v>102.0</v>
      </c>
      <c r="P103" s="216" t="s">
        <v>233</v>
      </c>
      <c r="Q103" s="216" t="s">
        <v>283</v>
      </c>
      <c r="R103" s="216" t="s">
        <v>760</v>
      </c>
    </row>
    <row r="104" ht="42.0" customHeight="1">
      <c r="A104" s="212" t="s">
        <v>761</v>
      </c>
      <c r="B104" s="213" t="s">
        <v>163</v>
      </c>
      <c r="C104" s="213" t="s">
        <v>692</v>
      </c>
      <c r="D104" s="213" t="s">
        <v>762</v>
      </c>
      <c r="E104" s="212" t="s">
        <v>211</v>
      </c>
      <c r="F104" s="214" t="s">
        <v>763</v>
      </c>
      <c r="G104" s="214" t="s">
        <v>764</v>
      </c>
      <c r="H104" s="212"/>
      <c r="I104" s="212"/>
      <c r="J104" s="212" t="s">
        <v>765</v>
      </c>
      <c r="K104" s="215"/>
      <c r="L104" s="215"/>
      <c r="M104" s="213" t="s">
        <v>287</v>
      </c>
      <c r="N104" s="213" t="s">
        <v>766</v>
      </c>
      <c r="O104" s="212">
        <v>103.0</v>
      </c>
      <c r="P104" s="217" t="s">
        <v>288</v>
      </c>
      <c r="Q104" s="217" t="s">
        <v>661</v>
      </c>
      <c r="R104" s="217" t="s">
        <v>767</v>
      </c>
    </row>
    <row r="105" ht="42.0" customHeight="1">
      <c r="A105" s="212" t="s">
        <v>768</v>
      </c>
      <c r="B105" s="213" t="s">
        <v>163</v>
      </c>
      <c r="C105" s="213" t="s">
        <v>692</v>
      </c>
      <c r="D105" s="213" t="s">
        <v>770</v>
      </c>
      <c r="E105" s="212" t="s">
        <v>211</v>
      </c>
      <c r="F105" s="214" t="s">
        <v>771</v>
      </c>
      <c r="G105" s="214" t="s">
        <v>772</v>
      </c>
      <c r="H105" s="212"/>
      <c r="I105" s="212"/>
      <c r="J105" s="212" t="s">
        <v>765</v>
      </c>
      <c r="K105" s="215"/>
      <c r="L105" s="215"/>
      <c r="M105" s="213" t="s">
        <v>287</v>
      </c>
      <c r="N105" s="213" t="s">
        <v>766</v>
      </c>
      <c r="O105" s="212">
        <v>104.0</v>
      </c>
      <c r="P105" s="217" t="s">
        <v>288</v>
      </c>
      <c r="Q105" s="217" t="s">
        <v>661</v>
      </c>
      <c r="R105" s="217" t="s">
        <v>767</v>
      </c>
    </row>
    <row r="106" ht="42.0" customHeight="1">
      <c r="A106" s="212" t="s">
        <v>773</v>
      </c>
      <c r="B106" s="213" t="s">
        <v>163</v>
      </c>
      <c r="C106" s="213" t="s">
        <v>692</v>
      </c>
      <c r="D106" s="213" t="s">
        <v>774</v>
      </c>
      <c r="E106" s="212" t="s">
        <v>211</v>
      </c>
      <c r="F106" s="214" t="s">
        <v>775</v>
      </c>
      <c r="G106" s="214" t="s">
        <v>776</v>
      </c>
      <c r="H106" s="212"/>
      <c r="I106" s="212"/>
      <c r="J106" s="212" t="s">
        <v>765</v>
      </c>
      <c r="K106" s="215"/>
      <c r="L106" s="215"/>
      <c r="M106" s="213" t="s">
        <v>287</v>
      </c>
      <c r="N106" s="213" t="s">
        <v>778</v>
      </c>
      <c r="O106" s="212">
        <v>105.0</v>
      </c>
      <c r="P106" s="217" t="s">
        <v>288</v>
      </c>
      <c r="Q106" s="217" t="s">
        <v>661</v>
      </c>
      <c r="R106" s="217" t="s">
        <v>767</v>
      </c>
    </row>
    <row r="107" ht="42.0" customHeight="1">
      <c r="A107" s="212" t="s">
        <v>779</v>
      </c>
      <c r="B107" s="213" t="s">
        <v>163</v>
      </c>
      <c r="C107" s="213" t="s">
        <v>692</v>
      </c>
      <c r="D107" s="213" t="s">
        <v>780</v>
      </c>
      <c r="E107" s="212" t="s">
        <v>211</v>
      </c>
      <c r="F107" s="214" t="s">
        <v>781</v>
      </c>
      <c r="G107" s="214" t="s">
        <v>782</v>
      </c>
      <c r="H107" s="212"/>
      <c r="I107" s="212"/>
      <c r="J107" s="212" t="s">
        <v>765</v>
      </c>
      <c r="K107" s="215"/>
      <c r="L107" s="215"/>
      <c r="M107" s="213" t="s">
        <v>287</v>
      </c>
      <c r="N107" s="213" t="s">
        <v>766</v>
      </c>
      <c r="O107" s="212">
        <v>106.0</v>
      </c>
      <c r="P107" s="217" t="s">
        <v>288</v>
      </c>
      <c r="Q107" s="217" t="s">
        <v>661</v>
      </c>
      <c r="R107" s="217" t="s">
        <v>767</v>
      </c>
    </row>
    <row r="108" ht="42.0" customHeight="1">
      <c r="A108" s="212" t="s">
        <v>783</v>
      </c>
      <c r="B108" s="213" t="s">
        <v>163</v>
      </c>
      <c r="C108" s="213" t="s">
        <v>692</v>
      </c>
      <c r="D108" s="213" t="s">
        <v>784</v>
      </c>
      <c r="E108" s="212" t="s">
        <v>211</v>
      </c>
      <c r="F108" s="214" t="s">
        <v>785</v>
      </c>
      <c r="G108" s="214" t="s">
        <v>786</v>
      </c>
      <c r="H108" s="212"/>
      <c r="I108" s="212"/>
      <c r="J108" s="212" t="s">
        <v>765</v>
      </c>
      <c r="K108" s="215"/>
      <c r="L108" s="215"/>
      <c r="M108" s="213" t="s">
        <v>287</v>
      </c>
      <c r="N108" s="213" t="s">
        <v>788</v>
      </c>
      <c r="O108" s="212">
        <v>107.0</v>
      </c>
      <c r="P108" s="217" t="s">
        <v>288</v>
      </c>
      <c r="Q108" s="217" t="s">
        <v>661</v>
      </c>
      <c r="R108" s="217" t="s">
        <v>767</v>
      </c>
    </row>
    <row r="109" ht="42.0" customHeight="1">
      <c r="A109" s="212" t="s">
        <v>789</v>
      </c>
      <c r="B109" s="213" t="s">
        <v>163</v>
      </c>
      <c r="C109" s="213" t="s">
        <v>692</v>
      </c>
      <c r="D109" s="213" t="s">
        <v>790</v>
      </c>
      <c r="E109" s="212" t="s">
        <v>211</v>
      </c>
      <c r="F109" s="214" t="s">
        <v>791</v>
      </c>
      <c r="G109" s="214" t="s">
        <v>792</v>
      </c>
      <c r="H109" s="212"/>
      <c r="I109" s="212"/>
      <c r="J109" s="212" t="s">
        <v>765</v>
      </c>
      <c r="K109" s="215"/>
      <c r="L109" s="215"/>
      <c r="M109" s="213" t="s">
        <v>287</v>
      </c>
      <c r="N109" s="213" t="s">
        <v>766</v>
      </c>
      <c r="O109" s="212">
        <v>108.0</v>
      </c>
      <c r="P109" s="217" t="s">
        <v>288</v>
      </c>
      <c r="Q109" s="217" t="s">
        <v>661</v>
      </c>
      <c r="R109" s="217" t="s">
        <v>767</v>
      </c>
    </row>
    <row r="110" ht="42.0" customHeight="1">
      <c r="A110" s="212" t="s">
        <v>793</v>
      </c>
      <c r="B110" s="213" t="s">
        <v>163</v>
      </c>
      <c r="C110" s="213" t="s">
        <v>692</v>
      </c>
      <c r="D110" s="213" t="s">
        <v>794</v>
      </c>
      <c r="E110" s="212" t="s">
        <v>211</v>
      </c>
      <c r="F110" s="214" t="s">
        <v>795</v>
      </c>
      <c r="G110" s="214" t="s">
        <v>796</v>
      </c>
      <c r="H110" s="212"/>
      <c r="I110" s="212"/>
      <c r="J110" s="212" t="s">
        <v>765</v>
      </c>
      <c r="K110" s="215"/>
      <c r="L110" s="215"/>
      <c r="M110" s="213" t="s">
        <v>287</v>
      </c>
      <c r="N110" s="213" t="s">
        <v>798</v>
      </c>
      <c r="O110" s="212">
        <v>109.0</v>
      </c>
      <c r="P110" s="217" t="s">
        <v>288</v>
      </c>
      <c r="Q110" s="217" t="s">
        <v>661</v>
      </c>
      <c r="R110" s="217" t="s">
        <v>767</v>
      </c>
    </row>
    <row r="111" ht="42.0" customHeight="1">
      <c r="A111" s="212" t="s">
        <v>799</v>
      </c>
      <c r="B111" s="213" t="s">
        <v>163</v>
      </c>
      <c r="C111" s="213" t="s">
        <v>692</v>
      </c>
      <c r="D111" s="213" t="s">
        <v>800</v>
      </c>
      <c r="E111" s="212" t="s">
        <v>211</v>
      </c>
      <c r="F111" s="214" t="s">
        <v>801</v>
      </c>
      <c r="G111" s="214" t="s">
        <v>802</v>
      </c>
      <c r="H111" s="212"/>
      <c r="I111" s="212"/>
      <c r="J111" s="212" t="s">
        <v>765</v>
      </c>
      <c r="K111" s="215"/>
      <c r="L111" s="215"/>
      <c r="M111" s="213" t="s">
        <v>287</v>
      </c>
      <c r="N111" s="213" t="s">
        <v>798</v>
      </c>
      <c r="O111" s="212">
        <v>110.0</v>
      </c>
      <c r="P111" s="217" t="s">
        <v>288</v>
      </c>
      <c r="Q111" s="217" t="s">
        <v>661</v>
      </c>
      <c r="R111" s="217" t="s">
        <v>767</v>
      </c>
    </row>
    <row r="112" ht="42.0" customHeight="1">
      <c r="A112" s="212" t="s">
        <v>804</v>
      </c>
      <c r="B112" s="213" t="s">
        <v>163</v>
      </c>
      <c r="C112" s="213" t="s">
        <v>692</v>
      </c>
      <c r="D112" s="213" t="s">
        <v>805</v>
      </c>
      <c r="E112" s="212" t="s">
        <v>211</v>
      </c>
      <c r="F112" s="214" t="s">
        <v>806</v>
      </c>
      <c r="G112" s="214" t="s">
        <v>807</v>
      </c>
      <c r="H112" s="212"/>
      <c r="I112" s="212"/>
      <c r="J112" s="212" t="s">
        <v>765</v>
      </c>
      <c r="K112" s="215"/>
      <c r="L112" s="215"/>
      <c r="M112" s="213" t="s">
        <v>287</v>
      </c>
      <c r="N112" s="213" t="s">
        <v>798</v>
      </c>
      <c r="O112" s="212">
        <v>111.0</v>
      </c>
      <c r="P112" s="217" t="s">
        <v>288</v>
      </c>
      <c r="Q112" s="217" t="s">
        <v>661</v>
      </c>
      <c r="R112" s="217" t="s">
        <v>767</v>
      </c>
    </row>
    <row r="113" ht="42.0" customHeight="1">
      <c r="A113" s="212" t="s">
        <v>809</v>
      </c>
      <c r="B113" s="213" t="s">
        <v>163</v>
      </c>
      <c r="C113" s="213" t="s">
        <v>692</v>
      </c>
      <c r="D113" s="213" t="s">
        <v>810</v>
      </c>
      <c r="E113" s="212" t="s">
        <v>211</v>
      </c>
      <c r="F113" s="214" t="s">
        <v>811</v>
      </c>
      <c r="G113" s="214" t="s">
        <v>812</v>
      </c>
      <c r="H113" s="212"/>
      <c r="I113" s="212"/>
      <c r="J113" s="212" t="s">
        <v>765</v>
      </c>
      <c r="K113" s="215"/>
      <c r="L113" s="215"/>
      <c r="M113" s="213" t="s">
        <v>287</v>
      </c>
      <c r="N113" s="213" t="s">
        <v>813</v>
      </c>
      <c r="O113" s="212">
        <v>112.0</v>
      </c>
      <c r="P113" s="217" t="s">
        <v>288</v>
      </c>
      <c r="Q113" s="217" t="s">
        <v>661</v>
      </c>
      <c r="R113" s="217" t="s">
        <v>767</v>
      </c>
    </row>
    <row r="114" ht="42.0" customHeight="1">
      <c r="A114" s="212" t="s">
        <v>814</v>
      </c>
      <c r="B114" s="213" t="s">
        <v>163</v>
      </c>
      <c r="C114" s="213" t="s">
        <v>692</v>
      </c>
      <c r="D114" s="213" t="s">
        <v>816</v>
      </c>
      <c r="E114" s="212" t="s">
        <v>211</v>
      </c>
      <c r="F114" s="214" t="s">
        <v>817</v>
      </c>
      <c r="G114" s="214" t="s">
        <v>818</v>
      </c>
      <c r="H114" s="212"/>
      <c r="I114" s="212"/>
      <c r="J114" s="212" t="s">
        <v>765</v>
      </c>
      <c r="K114" s="215"/>
      <c r="L114" s="215"/>
      <c r="M114" s="213" t="s">
        <v>244</v>
      </c>
      <c r="N114" s="213" t="s">
        <v>819</v>
      </c>
      <c r="O114" s="212">
        <v>113.0</v>
      </c>
      <c r="P114" s="217" t="s">
        <v>288</v>
      </c>
      <c r="Q114" s="217" t="s">
        <v>661</v>
      </c>
      <c r="R114" s="217" t="s">
        <v>767</v>
      </c>
    </row>
    <row r="115" ht="42.0" customHeight="1">
      <c r="A115" s="212" t="s">
        <v>820</v>
      </c>
      <c r="B115" s="213" t="s">
        <v>163</v>
      </c>
      <c r="C115" s="213" t="s">
        <v>821</v>
      </c>
      <c r="D115" s="213" t="s">
        <v>822</v>
      </c>
      <c r="E115" s="212" t="s">
        <v>823</v>
      </c>
      <c r="F115" s="214" t="s">
        <v>824</v>
      </c>
      <c r="G115" s="214" t="s">
        <v>825</v>
      </c>
      <c r="H115" s="212"/>
      <c r="I115" s="212"/>
      <c r="J115" s="212" t="s">
        <v>826</v>
      </c>
      <c r="K115" s="215"/>
      <c r="L115" s="215"/>
      <c r="M115" s="213" t="s">
        <v>287</v>
      </c>
      <c r="N115" s="213" t="s">
        <v>827</v>
      </c>
      <c r="O115" s="212">
        <v>114.0</v>
      </c>
      <c r="P115" s="218" t="s">
        <v>538</v>
      </c>
      <c r="Q115" s="218" t="s">
        <v>539</v>
      </c>
      <c r="R115" s="218" t="s">
        <v>828</v>
      </c>
    </row>
    <row r="116" ht="42.0" customHeight="1">
      <c r="A116" s="212" t="s">
        <v>829</v>
      </c>
      <c r="B116" s="213" t="s">
        <v>163</v>
      </c>
      <c r="C116" s="213" t="s">
        <v>821</v>
      </c>
      <c r="D116" s="213" t="s">
        <v>830</v>
      </c>
      <c r="E116" s="212" t="s">
        <v>823</v>
      </c>
      <c r="F116" s="214" t="s">
        <v>831</v>
      </c>
      <c r="G116" s="214" t="s">
        <v>825</v>
      </c>
      <c r="H116" s="212"/>
      <c r="I116" s="212"/>
      <c r="J116" s="212" t="s">
        <v>826</v>
      </c>
      <c r="K116" s="215"/>
      <c r="L116" s="215"/>
      <c r="M116" s="213" t="s">
        <v>287</v>
      </c>
      <c r="N116" s="213" t="s">
        <v>833</v>
      </c>
      <c r="O116" s="212">
        <v>115.0</v>
      </c>
      <c r="P116" s="218" t="s">
        <v>538</v>
      </c>
      <c r="Q116" s="218" t="s">
        <v>539</v>
      </c>
      <c r="R116" s="218" t="s">
        <v>828</v>
      </c>
    </row>
    <row r="117" ht="42.0" customHeight="1">
      <c r="A117" s="212" t="s">
        <v>834</v>
      </c>
      <c r="B117" s="213" t="s">
        <v>163</v>
      </c>
      <c r="C117" s="213" t="s">
        <v>821</v>
      </c>
      <c r="D117" s="213" t="s">
        <v>835</v>
      </c>
      <c r="E117" s="212" t="s">
        <v>823</v>
      </c>
      <c r="F117" s="214" t="s">
        <v>836</v>
      </c>
      <c r="G117" s="214" t="s">
        <v>825</v>
      </c>
      <c r="H117" s="212"/>
      <c r="I117" s="212"/>
      <c r="J117" s="212" t="s">
        <v>826</v>
      </c>
      <c r="K117" s="215"/>
      <c r="L117" s="215"/>
      <c r="M117" s="213" t="s">
        <v>287</v>
      </c>
      <c r="N117" s="213" t="s">
        <v>837</v>
      </c>
      <c r="O117" s="212">
        <v>116.0</v>
      </c>
      <c r="P117" s="218" t="s">
        <v>538</v>
      </c>
      <c r="Q117" s="218" t="s">
        <v>539</v>
      </c>
      <c r="R117" s="218" t="s">
        <v>828</v>
      </c>
    </row>
    <row r="118" ht="42.0" customHeight="1">
      <c r="A118" s="212" t="s">
        <v>838</v>
      </c>
      <c r="B118" s="213" t="s">
        <v>163</v>
      </c>
      <c r="C118" s="213" t="s">
        <v>821</v>
      </c>
      <c r="D118" s="213" t="s">
        <v>839</v>
      </c>
      <c r="E118" s="212" t="s">
        <v>823</v>
      </c>
      <c r="F118" s="214" t="s">
        <v>840</v>
      </c>
      <c r="G118" s="214" t="s">
        <v>825</v>
      </c>
      <c r="H118" s="212"/>
      <c r="I118" s="212"/>
      <c r="J118" s="212" t="s">
        <v>826</v>
      </c>
      <c r="K118" s="215"/>
      <c r="L118" s="215"/>
      <c r="M118" s="213" t="s">
        <v>287</v>
      </c>
      <c r="N118" s="213" t="s">
        <v>841</v>
      </c>
      <c r="O118" s="212">
        <v>117.0</v>
      </c>
      <c r="P118" s="218" t="s">
        <v>538</v>
      </c>
      <c r="Q118" s="218" t="s">
        <v>539</v>
      </c>
      <c r="R118" s="218" t="s">
        <v>828</v>
      </c>
    </row>
    <row r="119" ht="42.0" customHeight="1">
      <c r="A119" s="212" t="s">
        <v>842</v>
      </c>
      <c r="B119" s="213" t="s">
        <v>163</v>
      </c>
      <c r="C119" s="213" t="s">
        <v>843</v>
      </c>
      <c r="D119" s="213" t="s">
        <v>844</v>
      </c>
      <c r="E119" s="212" t="s">
        <v>823</v>
      </c>
      <c r="F119" s="214" t="s">
        <v>845</v>
      </c>
      <c r="G119" s="214" t="s">
        <v>825</v>
      </c>
      <c r="H119" s="212"/>
      <c r="I119" s="212"/>
      <c r="J119" s="212" t="s">
        <v>846</v>
      </c>
      <c r="K119" s="215"/>
      <c r="L119" s="215"/>
      <c r="M119" s="213" t="s">
        <v>287</v>
      </c>
      <c r="N119" s="213" t="s">
        <v>847</v>
      </c>
      <c r="O119" s="212">
        <v>118.0</v>
      </c>
      <c r="P119" s="218" t="s">
        <v>538</v>
      </c>
      <c r="Q119" s="218" t="s">
        <v>539</v>
      </c>
      <c r="R119" s="218" t="s">
        <v>828</v>
      </c>
    </row>
    <row r="120" ht="42.0" customHeight="1">
      <c r="A120" s="212" t="s">
        <v>848</v>
      </c>
      <c r="B120" s="213" t="s">
        <v>163</v>
      </c>
      <c r="C120" s="213" t="s">
        <v>843</v>
      </c>
      <c r="D120" s="213" t="s">
        <v>849</v>
      </c>
      <c r="E120" s="212" t="s">
        <v>823</v>
      </c>
      <c r="F120" s="214" t="s">
        <v>851</v>
      </c>
      <c r="G120" s="214" t="s">
        <v>825</v>
      </c>
      <c r="H120" s="212"/>
      <c r="I120" s="212"/>
      <c r="J120" s="212" t="s">
        <v>846</v>
      </c>
      <c r="K120" s="215"/>
      <c r="L120" s="215"/>
      <c r="M120" s="213" t="s">
        <v>287</v>
      </c>
      <c r="N120" s="213" t="s">
        <v>852</v>
      </c>
      <c r="O120" s="212">
        <v>119.0</v>
      </c>
      <c r="P120" s="218" t="s">
        <v>538</v>
      </c>
      <c r="Q120" s="218" t="s">
        <v>539</v>
      </c>
      <c r="R120" s="218" t="s">
        <v>828</v>
      </c>
    </row>
    <row r="121" ht="42.0" customHeight="1">
      <c r="A121" s="212" t="s">
        <v>853</v>
      </c>
      <c r="B121" s="213" t="s">
        <v>163</v>
      </c>
      <c r="C121" s="213" t="s">
        <v>843</v>
      </c>
      <c r="D121" s="213" t="s">
        <v>854</v>
      </c>
      <c r="E121" s="212" t="s">
        <v>823</v>
      </c>
      <c r="F121" s="214" t="s">
        <v>855</v>
      </c>
      <c r="G121" s="214" t="s">
        <v>825</v>
      </c>
      <c r="H121" s="212"/>
      <c r="I121" s="212"/>
      <c r="J121" s="212" t="s">
        <v>846</v>
      </c>
      <c r="K121" s="215"/>
      <c r="L121" s="215"/>
      <c r="M121" s="213" t="s">
        <v>287</v>
      </c>
      <c r="N121" s="213" t="s">
        <v>857</v>
      </c>
      <c r="O121" s="212">
        <v>120.0</v>
      </c>
      <c r="P121" s="218" t="s">
        <v>538</v>
      </c>
      <c r="Q121" s="218" t="s">
        <v>539</v>
      </c>
      <c r="R121" s="218" t="s">
        <v>828</v>
      </c>
    </row>
    <row r="122" ht="42.0" customHeight="1">
      <c r="A122" s="212" t="s">
        <v>858</v>
      </c>
      <c r="B122" s="213" t="s">
        <v>163</v>
      </c>
      <c r="C122" s="213" t="s">
        <v>843</v>
      </c>
      <c r="D122" s="213" t="s">
        <v>859</v>
      </c>
      <c r="E122" s="212" t="s">
        <v>823</v>
      </c>
      <c r="F122" s="214" t="s">
        <v>860</v>
      </c>
      <c r="G122" s="214" t="s">
        <v>825</v>
      </c>
      <c r="H122" s="212"/>
      <c r="I122" s="212"/>
      <c r="J122" s="212" t="s">
        <v>846</v>
      </c>
      <c r="K122" s="215"/>
      <c r="L122" s="215"/>
      <c r="M122" s="213" t="s">
        <v>287</v>
      </c>
      <c r="N122" s="213" t="s">
        <v>861</v>
      </c>
      <c r="O122" s="212">
        <v>121.0</v>
      </c>
      <c r="P122" s="218" t="s">
        <v>538</v>
      </c>
      <c r="Q122" s="218" t="s">
        <v>539</v>
      </c>
      <c r="R122" s="218" t="s">
        <v>828</v>
      </c>
    </row>
    <row r="123" ht="42.0" customHeight="1">
      <c r="A123" s="212" t="s">
        <v>862</v>
      </c>
      <c r="B123" s="213" t="s">
        <v>163</v>
      </c>
      <c r="C123" s="213" t="s">
        <v>213</v>
      </c>
      <c r="D123" s="213" t="s">
        <v>864</v>
      </c>
      <c r="E123" s="212" t="s">
        <v>213</v>
      </c>
      <c r="F123" s="214" t="s">
        <v>865</v>
      </c>
      <c r="G123" s="214" t="s">
        <v>866</v>
      </c>
      <c r="H123" s="212"/>
      <c r="I123" s="212"/>
      <c r="J123" s="212" t="s">
        <v>213</v>
      </c>
      <c r="K123" s="215"/>
      <c r="L123" s="215"/>
      <c r="M123" s="213" t="s">
        <v>287</v>
      </c>
      <c r="N123" s="213" t="s">
        <v>867</v>
      </c>
      <c r="O123" s="212">
        <v>122.0</v>
      </c>
      <c r="P123" s="217" t="s">
        <v>288</v>
      </c>
      <c r="Q123" s="217" t="s">
        <v>661</v>
      </c>
      <c r="R123" s="217" t="s">
        <v>868</v>
      </c>
    </row>
    <row r="124" ht="42.0" customHeight="1">
      <c r="A124" s="212" t="s">
        <v>869</v>
      </c>
      <c r="B124" s="213" t="s">
        <v>163</v>
      </c>
      <c r="C124" s="213" t="s">
        <v>213</v>
      </c>
      <c r="D124" s="213" t="s">
        <v>870</v>
      </c>
      <c r="E124" s="212" t="s">
        <v>213</v>
      </c>
      <c r="F124" s="214" t="s">
        <v>871</v>
      </c>
      <c r="G124" s="214" t="s">
        <v>866</v>
      </c>
      <c r="H124" s="212"/>
      <c r="I124" s="212"/>
      <c r="J124" s="212" t="s">
        <v>213</v>
      </c>
      <c r="K124" s="215"/>
      <c r="L124" s="215"/>
      <c r="M124" s="213" t="s">
        <v>287</v>
      </c>
      <c r="N124" s="213" t="s">
        <v>867</v>
      </c>
      <c r="O124" s="212">
        <v>123.0</v>
      </c>
      <c r="P124" s="217" t="s">
        <v>288</v>
      </c>
      <c r="Q124" s="217" t="s">
        <v>661</v>
      </c>
      <c r="R124" s="217" t="s">
        <v>868</v>
      </c>
    </row>
    <row r="125" ht="42.0" customHeight="1">
      <c r="A125" s="212" t="s">
        <v>872</v>
      </c>
      <c r="B125" s="213" t="s">
        <v>163</v>
      </c>
      <c r="C125" s="213" t="s">
        <v>213</v>
      </c>
      <c r="D125" s="213" t="s">
        <v>873</v>
      </c>
      <c r="E125" s="212" t="s">
        <v>213</v>
      </c>
      <c r="F125" s="214" t="s">
        <v>874</v>
      </c>
      <c r="G125" s="214" t="s">
        <v>875</v>
      </c>
      <c r="H125" s="212"/>
      <c r="I125" s="212"/>
      <c r="J125" s="212" t="s">
        <v>213</v>
      </c>
      <c r="K125" s="215"/>
      <c r="L125" s="215"/>
      <c r="M125" s="213" t="s">
        <v>293</v>
      </c>
      <c r="N125" s="213" t="s">
        <v>876</v>
      </c>
      <c r="O125" s="212">
        <v>124.0</v>
      </c>
      <c r="P125" s="217" t="s">
        <v>288</v>
      </c>
      <c r="Q125" s="217" t="s">
        <v>661</v>
      </c>
      <c r="R125" s="217" t="s">
        <v>868</v>
      </c>
    </row>
    <row r="126" ht="42.0" customHeight="1">
      <c r="A126" s="212" t="s">
        <v>877</v>
      </c>
      <c r="B126" s="213" t="s">
        <v>163</v>
      </c>
      <c r="C126" s="213" t="s">
        <v>213</v>
      </c>
      <c r="D126" s="213" t="s">
        <v>878</v>
      </c>
      <c r="E126" s="212" t="s">
        <v>213</v>
      </c>
      <c r="F126" s="214" t="s">
        <v>879</v>
      </c>
      <c r="G126" s="214" t="s">
        <v>880</v>
      </c>
      <c r="H126" s="212"/>
      <c r="I126" s="212"/>
      <c r="J126" s="212" t="s">
        <v>213</v>
      </c>
      <c r="K126" s="215"/>
      <c r="L126" s="215"/>
      <c r="M126" s="213" t="s">
        <v>293</v>
      </c>
      <c r="N126" s="213" t="s">
        <v>881</v>
      </c>
      <c r="O126" s="212">
        <v>125.0</v>
      </c>
      <c r="P126" s="217" t="s">
        <v>288</v>
      </c>
      <c r="Q126" s="217" t="s">
        <v>661</v>
      </c>
      <c r="R126" s="217" t="s">
        <v>868</v>
      </c>
    </row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">
    <mergeCell ref="A1:O1"/>
    <mergeCell ref="A2:O2"/>
    <mergeCell ref="A3:B3"/>
    <mergeCell ref="C3:D3"/>
    <mergeCell ref="E3:F3"/>
    <mergeCell ref="G3:H3"/>
    <mergeCell ref="I3:J3"/>
    <mergeCell ref="K3:O3"/>
  </mergeCells>
  <conditionalFormatting sqref="A6:O126">
    <cfRule type="expression" dxfId="8" priority="1">
      <formula>$E6="外部依存"</formula>
    </cfRule>
  </conditionalFormatting>
  <conditionalFormatting sqref="A6:O126">
    <cfRule type="expression" dxfId="9" priority="2">
      <formula>$E6="条件付き"</formula>
    </cfRule>
  </conditionalFormatting>
  <conditionalFormatting sqref="A6:O126">
    <cfRule type="expression" dxfId="10" priority="3">
      <formula>$E6="対象範囲確認"</formula>
    </cfRule>
  </conditionalFormatting>
  <conditionalFormatting sqref="A6:O126">
    <cfRule type="expression" dxfId="11" priority="4">
      <formula>$E6="将来対応"</formula>
    </cfRule>
  </conditionalFormatting>
  <conditionalFormatting sqref="A6:O126">
    <cfRule type="expression" dxfId="11" priority="5">
      <formula>$E6="マイルストーン"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5.0"/>
    <col customWidth="1" min="2" max="4" width="14.0"/>
    <col customWidth="1" min="5" max="5" width="40.0"/>
    <col customWidth="1" min="6" max="6" width="20.0"/>
    <col customWidth="1" min="7" max="7" width="38.0"/>
    <col customWidth="1" min="8" max="8" width="26.0"/>
    <col customWidth="1" min="9" max="26" width="8.71"/>
  </cols>
  <sheetData>
    <row r="1" ht="33.75" customHeight="1">
      <c r="A1" s="219" t="s">
        <v>614</v>
      </c>
    </row>
    <row r="2" ht="43.5" customHeight="1">
      <c r="A2" s="220" t="s">
        <v>617</v>
      </c>
    </row>
    <row r="3" ht="30.0" customHeight="1">
      <c r="A3" s="221"/>
      <c r="C3" s="222"/>
      <c r="E3" s="223"/>
      <c r="G3" s="224"/>
    </row>
    <row r="4" ht="27.75" customHeight="1">
      <c r="A4" s="225" t="s">
        <v>618</v>
      </c>
      <c r="B4" s="225" t="s">
        <v>619</v>
      </c>
      <c r="C4" s="226" t="s">
        <v>621</v>
      </c>
      <c r="D4" s="226" t="s">
        <v>622</v>
      </c>
      <c r="E4" s="227" t="s">
        <v>103</v>
      </c>
      <c r="F4" s="227" t="s">
        <v>624</v>
      </c>
      <c r="G4" s="228" t="s">
        <v>625</v>
      </c>
      <c r="H4" s="228" t="s">
        <v>627</v>
      </c>
    </row>
    <row r="5" ht="27.75" customHeight="1">
      <c r="A5" s="229">
        <v>57.5</v>
      </c>
      <c r="B5" s="229"/>
      <c r="C5" s="230">
        <v>53.5</v>
      </c>
      <c r="D5" s="231"/>
      <c r="E5" s="232">
        <v>4.0</v>
      </c>
      <c r="F5" s="233"/>
      <c r="G5" s="234" t="s">
        <v>629</v>
      </c>
      <c r="H5" s="235"/>
    </row>
    <row r="6" ht="33.75" customHeight="1">
      <c r="A6" s="229" t="s">
        <v>630</v>
      </c>
      <c r="B6" s="229"/>
      <c r="C6" s="230" t="s">
        <v>631</v>
      </c>
      <c r="D6" s="231"/>
      <c r="E6" s="232" t="s">
        <v>633</v>
      </c>
      <c r="F6" s="233"/>
      <c r="G6" s="234" t="s">
        <v>634</v>
      </c>
      <c r="H6" s="235"/>
    </row>
    <row r="7" ht="33.75" customHeight="1">
      <c r="A7" s="213"/>
      <c r="B7" s="213"/>
      <c r="C7" s="236"/>
      <c r="D7" s="213"/>
      <c r="E7" s="212"/>
      <c r="F7" s="237"/>
      <c r="G7" s="237"/>
      <c r="H7" s="213"/>
    </row>
    <row r="8" ht="33.75" customHeight="1">
      <c r="A8" s="238" t="s">
        <v>638</v>
      </c>
      <c r="B8" s="238" t="s">
        <v>639</v>
      </c>
      <c r="C8" s="239" t="s">
        <v>621</v>
      </c>
      <c r="D8" s="238" t="s">
        <v>211</v>
      </c>
      <c r="E8" s="238" t="s">
        <v>640</v>
      </c>
      <c r="F8" s="239" t="s">
        <v>641</v>
      </c>
      <c r="G8" s="239" t="s">
        <v>642</v>
      </c>
      <c r="H8" s="238" t="s">
        <v>644</v>
      </c>
    </row>
    <row r="9" ht="37.5" customHeight="1">
      <c r="A9" s="240" t="s">
        <v>203</v>
      </c>
      <c r="B9" s="241">
        <v>10.0</v>
      </c>
      <c r="C9" s="242">
        <v>10.0</v>
      </c>
      <c r="D9" s="241">
        <v>0.0</v>
      </c>
      <c r="E9" s="243" t="s">
        <v>648</v>
      </c>
      <c r="F9" s="244" t="s">
        <v>650</v>
      </c>
      <c r="G9" s="244" t="s">
        <v>651</v>
      </c>
      <c r="H9" s="240" t="s">
        <v>652</v>
      </c>
    </row>
    <row r="10" ht="37.5" customHeight="1">
      <c r="A10" s="240" t="s">
        <v>654</v>
      </c>
      <c r="B10" s="241">
        <v>7.0</v>
      </c>
      <c r="C10" s="242">
        <v>7.0</v>
      </c>
      <c r="D10" s="241">
        <v>0.0</v>
      </c>
      <c r="E10" s="243" t="s">
        <v>655</v>
      </c>
      <c r="F10" s="244" t="s">
        <v>650</v>
      </c>
      <c r="G10" s="244" t="s">
        <v>656</v>
      </c>
      <c r="H10" s="240" t="s">
        <v>657</v>
      </c>
    </row>
    <row r="11" ht="37.5" customHeight="1">
      <c r="A11" s="240" t="s">
        <v>658</v>
      </c>
      <c r="B11" s="241">
        <v>9.5</v>
      </c>
      <c r="C11" s="242">
        <v>9.5</v>
      </c>
      <c r="D11" s="241">
        <v>0.0</v>
      </c>
      <c r="E11" s="243" t="s">
        <v>660</v>
      </c>
      <c r="F11" s="244" t="s">
        <v>650</v>
      </c>
      <c r="G11" s="244" t="s">
        <v>665</v>
      </c>
      <c r="H11" s="240" t="s">
        <v>652</v>
      </c>
    </row>
    <row r="12" ht="37.5" customHeight="1">
      <c r="A12" s="245" t="s">
        <v>668</v>
      </c>
      <c r="C12" s="246">
        <v>13.0</v>
      </c>
      <c r="D12" s="247">
        <v>0.0</v>
      </c>
      <c r="E12" s="248" t="s">
        <v>669</v>
      </c>
      <c r="F12" s="249" t="s">
        <v>650</v>
      </c>
      <c r="G12" s="249" t="s">
        <v>671</v>
      </c>
      <c r="H12" s="245" t="s">
        <v>652</v>
      </c>
    </row>
    <row r="13" ht="37.5" customHeight="1">
      <c r="A13" s="250" t="s">
        <v>672</v>
      </c>
      <c r="B13" s="251">
        <v>4.0</v>
      </c>
      <c r="C13" s="251">
        <v>4.0</v>
      </c>
      <c r="D13" s="251">
        <v>0.0</v>
      </c>
      <c r="E13" s="250" t="s">
        <v>674</v>
      </c>
      <c r="F13" s="250" t="s">
        <v>650</v>
      </c>
      <c r="G13" s="250" t="s">
        <v>676</v>
      </c>
      <c r="H13" s="250" t="s">
        <v>652</v>
      </c>
    </row>
    <row r="14" ht="37.5" customHeight="1">
      <c r="A14" s="252" t="s">
        <v>678</v>
      </c>
    </row>
    <row r="15" ht="37.5" customHeight="1">
      <c r="A15" s="253" t="s">
        <v>125</v>
      </c>
      <c r="B15" s="254">
        <v>10.0</v>
      </c>
      <c r="C15" s="251">
        <v>10.0</v>
      </c>
      <c r="D15" s="251">
        <v>0.0</v>
      </c>
      <c r="E15" s="250" t="s">
        <v>679</v>
      </c>
      <c r="F15" s="250" t="s">
        <v>650</v>
      </c>
      <c r="G15" s="250" t="s">
        <v>680</v>
      </c>
      <c r="H15" s="250" t="s">
        <v>652</v>
      </c>
    </row>
    <row r="16" ht="37.5" customHeight="1">
      <c r="A16" s="255" t="s">
        <v>681</v>
      </c>
      <c r="B16" s="251">
        <v>57.5</v>
      </c>
      <c r="C16" s="251">
        <v>53.5</v>
      </c>
      <c r="D16" s="251">
        <v>4.0</v>
      </c>
      <c r="E16" s="250"/>
      <c r="F16" s="250"/>
      <c r="G16" s="250"/>
      <c r="H16" s="250"/>
    </row>
    <row r="17" ht="33.75" customHeight="1">
      <c r="A17" s="19"/>
      <c r="B17" s="19"/>
    </row>
    <row r="18" ht="33.75" customHeight="1">
      <c r="A18" s="256" t="s">
        <v>684</v>
      </c>
      <c r="B18" s="256" t="s">
        <v>686</v>
      </c>
      <c r="C18" s="257"/>
      <c r="D18" s="257"/>
      <c r="E18" s="257"/>
      <c r="F18" s="257"/>
      <c r="G18" s="257"/>
      <c r="H18" s="257"/>
    </row>
    <row r="19" ht="42.0" customHeight="1">
      <c r="A19" s="258" t="s">
        <v>688</v>
      </c>
      <c r="B19" s="19" t="s">
        <v>689</v>
      </c>
    </row>
    <row r="20" ht="42.0" customHeight="1">
      <c r="A20" s="258" t="s">
        <v>690</v>
      </c>
      <c r="B20" s="19" t="s">
        <v>691</v>
      </c>
    </row>
    <row r="21" ht="42.0" customHeight="1">
      <c r="A21" s="258" t="s">
        <v>692</v>
      </c>
      <c r="B21" s="19" t="s">
        <v>693</v>
      </c>
    </row>
    <row r="22" ht="42.0" customHeight="1">
      <c r="A22" s="258" t="s">
        <v>210</v>
      </c>
      <c r="B22" s="19" t="s">
        <v>694</v>
      </c>
    </row>
    <row r="23" ht="42.0" customHeight="1">
      <c r="A23" s="258" t="s">
        <v>695</v>
      </c>
      <c r="B23" s="19" t="s">
        <v>696</v>
      </c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A14:H14"/>
    <mergeCell ref="B19:H19"/>
    <mergeCell ref="B20:H20"/>
    <mergeCell ref="B21:H21"/>
    <mergeCell ref="B22:H22"/>
    <mergeCell ref="B23:H23"/>
    <mergeCell ref="A1:H1"/>
    <mergeCell ref="A2:H2"/>
    <mergeCell ref="A3:B3"/>
    <mergeCell ref="C3:D3"/>
    <mergeCell ref="E3:F3"/>
    <mergeCell ref="G3:H3"/>
    <mergeCell ref="A12:B12"/>
  </mergeCells>
  <conditionalFormatting sqref="E5:E11">
    <cfRule type="expression" dxfId="5" priority="1">
      <formula>E5="未配賦"</formula>
    </cfRule>
  </conditionalFormatting>
  <conditionalFormatting sqref="E5:E11">
    <cfRule type="expression" dxfId="6" priority="2">
      <formula>E5="仮配賦"</formula>
    </cfRule>
  </conditionalFormatting>
  <conditionalFormatting sqref="E5:E11">
    <cfRule type="expression" dxfId="7" priority="3">
      <formula>E5="配賦確定"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6.0"/>
    <col customWidth="1" min="2" max="2" width="11.0"/>
    <col customWidth="1" min="3" max="3" width="26.0"/>
    <col customWidth="1" min="4" max="4" width="42.0"/>
    <col customWidth="1" min="5" max="5" width="15.0"/>
    <col customWidth="1" min="6" max="7" width="14.0"/>
    <col customWidth="1" min="8" max="9" width="12.0"/>
    <col customWidth="1" min="10" max="10" width="11.0"/>
    <col customWidth="1" min="11" max="11" width="30.0"/>
    <col customWidth="1" min="12" max="22" width="9.0"/>
    <col customWidth="1" min="23" max="26" width="8.71"/>
  </cols>
  <sheetData>
    <row r="1" ht="33.75" customHeight="1">
      <c r="A1" s="219" t="s">
        <v>742</v>
      </c>
    </row>
    <row r="2" ht="42.0" customHeight="1">
      <c r="A2" s="259" t="s">
        <v>743</v>
      </c>
    </row>
    <row r="3" ht="24.0" customHeight="1">
      <c r="A3" s="260" t="s">
        <v>745</v>
      </c>
      <c r="D3" s="261" t="s">
        <v>746</v>
      </c>
      <c r="G3" s="262" t="s">
        <v>748</v>
      </c>
      <c r="J3" s="263" t="s">
        <v>750</v>
      </c>
      <c r="M3" s="264" t="s">
        <v>751</v>
      </c>
      <c r="P3" s="261" t="s">
        <v>752</v>
      </c>
      <c r="S3" s="265" t="s">
        <v>753</v>
      </c>
    </row>
    <row r="4" ht="48.0" customHeight="1"/>
    <row r="5" ht="24.0" customHeight="1">
      <c r="A5" s="266" t="s">
        <v>756</v>
      </c>
      <c r="L5" s="267" t="s">
        <v>757</v>
      </c>
    </row>
    <row r="6" ht="30.0" customHeight="1">
      <c r="A6" s="268" t="s">
        <v>758</v>
      </c>
      <c r="B6" s="268" t="s">
        <v>216</v>
      </c>
      <c r="C6" s="268" t="s">
        <v>76</v>
      </c>
      <c r="D6" s="268" t="s">
        <v>77</v>
      </c>
      <c r="E6" s="268" t="s">
        <v>217</v>
      </c>
      <c r="F6" s="268" t="s">
        <v>105</v>
      </c>
      <c r="G6" s="268" t="s">
        <v>106</v>
      </c>
      <c r="H6" s="268" t="s">
        <v>108</v>
      </c>
      <c r="I6" s="268" t="s">
        <v>109</v>
      </c>
      <c r="J6" s="268" t="s">
        <v>87</v>
      </c>
      <c r="K6" s="268" t="s">
        <v>222</v>
      </c>
      <c r="L6" s="269">
        <v>46237.0</v>
      </c>
      <c r="M6" s="269">
        <v>46244.0</v>
      </c>
      <c r="N6" s="269">
        <v>46251.0</v>
      </c>
      <c r="O6" s="269">
        <v>46258.0</v>
      </c>
      <c r="P6" s="269">
        <v>46265.0</v>
      </c>
      <c r="Q6" s="269">
        <v>46272.0</v>
      </c>
      <c r="R6" s="269">
        <v>46279.0</v>
      </c>
      <c r="S6" s="269">
        <v>46286.0</v>
      </c>
      <c r="T6" s="269">
        <v>46293.0</v>
      </c>
      <c r="U6" s="269">
        <v>46300.0</v>
      </c>
      <c r="V6" s="269">
        <v>46307.0</v>
      </c>
    </row>
    <row r="7" ht="30.0" customHeight="1">
      <c r="A7" s="243">
        <v>1.0</v>
      </c>
      <c r="B7" s="243" t="s">
        <v>227</v>
      </c>
      <c r="C7" s="240" t="s">
        <v>164</v>
      </c>
      <c r="D7" s="240" t="s">
        <v>165</v>
      </c>
      <c r="E7" s="243" t="s">
        <v>210</v>
      </c>
      <c r="F7" s="243"/>
      <c r="G7" s="243"/>
      <c r="H7" s="270">
        <v>46237.0</v>
      </c>
      <c r="I7" s="270">
        <v>46248.0</v>
      </c>
      <c r="J7" s="243" t="s">
        <v>141</v>
      </c>
      <c r="K7" s="271" t="s">
        <v>769</v>
      </c>
      <c r="L7" s="272">
        <f t="shared" ref="L7:V7" si="1">IF(AND(L$6&lt;=$I7,L$6+6&gt;=$H7,$H7&lt;&gt;"",$I7&lt;&gt;""),1,"")</f>
        <v>1</v>
      </c>
      <c r="M7" s="272">
        <f t="shared" si="1"/>
        <v>1</v>
      </c>
      <c r="N7" s="272" t="str">
        <f t="shared" si="1"/>
        <v/>
      </c>
      <c r="O7" s="272" t="str">
        <f t="shared" si="1"/>
        <v/>
      </c>
      <c r="P7" s="272" t="str">
        <f t="shared" si="1"/>
        <v/>
      </c>
      <c r="Q7" s="272" t="str">
        <f t="shared" si="1"/>
        <v/>
      </c>
      <c r="R7" s="272" t="str">
        <f t="shared" si="1"/>
        <v/>
      </c>
      <c r="S7" s="272" t="str">
        <f t="shared" si="1"/>
        <v/>
      </c>
      <c r="T7" s="272" t="str">
        <f t="shared" si="1"/>
        <v/>
      </c>
      <c r="U7" s="272" t="str">
        <f t="shared" si="1"/>
        <v/>
      </c>
      <c r="V7" s="272" t="str">
        <f t="shared" si="1"/>
        <v/>
      </c>
    </row>
    <row r="8" ht="30.0" customHeight="1">
      <c r="A8" s="243">
        <v>2.0</v>
      </c>
      <c r="B8" s="243" t="s">
        <v>236</v>
      </c>
      <c r="C8" s="240" t="s">
        <v>164</v>
      </c>
      <c r="D8" s="240" t="s">
        <v>173</v>
      </c>
      <c r="E8" s="243" t="s">
        <v>210</v>
      </c>
      <c r="F8" s="243"/>
      <c r="G8" s="243"/>
      <c r="H8" s="270">
        <v>46237.0</v>
      </c>
      <c r="I8" s="270">
        <v>46246.0</v>
      </c>
      <c r="J8" s="243" t="s">
        <v>141</v>
      </c>
      <c r="K8" s="271" t="s">
        <v>777</v>
      </c>
      <c r="L8" s="272">
        <f t="shared" ref="L8:V8" si="2">IF(AND(L$6&lt;=$I8,L$6+6&gt;=$H8,$H8&lt;&gt;"",$I8&lt;&gt;""),1,"")</f>
        <v>1</v>
      </c>
      <c r="M8" s="272">
        <f t="shared" si="2"/>
        <v>1</v>
      </c>
      <c r="N8" s="272" t="str">
        <f t="shared" si="2"/>
        <v/>
      </c>
      <c r="O8" s="272" t="str">
        <f t="shared" si="2"/>
        <v/>
      </c>
      <c r="P8" s="272" t="str">
        <f t="shared" si="2"/>
        <v/>
      </c>
      <c r="Q8" s="272" t="str">
        <f t="shared" si="2"/>
        <v/>
      </c>
      <c r="R8" s="272" t="str">
        <f t="shared" si="2"/>
        <v/>
      </c>
      <c r="S8" s="272" t="str">
        <f t="shared" si="2"/>
        <v/>
      </c>
      <c r="T8" s="272" t="str">
        <f t="shared" si="2"/>
        <v/>
      </c>
      <c r="U8" s="272" t="str">
        <f t="shared" si="2"/>
        <v/>
      </c>
      <c r="V8" s="272" t="str">
        <f t="shared" si="2"/>
        <v/>
      </c>
    </row>
    <row r="9" ht="30.0" customHeight="1">
      <c r="A9" s="243">
        <v>3.0</v>
      </c>
      <c r="B9" s="243" t="s">
        <v>240</v>
      </c>
      <c r="C9" s="240" t="s">
        <v>164</v>
      </c>
      <c r="D9" s="240" t="s">
        <v>182</v>
      </c>
      <c r="E9" s="243" t="s">
        <v>210</v>
      </c>
      <c r="F9" s="243"/>
      <c r="G9" s="243"/>
      <c r="H9" s="270">
        <v>46237.0</v>
      </c>
      <c r="I9" s="270">
        <v>46248.0</v>
      </c>
      <c r="J9" s="243" t="s">
        <v>141</v>
      </c>
      <c r="K9" s="271" t="s">
        <v>787</v>
      </c>
      <c r="L9" s="272">
        <f t="shared" ref="L9:V9" si="3">IF(AND(L$6&lt;=$I9,L$6+6&gt;=$H9,$H9&lt;&gt;"",$I9&lt;&gt;""),1,"")</f>
        <v>1</v>
      </c>
      <c r="M9" s="272">
        <f t="shared" si="3"/>
        <v>1</v>
      </c>
      <c r="N9" s="272" t="str">
        <f t="shared" si="3"/>
        <v/>
      </c>
      <c r="O9" s="272" t="str">
        <f t="shared" si="3"/>
        <v/>
      </c>
      <c r="P9" s="272" t="str">
        <f t="shared" si="3"/>
        <v/>
      </c>
      <c r="Q9" s="272" t="str">
        <f t="shared" si="3"/>
        <v/>
      </c>
      <c r="R9" s="272" t="str">
        <f t="shared" si="3"/>
        <v/>
      </c>
      <c r="S9" s="272" t="str">
        <f t="shared" si="3"/>
        <v/>
      </c>
      <c r="T9" s="272" t="str">
        <f t="shared" si="3"/>
        <v/>
      </c>
      <c r="U9" s="272" t="str">
        <f t="shared" si="3"/>
        <v/>
      </c>
      <c r="V9" s="272" t="str">
        <f t="shared" si="3"/>
        <v/>
      </c>
    </row>
    <row r="10" ht="30.0" customHeight="1">
      <c r="A10" s="243">
        <v>4.0</v>
      </c>
      <c r="B10" s="243" t="s">
        <v>246</v>
      </c>
      <c r="C10" s="240" t="s">
        <v>164</v>
      </c>
      <c r="D10" s="240" t="s">
        <v>191</v>
      </c>
      <c r="E10" s="243" t="s">
        <v>210</v>
      </c>
      <c r="F10" s="243"/>
      <c r="G10" s="243"/>
      <c r="H10" s="270">
        <v>46237.0</v>
      </c>
      <c r="I10" s="270">
        <v>46241.0</v>
      </c>
      <c r="J10" s="243" t="s">
        <v>141</v>
      </c>
      <c r="K10" s="271" t="s">
        <v>797</v>
      </c>
      <c r="L10" s="272">
        <f t="shared" ref="L10:V10" si="4">IF(AND(L$6&lt;=$I10,L$6+6&gt;=$H10,$H10&lt;&gt;"",$I10&lt;&gt;""),1,"")</f>
        <v>1</v>
      </c>
      <c r="M10" s="272" t="str">
        <f t="shared" si="4"/>
        <v/>
      </c>
      <c r="N10" s="272" t="str">
        <f t="shared" si="4"/>
        <v/>
      </c>
      <c r="O10" s="272" t="str">
        <f t="shared" si="4"/>
        <v/>
      </c>
      <c r="P10" s="272" t="str">
        <f t="shared" si="4"/>
        <v/>
      </c>
      <c r="Q10" s="272" t="str">
        <f t="shared" si="4"/>
        <v/>
      </c>
      <c r="R10" s="272" t="str">
        <f t="shared" si="4"/>
        <v/>
      </c>
      <c r="S10" s="272" t="str">
        <f t="shared" si="4"/>
        <v/>
      </c>
      <c r="T10" s="272" t="str">
        <f t="shared" si="4"/>
        <v/>
      </c>
      <c r="U10" s="272" t="str">
        <f t="shared" si="4"/>
        <v/>
      </c>
      <c r="V10" s="272" t="str">
        <f t="shared" si="4"/>
        <v/>
      </c>
    </row>
    <row r="11" ht="30.0" customHeight="1">
      <c r="A11" s="243">
        <v>5.0</v>
      </c>
      <c r="B11" s="243" t="s">
        <v>251</v>
      </c>
      <c r="C11" s="240" t="s">
        <v>164</v>
      </c>
      <c r="D11" s="240" t="s">
        <v>195</v>
      </c>
      <c r="E11" s="243" t="s">
        <v>210</v>
      </c>
      <c r="F11" s="243"/>
      <c r="G11" s="243"/>
      <c r="H11" s="270">
        <v>46237.0</v>
      </c>
      <c r="I11" s="270">
        <v>46246.0</v>
      </c>
      <c r="J11" s="243" t="s">
        <v>141</v>
      </c>
      <c r="K11" s="271" t="s">
        <v>803</v>
      </c>
      <c r="L11" s="272">
        <f t="shared" ref="L11:V11" si="5">IF(AND(L$6&lt;=$I11,L$6+6&gt;=$H11,$H11&lt;&gt;"",$I11&lt;&gt;""),1,"")</f>
        <v>1</v>
      </c>
      <c r="M11" s="272">
        <f t="shared" si="5"/>
        <v>1</v>
      </c>
      <c r="N11" s="272" t="str">
        <f t="shared" si="5"/>
        <v/>
      </c>
      <c r="O11" s="272" t="str">
        <f t="shared" si="5"/>
        <v/>
      </c>
      <c r="P11" s="272" t="str">
        <f t="shared" si="5"/>
        <v/>
      </c>
      <c r="Q11" s="272" t="str">
        <f t="shared" si="5"/>
        <v/>
      </c>
      <c r="R11" s="272" t="str">
        <f t="shared" si="5"/>
        <v/>
      </c>
      <c r="S11" s="272" t="str">
        <f t="shared" si="5"/>
        <v/>
      </c>
      <c r="T11" s="272" t="str">
        <f t="shared" si="5"/>
        <v/>
      </c>
      <c r="U11" s="272" t="str">
        <f t="shared" si="5"/>
        <v/>
      </c>
      <c r="V11" s="272" t="str">
        <f t="shared" si="5"/>
        <v/>
      </c>
    </row>
    <row r="12" ht="30.0" customHeight="1">
      <c r="A12" s="243">
        <v>6.0</v>
      </c>
      <c r="B12" s="243" t="s">
        <v>257</v>
      </c>
      <c r="C12" s="240" t="s">
        <v>164</v>
      </c>
      <c r="D12" s="240" t="s">
        <v>196</v>
      </c>
      <c r="E12" s="243" t="s">
        <v>214</v>
      </c>
      <c r="F12" s="243"/>
      <c r="G12" s="243"/>
      <c r="H12" s="270">
        <v>46248.0</v>
      </c>
      <c r="I12" s="270">
        <v>46248.0</v>
      </c>
      <c r="J12" s="243" t="s">
        <v>141</v>
      </c>
      <c r="K12" s="271" t="s">
        <v>808</v>
      </c>
      <c r="L12" s="272" t="str">
        <f t="shared" ref="L12:V12" si="6">IF(AND(L$6&lt;=$I12,L$6+6&gt;=$H12,$H12&lt;&gt;"",$I12&lt;&gt;""),1,"")</f>
        <v/>
      </c>
      <c r="M12" s="272">
        <f t="shared" si="6"/>
        <v>1</v>
      </c>
      <c r="N12" s="272" t="str">
        <f t="shared" si="6"/>
        <v/>
      </c>
      <c r="O12" s="272" t="str">
        <f t="shared" si="6"/>
        <v/>
      </c>
      <c r="P12" s="272" t="str">
        <f t="shared" si="6"/>
        <v/>
      </c>
      <c r="Q12" s="272" t="str">
        <f t="shared" si="6"/>
        <v/>
      </c>
      <c r="R12" s="272" t="str">
        <f t="shared" si="6"/>
        <v/>
      </c>
      <c r="S12" s="272" t="str">
        <f t="shared" si="6"/>
        <v/>
      </c>
      <c r="T12" s="272" t="str">
        <f t="shared" si="6"/>
        <v/>
      </c>
      <c r="U12" s="272" t="str">
        <f t="shared" si="6"/>
        <v/>
      </c>
      <c r="V12" s="272" t="str">
        <f t="shared" si="6"/>
        <v/>
      </c>
    </row>
    <row r="13" ht="30.0" customHeight="1">
      <c r="A13" s="243">
        <v>7.0</v>
      </c>
      <c r="B13" s="243" t="s">
        <v>262</v>
      </c>
      <c r="C13" s="240" t="s">
        <v>125</v>
      </c>
      <c r="D13" s="240" t="s">
        <v>197</v>
      </c>
      <c r="E13" s="243" t="s">
        <v>263</v>
      </c>
      <c r="F13" s="243"/>
      <c r="G13" s="243"/>
      <c r="H13" s="270">
        <v>46237.0</v>
      </c>
      <c r="I13" s="270">
        <v>46283.0</v>
      </c>
      <c r="J13" s="243" t="s">
        <v>141</v>
      </c>
      <c r="K13" s="271" t="s">
        <v>815</v>
      </c>
      <c r="L13" s="272">
        <f t="shared" ref="L13:V13" si="7">IF(AND(L$6&lt;=$I13,L$6+6&gt;=$H13,$H13&lt;&gt;"",$I13&lt;&gt;""),1,"")</f>
        <v>1</v>
      </c>
      <c r="M13" s="272">
        <f t="shared" si="7"/>
        <v>1</v>
      </c>
      <c r="N13" s="272">
        <f t="shared" si="7"/>
        <v>1</v>
      </c>
      <c r="O13" s="272">
        <f t="shared" si="7"/>
        <v>1</v>
      </c>
      <c r="P13" s="272">
        <f t="shared" si="7"/>
        <v>1</v>
      </c>
      <c r="Q13" s="272">
        <f t="shared" si="7"/>
        <v>1</v>
      </c>
      <c r="R13" s="272">
        <f t="shared" si="7"/>
        <v>1</v>
      </c>
      <c r="S13" s="272" t="str">
        <f t="shared" si="7"/>
        <v/>
      </c>
      <c r="T13" s="272" t="str">
        <f t="shared" si="7"/>
        <v/>
      </c>
      <c r="U13" s="272" t="str">
        <f t="shared" si="7"/>
        <v/>
      </c>
      <c r="V13" s="272" t="str">
        <f t="shared" si="7"/>
        <v/>
      </c>
    </row>
    <row r="14" ht="30.0" customHeight="1">
      <c r="A14" s="243">
        <v>8.0</v>
      </c>
      <c r="B14" s="243" t="s">
        <v>269</v>
      </c>
      <c r="C14" s="240" t="s">
        <v>125</v>
      </c>
      <c r="D14" s="240" t="s">
        <v>198</v>
      </c>
      <c r="E14" s="243" t="s">
        <v>263</v>
      </c>
      <c r="F14" s="243"/>
      <c r="G14" s="243"/>
      <c r="H14" s="270">
        <v>46237.0</v>
      </c>
      <c r="I14" s="270">
        <v>46283.0</v>
      </c>
      <c r="J14" s="243" t="s">
        <v>141</v>
      </c>
      <c r="K14" s="271" t="s">
        <v>815</v>
      </c>
      <c r="L14" s="272">
        <f t="shared" ref="L14:V14" si="8">IF(AND(L$6&lt;=$I14,L$6+6&gt;=$H14,$H14&lt;&gt;"",$I14&lt;&gt;""),1,"")</f>
        <v>1</v>
      </c>
      <c r="M14" s="272">
        <f t="shared" si="8"/>
        <v>1</v>
      </c>
      <c r="N14" s="272">
        <f t="shared" si="8"/>
        <v>1</v>
      </c>
      <c r="O14" s="272">
        <f t="shared" si="8"/>
        <v>1</v>
      </c>
      <c r="P14" s="272">
        <f t="shared" si="8"/>
        <v>1</v>
      </c>
      <c r="Q14" s="272">
        <f t="shared" si="8"/>
        <v>1</v>
      </c>
      <c r="R14" s="272">
        <f t="shared" si="8"/>
        <v>1</v>
      </c>
      <c r="S14" s="272" t="str">
        <f t="shared" si="8"/>
        <v/>
      </c>
      <c r="T14" s="272" t="str">
        <f t="shared" si="8"/>
        <v/>
      </c>
      <c r="U14" s="272" t="str">
        <f t="shared" si="8"/>
        <v/>
      </c>
      <c r="V14" s="272" t="str">
        <f t="shared" si="8"/>
        <v/>
      </c>
    </row>
    <row r="15" ht="30.0" customHeight="1">
      <c r="A15" s="243">
        <v>9.0</v>
      </c>
      <c r="B15" s="243" t="s">
        <v>272</v>
      </c>
      <c r="C15" s="240" t="s">
        <v>125</v>
      </c>
      <c r="D15" s="240" t="s">
        <v>199</v>
      </c>
      <c r="E15" s="243" t="s">
        <v>263</v>
      </c>
      <c r="F15" s="243"/>
      <c r="G15" s="243"/>
      <c r="H15" s="270">
        <v>46237.0</v>
      </c>
      <c r="I15" s="270">
        <v>46283.0</v>
      </c>
      <c r="J15" s="243" t="s">
        <v>141</v>
      </c>
      <c r="K15" s="271" t="s">
        <v>832</v>
      </c>
      <c r="L15" s="272">
        <f t="shared" ref="L15:V15" si="9">IF(AND(L$6&lt;=$I15,L$6+6&gt;=$H15,$H15&lt;&gt;"",$I15&lt;&gt;""),1,"")</f>
        <v>1</v>
      </c>
      <c r="M15" s="272">
        <f t="shared" si="9"/>
        <v>1</v>
      </c>
      <c r="N15" s="272">
        <f t="shared" si="9"/>
        <v>1</v>
      </c>
      <c r="O15" s="272">
        <f t="shared" si="9"/>
        <v>1</v>
      </c>
      <c r="P15" s="272">
        <f t="shared" si="9"/>
        <v>1</v>
      </c>
      <c r="Q15" s="272">
        <f t="shared" si="9"/>
        <v>1</v>
      </c>
      <c r="R15" s="272">
        <f t="shared" si="9"/>
        <v>1</v>
      </c>
      <c r="S15" s="272" t="str">
        <f t="shared" si="9"/>
        <v/>
      </c>
      <c r="T15" s="272" t="str">
        <f t="shared" si="9"/>
        <v/>
      </c>
      <c r="U15" s="272" t="str">
        <f t="shared" si="9"/>
        <v/>
      </c>
      <c r="V15" s="272" t="str">
        <f t="shared" si="9"/>
        <v/>
      </c>
    </row>
    <row r="16" ht="30.0" customHeight="1">
      <c r="A16" s="243">
        <v>10.0</v>
      </c>
      <c r="B16" s="243" t="s">
        <v>276</v>
      </c>
      <c r="C16" s="240" t="s">
        <v>125</v>
      </c>
      <c r="D16" s="240" t="s">
        <v>200</v>
      </c>
      <c r="E16" s="243" t="s">
        <v>263</v>
      </c>
      <c r="F16" s="243"/>
      <c r="G16" s="243"/>
      <c r="H16" s="270">
        <v>46244.0</v>
      </c>
      <c r="I16" s="270">
        <v>46281.0</v>
      </c>
      <c r="J16" s="243" t="s">
        <v>141</v>
      </c>
      <c r="K16" s="271" t="s">
        <v>815</v>
      </c>
      <c r="L16" s="272" t="str">
        <f t="shared" ref="L16:V16" si="10">IF(AND(L$6&lt;=$I16,L$6+6&gt;=$H16,$H16&lt;&gt;"",$I16&lt;&gt;""),1,"")</f>
        <v/>
      </c>
      <c r="M16" s="272">
        <f t="shared" si="10"/>
        <v>1</v>
      </c>
      <c r="N16" s="272">
        <f t="shared" si="10"/>
        <v>1</v>
      </c>
      <c r="O16" s="272">
        <f t="shared" si="10"/>
        <v>1</v>
      </c>
      <c r="P16" s="272">
        <f t="shared" si="10"/>
        <v>1</v>
      </c>
      <c r="Q16" s="272">
        <f t="shared" si="10"/>
        <v>1</v>
      </c>
      <c r="R16" s="272">
        <f t="shared" si="10"/>
        <v>1</v>
      </c>
      <c r="S16" s="272" t="str">
        <f t="shared" si="10"/>
        <v/>
      </c>
      <c r="T16" s="272" t="str">
        <f t="shared" si="10"/>
        <v/>
      </c>
      <c r="U16" s="272" t="str">
        <f t="shared" si="10"/>
        <v/>
      </c>
      <c r="V16" s="272" t="str">
        <f t="shared" si="10"/>
        <v/>
      </c>
    </row>
    <row r="17" ht="30.0" customHeight="1">
      <c r="A17" s="243">
        <v>11.0</v>
      </c>
      <c r="B17" s="243" t="s">
        <v>279</v>
      </c>
      <c r="C17" s="240" t="s">
        <v>125</v>
      </c>
      <c r="D17" s="240" t="s">
        <v>201</v>
      </c>
      <c r="E17" s="243" t="s">
        <v>263</v>
      </c>
      <c r="F17" s="243"/>
      <c r="G17" s="243"/>
      <c r="H17" s="270">
        <v>46265.0</v>
      </c>
      <c r="I17" s="270">
        <v>46283.0</v>
      </c>
      <c r="J17" s="243" t="s">
        <v>141</v>
      </c>
      <c r="K17" s="271" t="s">
        <v>850</v>
      </c>
      <c r="L17" s="272" t="str">
        <f t="shared" ref="L17:V17" si="11">IF(AND(L$6&lt;=$I17,L$6+6&gt;=$H17,$H17&lt;&gt;"",$I17&lt;&gt;""),1,"")</f>
        <v/>
      </c>
      <c r="M17" s="272" t="str">
        <f t="shared" si="11"/>
        <v/>
      </c>
      <c r="N17" s="272" t="str">
        <f t="shared" si="11"/>
        <v/>
      </c>
      <c r="O17" s="272" t="str">
        <f t="shared" si="11"/>
        <v/>
      </c>
      <c r="P17" s="272">
        <f t="shared" si="11"/>
        <v>1</v>
      </c>
      <c r="Q17" s="272">
        <f t="shared" si="11"/>
        <v>1</v>
      </c>
      <c r="R17" s="272">
        <f t="shared" si="11"/>
        <v>1</v>
      </c>
      <c r="S17" s="272" t="str">
        <f t="shared" si="11"/>
        <v/>
      </c>
      <c r="T17" s="272" t="str">
        <f t="shared" si="11"/>
        <v/>
      </c>
      <c r="U17" s="272" t="str">
        <f t="shared" si="11"/>
        <v/>
      </c>
      <c r="V17" s="272" t="str">
        <f t="shared" si="11"/>
        <v/>
      </c>
    </row>
    <row r="18" ht="30.0" customHeight="1">
      <c r="A18" s="243">
        <v>12.0</v>
      </c>
      <c r="B18" s="243" t="s">
        <v>284</v>
      </c>
      <c r="C18" s="240" t="s">
        <v>125</v>
      </c>
      <c r="D18" s="240" t="s">
        <v>202</v>
      </c>
      <c r="E18" s="243" t="s">
        <v>263</v>
      </c>
      <c r="F18" s="243"/>
      <c r="G18" s="243"/>
      <c r="H18" s="270"/>
      <c r="I18" s="270"/>
      <c r="J18" s="243" t="s">
        <v>141</v>
      </c>
      <c r="K18" s="273" t="s">
        <v>856</v>
      </c>
      <c r="L18" s="272" t="str">
        <f t="shared" ref="L18:V18" si="12">IF(AND(L$6&lt;=$I18,L$6+6&gt;=$H18,$H18&lt;&gt;"",$I18&lt;&gt;""),1,"")</f>
        <v/>
      </c>
      <c r="M18" s="272" t="str">
        <f t="shared" si="12"/>
        <v/>
      </c>
      <c r="N18" s="272" t="str">
        <f t="shared" si="12"/>
        <v/>
      </c>
      <c r="O18" s="272" t="str">
        <f t="shared" si="12"/>
        <v/>
      </c>
      <c r="P18" s="272" t="str">
        <f t="shared" si="12"/>
        <v/>
      </c>
      <c r="Q18" s="272" t="str">
        <f t="shared" si="12"/>
        <v/>
      </c>
      <c r="R18" s="272" t="str">
        <f t="shared" si="12"/>
        <v/>
      </c>
      <c r="S18" s="272" t="str">
        <f t="shared" si="12"/>
        <v/>
      </c>
      <c r="T18" s="272" t="str">
        <f t="shared" si="12"/>
        <v/>
      </c>
      <c r="U18" s="272" t="str">
        <f t="shared" si="12"/>
        <v/>
      </c>
      <c r="V18" s="272" t="str">
        <f t="shared" si="12"/>
        <v/>
      </c>
    </row>
    <row r="19" ht="30.0" customHeight="1">
      <c r="A19" s="243">
        <v>13.0</v>
      </c>
      <c r="B19" s="243" t="s">
        <v>290</v>
      </c>
      <c r="C19" s="240" t="s">
        <v>203</v>
      </c>
      <c r="D19" s="240" t="s">
        <v>204</v>
      </c>
      <c r="E19" s="243" t="s">
        <v>263</v>
      </c>
      <c r="F19" s="243"/>
      <c r="G19" s="243"/>
      <c r="H19" s="270">
        <v>46237.0</v>
      </c>
      <c r="I19" s="270">
        <v>46246.0</v>
      </c>
      <c r="J19" s="243" t="s">
        <v>141</v>
      </c>
      <c r="K19" s="271" t="s">
        <v>863</v>
      </c>
      <c r="L19" s="272">
        <f t="shared" ref="L19:V19" si="13">IF(AND(L$6&lt;=$I19,L$6+6&gt;=$H19,$H19&lt;&gt;"",$I19&lt;&gt;""),1,"")</f>
        <v>1</v>
      </c>
      <c r="M19" s="272">
        <f t="shared" si="13"/>
        <v>1</v>
      </c>
      <c r="N19" s="272" t="str">
        <f t="shared" si="13"/>
        <v/>
      </c>
      <c r="O19" s="272" t="str">
        <f t="shared" si="13"/>
        <v/>
      </c>
      <c r="P19" s="272" t="str">
        <f t="shared" si="13"/>
        <v/>
      </c>
      <c r="Q19" s="272" t="str">
        <f t="shared" si="13"/>
        <v/>
      </c>
      <c r="R19" s="272" t="str">
        <f t="shared" si="13"/>
        <v/>
      </c>
      <c r="S19" s="272" t="str">
        <f t="shared" si="13"/>
        <v/>
      </c>
      <c r="T19" s="272" t="str">
        <f t="shared" si="13"/>
        <v/>
      </c>
      <c r="U19" s="272" t="str">
        <f t="shared" si="13"/>
        <v/>
      </c>
      <c r="V19" s="272" t="str">
        <f t="shared" si="13"/>
        <v/>
      </c>
    </row>
    <row r="20" ht="30.0" customHeight="1">
      <c r="A20" s="243">
        <v>14.0</v>
      </c>
      <c r="B20" s="243" t="s">
        <v>295</v>
      </c>
      <c r="C20" s="240" t="s">
        <v>203</v>
      </c>
      <c r="D20" s="240" t="s">
        <v>205</v>
      </c>
      <c r="E20" s="243" t="s">
        <v>263</v>
      </c>
      <c r="F20" s="243"/>
      <c r="G20" s="243"/>
      <c r="H20" s="270">
        <v>46237.0</v>
      </c>
      <c r="I20" s="270">
        <v>46246.0</v>
      </c>
      <c r="J20" s="243" t="s">
        <v>141</v>
      </c>
      <c r="K20" s="271" t="s">
        <v>863</v>
      </c>
      <c r="L20" s="272">
        <f t="shared" ref="L20:V20" si="14">IF(AND(L$6&lt;=$I20,L$6+6&gt;=$H20,$H20&lt;&gt;"",$I20&lt;&gt;""),1,"")</f>
        <v>1</v>
      </c>
      <c r="M20" s="272">
        <f t="shared" si="14"/>
        <v>1</v>
      </c>
      <c r="N20" s="272" t="str">
        <f t="shared" si="14"/>
        <v/>
      </c>
      <c r="O20" s="272" t="str">
        <f t="shared" si="14"/>
        <v/>
      </c>
      <c r="P20" s="272" t="str">
        <f t="shared" si="14"/>
        <v/>
      </c>
      <c r="Q20" s="272" t="str">
        <f t="shared" si="14"/>
        <v/>
      </c>
      <c r="R20" s="272" t="str">
        <f t="shared" si="14"/>
        <v/>
      </c>
      <c r="S20" s="272" t="str">
        <f t="shared" si="14"/>
        <v/>
      </c>
      <c r="T20" s="272" t="str">
        <f t="shared" si="14"/>
        <v/>
      </c>
      <c r="U20" s="272" t="str">
        <f t="shared" si="14"/>
        <v/>
      </c>
      <c r="V20" s="272" t="str">
        <f t="shared" si="14"/>
        <v/>
      </c>
    </row>
    <row r="21" ht="30.0" customHeight="1">
      <c r="A21" s="243">
        <v>15.0</v>
      </c>
      <c r="B21" s="243" t="s">
        <v>298</v>
      </c>
      <c r="C21" s="240" t="s">
        <v>203</v>
      </c>
      <c r="D21" s="240" t="s">
        <v>206</v>
      </c>
      <c r="E21" s="243" t="s">
        <v>263</v>
      </c>
      <c r="F21" s="243"/>
      <c r="G21" s="243"/>
      <c r="H21" s="270">
        <v>46237.0</v>
      </c>
      <c r="I21" s="270">
        <v>46246.0</v>
      </c>
      <c r="J21" s="243" t="s">
        <v>141</v>
      </c>
      <c r="K21" s="271" t="s">
        <v>863</v>
      </c>
      <c r="L21" s="272">
        <f t="shared" ref="L21:V21" si="15">IF(AND(L$6&lt;=$I21,L$6+6&gt;=$H21,$H21&lt;&gt;"",$I21&lt;&gt;""),1,"")</f>
        <v>1</v>
      </c>
      <c r="M21" s="272">
        <f t="shared" si="15"/>
        <v>1</v>
      </c>
      <c r="N21" s="272" t="str">
        <f t="shared" si="15"/>
        <v/>
      </c>
      <c r="O21" s="272" t="str">
        <f t="shared" si="15"/>
        <v/>
      </c>
      <c r="P21" s="272" t="str">
        <f t="shared" si="15"/>
        <v/>
      </c>
      <c r="Q21" s="272" t="str">
        <f t="shared" si="15"/>
        <v/>
      </c>
      <c r="R21" s="272" t="str">
        <f t="shared" si="15"/>
        <v/>
      </c>
      <c r="S21" s="272" t="str">
        <f t="shared" si="15"/>
        <v/>
      </c>
      <c r="T21" s="272" t="str">
        <f t="shared" si="15"/>
        <v/>
      </c>
      <c r="U21" s="272" t="str">
        <f t="shared" si="15"/>
        <v/>
      </c>
      <c r="V21" s="272" t="str">
        <f t="shared" si="15"/>
        <v/>
      </c>
    </row>
    <row r="22" ht="30.0" customHeight="1">
      <c r="A22" s="243">
        <v>16.0</v>
      </c>
      <c r="B22" s="243" t="s">
        <v>301</v>
      </c>
      <c r="C22" s="240" t="s">
        <v>203</v>
      </c>
      <c r="D22" s="240" t="s">
        <v>207</v>
      </c>
      <c r="E22" s="243" t="s">
        <v>263</v>
      </c>
      <c r="F22" s="243"/>
      <c r="G22" s="243"/>
      <c r="H22" s="270"/>
      <c r="I22" s="270"/>
      <c r="J22" s="243" t="s">
        <v>141</v>
      </c>
      <c r="K22" s="273" t="s">
        <v>882</v>
      </c>
      <c r="L22" s="272" t="str">
        <f t="shared" ref="L22:V22" si="16">IF(AND(L$6&lt;=$I22,L$6+6&gt;=$H22,$H22&lt;&gt;"",$I22&lt;&gt;""),1,"")</f>
        <v/>
      </c>
      <c r="M22" s="272" t="str">
        <f t="shared" si="16"/>
        <v/>
      </c>
      <c r="N22" s="272" t="str">
        <f t="shared" si="16"/>
        <v/>
      </c>
      <c r="O22" s="272" t="str">
        <f t="shared" si="16"/>
        <v/>
      </c>
      <c r="P22" s="272" t="str">
        <f t="shared" si="16"/>
        <v/>
      </c>
      <c r="Q22" s="272" t="str">
        <f t="shared" si="16"/>
        <v/>
      </c>
      <c r="R22" s="272" t="str">
        <f t="shared" si="16"/>
        <v/>
      </c>
      <c r="S22" s="272" t="str">
        <f t="shared" si="16"/>
        <v/>
      </c>
      <c r="T22" s="272" t="str">
        <f t="shared" si="16"/>
        <v/>
      </c>
      <c r="U22" s="272" t="str">
        <f t="shared" si="16"/>
        <v/>
      </c>
      <c r="V22" s="272" t="str">
        <f t="shared" si="16"/>
        <v/>
      </c>
    </row>
    <row r="23" ht="30.0" customHeight="1">
      <c r="A23" s="243">
        <v>17.0</v>
      </c>
      <c r="B23" s="243" t="s">
        <v>304</v>
      </c>
      <c r="C23" s="240" t="s">
        <v>203</v>
      </c>
      <c r="D23" s="240" t="s">
        <v>242</v>
      </c>
      <c r="E23" s="243" t="s">
        <v>263</v>
      </c>
      <c r="F23" s="243"/>
      <c r="G23" s="243"/>
      <c r="H23" s="270"/>
      <c r="I23" s="270"/>
      <c r="J23" s="243" t="s">
        <v>141</v>
      </c>
      <c r="K23" s="273" t="s">
        <v>883</v>
      </c>
      <c r="L23" s="272" t="str">
        <f t="shared" ref="L23:V23" si="17">IF(AND(L$6&lt;=$I23,L$6+6&gt;=$H23,$H23&lt;&gt;"",$I23&lt;&gt;""),1,"")</f>
        <v/>
      </c>
      <c r="M23" s="272" t="str">
        <f t="shared" si="17"/>
        <v/>
      </c>
      <c r="N23" s="272" t="str">
        <f t="shared" si="17"/>
        <v/>
      </c>
      <c r="O23" s="272" t="str">
        <f t="shared" si="17"/>
        <v/>
      </c>
      <c r="P23" s="272" t="str">
        <f t="shared" si="17"/>
        <v/>
      </c>
      <c r="Q23" s="272" t="str">
        <f t="shared" si="17"/>
        <v/>
      </c>
      <c r="R23" s="272" t="str">
        <f t="shared" si="17"/>
        <v/>
      </c>
      <c r="S23" s="272" t="str">
        <f t="shared" si="17"/>
        <v/>
      </c>
      <c r="T23" s="272" t="str">
        <f t="shared" si="17"/>
        <v/>
      </c>
      <c r="U23" s="272" t="str">
        <f t="shared" si="17"/>
        <v/>
      </c>
      <c r="V23" s="272" t="str">
        <f t="shared" si="17"/>
        <v/>
      </c>
    </row>
    <row r="24" ht="30.0" customHeight="1">
      <c r="A24" s="243">
        <v>18.0</v>
      </c>
      <c r="B24" s="243" t="s">
        <v>311</v>
      </c>
      <c r="C24" s="240" t="s">
        <v>307</v>
      </c>
      <c r="D24" s="240" t="s">
        <v>308</v>
      </c>
      <c r="E24" s="243" t="s">
        <v>263</v>
      </c>
      <c r="F24" s="243"/>
      <c r="G24" s="243"/>
      <c r="H24" s="270">
        <v>46237.0</v>
      </c>
      <c r="I24" s="270">
        <v>46246.0</v>
      </c>
      <c r="J24" s="243" t="s">
        <v>141</v>
      </c>
      <c r="K24" s="271" t="s">
        <v>884</v>
      </c>
      <c r="L24" s="272">
        <f t="shared" ref="L24:V24" si="18">IF(AND(L$6&lt;=$I24,L$6+6&gt;=$H24,$H24&lt;&gt;"",$I24&lt;&gt;""),1,"")</f>
        <v>1</v>
      </c>
      <c r="M24" s="272">
        <f t="shared" si="18"/>
        <v>1</v>
      </c>
      <c r="N24" s="272" t="str">
        <f t="shared" si="18"/>
        <v/>
      </c>
      <c r="O24" s="272" t="str">
        <f t="shared" si="18"/>
        <v/>
      </c>
      <c r="P24" s="272" t="str">
        <f t="shared" si="18"/>
        <v/>
      </c>
      <c r="Q24" s="272" t="str">
        <f t="shared" si="18"/>
        <v/>
      </c>
      <c r="R24" s="272" t="str">
        <f t="shared" si="18"/>
        <v/>
      </c>
      <c r="S24" s="272" t="str">
        <f t="shared" si="18"/>
        <v/>
      </c>
      <c r="T24" s="272" t="str">
        <f t="shared" si="18"/>
        <v/>
      </c>
      <c r="U24" s="272" t="str">
        <f t="shared" si="18"/>
        <v/>
      </c>
      <c r="V24" s="272" t="str">
        <f t="shared" si="18"/>
        <v/>
      </c>
    </row>
    <row r="25" ht="30.0" customHeight="1">
      <c r="A25" s="243">
        <v>19.0</v>
      </c>
      <c r="B25" s="243" t="s">
        <v>315</v>
      </c>
      <c r="C25" s="240" t="s">
        <v>307</v>
      </c>
      <c r="D25" s="240" t="s">
        <v>316</v>
      </c>
      <c r="E25" s="243" t="s">
        <v>263</v>
      </c>
      <c r="F25" s="243"/>
      <c r="G25" s="243"/>
      <c r="H25" s="270">
        <v>46237.0</v>
      </c>
      <c r="I25" s="270">
        <v>46246.0</v>
      </c>
      <c r="J25" s="243" t="s">
        <v>141</v>
      </c>
      <c r="K25" s="271" t="s">
        <v>863</v>
      </c>
      <c r="L25" s="272">
        <f t="shared" ref="L25:V25" si="19">IF(AND(L$6&lt;=$I25,L$6+6&gt;=$H25,$H25&lt;&gt;"",$I25&lt;&gt;""),1,"")</f>
        <v>1</v>
      </c>
      <c r="M25" s="272">
        <f t="shared" si="19"/>
        <v>1</v>
      </c>
      <c r="N25" s="272" t="str">
        <f t="shared" si="19"/>
        <v/>
      </c>
      <c r="O25" s="272" t="str">
        <f t="shared" si="19"/>
        <v/>
      </c>
      <c r="P25" s="272" t="str">
        <f t="shared" si="19"/>
        <v/>
      </c>
      <c r="Q25" s="272" t="str">
        <f t="shared" si="19"/>
        <v/>
      </c>
      <c r="R25" s="272" t="str">
        <f t="shared" si="19"/>
        <v/>
      </c>
      <c r="S25" s="272" t="str">
        <f t="shared" si="19"/>
        <v/>
      </c>
      <c r="T25" s="272" t="str">
        <f t="shared" si="19"/>
        <v/>
      </c>
      <c r="U25" s="272" t="str">
        <f t="shared" si="19"/>
        <v/>
      </c>
      <c r="V25" s="272" t="str">
        <f t="shared" si="19"/>
        <v/>
      </c>
    </row>
    <row r="26" ht="30.0" customHeight="1">
      <c r="A26" s="243">
        <v>20.0</v>
      </c>
      <c r="B26" s="243" t="s">
        <v>319</v>
      </c>
      <c r="C26" s="240" t="s">
        <v>307</v>
      </c>
      <c r="D26" s="240" t="s">
        <v>320</v>
      </c>
      <c r="E26" s="243" t="s">
        <v>263</v>
      </c>
      <c r="F26" s="243"/>
      <c r="G26" s="243"/>
      <c r="H26" s="270">
        <v>46237.0</v>
      </c>
      <c r="I26" s="270">
        <v>46246.0</v>
      </c>
      <c r="J26" s="243" t="s">
        <v>141</v>
      </c>
      <c r="K26" s="271" t="s">
        <v>885</v>
      </c>
      <c r="L26" s="272">
        <f t="shared" ref="L26:V26" si="20">IF(AND(L$6&lt;=$I26,L$6+6&gt;=$H26,$H26&lt;&gt;"",$I26&lt;&gt;""),1,"")</f>
        <v>1</v>
      </c>
      <c r="M26" s="272">
        <f t="shared" si="20"/>
        <v>1</v>
      </c>
      <c r="N26" s="272" t="str">
        <f t="shared" si="20"/>
        <v/>
      </c>
      <c r="O26" s="272" t="str">
        <f t="shared" si="20"/>
        <v/>
      </c>
      <c r="P26" s="272" t="str">
        <f t="shared" si="20"/>
        <v/>
      </c>
      <c r="Q26" s="272" t="str">
        <f t="shared" si="20"/>
        <v/>
      </c>
      <c r="R26" s="272" t="str">
        <f t="shared" si="20"/>
        <v/>
      </c>
      <c r="S26" s="272" t="str">
        <f t="shared" si="20"/>
        <v/>
      </c>
      <c r="T26" s="272" t="str">
        <f t="shared" si="20"/>
        <v/>
      </c>
      <c r="U26" s="272" t="str">
        <f t="shared" si="20"/>
        <v/>
      </c>
      <c r="V26" s="272" t="str">
        <f t="shared" si="20"/>
        <v/>
      </c>
    </row>
    <row r="27" ht="30.0" customHeight="1">
      <c r="A27" s="243">
        <v>21.0</v>
      </c>
      <c r="B27" s="243" t="s">
        <v>324</v>
      </c>
      <c r="C27" s="240" t="s">
        <v>307</v>
      </c>
      <c r="D27" s="240" t="s">
        <v>325</v>
      </c>
      <c r="E27" s="243" t="s">
        <v>263</v>
      </c>
      <c r="F27" s="243"/>
      <c r="G27" s="243"/>
      <c r="H27" s="270">
        <v>46237.0</v>
      </c>
      <c r="I27" s="270">
        <v>46246.0</v>
      </c>
      <c r="J27" s="243" t="s">
        <v>141</v>
      </c>
      <c r="K27" s="271" t="s">
        <v>886</v>
      </c>
      <c r="L27" s="272">
        <f t="shared" ref="L27:V27" si="21">IF(AND(L$6&lt;=$I27,L$6+6&gt;=$H27,$H27&lt;&gt;"",$I27&lt;&gt;""),1,"")</f>
        <v>1</v>
      </c>
      <c r="M27" s="272">
        <f t="shared" si="21"/>
        <v>1</v>
      </c>
      <c r="N27" s="272" t="str">
        <f t="shared" si="21"/>
        <v/>
      </c>
      <c r="O27" s="272" t="str">
        <f t="shared" si="21"/>
        <v/>
      </c>
      <c r="P27" s="272" t="str">
        <f t="shared" si="21"/>
        <v/>
      </c>
      <c r="Q27" s="272" t="str">
        <f t="shared" si="21"/>
        <v/>
      </c>
      <c r="R27" s="272" t="str">
        <f t="shared" si="21"/>
        <v/>
      </c>
      <c r="S27" s="272" t="str">
        <f t="shared" si="21"/>
        <v/>
      </c>
      <c r="T27" s="272" t="str">
        <f t="shared" si="21"/>
        <v/>
      </c>
      <c r="U27" s="272" t="str">
        <f t="shared" si="21"/>
        <v/>
      </c>
      <c r="V27" s="272" t="str">
        <f t="shared" si="21"/>
        <v/>
      </c>
    </row>
    <row r="28" ht="30.0" customHeight="1">
      <c r="A28" s="243">
        <v>22.0</v>
      </c>
      <c r="B28" s="243" t="s">
        <v>329</v>
      </c>
      <c r="C28" s="240" t="s">
        <v>307</v>
      </c>
      <c r="D28" s="240" t="s">
        <v>330</v>
      </c>
      <c r="E28" s="243" t="s">
        <v>263</v>
      </c>
      <c r="F28" s="243"/>
      <c r="G28" s="243"/>
      <c r="H28" s="270">
        <v>46237.0</v>
      </c>
      <c r="I28" s="270">
        <v>46246.0</v>
      </c>
      <c r="J28" s="243" t="s">
        <v>141</v>
      </c>
      <c r="K28" s="271" t="s">
        <v>921</v>
      </c>
      <c r="L28" s="272">
        <f t="shared" ref="L28:V28" si="22">IF(AND(L$6&lt;=$I28,L$6+6&gt;=$H28,$H28&lt;&gt;"",$I28&lt;&gt;""),1,"")</f>
        <v>1</v>
      </c>
      <c r="M28" s="272">
        <f t="shared" si="22"/>
        <v>1</v>
      </c>
      <c r="N28" s="272" t="str">
        <f t="shared" si="22"/>
        <v/>
      </c>
      <c r="O28" s="272" t="str">
        <f t="shared" si="22"/>
        <v/>
      </c>
      <c r="P28" s="272" t="str">
        <f t="shared" si="22"/>
        <v/>
      </c>
      <c r="Q28" s="272" t="str">
        <f t="shared" si="22"/>
        <v/>
      </c>
      <c r="R28" s="272" t="str">
        <f t="shared" si="22"/>
        <v/>
      </c>
      <c r="S28" s="272" t="str">
        <f t="shared" si="22"/>
        <v/>
      </c>
      <c r="T28" s="272" t="str">
        <f t="shared" si="22"/>
        <v/>
      </c>
      <c r="U28" s="272" t="str">
        <f t="shared" si="22"/>
        <v/>
      </c>
      <c r="V28" s="272" t="str">
        <f t="shared" si="22"/>
        <v/>
      </c>
    </row>
    <row r="29" ht="30.0" customHeight="1">
      <c r="A29" s="243">
        <v>23.0</v>
      </c>
      <c r="B29" s="243" t="s">
        <v>334</v>
      </c>
      <c r="C29" s="240" t="s">
        <v>307</v>
      </c>
      <c r="D29" s="240" t="s">
        <v>335</v>
      </c>
      <c r="E29" s="243" t="s">
        <v>263</v>
      </c>
      <c r="F29" s="243"/>
      <c r="G29" s="243"/>
      <c r="H29" s="270"/>
      <c r="I29" s="270"/>
      <c r="J29" s="243" t="s">
        <v>141</v>
      </c>
      <c r="K29" s="273" t="s">
        <v>882</v>
      </c>
      <c r="L29" s="272" t="str">
        <f t="shared" ref="L29:V29" si="23">IF(AND(L$6&lt;=$I29,L$6+6&gt;=$H29,$H29&lt;&gt;"",$I29&lt;&gt;""),1,"")</f>
        <v/>
      </c>
      <c r="M29" s="272" t="str">
        <f t="shared" si="23"/>
        <v/>
      </c>
      <c r="N29" s="272" t="str">
        <f t="shared" si="23"/>
        <v/>
      </c>
      <c r="O29" s="272" t="str">
        <f t="shared" si="23"/>
        <v/>
      </c>
      <c r="P29" s="272" t="str">
        <f t="shared" si="23"/>
        <v/>
      </c>
      <c r="Q29" s="272" t="str">
        <f t="shared" si="23"/>
        <v/>
      </c>
      <c r="R29" s="272" t="str">
        <f t="shared" si="23"/>
        <v/>
      </c>
      <c r="S29" s="272" t="str">
        <f t="shared" si="23"/>
        <v/>
      </c>
      <c r="T29" s="272" t="str">
        <f t="shared" si="23"/>
        <v/>
      </c>
      <c r="U29" s="272" t="str">
        <f t="shared" si="23"/>
        <v/>
      </c>
      <c r="V29" s="272" t="str">
        <f t="shared" si="23"/>
        <v/>
      </c>
    </row>
    <row r="30" ht="30.0" customHeight="1">
      <c r="A30" s="243">
        <v>24.0</v>
      </c>
      <c r="B30" s="243" t="s">
        <v>338</v>
      </c>
      <c r="C30" s="240" t="s">
        <v>339</v>
      </c>
      <c r="D30" s="240" t="s">
        <v>340</v>
      </c>
      <c r="E30" s="243" t="s">
        <v>263</v>
      </c>
      <c r="F30" s="243"/>
      <c r="G30" s="243"/>
      <c r="H30" s="270">
        <v>46244.0</v>
      </c>
      <c r="I30" s="270">
        <v>46253.0</v>
      </c>
      <c r="J30" s="243" t="s">
        <v>141</v>
      </c>
      <c r="K30" s="271" t="s">
        <v>1019</v>
      </c>
      <c r="L30" s="272" t="str">
        <f t="shared" ref="L30:V30" si="24">IF(AND(L$6&lt;=$I30,L$6+6&gt;=$H30,$H30&lt;&gt;"",$I30&lt;&gt;""),1,"")</f>
        <v/>
      </c>
      <c r="M30" s="272">
        <f t="shared" si="24"/>
        <v>1</v>
      </c>
      <c r="N30" s="272">
        <f t="shared" si="24"/>
        <v>1</v>
      </c>
      <c r="O30" s="272" t="str">
        <f t="shared" si="24"/>
        <v/>
      </c>
      <c r="P30" s="272" t="str">
        <f t="shared" si="24"/>
        <v/>
      </c>
      <c r="Q30" s="272" t="str">
        <f t="shared" si="24"/>
        <v/>
      </c>
      <c r="R30" s="272" t="str">
        <f t="shared" si="24"/>
        <v/>
      </c>
      <c r="S30" s="272" t="str">
        <f t="shared" si="24"/>
        <v/>
      </c>
      <c r="T30" s="272" t="str">
        <f t="shared" si="24"/>
        <v/>
      </c>
      <c r="U30" s="272" t="str">
        <f t="shared" si="24"/>
        <v/>
      </c>
      <c r="V30" s="272" t="str">
        <f t="shared" si="24"/>
        <v/>
      </c>
    </row>
    <row r="31" ht="30.0" customHeight="1">
      <c r="A31" s="243">
        <v>25.0</v>
      </c>
      <c r="B31" s="243" t="s">
        <v>345</v>
      </c>
      <c r="C31" s="240" t="s">
        <v>339</v>
      </c>
      <c r="D31" s="240" t="s">
        <v>346</v>
      </c>
      <c r="E31" s="243" t="s">
        <v>263</v>
      </c>
      <c r="F31" s="243"/>
      <c r="G31" s="243"/>
      <c r="H31" s="270">
        <v>46244.0</v>
      </c>
      <c r="I31" s="270">
        <v>46253.0</v>
      </c>
      <c r="J31" s="243" t="s">
        <v>141</v>
      </c>
      <c r="K31" s="271" t="s">
        <v>863</v>
      </c>
      <c r="L31" s="272" t="str">
        <f t="shared" ref="L31:V31" si="25">IF(AND(L$6&lt;=$I31,L$6+6&gt;=$H31,$H31&lt;&gt;"",$I31&lt;&gt;""),1,"")</f>
        <v/>
      </c>
      <c r="M31" s="272">
        <f t="shared" si="25"/>
        <v>1</v>
      </c>
      <c r="N31" s="272">
        <f t="shared" si="25"/>
        <v>1</v>
      </c>
      <c r="O31" s="272" t="str">
        <f t="shared" si="25"/>
        <v/>
      </c>
      <c r="P31" s="272" t="str">
        <f t="shared" si="25"/>
        <v/>
      </c>
      <c r="Q31" s="272" t="str">
        <f t="shared" si="25"/>
        <v/>
      </c>
      <c r="R31" s="272" t="str">
        <f t="shared" si="25"/>
        <v/>
      </c>
      <c r="S31" s="272" t="str">
        <f t="shared" si="25"/>
        <v/>
      </c>
      <c r="T31" s="272" t="str">
        <f t="shared" si="25"/>
        <v/>
      </c>
      <c r="U31" s="272" t="str">
        <f t="shared" si="25"/>
        <v/>
      </c>
      <c r="V31" s="272" t="str">
        <f t="shared" si="25"/>
        <v/>
      </c>
    </row>
    <row r="32" ht="30.0" customHeight="1">
      <c r="A32" s="243">
        <v>26.0</v>
      </c>
      <c r="B32" s="243" t="s">
        <v>349</v>
      </c>
      <c r="C32" s="240" t="s">
        <v>339</v>
      </c>
      <c r="D32" s="240" t="s">
        <v>350</v>
      </c>
      <c r="E32" s="243" t="s">
        <v>263</v>
      </c>
      <c r="F32" s="243"/>
      <c r="G32" s="243"/>
      <c r="H32" s="270"/>
      <c r="I32" s="270"/>
      <c r="J32" s="243" t="s">
        <v>141</v>
      </c>
      <c r="K32" s="273" t="s">
        <v>1020</v>
      </c>
      <c r="L32" s="272" t="str">
        <f t="shared" ref="L32:V32" si="26">IF(AND(L$6&lt;=$I32,L$6+6&gt;=$H32,$H32&lt;&gt;"",$I32&lt;&gt;""),1,"")</f>
        <v/>
      </c>
      <c r="M32" s="272" t="str">
        <f t="shared" si="26"/>
        <v/>
      </c>
      <c r="N32" s="272" t="str">
        <f t="shared" si="26"/>
        <v/>
      </c>
      <c r="O32" s="272" t="str">
        <f t="shared" si="26"/>
        <v/>
      </c>
      <c r="P32" s="272" t="str">
        <f t="shared" si="26"/>
        <v/>
      </c>
      <c r="Q32" s="272" t="str">
        <f t="shared" si="26"/>
        <v/>
      </c>
      <c r="R32" s="272" t="str">
        <f t="shared" si="26"/>
        <v/>
      </c>
      <c r="S32" s="272" t="str">
        <f t="shared" si="26"/>
        <v/>
      </c>
      <c r="T32" s="272" t="str">
        <f t="shared" si="26"/>
        <v/>
      </c>
      <c r="U32" s="272" t="str">
        <f t="shared" si="26"/>
        <v/>
      </c>
      <c r="V32" s="272" t="str">
        <f t="shared" si="26"/>
        <v/>
      </c>
    </row>
    <row r="33" ht="30.0" customHeight="1">
      <c r="A33" s="243">
        <v>27.0</v>
      </c>
      <c r="B33" s="243" t="s">
        <v>355</v>
      </c>
      <c r="C33" s="240" t="s">
        <v>339</v>
      </c>
      <c r="D33" s="240" t="s">
        <v>356</v>
      </c>
      <c r="E33" s="243" t="s">
        <v>263</v>
      </c>
      <c r="F33" s="243"/>
      <c r="G33" s="243"/>
      <c r="H33" s="270"/>
      <c r="I33" s="270"/>
      <c r="J33" s="243" t="s">
        <v>141</v>
      </c>
      <c r="K33" s="273" t="s">
        <v>882</v>
      </c>
      <c r="L33" s="272" t="str">
        <f t="shared" ref="L33:V33" si="27">IF(AND(L$6&lt;=$I33,L$6+6&gt;=$H33,$H33&lt;&gt;"",$I33&lt;&gt;""),1,"")</f>
        <v/>
      </c>
      <c r="M33" s="272" t="str">
        <f t="shared" si="27"/>
        <v/>
      </c>
      <c r="N33" s="272" t="str">
        <f t="shared" si="27"/>
        <v/>
      </c>
      <c r="O33" s="272" t="str">
        <f t="shared" si="27"/>
        <v/>
      </c>
      <c r="P33" s="272" t="str">
        <f t="shared" si="27"/>
        <v/>
      </c>
      <c r="Q33" s="272" t="str">
        <f t="shared" si="27"/>
        <v/>
      </c>
      <c r="R33" s="272" t="str">
        <f t="shared" si="27"/>
        <v/>
      </c>
      <c r="S33" s="272" t="str">
        <f t="shared" si="27"/>
        <v/>
      </c>
      <c r="T33" s="272" t="str">
        <f t="shared" si="27"/>
        <v/>
      </c>
      <c r="U33" s="272" t="str">
        <f t="shared" si="27"/>
        <v/>
      </c>
      <c r="V33" s="272" t="str">
        <f t="shared" si="27"/>
        <v/>
      </c>
    </row>
    <row r="34" ht="30.0" customHeight="1">
      <c r="A34" s="243">
        <v>28.0</v>
      </c>
      <c r="B34" s="243" t="s">
        <v>360</v>
      </c>
      <c r="C34" s="240" t="s">
        <v>339</v>
      </c>
      <c r="D34" s="240" t="s">
        <v>361</v>
      </c>
      <c r="E34" s="243" t="s">
        <v>263</v>
      </c>
      <c r="F34" s="243"/>
      <c r="G34" s="243"/>
      <c r="H34" s="270">
        <v>46244.0</v>
      </c>
      <c r="I34" s="270">
        <v>46253.0</v>
      </c>
      <c r="J34" s="243" t="s">
        <v>141</v>
      </c>
      <c r="K34" s="271" t="s">
        <v>863</v>
      </c>
      <c r="L34" s="272" t="str">
        <f t="shared" ref="L34:V34" si="28">IF(AND(L$6&lt;=$I34,L$6+6&gt;=$H34,$H34&lt;&gt;"",$I34&lt;&gt;""),1,"")</f>
        <v/>
      </c>
      <c r="M34" s="272">
        <f t="shared" si="28"/>
        <v>1</v>
      </c>
      <c r="N34" s="272">
        <f t="shared" si="28"/>
        <v>1</v>
      </c>
      <c r="O34" s="272" t="str">
        <f t="shared" si="28"/>
        <v/>
      </c>
      <c r="P34" s="272" t="str">
        <f t="shared" si="28"/>
        <v/>
      </c>
      <c r="Q34" s="272" t="str">
        <f t="shared" si="28"/>
        <v/>
      </c>
      <c r="R34" s="272" t="str">
        <f t="shared" si="28"/>
        <v/>
      </c>
      <c r="S34" s="272" t="str">
        <f t="shared" si="28"/>
        <v/>
      </c>
      <c r="T34" s="272" t="str">
        <f t="shared" si="28"/>
        <v/>
      </c>
      <c r="U34" s="272" t="str">
        <f t="shared" si="28"/>
        <v/>
      </c>
      <c r="V34" s="272" t="str">
        <f t="shared" si="28"/>
        <v/>
      </c>
    </row>
    <row r="35" ht="30.0" customHeight="1">
      <c r="A35" s="243">
        <v>29.0</v>
      </c>
      <c r="B35" s="243" t="s">
        <v>364</v>
      </c>
      <c r="C35" s="240" t="s">
        <v>339</v>
      </c>
      <c r="D35" s="240" t="s">
        <v>365</v>
      </c>
      <c r="E35" s="243" t="s">
        <v>263</v>
      </c>
      <c r="F35" s="243"/>
      <c r="G35" s="243"/>
      <c r="H35" s="270"/>
      <c r="I35" s="270"/>
      <c r="J35" s="243" t="s">
        <v>141</v>
      </c>
      <c r="K35" s="273" t="s">
        <v>882</v>
      </c>
      <c r="L35" s="272" t="str">
        <f t="shared" ref="L35:V35" si="29">IF(AND(L$6&lt;=$I35,L$6+6&gt;=$H35,$H35&lt;&gt;"",$I35&lt;&gt;""),1,"")</f>
        <v/>
      </c>
      <c r="M35" s="272" t="str">
        <f t="shared" si="29"/>
        <v/>
      </c>
      <c r="N35" s="272" t="str">
        <f t="shared" si="29"/>
        <v/>
      </c>
      <c r="O35" s="272" t="str">
        <f t="shared" si="29"/>
        <v/>
      </c>
      <c r="P35" s="272" t="str">
        <f t="shared" si="29"/>
        <v/>
      </c>
      <c r="Q35" s="272" t="str">
        <f t="shared" si="29"/>
        <v/>
      </c>
      <c r="R35" s="272" t="str">
        <f t="shared" si="29"/>
        <v/>
      </c>
      <c r="S35" s="272" t="str">
        <f t="shared" si="29"/>
        <v/>
      </c>
      <c r="T35" s="272" t="str">
        <f t="shared" si="29"/>
        <v/>
      </c>
      <c r="U35" s="272" t="str">
        <f t="shared" si="29"/>
        <v/>
      </c>
      <c r="V35" s="272" t="str">
        <f t="shared" si="29"/>
        <v/>
      </c>
    </row>
    <row r="36" ht="30.0" customHeight="1">
      <c r="A36" s="243">
        <v>30.0</v>
      </c>
      <c r="B36" s="243" t="s">
        <v>369</v>
      </c>
      <c r="C36" s="240" t="s">
        <v>339</v>
      </c>
      <c r="D36" s="240" t="s">
        <v>370</v>
      </c>
      <c r="E36" s="243" t="s">
        <v>263</v>
      </c>
      <c r="F36" s="243"/>
      <c r="G36" s="243"/>
      <c r="H36" s="270"/>
      <c r="I36" s="270"/>
      <c r="J36" s="243" t="s">
        <v>141</v>
      </c>
      <c r="K36" s="273" t="s">
        <v>882</v>
      </c>
      <c r="L36" s="272" t="str">
        <f t="shared" ref="L36:V36" si="30">IF(AND(L$6&lt;=$I36,L$6+6&gt;=$H36,$H36&lt;&gt;"",$I36&lt;&gt;""),1,"")</f>
        <v/>
      </c>
      <c r="M36" s="272" t="str">
        <f t="shared" si="30"/>
        <v/>
      </c>
      <c r="N36" s="272" t="str">
        <f t="shared" si="30"/>
        <v/>
      </c>
      <c r="O36" s="272" t="str">
        <f t="shared" si="30"/>
        <v/>
      </c>
      <c r="P36" s="272" t="str">
        <f t="shared" si="30"/>
        <v/>
      </c>
      <c r="Q36" s="272" t="str">
        <f t="shared" si="30"/>
        <v/>
      </c>
      <c r="R36" s="272" t="str">
        <f t="shared" si="30"/>
        <v/>
      </c>
      <c r="S36" s="272" t="str">
        <f t="shared" si="30"/>
        <v/>
      </c>
      <c r="T36" s="272" t="str">
        <f t="shared" si="30"/>
        <v/>
      </c>
      <c r="U36" s="272" t="str">
        <f t="shared" si="30"/>
        <v/>
      </c>
      <c r="V36" s="272" t="str">
        <f t="shared" si="30"/>
        <v/>
      </c>
    </row>
    <row r="37" ht="30.0" customHeight="1">
      <c r="A37" s="243">
        <v>31.0</v>
      </c>
      <c r="B37" s="243" t="s">
        <v>373</v>
      </c>
      <c r="C37" s="240" t="s">
        <v>374</v>
      </c>
      <c r="D37" s="240" t="s">
        <v>375</v>
      </c>
      <c r="E37" s="243" t="s">
        <v>263</v>
      </c>
      <c r="F37" s="243"/>
      <c r="G37" s="243"/>
      <c r="H37" s="270">
        <v>46244.0</v>
      </c>
      <c r="I37" s="270">
        <v>46253.0</v>
      </c>
      <c r="J37" s="243" t="s">
        <v>141</v>
      </c>
      <c r="K37" s="271" t="s">
        <v>863</v>
      </c>
      <c r="L37" s="272" t="str">
        <f t="shared" ref="L37:V37" si="31">IF(AND(L$6&lt;=$I37,L$6+6&gt;=$H37,$H37&lt;&gt;"",$I37&lt;&gt;""),1,"")</f>
        <v/>
      </c>
      <c r="M37" s="272">
        <f t="shared" si="31"/>
        <v>1</v>
      </c>
      <c r="N37" s="272">
        <f t="shared" si="31"/>
        <v>1</v>
      </c>
      <c r="O37" s="272" t="str">
        <f t="shared" si="31"/>
        <v/>
      </c>
      <c r="P37" s="272" t="str">
        <f t="shared" si="31"/>
        <v/>
      </c>
      <c r="Q37" s="272" t="str">
        <f t="shared" si="31"/>
        <v/>
      </c>
      <c r="R37" s="272" t="str">
        <f t="shared" si="31"/>
        <v/>
      </c>
      <c r="S37" s="272" t="str">
        <f t="shared" si="31"/>
        <v/>
      </c>
      <c r="T37" s="272" t="str">
        <f t="shared" si="31"/>
        <v/>
      </c>
      <c r="U37" s="272" t="str">
        <f t="shared" si="31"/>
        <v/>
      </c>
      <c r="V37" s="272" t="str">
        <f t="shared" si="31"/>
        <v/>
      </c>
    </row>
    <row r="38" ht="30.0" customHeight="1">
      <c r="A38" s="243">
        <v>32.0</v>
      </c>
      <c r="B38" s="243" t="s">
        <v>380</v>
      </c>
      <c r="C38" s="240" t="s">
        <v>374</v>
      </c>
      <c r="D38" s="240" t="s">
        <v>381</v>
      </c>
      <c r="E38" s="243" t="s">
        <v>263</v>
      </c>
      <c r="F38" s="243"/>
      <c r="G38" s="243"/>
      <c r="H38" s="270">
        <v>46244.0</v>
      </c>
      <c r="I38" s="270">
        <v>46253.0</v>
      </c>
      <c r="J38" s="243" t="s">
        <v>141</v>
      </c>
      <c r="K38" s="271" t="s">
        <v>1094</v>
      </c>
      <c r="L38" s="272" t="str">
        <f t="shared" ref="L38:V38" si="32">IF(AND(L$6&lt;=$I38,L$6+6&gt;=$H38,$H38&lt;&gt;"",$I38&lt;&gt;""),1,"")</f>
        <v/>
      </c>
      <c r="M38" s="272">
        <f t="shared" si="32"/>
        <v>1</v>
      </c>
      <c r="N38" s="272">
        <f t="shared" si="32"/>
        <v>1</v>
      </c>
      <c r="O38" s="272" t="str">
        <f t="shared" si="32"/>
        <v/>
      </c>
      <c r="P38" s="272" t="str">
        <f t="shared" si="32"/>
        <v/>
      </c>
      <c r="Q38" s="272" t="str">
        <f t="shared" si="32"/>
        <v/>
      </c>
      <c r="R38" s="272" t="str">
        <f t="shared" si="32"/>
        <v/>
      </c>
      <c r="S38" s="272" t="str">
        <f t="shared" si="32"/>
        <v/>
      </c>
      <c r="T38" s="272" t="str">
        <f t="shared" si="32"/>
        <v/>
      </c>
      <c r="U38" s="272" t="str">
        <f t="shared" si="32"/>
        <v/>
      </c>
      <c r="V38" s="272" t="str">
        <f t="shared" si="32"/>
        <v/>
      </c>
    </row>
    <row r="39" ht="30.0" customHeight="1">
      <c r="A39" s="243">
        <v>33.0</v>
      </c>
      <c r="B39" s="243" t="s">
        <v>385</v>
      </c>
      <c r="C39" s="240" t="s">
        <v>374</v>
      </c>
      <c r="D39" s="240" t="s">
        <v>386</v>
      </c>
      <c r="E39" s="243" t="s">
        <v>263</v>
      </c>
      <c r="F39" s="243"/>
      <c r="G39" s="243"/>
      <c r="H39" s="270">
        <v>46244.0</v>
      </c>
      <c r="I39" s="270">
        <v>46253.0</v>
      </c>
      <c r="J39" s="243" t="s">
        <v>141</v>
      </c>
      <c r="K39" s="271" t="s">
        <v>1095</v>
      </c>
      <c r="L39" s="272" t="str">
        <f t="shared" ref="L39:V39" si="33">IF(AND(L$6&lt;=$I39,L$6+6&gt;=$H39,$H39&lt;&gt;"",$I39&lt;&gt;""),1,"")</f>
        <v/>
      </c>
      <c r="M39" s="272">
        <f t="shared" si="33"/>
        <v>1</v>
      </c>
      <c r="N39" s="272">
        <f t="shared" si="33"/>
        <v>1</v>
      </c>
      <c r="O39" s="272" t="str">
        <f t="shared" si="33"/>
        <v/>
      </c>
      <c r="P39" s="272" t="str">
        <f t="shared" si="33"/>
        <v/>
      </c>
      <c r="Q39" s="272" t="str">
        <f t="shared" si="33"/>
        <v/>
      </c>
      <c r="R39" s="272" t="str">
        <f t="shared" si="33"/>
        <v/>
      </c>
      <c r="S39" s="272" t="str">
        <f t="shared" si="33"/>
        <v/>
      </c>
      <c r="T39" s="272" t="str">
        <f t="shared" si="33"/>
        <v/>
      </c>
      <c r="U39" s="272" t="str">
        <f t="shared" si="33"/>
        <v/>
      </c>
      <c r="V39" s="272" t="str">
        <f t="shared" si="33"/>
        <v/>
      </c>
    </row>
    <row r="40" ht="30.0" customHeight="1">
      <c r="A40" s="243">
        <v>34.0</v>
      </c>
      <c r="B40" s="243" t="s">
        <v>390</v>
      </c>
      <c r="C40" s="240" t="s">
        <v>374</v>
      </c>
      <c r="D40" s="240" t="s">
        <v>391</v>
      </c>
      <c r="E40" s="243" t="s">
        <v>263</v>
      </c>
      <c r="F40" s="243"/>
      <c r="G40" s="243"/>
      <c r="H40" s="270">
        <v>46244.0</v>
      </c>
      <c r="I40" s="270">
        <v>46253.0</v>
      </c>
      <c r="J40" s="243" t="s">
        <v>141</v>
      </c>
      <c r="K40" s="271" t="s">
        <v>863</v>
      </c>
      <c r="L40" s="272" t="str">
        <f t="shared" ref="L40:V40" si="34">IF(AND(L$6&lt;=$I40,L$6+6&gt;=$H40,$H40&lt;&gt;"",$I40&lt;&gt;""),1,"")</f>
        <v/>
      </c>
      <c r="M40" s="272">
        <f t="shared" si="34"/>
        <v>1</v>
      </c>
      <c r="N40" s="272">
        <f t="shared" si="34"/>
        <v>1</v>
      </c>
      <c r="O40" s="272" t="str">
        <f t="shared" si="34"/>
        <v/>
      </c>
      <c r="P40" s="272" t="str">
        <f t="shared" si="34"/>
        <v/>
      </c>
      <c r="Q40" s="272" t="str">
        <f t="shared" si="34"/>
        <v/>
      </c>
      <c r="R40" s="272" t="str">
        <f t="shared" si="34"/>
        <v/>
      </c>
      <c r="S40" s="272" t="str">
        <f t="shared" si="34"/>
        <v/>
      </c>
      <c r="T40" s="272" t="str">
        <f t="shared" si="34"/>
        <v/>
      </c>
      <c r="U40" s="272" t="str">
        <f t="shared" si="34"/>
        <v/>
      </c>
      <c r="V40" s="272" t="str">
        <f t="shared" si="34"/>
        <v/>
      </c>
    </row>
    <row r="41" ht="30.0" customHeight="1">
      <c r="A41" s="243">
        <v>35.0</v>
      </c>
      <c r="B41" s="243" t="s">
        <v>394</v>
      </c>
      <c r="C41" s="240" t="s">
        <v>374</v>
      </c>
      <c r="D41" s="240" t="s">
        <v>395</v>
      </c>
      <c r="E41" s="243" t="s">
        <v>263</v>
      </c>
      <c r="F41" s="243"/>
      <c r="G41" s="243"/>
      <c r="H41" s="270"/>
      <c r="I41" s="270"/>
      <c r="J41" s="243" t="s">
        <v>141</v>
      </c>
      <c r="K41" s="273" t="s">
        <v>882</v>
      </c>
      <c r="L41" s="272" t="str">
        <f t="shared" ref="L41:V41" si="35">IF(AND(L$6&lt;=$I41,L$6+6&gt;=$H41,$H41&lt;&gt;"",$I41&lt;&gt;""),1,"")</f>
        <v/>
      </c>
      <c r="M41" s="272" t="str">
        <f t="shared" si="35"/>
        <v/>
      </c>
      <c r="N41" s="272" t="str">
        <f t="shared" si="35"/>
        <v/>
      </c>
      <c r="O41" s="272" t="str">
        <f t="shared" si="35"/>
        <v/>
      </c>
      <c r="P41" s="272" t="str">
        <f t="shared" si="35"/>
        <v/>
      </c>
      <c r="Q41" s="272" t="str">
        <f t="shared" si="35"/>
        <v/>
      </c>
      <c r="R41" s="272" t="str">
        <f t="shared" si="35"/>
        <v/>
      </c>
      <c r="S41" s="272" t="str">
        <f t="shared" si="35"/>
        <v/>
      </c>
      <c r="T41" s="272" t="str">
        <f t="shared" si="35"/>
        <v/>
      </c>
      <c r="U41" s="272" t="str">
        <f t="shared" si="35"/>
        <v/>
      </c>
      <c r="V41" s="272" t="str">
        <f t="shared" si="35"/>
        <v/>
      </c>
    </row>
    <row r="42" ht="30.0" customHeight="1">
      <c r="A42" s="243">
        <v>36.0</v>
      </c>
      <c r="B42" s="243" t="s">
        <v>398</v>
      </c>
      <c r="C42" s="240" t="s">
        <v>374</v>
      </c>
      <c r="D42" s="240" t="s">
        <v>399</v>
      </c>
      <c r="E42" s="243" t="s">
        <v>263</v>
      </c>
      <c r="F42" s="243"/>
      <c r="G42" s="243"/>
      <c r="H42" s="270"/>
      <c r="I42" s="270"/>
      <c r="J42" s="243" t="s">
        <v>141</v>
      </c>
      <c r="K42" s="273" t="s">
        <v>882</v>
      </c>
      <c r="L42" s="272" t="str">
        <f t="shared" ref="L42:V42" si="36">IF(AND(L$6&lt;=$I42,L$6+6&gt;=$H42,$H42&lt;&gt;"",$I42&lt;&gt;""),1,"")</f>
        <v/>
      </c>
      <c r="M42" s="272" t="str">
        <f t="shared" si="36"/>
        <v/>
      </c>
      <c r="N42" s="272" t="str">
        <f t="shared" si="36"/>
        <v/>
      </c>
      <c r="O42" s="272" t="str">
        <f t="shared" si="36"/>
        <v/>
      </c>
      <c r="P42" s="272" t="str">
        <f t="shared" si="36"/>
        <v/>
      </c>
      <c r="Q42" s="272" t="str">
        <f t="shared" si="36"/>
        <v/>
      </c>
      <c r="R42" s="272" t="str">
        <f t="shared" si="36"/>
        <v/>
      </c>
      <c r="S42" s="272" t="str">
        <f t="shared" si="36"/>
        <v/>
      </c>
      <c r="T42" s="272" t="str">
        <f t="shared" si="36"/>
        <v/>
      </c>
      <c r="U42" s="272" t="str">
        <f t="shared" si="36"/>
        <v/>
      </c>
      <c r="V42" s="272" t="str">
        <f t="shared" si="36"/>
        <v/>
      </c>
    </row>
    <row r="43" ht="30.0" customHeight="1">
      <c r="A43" s="243">
        <v>37.0</v>
      </c>
      <c r="B43" s="243" t="s">
        <v>402</v>
      </c>
      <c r="C43" s="240" t="s">
        <v>403</v>
      </c>
      <c r="D43" s="240" t="s">
        <v>404</v>
      </c>
      <c r="E43" s="243" t="s">
        <v>263</v>
      </c>
      <c r="F43" s="243" t="s">
        <v>154</v>
      </c>
      <c r="G43" s="243"/>
      <c r="H43" s="270">
        <v>46244.0</v>
      </c>
      <c r="I43" s="270">
        <v>46248.0</v>
      </c>
      <c r="J43" s="243" t="s">
        <v>141</v>
      </c>
      <c r="K43" s="271" t="s">
        <v>863</v>
      </c>
      <c r="L43" s="272" t="str">
        <f t="shared" ref="L43:V43" si="37">IF(AND(L$6&lt;=$I43,L$6+6&gt;=$H43,$H43&lt;&gt;"",$I43&lt;&gt;""),1,"")</f>
        <v/>
      </c>
      <c r="M43" s="272">
        <f t="shared" si="37"/>
        <v>1</v>
      </c>
      <c r="N43" s="272" t="str">
        <f t="shared" si="37"/>
        <v/>
      </c>
      <c r="O43" s="272" t="str">
        <f t="shared" si="37"/>
        <v/>
      </c>
      <c r="P43" s="272" t="str">
        <f t="shared" si="37"/>
        <v/>
      </c>
      <c r="Q43" s="272" t="str">
        <f t="shared" si="37"/>
        <v/>
      </c>
      <c r="R43" s="272" t="str">
        <f t="shared" si="37"/>
        <v/>
      </c>
      <c r="S43" s="272" t="str">
        <f t="shared" si="37"/>
        <v/>
      </c>
      <c r="T43" s="272" t="str">
        <f t="shared" si="37"/>
        <v/>
      </c>
      <c r="U43" s="272" t="str">
        <f t="shared" si="37"/>
        <v/>
      </c>
      <c r="V43" s="272" t="str">
        <f t="shared" si="37"/>
        <v/>
      </c>
    </row>
    <row r="44" ht="30.0" customHeight="1">
      <c r="A44" s="243">
        <v>38.0</v>
      </c>
      <c r="B44" s="243" t="s">
        <v>407</v>
      </c>
      <c r="C44" s="240" t="s">
        <v>403</v>
      </c>
      <c r="D44" s="240" t="s">
        <v>408</v>
      </c>
      <c r="E44" s="243" t="s">
        <v>263</v>
      </c>
      <c r="F44" s="243" t="s">
        <v>154</v>
      </c>
      <c r="G44" s="243"/>
      <c r="H44" s="270">
        <v>46244.0</v>
      </c>
      <c r="I44" s="270">
        <v>46248.0</v>
      </c>
      <c r="J44" s="243" t="s">
        <v>141</v>
      </c>
      <c r="K44" s="271" t="s">
        <v>863</v>
      </c>
      <c r="L44" s="272" t="str">
        <f t="shared" ref="L44:V44" si="38">IF(AND(L$6&lt;=$I44,L$6+6&gt;=$H44,$H44&lt;&gt;"",$I44&lt;&gt;""),1,"")</f>
        <v/>
      </c>
      <c r="M44" s="272">
        <f t="shared" si="38"/>
        <v>1</v>
      </c>
      <c r="N44" s="272" t="str">
        <f t="shared" si="38"/>
        <v/>
      </c>
      <c r="O44" s="272" t="str">
        <f t="shared" si="38"/>
        <v/>
      </c>
      <c r="P44" s="272" t="str">
        <f t="shared" si="38"/>
        <v/>
      </c>
      <c r="Q44" s="272" t="str">
        <f t="shared" si="38"/>
        <v/>
      </c>
      <c r="R44" s="272" t="str">
        <f t="shared" si="38"/>
        <v/>
      </c>
      <c r="S44" s="272" t="str">
        <f t="shared" si="38"/>
        <v/>
      </c>
      <c r="T44" s="272" t="str">
        <f t="shared" si="38"/>
        <v/>
      </c>
      <c r="U44" s="272" t="str">
        <f t="shared" si="38"/>
        <v/>
      </c>
      <c r="V44" s="272" t="str">
        <f t="shared" si="38"/>
        <v/>
      </c>
    </row>
    <row r="45" ht="30.0" customHeight="1">
      <c r="A45" s="243">
        <v>39.0</v>
      </c>
      <c r="B45" s="243" t="s">
        <v>411</v>
      </c>
      <c r="C45" s="240" t="s">
        <v>403</v>
      </c>
      <c r="D45" s="240" t="s">
        <v>412</v>
      </c>
      <c r="E45" s="243" t="s">
        <v>263</v>
      </c>
      <c r="F45" s="243" t="s">
        <v>154</v>
      </c>
      <c r="G45" s="243"/>
      <c r="H45" s="270">
        <v>46244.0</v>
      </c>
      <c r="I45" s="270">
        <v>46248.0</v>
      </c>
      <c r="J45" s="243" t="s">
        <v>141</v>
      </c>
      <c r="K45" s="271" t="s">
        <v>863</v>
      </c>
      <c r="L45" s="272" t="str">
        <f t="shared" ref="L45:V45" si="39">IF(AND(L$6&lt;=$I45,L$6+6&gt;=$H45,$H45&lt;&gt;"",$I45&lt;&gt;""),1,"")</f>
        <v/>
      </c>
      <c r="M45" s="272">
        <f t="shared" si="39"/>
        <v>1</v>
      </c>
      <c r="N45" s="272" t="str">
        <f t="shared" si="39"/>
        <v/>
      </c>
      <c r="O45" s="272" t="str">
        <f t="shared" si="39"/>
        <v/>
      </c>
      <c r="P45" s="272" t="str">
        <f t="shared" si="39"/>
        <v/>
      </c>
      <c r="Q45" s="272" t="str">
        <f t="shared" si="39"/>
        <v/>
      </c>
      <c r="R45" s="272" t="str">
        <f t="shared" si="39"/>
        <v/>
      </c>
      <c r="S45" s="272" t="str">
        <f t="shared" si="39"/>
        <v/>
      </c>
      <c r="T45" s="272" t="str">
        <f t="shared" si="39"/>
        <v/>
      </c>
      <c r="U45" s="272" t="str">
        <f t="shared" si="39"/>
        <v/>
      </c>
      <c r="V45" s="272" t="str">
        <f t="shared" si="39"/>
        <v/>
      </c>
    </row>
    <row r="46" ht="30.0" customHeight="1">
      <c r="A46" s="243">
        <v>40.0</v>
      </c>
      <c r="B46" s="243" t="s">
        <v>415</v>
      </c>
      <c r="C46" s="240" t="s">
        <v>403</v>
      </c>
      <c r="D46" s="240" t="s">
        <v>416</v>
      </c>
      <c r="E46" s="243" t="s">
        <v>263</v>
      </c>
      <c r="F46" s="243" t="s">
        <v>154</v>
      </c>
      <c r="G46" s="243"/>
      <c r="H46" s="270">
        <v>46251.0</v>
      </c>
      <c r="I46" s="270">
        <v>46255.0</v>
      </c>
      <c r="J46" s="243" t="s">
        <v>141</v>
      </c>
      <c r="K46" s="271" t="s">
        <v>1201</v>
      </c>
      <c r="L46" s="272" t="str">
        <f t="shared" ref="L46:V46" si="40">IF(AND(L$6&lt;=$I46,L$6+6&gt;=$H46,$H46&lt;&gt;"",$I46&lt;&gt;""),1,"")</f>
        <v/>
      </c>
      <c r="M46" s="272" t="str">
        <f t="shared" si="40"/>
        <v/>
      </c>
      <c r="N46" s="272">
        <f t="shared" si="40"/>
        <v>1</v>
      </c>
      <c r="O46" s="272" t="str">
        <f t="shared" si="40"/>
        <v/>
      </c>
      <c r="P46" s="272" t="str">
        <f t="shared" si="40"/>
        <v/>
      </c>
      <c r="Q46" s="272" t="str">
        <f t="shared" si="40"/>
        <v/>
      </c>
      <c r="R46" s="272" t="str">
        <f t="shared" si="40"/>
        <v/>
      </c>
      <c r="S46" s="272" t="str">
        <f t="shared" si="40"/>
        <v/>
      </c>
      <c r="T46" s="272" t="str">
        <f t="shared" si="40"/>
        <v/>
      </c>
      <c r="U46" s="272" t="str">
        <f t="shared" si="40"/>
        <v/>
      </c>
      <c r="V46" s="272" t="str">
        <f t="shared" si="40"/>
        <v/>
      </c>
    </row>
    <row r="47" ht="30.0" customHeight="1">
      <c r="A47" s="243">
        <v>41.0</v>
      </c>
      <c r="B47" s="243" t="s">
        <v>420</v>
      </c>
      <c r="C47" s="240" t="s">
        <v>403</v>
      </c>
      <c r="D47" s="240" t="s">
        <v>421</v>
      </c>
      <c r="E47" s="243" t="s">
        <v>263</v>
      </c>
      <c r="F47" s="243" t="s">
        <v>154</v>
      </c>
      <c r="G47" s="243"/>
      <c r="H47" s="270">
        <v>46251.0</v>
      </c>
      <c r="I47" s="270">
        <v>46255.0</v>
      </c>
      <c r="J47" s="243" t="s">
        <v>141</v>
      </c>
      <c r="K47" s="271" t="s">
        <v>863</v>
      </c>
      <c r="L47" s="272" t="str">
        <f t="shared" ref="L47:V47" si="41">IF(AND(L$6&lt;=$I47,L$6+6&gt;=$H47,$H47&lt;&gt;"",$I47&lt;&gt;""),1,"")</f>
        <v/>
      </c>
      <c r="M47" s="272" t="str">
        <f t="shared" si="41"/>
        <v/>
      </c>
      <c r="N47" s="272">
        <f t="shared" si="41"/>
        <v>1</v>
      </c>
      <c r="O47" s="272" t="str">
        <f t="shared" si="41"/>
        <v/>
      </c>
      <c r="P47" s="272" t="str">
        <f t="shared" si="41"/>
        <v/>
      </c>
      <c r="Q47" s="272" t="str">
        <f t="shared" si="41"/>
        <v/>
      </c>
      <c r="R47" s="272" t="str">
        <f t="shared" si="41"/>
        <v/>
      </c>
      <c r="S47" s="272" t="str">
        <f t="shared" si="41"/>
        <v/>
      </c>
      <c r="T47" s="272" t="str">
        <f t="shared" si="41"/>
        <v/>
      </c>
      <c r="U47" s="272" t="str">
        <f t="shared" si="41"/>
        <v/>
      </c>
      <c r="V47" s="272" t="str">
        <f t="shared" si="41"/>
        <v/>
      </c>
    </row>
    <row r="48" ht="30.0" customHeight="1">
      <c r="A48" s="243">
        <v>42.0</v>
      </c>
      <c r="B48" s="243" t="s">
        <v>424</v>
      </c>
      <c r="C48" s="240" t="s">
        <v>403</v>
      </c>
      <c r="D48" s="240" t="s">
        <v>425</v>
      </c>
      <c r="E48" s="243" t="s">
        <v>263</v>
      </c>
      <c r="F48" s="243" t="s">
        <v>154</v>
      </c>
      <c r="G48" s="243"/>
      <c r="H48" s="270"/>
      <c r="I48" s="270"/>
      <c r="J48" s="243" t="s">
        <v>141</v>
      </c>
      <c r="K48" s="273" t="s">
        <v>882</v>
      </c>
      <c r="L48" s="272" t="str">
        <f t="shared" ref="L48:V48" si="42">IF(AND(L$6&lt;=$I48,L$6+6&gt;=$H48,$H48&lt;&gt;"",$I48&lt;&gt;""),1,"")</f>
        <v/>
      </c>
      <c r="M48" s="272" t="str">
        <f t="shared" si="42"/>
        <v/>
      </c>
      <c r="N48" s="272" t="str">
        <f t="shared" si="42"/>
        <v/>
      </c>
      <c r="O48" s="272" t="str">
        <f t="shared" si="42"/>
        <v/>
      </c>
      <c r="P48" s="272" t="str">
        <f t="shared" si="42"/>
        <v/>
      </c>
      <c r="Q48" s="272" t="str">
        <f t="shared" si="42"/>
        <v/>
      </c>
      <c r="R48" s="272" t="str">
        <f t="shared" si="42"/>
        <v/>
      </c>
      <c r="S48" s="272" t="str">
        <f t="shared" si="42"/>
        <v/>
      </c>
      <c r="T48" s="272" t="str">
        <f t="shared" si="42"/>
        <v/>
      </c>
      <c r="U48" s="272" t="str">
        <f t="shared" si="42"/>
        <v/>
      </c>
      <c r="V48" s="272" t="str">
        <f t="shared" si="42"/>
        <v/>
      </c>
    </row>
    <row r="49" ht="30.0" customHeight="1">
      <c r="A49" s="243">
        <v>43.0</v>
      </c>
      <c r="B49" s="243" t="s">
        <v>428</v>
      </c>
      <c r="C49" s="240" t="s">
        <v>403</v>
      </c>
      <c r="D49" s="240" t="s">
        <v>429</v>
      </c>
      <c r="E49" s="243" t="s">
        <v>263</v>
      </c>
      <c r="F49" s="243" t="s">
        <v>154</v>
      </c>
      <c r="G49" s="243"/>
      <c r="H49" s="270"/>
      <c r="I49" s="270"/>
      <c r="J49" s="243" t="s">
        <v>141</v>
      </c>
      <c r="K49" s="273" t="s">
        <v>882</v>
      </c>
      <c r="L49" s="272" t="str">
        <f t="shared" ref="L49:V49" si="43">IF(AND(L$6&lt;=$I49,L$6+6&gt;=$H49,$H49&lt;&gt;"",$I49&lt;&gt;""),1,"")</f>
        <v/>
      </c>
      <c r="M49" s="272" t="str">
        <f t="shared" si="43"/>
        <v/>
      </c>
      <c r="N49" s="272" t="str">
        <f t="shared" si="43"/>
        <v/>
      </c>
      <c r="O49" s="272" t="str">
        <f t="shared" si="43"/>
        <v/>
      </c>
      <c r="P49" s="272" t="str">
        <f t="shared" si="43"/>
        <v/>
      </c>
      <c r="Q49" s="272" t="str">
        <f t="shared" si="43"/>
        <v/>
      </c>
      <c r="R49" s="272" t="str">
        <f t="shared" si="43"/>
        <v/>
      </c>
      <c r="S49" s="272" t="str">
        <f t="shared" si="43"/>
        <v/>
      </c>
      <c r="T49" s="272" t="str">
        <f t="shared" si="43"/>
        <v/>
      </c>
      <c r="U49" s="272" t="str">
        <f t="shared" si="43"/>
        <v/>
      </c>
      <c r="V49" s="272" t="str">
        <f t="shared" si="43"/>
        <v/>
      </c>
    </row>
    <row r="50" ht="30.0" customHeight="1">
      <c r="A50" s="243">
        <v>44.0</v>
      </c>
      <c r="B50" s="243" t="s">
        <v>431</v>
      </c>
      <c r="C50" s="240" t="s">
        <v>432</v>
      </c>
      <c r="D50" s="240" t="s">
        <v>433</v>
      </c>
      <c r="E50" s="243" t="s">
        <v>263</v>
      </c>
      <c r="F50" s="243"/>
      <c r="G50" s="243"/>
      <c r="H50" s="270">
        <v>46251.0</v>
      </c>
      <c r="I50" s="270">
        <v>46260.0</v>
      </c>
      <c r="J50" s="243" t="s">
        <v>141</v>
      </c>
      <c r="K50" s="271" t="s">
        <v>863</v>
      </c>
      <c r="L50" s="272" t="str">
        <f t="shared" ref="L50:V50" si="44">IF(AND(L$6&lt;=$I50,L$6+6&gt;=$H50,$H50&lt;&gt;"",$I50&lt;&gt;""),1,"")</f>
        <v/>
      </c>
      <c r="M50" s="272" t="str">
        <f t="shared" si="44"/>
        <v/>
      </c>
      <c r="N50" s="272">
        <f t="shared" si="44"/>
        <v>1</v>
      </c>
      <c r="O50" s="272">
        <f t="shared" si="44"/>
        <v>1</v>
      </c>
      <c r="P50" s="272" t="str">
        <f t="shared" si="44"/>
        <v/>
      </c>
      <c r="Q50" s="272" t="str">
        <f t="shared" si="44"/>
        <v/>
      </c>
      <c r="R50" s="272" t="str">
        <f t="shared" si="44"/>
        <v/>
      </c>
      <c r="S50" s="272" t="str">
        <f t="shared" si="44"/>
        <v/>
      </c>
      <c r="T50" s="272" t="str">
        <f t="shared" si="44"/>
        <v/>
      </c>
      <c r="U50" s="272" t="str">
        <f t="shared" si="44"/>
        <v/>
      </c>
      <c r="V50" s="272" t="str">
        <f t="shared" si="44"/>
        <v/>
      </c>
    </row>
    <row r="51" ht="30.0" customHeight="1">
      <c r="A51" s="243">
        <v>45.0</v>
      </c>
      <c r="B51" s="243" t="s">
        <v>438</v>
      </c>
      <c r="C51" s="240" t="s">
        <v>432</v>
      </c>
      <c r="D51" s="240" t="s">
        <v>439</v>
      </c>
      <c r="E51" s="243" t="s">
        <v>263</v>
      </c>
      <c r="F51" s="243"/>
      <c r="G51" s="243"/>
      <c r="H51" s="270">
        <v>46251.0</v>
      </c>
      <c r="I51" s="270">
        <v>46260.0</v>
      </c>
      <c r="J51" s="243" t="s">
        <v>141</v>
      </c>
      <c r="K51" s="271" t="s">
        <v>863</v>
      </c>
      <c r="L51" s="272" t="str">
        <f t="shared" ref="L51:V51" si="45">IF(AND(L$6&lt;=$I51,L$6+6&gt;=$H51,$H51&lt;&gt;"",$I51&lt;&gt;""),1,"")</f>
        <v/>
      </c>
      <c r="M51" s="272" t="str">
        <f t="shared" si="45"/>
        <v/>
      </c>
      <c r="N51" s="272">
        <f t="shared" si="45"/>
        <v>1</v>
      </c>
      <c r="O51" s="272">
        <f t="shared" si="45"/>
        <v>1</v>
      </c>
      <c r="P51" s="272" t="str">
        <f t="shared" si="45"/>
        <v/>
      </c>
      <c r="Q51" s="272" t="str">
        <f t="shared" si="45"/>
        <v/>
      </c>
      <c r="R51" s="272" t="str">
        <f t="shared" si="45"/>
        <v/>
      </c>
      <c r="S51" s="272" t="str">
        <f t="shared" si="45"/>
        <v/>
      </c>
      <c r="T51" s="272" t="str">
        <f t="shared" si="45"/>
        <v/>
      </c>
      <c r="U51" s="272" t="str">
        <f t="shared" si="45"/>
        <v/>
      </c>
      <c r="V51" s="272" t="str">
        <f t="shared" si="45"/>
        <v/>
      </c>
    </row>
    <row r="52" ht="30.0" customHeight="1">
      <c r="A52" s="243">
        <v>46.0</v>
      </c>
      <c r="B52" s="243" t="s">
        <v>442</v>
      </c>
      <c r="C52" s="240" t="s">
        <v>432</v>
      </c>
      <c r="D52" s="240" t="s">
        <v>443</v>
      </c>
      <c r="E52" s="243" t="s">
        <v>263</v>
      </c>
      <c r="F52" s="243"/>
      <c r="G52" s="243"/>
      <c r="H52" s="270">
        <v>46251.0</v>
      </c>
      <c r="I52" s="270">
        <v>46260.0</v>
      </c>
      <c r="J52" s="243" t="s">
        <v>141</v>
      </c>
      <c r="K52" s="271" t="s">
        <v>863</v>
      </c>
      <c r="L52" s="272" t="str">
        <f t="shared" ref="L52:V52" si="46">IF(AND(L$6&lt;=$I52,L$6+6&gt;=$H52,$H52&lt;&gt;"",$I52&lt;&gt;""),1,"")</f>
        <v/>
      </c>
      <c r="M52" s="272" t="str">
        <f t="shared" si="46"/>
        <v/>
      </c>
      <c r="N52" s="272">
        <f t="shared" si="46"/>
        <v>1</v>
      </c>
      <c r="O52" s="272">
        <f t="shared" si="46"/>
        <v>1</v>
      </c>
      <c r="P52" s="272" t="str">
        <f t="shared" si="46"/>
        <v/>
      </c>
      <c r="Q52" s="272" t="str">
        <f t="shared" si="46"/>
        <v/>
      </c>
      <c r="R52" s="272" t="str">
        <f t="shared" si="46"/>
        <v/>
      </c>
      <c r="S52" s="272" t="str">
        <f t="shared" si="46"/>
        <v/>
      </c>
      <c r="T52" s="272" t="str">
        <f t="shared" si="46"/>
        <v/>
      </c>
      <c r="U52" s="272" t="str">
        <f t="shared" si="46"/>
        <v/>
      </c>
      <c r="V52" s="272" t="str">
        <f t="shared" si="46"/>
        <v/>
      </c>
    </row>
    <row r="53" ht="30.0" customHeight="1">
      <c r="A53" s="243">
        <v>47.0</v>
      </c>
      <c r="B53" s="243" t="s">
        <v>446</v>
      </c>
      <c r="C53" s="240" t="s">
        <v>432</v>
      </c>
      <c r="D53" s="240" t="s">
        <v>447</v>
      </c>
      <c r="E53" s="243" t="s">
        <v>263</v>
      </c>
      <c r="F53" s="243"/>
      <c r="G53" s="243"/>
      <c r="H53" s="270">
        <v>46251.0</v>
      </c>
      <c r="I53" s="270">
        <v>46260.0</v>
      </c>
      <c r="J53" s="243" t="s">
        <v>141</v>
      </c>
      <c r="K53" s="271" t="s">
        <v>863</v>
      </c>
      <c r="L53" s="272" t="str">
        <f t="shared" ref="L53:V53" si="47">IF(AND(L$6&lt;=$I53,L$6+6&gt;=$H53,$H53&lt;&gt;"",$I53&lt;&gt;""),1,"")</f>
        <v/>
      </c>
      <c r="M53" s="272" t="str">
        <f t="shared" si="47"/>
        <v/>
      </c>
      <c r="N53" s="272">
        <f t="shared" si="47"/>
        <v>1</v>
      </c>
      <c r="O53" s="272">
        <f t="shared" si="47"/>
        <v>1</v>
      </c>
      <c r="P53" s="272" t="str">
        <f t="shared" si="47"/>
        <v/>
      </c>
      <c r="Q53" s="272" t="str">
        <f t="shared" si="47"/>
        <v/>
      </c>
      <c r="R53" s="272" t="str">
        <f t="shared" si="47"/>
        <v/>
      </c>
      <c r="S53" s="272" t="str">
        <f t="shared" si="47"/>
        <v/>
      </c>
      <c r="T53" s="272" t="str">
        <f t="shared" si="47"/>
        <v/>
      </c>
      <c r="U53" s="272" t="str">
        <f t="shared" si="47"/>
        <v/>
      </c>
      <c r="V53" s="272" t="str">
        <f t="shared" si="47"/>
        <v/>
      </c>
    </row>
    <row r="54" ht="30.0" customHeight="1">
      <c r="A54" s="243">
        <v>48.0</v>
      </c>
      <c r="B54" s="243" t="s">
        <v>451</v>
      </c>
      <c r="C54" s="240" t="s">
        <v>432</v>
      </c>
      <c r="D54" s="240" t="s">
        <v>452</v>
      </c>
      <c r="E54" s="243" t="s">
        <v>263</v>
      </c>
      <c r="F54" s="243"/>
      <c r="G54" s="243"/>
      <c r="H54" s="270"/>
      <c r="I54" s="270"/>
      <c r="J54" s="243" t="s">
        <v>141</v>
      </c>
      <c r="K54" s="273" t="s">
        <v>882</v>
      </c>
      <c r="L54" s="272" t="str">
        <f t="shared" ref="L54:V54" si="48">IF(AND(L$6&lt;=$I54,L$6+6&gt;=$H54,$H54&lt;&gt;"",$I54&lt;&gt;""),1,"")</f>
        <v/>
      </c>
      <c r="M54" s="272" t="str">
        <f t="shared" si="48"/>
        <v/>
      </c>
      <c r="N54" s="272" t="str">
        <f t="shared" si="48"/>
        <v/>
      </c>
      <c r="O54" s="272" t="str">
        <f t="shared" si="48"/>
        <v/>
      </c>
      <c r="P54" s="272" t="str">
        <f t="shared" si="48"/>
        <v/>
      </c>
      <c r="Q54" s="272" t="str">
        <f t="shared" si="48"/>
        <v/>
      </c>
      <c r="R54" s="272" t="str">
        <f t="shared" si="48"/>
        <v/>
      </c>
      <c r="S54" s="272" t="str">
        <f t="shared" si="48"/>
        <v/>
      </c>
      <c r="T54" s="272" t="str">
        <f t="shared" si="48"/>
        <v/>
      </c>
      <c r="U54" s="272" t="str">
        <f t="shared" si="48"/>
        <v/>
      </c>
      <c r="V54" s="272" t="str">
        <f t="shared" si="48"/>
        <v/>
      </c>
    </row>
    <row r="55" ht="30.0" customHeight="1">
      <c r="A55" s="243">
        <v>49.0</v>
      </c>
      <c r="B55" s="243" t="s">
        <v>456</v>
      </c>
      <c r="C55" s="240" t="s">
        <v>432</v>
      </c>
      <c r="D55" s="240" t="s">
        <v>457</v>
      </c>
      <c r="E55" s="243" t="s">
        <v>263</v>
      </c>
      <c r="F55" s="243"/>
      <c r="G55" s="243"/>
      <c r="H55" s="270"/>
      <c r="I55" s="270"/>
      <c r="J55" s="243" t="s">
        <v>141</v>
      </c>
      <c r="K55" s="273" t="s">
        <v>882</v>
      </c>
      <c r="L55" s="272" t="str">
        <f t="shared" ref="L55:V55" si="49">IF(AND(L$6&lt;=$I55,L$6+6&gt;=$H55,$H55&lt;&gt;"",$I55&lt;&gt;""),1,"")</f>
        <v/>
      </c>
      <c r="M55" s="272" t="str">
        <f t="shared" si="49"/>
        <v/>
      </c>
      <c r="N55" s="272" t="str">
        <f t="shared" si="49"/>
        <v/>
      </c>
      <c r="O55" s="272" t="str">
        <f t="shared" si="49"/>
        <v/>
      </c>
      <c r="P55" s="272" t="str">
        <f t="shared" si="49"/>
        <v/>
      </c>
      <c r="Q55" s="272" t="str">
        <f t="shared" si="49"/>
        <v/>
      </c>
      <c r="R55" s="272" t="str">
        <f t="shared" si="49"/>
        <v/>
      </c>
      <c r="S55" s="272" t="str">
        <f t="shared" si="49"/>
        <v/>
      </c>
      <c r="T55" s="272" t="str">
        <f t="shared" si="49"/>
        <v/>
      </c>
      <c r="U55" s="272" t="str">
        <f t="shared" si="49"/>
        <v/>
      </c>
      <c r="V55" s="272" t="str">
        <f t="shared" si="49"/>
        <v/>
      </c>
    </row>
    <row r="56" ht="30.0" customHeight="1">
      <c r="A56" s="243">
        <v>50.0</v>
      </c>
      <c r="B56" s="243" t="s">
        <v>459</v>
      </c>
      <c r="C56" s="240" t="s">
        <v>432</v>
      </c>
      <c r="D56" s="240" t="s">
        <v>460</v>
      </c>
      <c r="E56" s="243" t="s">
        <v>263</v>
      </c>
      <c r="F56" s="243"/>
      <c r="G56" s="243"/>
      <c r="H56" s="270">
        <v>46258.0</v>
      </c>
      <c r="I56" s="270">
        <v>46262.0</v>
      </c>
      <c r="J56" s="243" t="s">
        <v>141</v>
      </c>
      <c r="K56" s="271" t="s">
        <v>863</v>
      </c>
      <c r="L56" s="272" t="str">
        <f t="shared" ref="L56:V56" si="50">IF(AND(L$6&lt;=$I56,L$6+6&gt;=$H56,$H56&lt;&gt;"",$I56&lt;&gt;""),1,"")</f>
        <v/>
      </c>
      <c r="M56" s="272" t="str">
        <f t="shared" si="50"/>
        <v/>
      </c>
      <c r="N56" s="272" t="str">
        <f t="shared" si="50"/>
        <v/>
      </c>
      <c r="O56" s="272">
        <f t="shared" si="50"/>
        <v>1</v>
      </c>
      <c r="P56" s="272" t="str">
        <f t="shared" si="50"/>
        <v/>
      </c>
      <c r="Q56" s="272" t="str">
        <f t="shared" si="50"/>
        <v/>
      </c>
      <c r="R56" s="272" t="str">
        <f t="shared" si="50"/>
        <v/>
      </c>
      <c r="S56" s="272" t="str">
        <f t="shared" si="50"/>
        <v/>
      </c>
      <c r="T56" s="272" t="str">
        <f t="shared" si="50"/>
        <v/>
      </c>
      <c r="U56" s="272" t="str">
        <f t="shared" si="50"/>
        <v/>
      </c>
      <c r="V56" s="272" t="str">
        <f t="shared" si="50"/>
        <v/>
      </c>
    </row>
    <row r="57" ht="30.0" customHeight="1">
      <c r="A57" s="243">
        <v>51.0</v>
      </c>
      <c r="B57" s="243" t="s">
        <v>462</v>
      </c>
      <c r="C57" s="240" t="s">
        <v>463</v>
      </c>
      <c r="D57" s="240" t="s">
        <v>464</v>
      </c>
      <c r="E57" s="243" t="s">
        <v>263</v>
      </c>
      <c r="F57" s="243"/>
      <c r="G57" s="243"/>
      <c r="H57" s="270">
        <v>46251.0</v>
      </c>
      <c r="I57" s="270">
        <v>46262.0</v>
      </c>
      <c r="J57" s="243" t="s">
        <v>141</v>
      </c>
      <c r="K57" s="271" t="s">
        <v>1094</v>
      </c>
      <c r="L57" s="272" t="str">
        <f t="shared" ref="L57:V57" si="51">IF(AND(L$6&lt;=$I57,L$6+6&gt;=$H57,$H57&lt;&gt;"",$I57&lt;&gt;""),1,"")</f>
        <v/>
      </c>
      <c r="M57" s="272" t="str">
        <f t="shared" si="51"/>
        <v/>
      </c>
      <c r="N57" s="272">
        <f t="shared" si="51"/>
        <v>1</v>
      </c>
      <c r="O57" s="272">
        <f t="shared" si="51"/>
        <v>1</v>
      </c>
      <c r="P57" s="272" t="str">
        <f t="shared" si="51"/>
        <v/>
      </c>
      <c r="Q57" s="272" t="str">
        <f t="shared" si="51"/>
        <v/>
      </c>
      <c r="R57" s="272" t="str">
        <f t="shared" si="51"/>
        <v/>
      </c>
      <c r="S57" s="272" t="str">
        <f t="shared" si="51"/>
        <v/>
      </c>
      <c r="T57" s="272" t="str">
        <f t="shared" si="51"/>
        <v/>
      </c>
      <c r="U57" s="272" t="str">
        <f t="shared" si="51"/>
        <v/>
      </c>
      <c r="V57" s="272" t="str">
        <f t="shared" si="51"/>
        <v/>
      </c>
    </row>
    <row r="58" ht="30.0" customHeight="1">
      <c r="A58" s="243">
        <v>52.0</v>
      </c>
      <c r="B58" s="243" t="s">
        <v>467</v>
      </c>
      <c r="C58" s="240" t="s">
        <v>463</v>
      </c>
      <c r="D58" s="240" t="s">
        <v>468</v>
      </c>
      <c r="E58" s="243" t="s">
        <v>263</v>
      </c>
      <c r="F58" s="243"/>
      <c r="G58" s="243"/>
      <c r="H58" s="270"/>
      <c r="I58" s="270"/>
      <c r="J58" s="243" t="s">
        <v>141</v>
      </c>
      <c r="K58" s="273" t="s">
        <v>1256</v>
      </c>
      <c r="L58" s="272" t="str">
        <f t="shared" ref="L58:V58" si="52">IF(AND(L$6&lt;=$I58,L$6+6&gt;=$H58,$H58&lt;&gt;"",$I58&lt;&gt;""),1,"")</f>
        <v/>
      </c>
      <c r="M58" s="272" t="str">
        <f t="shared" si="52"/>
        <v/>
      </c>
      <c r="N58" s="272" t="str">
        <f t="shared" si="52"/>
        <v/>
      </c>
      <c r="O58" s="272" t="str">
        <f t="shared" si="52"/>
        <v/>
      </c>
      <c r="P58" s="272" t="str">
        <f t="shared" si="52"/>
        <v/>
      </c>
      <c r="Q58" s="272" t="str">
        <f t="shared" si="52"/>
        <v/>
      </c>
      <c r="R58" s="272" t="str">
        <f t="shared" si="52"/>
        <v/>
      </c>
      <c r="S58" s="272" t="str">
        <f t="shared" si="52"/>
        <v/>
      </c>
      <c r="T58" s="272" t="str">
        <f t="shared" si="52"/>
        <v/>
      </c>
      <c r="U58" s="272" t="str">
        <f t="shared" si="52"/>
        <v/>
      </c>
      <c r="V58" s="272" t="str">
        <f t="shared" si="52"/>
        <v/>
      </c>
    </row>
    <row r="59" ht="30.0" customHeight="1">
      <c r="A59" s="243">
        <v>53.0</v>
      </c>
      <c r="B59" s="243" t="s">
        <v>472</v>
      </c>
      <c r="C59" s="240" t="s">
        <v>463</v>
      </c>
      <c r="D59" s="240" t="s">
        <v>473</v>
      </c>
      <c r="E59" s="243" t="s">
        <v>263</v>
      </c>
      <c r="F59" s="243"/>
      <c r="G59" s="243"/>
      <c r="H59" s="270">
        <v>46251.0</v>
      </c>
      <c r="I59" s="270">
        <v>46262.0</v>
      </c>
      <c r="J59" s="243" t="s">
        <v>141</v>
      </c>
      <c r="K59" s="271" t="s">
        <v>863</v>
      </c>
      <c r="L59" s="272" t="str">
        <f t="shared" ref="L59:V59" si="53">IF(AND(L$6&lt;=$I59,L$6+6&gt;=$H59,$H59&lt;&gt;"",$I59&lt;&gt;""),1,"")</f>
        <v/>
      </c>
      <c r="M59" s="272" t="str">
        <f t="shared" si="53"/>
        <v/>
      </c>
      <c r="N59" s="272">
        <f t="shared" si="53"/>
        <v>1</v>
      </c>
      <c r="O59" s="272">
        <f t="shared" si="53"/>
        <v>1</v>
      </c>
      <c r="P59" s="272" t="str">
        <f t="shared" si="53"/>
        <v/>
      </c>
      <c r="Q59" s="272" t="str">
        <f t="shared" si="53"/>
        <v/>
      </c>
      <c r="R59" s="272" t="str">
        <f t="shared" si="53"/>
        <v/>
      </c>
      <c r="S59" s="272" t="str">
        <f t="shared" si="53"/>
        <v/>
      </c>
      <c r="T59" s="272" t="str">
        <f t="shared" si="53"/>
        <v/>
      </c>
      <c r="U59" s="272" t="str">
        <f t="shared" si="53"/>
        <v/>
      </c>
      <c r="V59" s="272" t="str">
        <f t="shared" si="53"/>
        <v/>
      </c>
    </row>
    <row r="60" ht="30.0" customHeight="1">
      <c r="A60" s="243">
        <v>54.0</v>
      </c>
      <c r="B60" s="243" t="s">
        <v>476</v>
      </c>
      <c r="C60" s="240" t="s">
        <v>477</v>
      </c>
      <c r="D60" s="240" t="s">
        <v>478</v>
      </c>
      <c r="E60" s="243" t="s">
        <v>263</v>
      </c>
      <c r="F60" s="243"/>
      <c r="G60" s="243"/>
      <c r="H60" s="270">
        <v>46251.0</v>
      </c>
      <c r="I60" s="270">
        <v>46255.0</v>
      </c>
      <c r="J60" s="243" t="s">
        <v>141</v>
      </c>
      <c r="K60" s="271" t="s">
        <v>1257</v>
      </c>
      <c r="L60" s="272" t="str">
        <f t="shared" ref="L60:V60" si="54">IF(AND(L$6&lt;=$I60,L$6+6&gt;=$H60,$H60&lt;&gt;"",$I60&lt;&gt;""),1,"")</f>
        <v/>
      </c>
      <c r="M60" s="272" t="str">
        <f t="shared" si="54"/>
        <v/>
      </c>
      <c r="N60" s="272">
        <f t="shared" si="54"/>
        <v>1</v>
      </c>
      <c r="O60" s="272" t="str">
        <f t="shared" si="54"/>
        <v/>
      </c>
      <c r="P60" s="272" t="str">
        <f t="shared" si="54"/>
        <v/>
      </c>
      <c r="Q60" s="272" t="str">
        <f t="shared" si="54"/>
        <v/>
      </c>
      <c r="R60" s="272" t="str">
        <f t="shared" si="54"/>
        <v/>
      </c>
      <c r="S60" s="272" t="str">
        <f t="shared" si="54"/>
        <v/>
      </c>
      <c r="T60" s="272" t="str">
        <f t="shared" si="54"/>
        <v/>
      </c>
      <c r="U60" s="272" t="str">
        <f t="shared" si="54"/>
        <v/>
      </c>
      <c r="V60" s="272" t="str">
        <f t="shared" si="54"/>
        <v/>
      </c>
    </row>
    <row r="61" ht="30.0" customHeight="1">
      <c r="A61" s="243">
        <v>55.0</v>
      </c>
      <c r="B61" s="243" t="s">
        <v>483</v>
      </c>
      <c r="C61" s="240" t="s">
        <v>477</v>
      </c>
      <c r="D61" s="240" t="s">
        <v>484</v>
      </c>
      <c r="E61" s="243" t="s">
        <v>263</v>
      </c>
      <c r="F61" s="243"/>
      <c r="G61" s="243"/>
      <c r="H61" s="270">
        <v>46251.0</v>
      </c>
      <c r="I61" s="270">
        <v>46255.0</v>
      </c>
      <c r="J61" s="243" t="s">
        <v>141</v>
      </c>
      <c r="K61" s="271" t="s">
        <v>1258</v>
      </c>
      <c r="L61" s="272" t="str">
        <f t="shared" ref="L61:V61" si="55">IF(AND(L$6&lt;=$I61,L$6+6&gt;=$H61,$H61&lt;&gt;"",$I61&lt;&gt;""),1,"")</f>
        <v/>
      </c>
      <c r="M61" s="272" t="str">
        <f t="shared" si="55"/>
        <v/>
      </c>
      <c r="N61" s="272">
        <f t="shared" si="55"/>
        <v>1</v>
      </c>
      <c r="O61" s="272" t="str">
        <f t="shared" si="55"/>
        <v/>
      </c>
      <c r="P61" s="272" t="str">
        <f t="shared" si="55"/>
        <v/>
      </c>
      <c r="Q61" s="272" t="str">
        <f t="shared" si="55"/>
        <v/>
      </c>
      <c r="R61" s="272" t="str">
        <f t="shared" si="55"/>
        <v/>
      </c>
      <c r="S61" s="272" t="str">
        <f t="shared" si="55"/>
        <v/>
      </c>
      <c r="T61" s="272" t="str">
        <f t="shared" si="55"/>
        <v/>
      </c>
      <c r="U61" s="272" t="str">
        <f t="shared" si="55"/>
        <v/>
      </c>
      <c r="V61" s="272" t="str">
        <f t="shared" si="55"/>
        <v/>
      </c>
    </row>
    <row r="62" ht="30.0" customHeight="1">
      <c r="A62" s="243">
        <v>56.0</v>
      </c>
      <c r="B62" s="243" t="s">
        <v>488</v>
      </c>
      <c r="C62" s="240" t="s">
        <v>477</v>
      </c>
      <c r="D62" s="240" t="s">
        <v>489</v>
      </c>
      <c r="E62" s="243" t="s">
        <v>263</v>
      </c>
      <c r="F62" s="243"/>
      <c r="G62" s="243"/>
      <c r="H62" s="270">
        <v>46251.0</v>
      </c>
      <c r="I62" s="270">
        <v>46255.0</v>
      </c>
      <c r="J62" s="243" t="s">
        <v>141</v>
      </c>
      <c r="K62" s="271" t="s">
        <v>1259</v>
      </c>
      <c r="L62" s="272" t="str">
        <f t="shared" ref="L62:V62" si="56">IF(AND(L$6&lt;=$I62,L$6+6&gt;=$H62,$H62&lt;&gt;"",$I62&lt;&gt;""),1,"")</f>
        <v/>
      </c>
      <c r="M62" s="272" t="str">
        <f t="shared" si="56"/>
        <v/>
      </c>
      <c r="N62" s="272">
        <f t="shared" si="56"/>
        <v>1</v>
      </c>
      <c r="O62" s="272" t="str">
        <f t="shared" si="56"/>
        <v/>
      </c>
      <c r="P62" s="272" t="str">
        <f t="shared" si="56"/>
        <v/>
      </c>
      <c r="Q62" s="272" t="str">
        <f t="shared" si="56"/>
        <v/>
      </c>
      <c r="R62" s="272" t="str">
        <f t="shared" si="56"/>
        <v/>
      </c>
      <c r="S62" s="272" t="str">
        <f t="shared" si="56"/>
        <v/>
      </c>
      <c r="T62" s="272" t="str">
        <f t="shared" si="56"/>
        <v/>
      </c>
      <c r="U62" s="272" t="str">
        <f t="shared" si="56"/>
        <v/>
      </c>
      <c r="V62" s="272" t="str">
        <f t="shared" si="56"/>
        <v/>
      </c>
    </row>
    <row r="63" ht="30.0" customHeight="1">
      <c r="A63" s="243">
        <v>57.0</v>
      </c>
      <c r="B63" s="243" t="s">
        <v>492</v>
      </c>
      <c r="C63" s="240" t="s">
        <v>477</v>
      </c>
      <c r="D63" s="240" t="s">
        <v>493</v>
      </c>
      <c r="E63" s="243" t="s">
        <v>263</v>
      </c>
      <c r="F63" s="243"/>
      <c r="G63" s="243"/>
      <c r="H63" s="270">
        <v>46251.0</v>
      </c>
      <c r="I63" s="270">
        <v>46255.0</v>
      </c>
      <c r="J63" s="243" t="s">
        <v>141</v>
      </c>
      <c r="K63" s="271" t="s">
        <v>1260</v>
      </c>
      <c r="L63" s="272" t="str">
        <f t="shared" ref="L63:V63" si="57">IF(AND(L$6&lt;=$I63,L$6+6&gt;=$H63,$H63&lt;&gt;"",$I63&lt;&gt;""),1,"")</f>
        <v/>
      </c>
      <c r="M63" s="272" t="str">
        <f t="shared" si="57"/>
        <v/>
      </c>
      <c r="N63" s="272">
        <f t="shared" si="57"/>
        <v>1</v>
      </c>
      <c r="O63" s="272" t="str">
        <f t="shared" si="57"/>
        <v/>
      </c>
      <c r="P63" s="272" t="str">
        <f t="shared" si="57"/>
        <v/>
      </c>
      <c r="Q63" s="272" t="str">
        <f t="shared" si="57"/>
        <v/>
      </c>
      <c r="R63" s="272" t="str">
        <f t="shared" si="57"/>
        <v/>
      </c>
      <c r="S63" s="272" t="str">
        <f t="shared" si="57"/>
        <v/>
      </c>
      <c r="T63" s="272" t="str">
        <f t="shared" si="57"/>
        <v/>
      </c>
      <c r="U63" s="272" t="str">
        <f t="shared" si="57"/>
        <v/>
      </c>
      <c r="V63" s="272" t="str">
        <f t="shared" si="57"/>
        <v/>
      </c>
    </row>
    <row r="64" ht="30.0" customHeight="1">
      <c r="A64" s="243">
        <v>58.0</v>
      </c>
      <c r="B64" s="243" t="s">
        <v>497</v>
      </c>
      <c r="C64" s="240" t="s">
        <v>498</v>
      </c>
      <c r="D64" s="240" t="s">
        <v>499</v>
      </c>
      <c r="E64" s="243" t="s">
        <v>263</v>
      </c>
      <c r="F64" s="243"/>
      <c r="G64" s="243"/>
      <c r="H64" s="270">
        <v>46258.0</v>
      </c>
      <c r="I64" s="270">
        <v>46267.0</v>
      </c>
      <c r="J64" s="243" t="s">
        <v>141</v>
      </c>
      <c r="K64" s="271" t="s">
        <v>1259</v>
      </c>
      <c r="L64" s="272" t="str">
        <f t="shared" ref="L64:V64" si="58">IF(AND(L$6&lt;=$I64,L$6+6&gt;=$H64,$H64&lt;&gt;"",$I64&lt;&gt;""),1,"")</f>
        <v/>
      </c>
      <c r="M64" s="272" t="str">
        <f t="shared" si="58"/>
        <v/>
      </c>
      <c r="N64" s="272" t="str">
        <f t="shared" si="58"/>
        <v/>
      </c>
      <c r="O64" s="272">
        <f t="shared" si="58"/>
        <v>1</v>
      </c>
      <c r="P64" s="272">
        <f t="shared" si="58"/>
        <v>1</v>
      </c>
      <c r="Q64" s="272" t="str">
        <f t="shared" si="58"/>
        <v/>
      </c>
      <c r="R64" s="272" t="str">
        <f t="shared" si="58"/>
        <v/>
      </c>
      <c r="S64" s="272" t="str">
        <f t="shared" si="58"/>
        <v/>
      </c>
      <c r="T64" s="272" t="str">
        <f t="shared" si="58"/>
        <v/>
      </c>
      <c r="U64" s="272" t="str">
        <f t="shared" si="58"/>
        <v/>
      </c>
      <c r="V64" s="272" t="str">
        <f t="shared" si="58"/>
        <v/>
      </c>
    </row>
    <row r="65" ht="30.0" customHeight="1">
      <c r="A65" s="243">
        <v>59.0</v>
      </c>
      <c r="B65" s="243" t="s">
        <v>503</v>
      </c>
      <c r="C65" s="240" t="s">
        <v>498</v>
      </c>
      <c r="D65" s="240" t="s">
        <v>504</v>
      </c>
      <c r="E65" s="243" t="s">
        <v>263</v>
      </c>
      <c r="F65" s="243"/>
      <c r="G65" s="243"/>
      <c r="H65" s="270">
        <v>46258.0</v>
      </c>
      <c r="I65" s="270">
        <v>46267.0</v>
      </c>
      <c r="J65" s="243" t="s">
        <v>141</v>
      </c>
      <c r="K65" s="271" t="s">
        <v>1261</v>
      </c>
      <c r="L65" s="272" t="str">
        <f t="shared" ref="L65:V65" si="59">IF(AND(L$6&lt;=$I65,L$6+6&gt;=$H65,$H65&lt;&gt;"",$I65&lt;&gt;""),1,"")</f>
        <v/>
      </c>
      <c r="M65" s="272" t="str">
        <f t="shared" si="59"/>
        <v/>
      </c>
      <c r="N65" s="272" t="str">
        <f t="shared" si="59"/>
        <v/>
      </c>
      <c r="O65" s="272">
        <f t="shared" si="59"/>
        <v>1</v>
      </c>
      <c r="P65" s="272">
        <f t="shared" si="59"/>
        <v>1</v>
      </c>
      <c r="Q65" s="272" t="str">
        <f t="shared" si="59"/>
        <v/>
      </c>
      <c r="R65" s="272" t="str">
        <f t="shared" si="59"/>
        <v/>
      </c>
      <c r="S65" s="272" t="str">
        <f t="shared" si="59"/>
        <v/>
      </c>
      <c r="T65" s="272" t="str">
        <f t="shared" si="59"/>
        <v/>
      </c>
      <c r="U65" s="272" t="str">
        <f t="shared" si="59"/>
        <v/>
      </c>
      <c r="V65" s="272" t="str">
        <f t="shared" si="59"/>
        <v/>
      </c>
    </row>
    <row r="66" ht="30.0" customHeight="1">
      <c r="A66" s="243">
        <v>60.0</v>
      </c>
      <c r="B66" s="243" t="s">
        <v>507</v>
      </c>
      <c r="C66" s="240" t="s">
        <v>498</v>
      </c>
      <c r="D66" s="240" t="s">
        <v>508</v>
      </c>
      <c r="E66" s="243" t="s">
        <v>263</v>
      </c>
      <c r="F66" s="243"/>
      <c r="G66" s="243"/>
      <c r="H66" s="270"/>
      <c r="I66" s="270"/>
      <c r="J66" s="243" t="s">
        <v>141</v>
      </c>
      <c r="K66" s="273" t="s">
        <v>882</v>
      </c>
      <c r="L66" s="272" t="str">
        <f t="shared" ref="L66:V66" si="60">IF(AND(L$6&lt;=$I66,L$6+6&gt;=$H66,$H66&lt;&gt;"",$I66&lt;&gt;""),1,"")</f>
        <v/>
      </c>
      <c r="M66" s="272" t="str">
        <f t="shared" si="60"/>
        <v/>
      </c>
      <c r="N66" s="272" t="str">
        <f t="shared" si="60"/>
        <v/>
      </c>
      <c r="O66" s="272" t="str">
        <f t="shared" si="60"/>
        <v/>
      </c>
      <c r="P66" s="272" t="str">
        <f t="shared" si="60"/>
        <v/>
      </c>
      <c r="Q66" s="272" t="str">
        <f t="shared" si="60"/>
        <v/>
      </c>
      <c r="R66" s="272" t="str">
        <f t="shared" si="60"/>
        <v/>
      </c>
      <c r="S66" s="272" t="str">
        <f t="shared" si="60"/>
        <v/>
      </c>
      <c r="T66" s="272" t="str">
        <f t="shared" si="60"/>
        <v/>
      </c>
      <c r="U66" s="272" t="str">
        <f t="shared" si="60"/>
        <v/>
      </c>
      <c r="V66" s="272" t="str">
        <f t="shared" si="60"/>
        <v/>
      </c>
    </row>
    <row r="67" ht="30.0" customHeight="1">
      <c r="A67" s="243">
        <v>61.0</v>
      </c>
      <c r="B67" s="243" t="s">
        <v>512</v>
      </c>
      <c r="C67" s="240" t="s">
        <v>498</v>
      </c>
      <c r="D67" s="240" t="s">
        <v>513</v>
      </c>
      <c r="E67" s="243" t="s">
        <v>263</v>
      </c>
      <c r="F67" s="243"/>
      <c r="G67" s="243"/>
      <c r="H67" s="270">
        <v>46258.0</v>
      </c>
      <c r="I67" s="270">
        <v>46267.0</v>
      </c>
      <c r="J67" s="243" t="s">
        <v>141</v>
      </c>
      <c r="K67" s="271" t="s">
        <v>1259</v>
      </c>
      <c r="L67" s="272" t="str">
        <f t="shared" ref="L67:V67" si="61">IF(AND(L$6&lt;=$I67,L$6+6&gt;=$H67,$H67&lt;&gt;"",$I67&lt;&gt;""),1,"")</f>
        <v/>
      </c>
      <c r="M67" s="272" t="str">
        <f t="shared" si="61"/>
        <v/>
      </c>
      <c r="N67" s="272" t="str">
        <f t="shared" si="61"/>
        <v/>
      </c>
      <c r="O67" s="272">
        <f t="shared" si="61"/>
        <v>1</v>
      </c>
      <c r="P67" s="272">
        <f t="shared" si="61"/>
        <v>1</v>
      </c>
      <c r="Q67" s="272" t="str">
        <f t="shared" si="61"/>
        <v/>
      </c>
      <c r="R67" s="272" t="str">
        <f t="shared" si="61"/>
        <v/>
      </c>
      <c r="S67" s="272" t="str">
        <f t="shared" si="61"/>
        <v/>
      </c>
      <c r="T67" s="272" t="str">
        <f t="shared" si="61"/>
        <v/>
      </c>
      <c r="U67" s="272" t="str">
        <f t="shared" si="61"/>
        <v/>
      </c>
      <c r="V67" s="272" t="str">
        <f t="shared" si="61"/>
        <v/>
      </c>
    </row>
    <row r="68" ht="30.0" customHeight="1">
      <c r="A68" s="243">
        <v>62.0</v>
      </c>
      <c r="B68" s="243" t="s">
        <v>516</v>
      </c>
      <c r="C68" s="240" t="s">
        <v>498</v>
      </c>
      <c r="D68" s="240" t="s">
        <v>517</v>
      </c>
      <c r="E68" s="243" t="s">
        <v>263</v>
      </c>
      <c r="F68" s="243"/>
      <c r="G68" s="243"/>
      <c r="H68" s="270">
        <v>46258.0</v>
      </c>
      <c r="I68" s="270">
        <v>46267.0</v>
      </c>
      <c r="J68" s="243" t="s">
        <v>141</v>
      </c>
      <c r="K68" s="271" t="s">
        <v>1259</v>
      </c>
      <c r="L68" s="272" t="str">
        <f t="shared" ref="L68:V68" si="62">IF(AND(L$6&lt;=$I68,L$6+6&gt;=$H68,$H68&lt;&gt;"",$I68&lt;&gt;""),1,"")</f>
        <v/>
      </c>
      <c r="M68" s="272" t="str">
        <f t="shared" si="62"/>
        <v/>
      </c>
      <c r="N68" s="272" t="str">
        <f t="shared" si="62"/>
        <v/>
      </c>
      <c r="O68" s="272">
        <f t="shared" si="62"/>
        <v>1</v>
      </c>
      <c r="P68" s="272">
        <f t="shared" si="62"/>
        <v>1</v>
      </c>
      <c r="Q68" s="272" t="str">
        <f t="shared" si="62"/>
        <v/>
      </c>
      <c r="R68" s="272" t="str">
        <f t="shared" si="62"/>
        <v/>
      </c>
      <c r="S68" s="272" t="str">
        <f t="shared" si="62"/>
        <v/>
      </c>
      <c r="T68" s="272" t="str">
        <f t="shared" si="62"/>
        <v/>
      </c>
      <c r="U68" s="272" t="str">
        <f t="shared" si="62"/>
        <v/>
      </c>
      <c r="V68" s="272" t="str">
        <f t="shared" si="62"/>
        <v/>
      </c>
    </row>
    <row r="69" ht="30.0" customHeight="1">
      <c r="A69" s="243">
        <v>63.0</v>
      </c>
      <c r="B69" s="243" t="s">
        <v>520</v>
      </c>
      <c r="C69" s="240" t="s">
        <v>498</v>
      </c>
      <c r="D69" s="240" t="s">
        <v>521</v>
      </c>
      <c r="E69" s="243" t="s">
        <v>263</v>
      </c>
      <c r="F69" s="243"/>
      <c r="G69" s="243"/>
      <c r="H69" s="270"/>
      <c r="I69" s="270"/>
      <c r="J69" s="243" t="s">
        <v>141</v>
      </c>
      <c r="K69" s="273" t="s">
        <v>1262</v>
      </c>
      <c r="L69" s="272" t="str">
        <f t="shared" ref="L69:V69" si="63">IF(AND(L$6&lt;=$I69,L$6+6&gt;=$H69,$H69&lt;&gt;"",$I69&lt;&gt;""),1,"")</f>
        <v/>
      </c>
      <c r="M69" s="272" t="str">
        <f t="shared" si="63"/>
        <v/>
      </c>
      <c r="N69" s="272" t="str">
        <f t="shared" si="63"/>
        <v/>
      </c>
      <c r="O69" s="272" t="str">
        <f t="shared" si="63"/>
        <v/>
      </c>
      <c r="P69" s="272" t="str">
        <f t="shared" si="63"/>
        <v/>
      </c>
      <c r="Q69" s="272" t="str">
        <f t="shared" si="63"/>
        <v/>
      </c>
      <c r="R69" s="272" t="str">
        <f t="shared" si="63"/>
        <v/>
      </c>
      <c r="S69" s="272" t="str">
        <f t="shared" si="63"/>
        <v/>
      </c>
      <c r="T69" s="272" t="str">
        <f t="shared" si="63"/>
        <v/>
      </c>
      <c r="U69" s="272" t="str">
        <f t="shared" si="63"/>
        <v/>
      </c>
      <c r="V69" s="272" t="str">
        <f t="shared" si="63"/>
        <v/>
      </c>
    </row>
    <row r="70" ht="30.0" customHeight="1">
      <c r="A70" s="243">
        <v>64.0</v>
      </c>
      <c r="B70" s="243" t="s">
        <v>525</v>
      </c>
      <c r="C70" s="240" t="s">
        <v>498</v>
      </c>
      <c r="D70" s="240" t="s">
        <v>526</v>
      </c>
      <c r="E70" s="243" t="s">
        <v>263</v>
      </c>
      <c r="F70" s="243"/>
      <c r="G70" s="243"/>
      <c r="H70" s="270">
        <v>46265.0</v>
      </c>
      <c r="I70" s="270">
        <v>46269.0</v>
      </c>
      <c r="J70" s="243" t="s">
        <v>141</v>
      </c>
      <c r="K70" s="271" t="s">
        <v>1263</v>
      </c>
      <c r="L70" s="272" t="str">
        <f t="shared" ref="L70:V70" si="64">IF(AND(L$6&lt;=$I70,L$6+6&gt;=$H70,$H70&lt;&gt;"",$I70&lt;&gt;""),1,"")</f>
        <v/>
      </c>
      <c r="M70" s="272" t="str">
        <f t="shared" si="64"/>
        <v/>
      </c>
      <c r="N70" s="272" t="str">
        <f t="shared" si="64"/>
        <v/>
      </c>
      <c r="O70" s="272" t="str">
        <f t="shared" si="64"/>
        <v/>
      </c>
      <c r="P70" s="272">
        <f t="shared" si="64"/>
        <v>1</v>
      </c>
      <c r="Q70" s="272" t="str">
        <f t="shared" si="64"/>
        <v/>
      </c>
      <c r="R70" s="272" t="str">
        <f t="shared" si="64"/>
        <v/>
      </c>
      <c r="S70" s="272" t="str">
        <f t="shared" si="64"/>
        <v/>
      </c>
      <c r="T70" s="272" t="str">
        <f t="shared" si="64"/>
        <v/>
      </c>
      <c r="U70" s="272" t="str">
        <f t="shared" si="64"/>
        <v/>
      </c>
      <c r="V70" s="272" t="str">
        <f t="shared" si="64"/>
        <v/>
      </c>
    </row>
    <row r="71" ht="30.0" customHeight="1">
      <c r="A71" s="243">
        <v>65.0</v>
      </c>
      <c r="B71" s="243" t="s">
        <v>531</v>
      </c>
      <c r="C71" s="240" t="s">
        <v>498</v>
      </c>
      <c r="D71" s="240" t="s">
        <v>532</v>
      </c>
      <c r="E71" s="243" t="s">
        <v>211</v>
      </c>
      <c r="F71" s="243"/>
      <c r="G71" s="243"/>
      <c r="H71" s="270"/>
      <c r="I71" s="270"/>
      <c r="J71" s="243" t="s">
        <v>141</v>
      </c>
      <c r="K71" s="288" t="s">
        <v>1264</v>
      </c>
      <c r="L71" s="272" t="str">
        <f t="shared" ref="L71:V71" si="65">IF(AND(L$6&lt;=$I71,L$6+6&gt;=$H71,$H71&lt;&gt;"",$I71&lt;&gt;""),1,"")</f>
        <v/>
      </c>
      <c r="M71" s="272" t="str">
        <f t="shared" si="65"/>
        <v/>
      </c>
      <c r="N71" s="272" t="str">
        <f t="shared" si="65"/>
        <v/>
      </c>
      <c r="O71" s="272" t="str">
        <f t="shared" si="65"/>
        <v/>
      </c>
      <c r="P71" s="272" t="str">
        <f t="shared" si="65"/>
        <v/>
      </c>
      <c r="Q71" s="272" t="str">
        <f t="shared" si="65"/>
        <v/>
      </c>
      <c r="R71" s="272" t="str">
        <f t="shared" si="65"/>
        <v/>
      </c>
      <c r="S71" s="272" t="str">
        <f t="shared" si="65"/>
        <v/>
      </c>
      <c r="T71" s="272" t="str">
        <f t="shared" si="65"/>
        <v/>
      </c>
      <c r="U71" s="272" t="str">
        <f t="shared" si="65"/>
        <v/>
      </c>
      <c r="V71" s="272" t="str">
        <f t="shared" si="65"/>
        <v/>
      </c>
    </row>
    <row r="72" ht="30.0" customHeight="1">
      <c r="A72" s="243">
        <v>66.0</v>
      </c>
      <c r="B72" s="243" t="s">
        <v>541</v>
      </c>
      <c r="C72" s="240" t="s">
        <v>542</v>
      </c>
      <c r="D72" s="240" t="s">
        <v>543</v>
      </c>
      <c r="E72" s="243" t="s">
        <v>263</v>
      </c>
      <c r="F72" s="243"/>
      <c r="G72" s="243"/>
      <c r="H72" s="270">
        <v>46265.0</v>
      </c>
      <c r="I72" s="270">
        <v>46267.0</v>
      </c>
      <c r="J72" s="243" t="s">
        <v>141</v>
      </c>
      <c r="K72" s="271" t="s">
        <v>863</v>
      </c>
      <c r="L72" s="272" t="str">
        <f t="shared" ref="L72:V72" si="66">IF(AND(L$6&lt;=$I72,L$6+6&gt;=$H72,$H72&lt;&gt;"",$I72&lt;&gt;""),1,"")</f>
        <v/>
      </c>
      <c r="M72" s="272" t="str">
        <f t="shared" si="66"/>
        <v/>
      </c>
      <c r="N72" s="272" t="str">
        <f t="shared" si="66"/>
        <v/>
      </c>
      <c r="O72" s="272" t="str">
        <f t="shared" si="66"/>
        <v/>
      </c>
      <c r="P72" s="272">
        <f t="shared" si="66"/>
        <v>1</v>
      </c>
      <c r="Q72" s="272" t="str">
        <f t="shared" si="66"/>
        <v/>
      </c>
      <c r="R72" s="272" t="str">
        <f t="shared" si="66"/>
        <v/>
      </c>
      <c r="S72" s="272" t="str">
        <f t="shared" si="66"/>
        <v/>
      </c>
      <c r="T72" s="272" t="str">
        <f t="shared" si="66"/>
        <v/>
      </c>
      <c r="U72" s="272" t="str">
        <f t="shared" si="66"/>
        <v/>
      </c>
      <c r="V72" s="272" t="str">
        <f t="shared" si="66"/>
        <v/>
      </c>
    </row>
    <row r="73" ht="30.0" customHeight="1">
      <c r="A73" s="243">
        <v>67.0</v>
      </c>
      <c r="B73" s="243" t="s">
        <v>547</v>
      </c>
      <c r="C73" s="240" t="s">
        <v>542</v>
      </c>
      <c r="D73" s="240" t="s">
        <v>548</v>
      </c>
      <c r="E73" s="243" t="s">
        <v>263</v>
      </c>
      <c r="F73" s="243"/>
      <c r="G73" s="243"/>
      <c r="H73" s="270">
        <v>46268.0</v>
      </c>
      <c r="I73" s="270">
        <v>46275.0</v>
      </c>
      <c r="J73" s="243" t="s">
        <v>141</v>
      </c>
      <c r="K73" s="271" t="s">
        <v>1265</v>
      </c>
      <c r="L73" s="272" t="str">
        <f t="shared" ref="L73:V73" si="67">IF(AND(L$6&lt;=$I73,L$6+6&gt;=$H73,$H73&lt;&gt;"",$I73&lt;&gt;""),1,"")</f>
        <v/>
      </c>
      <c r="M73" s="272" t="str">
        <f t="shared" si="67"/>
        <v/>
      </c>
      <c r="N73" s="272" t="str">
        <f t="shared" si="67"/>
        <v/>
      </c>
      <c r="O73" s="272" t="str">
        <f t="shared" si="67"/>
        <v/>
      </c>
      <c r="P73" s="272">
        <f t="shared" si="67"/>
        <v>1</v>
      </c>
      <c r="Q73" s="272">
        <f t="shared" si="67"/>
        <v>1</v>
      </c>
      <c r="R73" s="272" t="str">
        <f t="shared" si="67"/>
        <v/>
      </c>
      <c r="S73" s="272" t="str">
        <f t="shared" si="67"/>
        <v/>
      </c>
      <c r="T73" s="272" t="str">
        <f t="shared" si="67"/>
        <v/>
      </c>
      <c r="U73" s="272" t="str">
        <f t="shared" si="67"/>
        <v/>
      </c>
      <c r="V73" s="272" t="str">
        <f t="shared" si="67"/>
        <v/>
      </c>
    </row>
    <row r="74" ht="30.0" customHeight="1">
      <c r="A74" s="243">
        <v>68.0</v>
      </c>
      <c r="B74" s="243" t="s">
        <v>553</v>
      </c>
      <c r="C74" s="240" t="s">
        <v>542</v>
      </c>
      <c r="D74" s="240" t="s">
        <v>554</v>
      </c>
      <c r="E74" s="243" t="s">
        <v>263</v>
      </c>
      <c r="F74" s="243"/>
      <c r="G74" s="243"/>
      <c r="H74" s="270">
        <v>46268.0</v>
      </c>
      <c r="I74" s="270">
        <v>46275.0</v>
      </c>
      <c r="J74" s="243" t="s">
        <v>141</v>
      </c>
      <c r="K74" s="271" t="s">
        <v>1265</v>
      </c>
      <c r="L74" s="272" t="str">
        <f t="shared" ref="L74:V74" si="68">IF(AND(L$6&lt;=$I74,L$6+6&gt;=$H74,$H74&lt;&gt;"",$I74&lt;&gt;""),1,"")</f>
        <v/>
      </c>
      <c r="M74" s="272" t="str">
        <f t="shared" si="68"/>
        <v/>
      </c>
      <c r="N74" s="272" t="str">
        <f t="shared" si="68"/>
        <v/>
      </c>
      <c r="O74" s="272" t="str">
        <f t="shared" si="68"/>
        <v/>
      </c>
      <c r="P74" s="272">
        <f t="shared" si="68"/>
        <v>1</v>
      </c>
      <c r="Q74" s="272">
        <f t="shared" si="68"/>
        <v>1</v>
      </c>
      <c r="R74" s="272" t="str">
        <f t="shared" si="68"/>
        <v/>
      </c>
      <c r="S74" s="272" t="str">
        <f t="shared" si="68"/>
        <v/>
      </c>
      <c r="T74" s="272" t="str">
        <f t="shared" si="68"/>
        <v/>
      </c>
      <c r="U74" s="272" t="str">
        <f t="shared" si="68"/>
        <v/>
      </c>
      <c r="V74" s="272" t="str">
        <f t="shared" si="68"/>
        <v/>
      </c>
    </row>
    <row r="75" ht="30.0" customHeight="1">
      <c r="A75" s="243">
        <v>69.0</v>
      </c>
      <c r="B75" s="243" t="s">
        <v>557</v>
      </c>
      <c r="C75" s="240" t="s">
        <v>542</v>
      </c>
      <c r="D75" s="240" t="s">
        <v>558</v>
      </c>
      <c r="E75" s="243" t="s">
        <v>263</v>
      </c>
      <c r="F75" s="243"/>
      <c r="G75" s="243"/>
      <c r="H75" s="270"/>
      <c r="I75" s="270"/>
      <c r="J75" s="243" t="s">
        <v>141</v>
      </c>
      <c r="K75" s="273" t="s">
        <v>1266</v>
      </c>
      <c r="L75" s="272" t="str">
        <f t="shared" ref="L75:V75" si="69">IF(AND(L$6&lt;=$I75,L$6+6&gt;=$H75,$H75&lt;&gt;"",$I75&lt;&gt;""),1,"")</f>
        <v/>
      </c>
      <c r="M75" s="272" t="str">
        <f t="shared" si="69"/>
        <v/>
      </c>
      <c r="N75" s="272" t="str">
        <f t="shared" si="69"/>
        <v/>
      </c>
      <c r="O75" s="272" t="str">
        <f t="shared" si="69"/>
        <v/>
      </c>
      <c r="P75" s="272" t="str">
        <f t="shared" si="69"/>
        <v/>
      </c>
      <c r="Q75" s="272" t="str">
        <f t="shared" si="69"/>
        <v/>
      </c>
      <c r="R75" s="272" t="str">
        <f t="shared" si="69"/>
        <v/>
      </c>
      <c r="S75" s="272" t="str">
        <f t="shared" si="69"/>
        <v/>
      </c>
      <c r="T75" s="272" t="str">
        <f t="shared" si="69"/>
        <v/>
      </c>
      <c r="U75" s="272" t="str">
        <f t="shared" si="69"/>
        <v/>
      </c>
      <c r="V75" s="272" t="str">
        <f t="shared" si="69"/>
        <v/>
      </c>
    </row>
    <row r="76" ht="30.0" customHeight="1">
      <c r="A76" s="243">
        <v>70.0</v>
      </c>
      <c r="B76" s="243" t="s">
        <v>562</v>
      </c>
      <c r="C76" s="240" t="s">
        <v>542</v>
      </c>
      <c r="D76" s="240" t="s">
        <v>563</v>
      </c>
      <c r="E76" s="243" t="s">
        <v>263</v>
      </c>
      <c r="F76" s="243"/>
      <c r="G76" s="243"/>
      <c r="H76" s="270">
        <v>46268.0</v>
      </c>
      <c r="I76" s="270">
        <v>46275.0</v>
      </c>
      <c r="J76" s="243" t="s">
        <v>141</v>
      </c>
      <c r="K76" s="271" t="s">
        <v>1265</v>
      </c>
      <c r="L76" s="272" t="str">
        <f t="shared" ref="L76:V76" si="70">IF(AND(L$6&lt;=$I76,L$6+6&gt;=$H76,$H76&lt;&gt;"",$I76&lt;&gt;""),1,"")</f>
        <v/>
      </c>
      <c r="M76" s="272" t="str">
        <f t="shared" si="70"/>
        <v/>
      </c>
      <c r="N76" s="272" t="str">
        <f t="shared" si="70"/>
        <v/>
      </c>
      <c r="O76" s="272" t="str">
        <f t="shared" si="70"/>
        <v/>
      </c>
      <c r="P76" s="272">
        <f t="shared" si="70"/>
        <v>1</v>
      </c>
      <c r="Q76" s="272">
        <f t="shared" si="70"/>
        <v>1</v>
      </c>
      <c r="R76" s="272" t="str">
        <f t="shared" si="70"/>
        <v/>
      </c>
      <c r="S76" s="272" t="str">
        <f t="shared" si="70"/>
        <v/>
      </c>
      <c r="T76" s="272" t="str">
        <f t="shared" si="70"/>
        <v/>
      </c>
      <c r="U76" s="272" t="str">
        <f t="shared" si="70"/>
        <v/>
      </c>
      <c r="V76" s="272" t="str">
        <f t="shared" si="70"/>
        <v/>
      </c>
    </row>
    <row r="77" ht="30.0" customHeight="1">
      <c r="A77" s="243">
        <v>71.0</v>
      </c>
      <c r="B77" s="243" t="s">
        <v>566</v>
      </c>
      <c r="C77" s="240" t="s">
        <v>542</v>
      </c>
      <c r="D77" s="240" t="s">
        <v>567</v>
      </c>
      <c r="E77" s="243" t="s">
        <v>263</v>
      </c>
      <c r="F77" s="243"/>
      <c r="G77" s="243"/>
      <c r="H77" s="270"/>
      <c r="I77" s="270"/>
      <c r="J77" s="243" t="s">
        <v>141</v>
      </c>
      <c r="K77" s="273" t="s">
        <v>1267</v>
      </c>
      <c r="L77" s="272" t="str">
        <f t="shared" ref="L77:V77" si="71">IF(AND(L$6&lt;=$I77,L$6+6&gt;=$H77,$H77&lt;&gt;"",$I77&lt;&gt;""),1,"")</f>
        <v/>
      </c>
      <c r="M77" s="272" t="str">
        <f t="shared" si="71"/>
        <v/>
      </c>
      <c r="N77" s="272" t="str">
        <f t="shared" si="71"/>
        <v/>
      </c>
      <c r="O77" s="272" t="str">
        <f t="shared" si="71"/>
        <v/>
      </c>
      <c r="P77" s="272" t="str">
        <f t="shared" si="71"/>
        <v/>
      </c>
      <c r="Q77" s="272" t="str">
        <f t="shared" si="71"/>
        <v/>
      </c>
      <c r="R77" s="272" t="str">
        <f t="shared" si="71"/>
        <v/>
      </c>
      <c r="S77" s="272" t="str">
        <f t="shared" si="71"/>
        <v/>
      </c>
      <c r="T77" s="272" t="str">
        <f t="shared" si="71"/>
        <v/>
      </c>
      <c r="U77" s="272" t="str">
        <f t="shared" si="71"/>
        <v/>
      </c>
      <c r="V77" s="272" t="str">
        <f t="shared" si="71"/>
        <v/>
      </c>
    </row>
    <row r="78" ht="30.0" customHeight="1">
      <c r="A78" s="243">
        <v>72.0</v>
      </c>
      <c r="B78" s="243" t="s">
        <v>571</v>
      </c>
      <c r="C78" s="240" t="s">
        <v>572</v>
      </c>
      <c r="D78" s="240" t="s">
        <v>573</v>
      </c>
      <c r="E78" s="243" t="s">
        <v>263</v>
      </c>
      <c r="F78" s="243"/>
      <c r="G78" s="243"/>
      <c r="H78" s="270">
        <v>46272.0</v>
      </c>
      <c r="I78" s="270">
        <v>46273.0</v>
      </c>
      <c r="J78" s="243" t="s">
        <v>141</v>
      </c>
      <c r="K78" s="271" t="s">
        <v>1259</v>
      </c>
      <c r="L78" s="272" t="str">
        <f t="shared" ref="L78:V78" si="72">IF(AND(L$6&lt;=$I78,L$6+6&gt;=$H78,$H78&lt;&gt;"",$I78&lt;&gt;""),1,"")</f>
        <v/>
      </c>
      <c r="M78" s="272" t="str">
        <f t="shared" si="72"/>
        <v/>
      </c>
      <c r="N78" s="272" t="str">
        <f t="shared" si="72"/>
        <v/>
      </c>
      <c r="O78" s="272" t="str">
        <f t="shared" si="72"/>
        <v/>
      </c>
      <c r="P78" s="272" t="str">
        <f t="shared" si="72"/>
        <v/>
      </c>
      <c r="Q78" s="272">
        <f t="shared" si="72"/>
        <v>1</v>
      </c>
      <c r="R78" s="272" t="str">
        <f t="shared" si="72"/>
        <v/>
      </c>
      <c r="S78" s="272" t="str">
        <f t="shared" si="72"/>
        <v/>
      </c>
      <c r="T78" s="272" t="str">
        <f t="shared" si="72"/>
        <v/>
      </c>
      <c r="U78" s="272" t="str">
        <f t="shared" si="72"/>
        <v/>
      </c>
      <c r="V78" s="272" t="str">
        <f t="shared" si="72"/>
        <v/>
      </c>
    </row>
    <row r="79" ht="30.0" customHeight="1">
      <c r="A79" s="243">
        <v>73.0</v>
      </c>
      <c r="B79" s="243" t="s">
        <v>577</v>
      </c>
      <c r="C79" s="240" t="s">
        <v>572</v>
      </c>
      <c r="D79" s="240" t="s">
        <v>578</v>
      </c>
      <c r="E79" s="243" t="s">
        <v>263</v>
      </c>
      <c r="F79" s="243"/>
      <c r="G79" s="243"/>
      <c r="H79" s="270">
        <v>46274.0</v>
      </c>
      <c r="I79" s="270">
        <v>46280.0</v>
      </c>
      <c r="J79" s="243" t="s">
        <v>141</v>
      </c>
      <c r="K79" s="271" t="s">
        <v>1268</v>
      </c>
      <c r="L79" s="272" t="str">
        <f t="shared" ref="L79:V79" si="73">IF(AND(L$6&lt;=$I79,L$6+6&gt;=$H79,$H79&lt;&gt;"",$I79&lt;&gt;""),1,"")</f>
        <v/>
      </c>
      <c r="M79" s="272" t="str">
        <f t="shared" si="73"/>
        <v/>
      </c>
      <c r="N79" s="272" t="str">
        <f t="shared" si="73"/>
        <v/>
      </c>
      <c r="O79" s="272" t="str">
        <f t="shared" si="73"/>
        <v/>
      </c>
      <c r="P79" s="272" t="str">
        <f t="shared" si="73"/>
        <v/>
      </c>
      <c r="Q79" s="272">
        <f t="shared" si="73"/>
        <v>1</v>
      </c>
      <c r="R79" s="272">
        <f t="shared" si="73"/>
        <v>1</v>
      </c>
      <c r="S79" s="272" t="str">
        <f t="shared" si="73"/>
        <v/>
      </c>
      <c r="T79" s="272" t="str">
        <f t="shared" si="73"/>
        <v/>
      </c>
      <c r="U79" s="272" t="str">
        <f t="shared" si="73"/>
        <v/>
      </c>
      <c r="V79" s="272" t="str">
        <f t="shared" si="73"/>
        <v/>
      </c>
    </row>
    <row r="80" ht="30.0" customHeight="1">
      <c r="A80" s="243">
        <v>74.0</v>
      </c>
      <c r="B80" s="243" t="s">
        <v>581</v>
      </c>
      <c r="C80" s="240" t="s">
        <v>572</v>
      </c>
      <c r="D80" s="240" t="s">
        <v>582</v>
      </c>
      <c r="E80" s="243" t="s">
        <v>263</v>
      </c>
      <c r="F80" s="243"/>
      <c r="G80" s="243"/>
      <c r="H80" s="270">
        <v>46274.0</v>
      </c>
      <c r="I80" s="270">
        <v>46280.0</v>
      </c>
      <c r="J80" s="243" t="s">
        <v>141</v>
      </c>
      <c r="K80" s="271" t="s">
        <v>1259</v>
      </c>
      <c r="L80" s="272" t="str">
        <f t="shared" ref="L80:V80" si="74">IF(AND(L$6&lt;=$I80,L$6+6&gt;=$H80,$H80&lt;&gt;"",$I80&lt;&gt;""),1,"")</f>
        <v/>
      </c>
      <c r="M80" s="272" t="str">
        <f t="shared" si="74"/>
        <v/>
      </c>
      <c r="N80" s="272" t="str">
        <f t="shared" si="74"/>
        <v/>
      </c>
      <c r="O80" s="272" t="str">
        <f t="shared" si="74"/>
        <v/>
      </c>
      <c r="P80" s="272" t="str">
        <f t="shared" si="74"/>
        <v/>
      </c>
      <c r="Q80" s="272">
        <f t="shared" si="74"/>
        <v>1</v>
      </c>
      <c r="R80" s="272">
        <f t="shared" si="74"/>
        <v>1</v>
      </c>
      <c r="S80" s="272" t="str">
        <f t="shared" si="74"/>
        <v/>
      </c>
      <c r="T80" s="272" t="str">
        <f t="shared" si="74"/>
        <v/>
      </c>
      <c r="U80" s="272" t="str">
        <f t="shared" si="74"/>
        <v/>
      </c>
      <c r="V80" s="272" t="str">
        <f t="shared" si="74"/>
        <v/>
      </c>
    </row>
    <row r="81" ht="30.0" customHeight="1">
      <c r="A81" s="243">
        <v>75.0</v>
      </c>
      <c r="B81" s="243" t="s">
        <v>585</v>
      </c>
      <c r="C81" s="240" t="s">
        <v>572</v>
      </c>
      <c r="D81" s="240" t="s">
        <v>586</v>
      </c>
      <c r="E81" s="243" t="s">
        <v>263</v>
      </c>
      <c r="F81" s="243"/>
      <c r="G81" s="243"/>
      <c r="H81" s="270">
        <v>46274.0</v>
      </c>
      <c r="I81" s="270">
        <v>46280.0</v>
      </c>
      <c r="J81" s="243" t="s">
        <v>141</v>
      </c>
      <c r="K81" s="271" t="s">
        <v>1259</v>
      </c>
      <c r="L81" s="272" t="str">
        <f t="shared" ref="L81:V81" si="75">IF(AND(L$6&lt;=$I81,L$6+6&gt;=$H81,$H81&lt;&gt;"",$I81&lt;&gt;""),1,"")</f>
        <v/>
      </c>
      <c r="M81" s="272" t="str">
        <f t="shared" si="75"/>
        <v/>
      </c>
      <c r="N81" s="272" t="str">
        <f t="shared" si="75"/>
        <v/>
      </c>
      <c r="O81" s="272" t="str">
        <f t="shared" si="75"/>
        <v/>
      </c>
      <c r="P81" s="272" t="str">
        <f t="shared" si="75"/>
        <v/>
      </c>
      <c r="Q81" s="272">
        <f t="shared" si="75"/>
        <v>1</v>
      </c>
      <c r="R81" s="272">
        <f t="shared" si="75"/>
        <v>1</v>
      </c>
      <c r="S81" s="272" t="str">
        <f t="shared" si="75"/>
        <v/>
      </c>
      <c r="T81" s="272" t="str">
        <f t="shared" si="75"/>
        <v/>
      </c>
      <c r="U81" s="272" t="str">
        <f t="shared" si="75"/>
        <v/>
      </c>
      <c r="V81" s="272" t="str">
        <f t="shared" si="75"/>
        <v/>
      </c>
    </row>
    <row r="82" ht="30.0" customHeight="1">
      <c r="A82" s="243">
        <v>76.0</v>
      </c>
      <c r="B82" s="243" t="s">
        <v>589</v>
      </c>
      <c r="C82" s="240" t="s">
        <v>572</v>
      </c>
      <c r="D82" s="240" t="s">
        <v>590</v>
      </c>
      <c r="E82" s="243" t="s">
        <v>263</v>
      </c>
      <c r="F82" s="243"/>
      <c r="G82" s="243"/>
      <c r="H82" s="270"/>
      <c r="I82" s="270"/>
      <c r="J82" s="243" t="s">
        <v>141</v>
      </c>
      <c r="K82" s="273" t="s">
        <v>882</v>
      </c>
      <c r="L82" s="272" t="str">
        <f t="shared" ref="L82:V82" si="76">IF(AND(L$6&lt;=$I82,L$6+6&gt;=$H82,$H82&lt;&gt;"",$I82&lt;&gt;""),1,"")</f>
        <v/>
      </c>
      <c r="M82" s="272" t="str">
        <f t="shared" si="76"/>
        <v/>
      </c>
      <c r="N82" s="272" t="str">
        <f t="shared" si="76"/>
        <v/>
      </c>
      <c r="O82" s="272" t="str">
        <f t="shared" si="76"/>
        <v/>
      </c>
      <c r="P82" s="272" t="str">
        <f t="shared" si="76"/>
        <v/>
      </c>
      <c r="Q82" s="272" t="str">
        <f t="shared" si="76"/>
        <v/>
      </c>
      <c r="R82" s="272" t="str">
        <f t="shared" si="76"/>
        <v/>
      </c>
      <c r="S82" s="272" t="str">
        <f t="shared" si="76"/>
        <v/>
      </c>
      <c r="T82" s="272" t="str">
        <f t="shared" si="76"/>
        <v/>
      </c>
      <c r="U82" s="272" t="str">
        <f t="shared" si="76"/>
        <v/>
      </c>
      <c r="V82" s="272" t="str">
        <f t="shared" si="76"/>
        <v/>
      </c>
    </row>
    <row r="83" ht="30.0" customHeight="1">
      <c r="A83" s="243">
        <v>77.0</v>
      </c>
      <c r="B83" s="243" t="s">
        <v>593</v>
      </c>
      <c r="C83" s="240" t="s">
        <v>572</v>
      </c>
      <c r="D83" s="240" t="s">
        <v>594</v>
      </c>
      <c r="E83" s="243" t="s">
        <v>263</v>
      </c>
      <c r="F83" s="243"/>
      <c r="G83" s="243"/>
      <c r="H83" s="270"/>
      <c r="I83" s="270"/>
      <c r="J83" s="243" t="s">
        <v>141</v>
      </c>
      <c r="K83" s="273" t="s">
        <v>1269</v>
      </c>
      <c r="L83" s="272" t="str">
        <f t="shared" ref="L83:V83" si="77">IF(AND(L$6&lt;=$I83,L$6+6&gt;=$H83,$H83&lt;&gt;"",$I83&lt;&gt;""),1,"")</f>
        <v/>
      </c>
      <c r="M83" s="272" t="str">
        <f t="shared" si="77"/>
        <v/>
      </c>
      <c r="N83" s="272" t="str">
        <f t="shared" si="77"/>
        <v/>
      </c>
      <c r="O83" s="272" t="str">
        <f t="shared" si="77"/>
        <v/>
      </c>
      <c r="P83" s="272" t="str">
        <f t="shared" si="77"/>
        <v/>
      </c>
      <c r="Q83" s="272" t="str">
        <f t="shared" si="77"/>
        <v/>
      </c>
      <c r="R83" s="272" t="str">
        <f t="shared" si="77"/>
        <v/>
      </c>
      <c r="S83" s="272" t="str">
        <f t="shared" si="77"/>
        <v/>
      </c>
      <c r="T83" s="272" t="str">
        <f t="shared" si="77"/>
        <v/>
      </c>
      <c r="U83" s="272" t="str">
        <f t="shared" si="77"/>
        <v/>
      </c>
      <c r="V83" s="272" t="str">
        <f t="shared" si="77"/>
        <v/>
      </c>
    </row>
    <row r="84" ht="30.0" customHeight="1">
      <c r="A84" s="243">
        <v>78.0</v>
      </c>
      <c r="B84" s="243" t="s">
        <v>598</v>
      </c>
      <c r="C84" s="240" t="s">
        <v>599</v>
      </c>
      <c r="D84" s="240" t="s">
        <v>600</v>
      </c>
      <c r="E84" s="243" t="s">
        <v>263</v>
      </c>
      <c r="F84" s="243"/>
      <c r="G84" s="243"/>
      <c r="H84" s="270">
        <v>46265.0</v>
      </c>
      <c r="I84" s="270">
        <v>46275.0</v>
      </c>
      <c r="J84" s="243" t="s">
        <v>141</v>
      </c>
      <c r="K84" s="271" t="s">
        <v>863</v>
      </c>
      <c r="L84" s="272" t="str">
        <f t="shared" ref="L84:V84" si="78">IF(AND(L$6&lt;=$I84,L$6+6&gt;=$H84,$H84&lt;&gt;"",$I84&lt;&gt;""),1,"")</f>
        <v/>
      </c>
      <c r="M84" s="272" t="str">
        <f t="shared" si="78"/>
        <v/>
      </c>
      <c r="N84" s="272" t="str">
        <f t="shared" si="78"/>
        <v/>
      </c>
      <c r="O84" s="272" t="str">
        <f t="shared" si="78"/>
        <v/>
      </c>
      <c r="P84" s="272">
        <f t="shared" si="78"/>
        <v>1</v>
      </c>
      <c r="Q84" s="272">
        <f t="shared" si="78"/>
        <v>1</v>
      </c>
      <c r="R84" s="272" t="str">
        <f t="shared" si="78"/>
        <v/>
      </c>
      <c r="S84" s="272" t="str">
        <f t="shared" si="78"/>
        <v/>
      </c>
      <c r="T84" s="272" t="str">
        <f t="shared" si="78"/>
        <v/>
      </c>
      <c r="U84" s="272" t="str">
        <f t="shared" si="78"/>
        <v/>
      </c>
      <c r="V84" s="272" t="str">
        <f t="shared" si="78"/>
        <v/>
      </c>
    </row>
    <row r="85" ht="30.0" customHeight="1">
      <c r="A85" s="243">
        <v>79.0</v>
      </c>
      <c r="B85" s="243" t="s">
        <v>604</v>
      </c>
      <c r="C85" s="240" t="s">
        <v>599</v>
      </c>
      <c r="D85" s="240" t="s">
        <v>605</v>
      </c>
      <c r="E85" s="243" t="s">
        <v>263</v>
      </c>
      <c r="F85" s="243"/>
      <c r="G85" s="243"/>
      <c r="H85" s="270">
        <v>46265.0</v>
      </c>
      <c r="I85" s="270">
        <v>46275.0</v>
      </c>
      <c r="J85" s="243" t="s">
        <v>141</v>
      </c>
      <c r="K85" s="271" t="s">
        <v>863</v>
      </c>
      <c r="L85" s="272" t="str">
        <f t="shared" ref="L85:V85" si="79">IF(AND(L$6&lt;=$I85,L$6+6&gt;=$H85,$H85&lt;&gt;"",$I85&lt;&gt;""),1,"")</f>
        <v/>
      </c>
      <c r="M85" s="272" t="str">
        <f t="shared" si="79"/>
        <v/>
      </c>
      <c r="N85" s="272" t="str">
        <f t="shared" si="79"/>
        <v/>
      </c>
      <c r="O85" s="272" t="str">
        <f t="shared" si="79"/>
        <v/>
      </c>
      <c r="P85" s="272">
        <f t="shared" si="79"/>
        <v>1</v>
      </c>
      <c r="Q85" s="272">
        <f t="shared" si="79"/>
        <v>1</v>
      </c>
      <c r="R85" s="272" t="str">
        <f t="shared" si="79"/>
        <v/>
      </c>
      <c r="S85" s="272" t="str">
        <f t="shared" si="79"/>
        <v/>
      </c>
      <c r="T85" s="272" t="str">
        <f t="shared" si="79"/>
        <v/>
      </c>
      <c r="U85" s="272" t="str">
        <f t="shared" si="79"/>
        <v/>
      </c>
      <c r="V85" s="272" t="str">
        <f t="shared" si="79"/>
        <v/>
      </c>
    </row>
    <row r="86" ht="30.0" customHeight="1">
      <c r="A86" s="243">
        <v>80.0</v>
      </c>
      <c r="B86" s="243" t="s">
        <v>608</v>
      </c>
      <c r="C86" s="240" t="s">
        <v>599</v>
      </c>
      <c r="D86" s="240" t="s">
        <v>609</v>
      </c>
      <c r="E86" s="243" t="s">
        <v>263</v>
      </c>
      <c r="F86" s="243"/>
      <c r="G86" s="243"/>
      <c r="H86" s="270">
        <v>46265.0</v>
      </c>
      <c r="I86" s="270">
        <v>46275.0</v>
      </c>
      <c r="J86" s="243" t="s">
        <v>141</v>
      </c>
      <c r="K86" s="271" t="s">
        <v>863</v>
      </c>
      <c r="L86" s="272" t="str">
        <f t="shared" ref="L86:V86" si="80">IF(AND(L$6&lt;=$I86,L$6+6&gt;=$H86,$H86&lt;&gt;"",$I86&lt;&gt;""),1,"")</f>
        <v/>
      </c>
      <c r="M86" s="272" t="str">
        <f t="shared" si="80"/>
        <v/>
      </c>
      <c r="N86" s="272" t="str">
        <f t="shared" si="80"/>
        <v/>
      </c>
      <c r="O86" s="272" t="str">
        <f t="shared" si="80"/>
        <v/>
      </c>
      <c r="P86" s="272">
        <f t="shared" si="80"/>
        <v>1</v>
      </c>
      <c r="Q86" s="272">
        <f t="shared" si="80"/>
        <v>1</v>
      </c>
      <c r="R86" s="272" t="str">
        <f t="shared" si="80"/>
        <v/>
      </c>
      <c r="S86" s="272" t="str">
        <f t="shared" si="80"/>
        <v/>
      </c>
      <c r="T86" s="272" t="str">
        <f t="shared" si="80"/>
        <v/>
      </c>
      <c r="U86" s="272" t="str">
        <f t="shared" si="80"/>
        <v/>
      </c>
      <c r="V86" s="272" t="str">
        <f t="shared" si="80"/>
        <v/>
      </c>
    </row>
    <row r="87" ht="30.0" customHeight="1">
      <c r="A87" s="243">
        <v>81.0</v>
      </c>
      <c r="B87" s="243" t="s">
        <v>612</v>
      </c>
      <c r="C87" s="240" t="s">
        <v>599</v>
      </c>
      <c r="D87" s="240" t="s">
        <v>613</v>
      </c>
      <c r="E87" s="243" t="s">
        <v>263</v>
      </c>
      <c r="F87" s="243" t="s">
        <v>154</v>
      </c>
      <c r="G87" s="243"/>
      <c r="H87" s="270">
        <v>46265.0</v>
      </c>
      <c r="I87" s="270">
        <v>46275.0</v>
      </c>
      <c r="J87" s="243" t="s">
        <v>141</v>
      </c>
      <c r="K87" s="271" t="s">
        <v>863</v>
      </c>
      <c r="L87" s="272" t="str">
        <f t="shared" ref="L87:V87" si="81">IF(AND(L$6&lt;=$I87,L$6+6&gt;=$H87,$H87&lt;&gt;"",$I87&lt;&gt;""),1,"")</f>
        <v/>
      </c>
      <c r="M87" s="272" t="str">
        <f t="shared" si="81"/>
        <v/>
      </c>
      <c r="N87" s="272" t="str">
        <f t="shared" si="81"/>
        <v/>
      </c>
      <c r="O87" s="272" t="str">
        <f t="shared" si="81"/>
        <v/>
      </c>
      <c r="P87" s="272">
        <f t="shared" si="81"/>
        <v>1</v>
      </c>
      <c r="Q87" s="272">
        <f t="shared" si="81"/>
        <v>1</v>
      </c>
      <c r="R87" s="272" t="str">
        <f t="shared" si="81"/>
        <v/>
      </c>
      <c r="S87" s="272" t="str">
        <f t="shared" si="81"/>
        <v/>
      </c>
      <c r="T87" s="272" t="str">
        <f t="shared" si="81"/>
        <v/>
      </c>
      <c r="U87" s="272" t="str">
        <f t="shared" si="81"/>
        <v/>
      </c>
      <c r="V87" s="272" t="str">
        <f t="shared" si="81"/>
        <v/>
      </c>
    </row>
    <row r="88" ht="30.0" customHeight="1">
      <c r="A88" s="243">
        <v>82.0</v>
      </c>
      <c r="B88" s="243" t="s">
        <v>620</v>
      </c>
      <c r="C88" s="240" t="s">
        <v>599</v>
      </c>
      <c r="D88" s="240" t="s">
        <v>623</v>
      </c>
      <c r="E88" s="243" t="s">
        <v>263</v>
      </c>
      <c r="F88" s="243" t="s">
        <v>154</v>
      </c>
      <c r="G88" s="243"/>
      <c r="H88" s="270">
        <v>46265.0</v>
      </c>
      <c r="I88" s="270">
        <v>46275.0</v>
      </c>
      <c r="J88" s="243" t="s">
        <v>141</v>
      </c>
      <c r="K88" s="271" t="s">
        <v>863</v>
      </c>
      <c r="L88" s="272" t="str">
        <f t="shared" ref="L88:V88" si="82">IF(AND(L$6&lt;=$I88,L$6+6&gt;=$H88,$H88&lt;&gt;"",$I88&lt;&gt;""),1,"")</f>
        <v/>
      </c>
      <c r="M88" s="272" t="str">
        <f t="shared" si="82"/>
        <v/>
      </c>
      <c r="N88" s="272" t="str">
        <f t="shared" si="82"/>
        <v/>
      </c>
      <c r="O88" s="272" t="str">
        <f t="shared" si="82"/>
        <v/>
      </c>
      <c r="P88" s="272">
        <f t="shared" si="82"/>
        <v>1</v>
      </c>
      <c r="Q88" s="272">
        <f t="shared" si="82"/>
        <v>1</v>
      </c>
      <c r="R88" s="272" t="str">
        <f t="shared" si="82"/>
        <v/>
      </c>
      <c r="S88" s="272" t="str">
        <f t="shared" si="82"/>
        <v/>
      </c>
      <c r="T88" s="272" t="str">
        <f t="shared" si="82"/>
        <v/>
      </c>
      <c r="U88" s="272" t="str">
        <f t="shared" si="82"/>
        <v/>
      </c>
      <c r="V88" s="272" t="str">
        <f t="shared" si="82"/>
        <v/>
      </c>
    </row>
    <row r="89" ht="30.0" customHeight="1">
      <c r="A89" s="243">
        <v>83.0</v>
      </c>
      <c r="B89" s="243" t="s">
        <v>632</v>
      </c>
      <c r="C89" s="240" t="s">
        <v>599</v>
      </c>
      <c r="D89" s="240" t="s">
        <v>635</v>
      </c>
      <c r="E89" s="243" t="s">
        <v>263</v>
      </c>
      <c r="F89" s="243" t="s">
        <v>154</v>
      </c>
      <c r="G89" s="243"/>
      <c r="H89" s="270"/>
      <c r="I89" s="270"/>
      <c r="J89" s="243" t="s">
        <v>141</v>
      </c>
      <c r="K89" s="273" t="s">
        <v>882</v>
      </c>
      <c r="L89" s="272" t="str">
        <f t="shared" ref="L89:V89" si="83">IF(AND(L$6&lt;=$I89,L$6+6&gt;=$H89,$H89&lt;&gt;"",$I89&lt;&gt;""),1,"")</f>
        <v/>
      </c>
      <c r="M89" s="272" t="str">
        <f t="shared" si="83"/>
        <v/>
      </c>
      <c r="N89" s="272" t="str">
        <f t="shared" si="83"/>
        <v/>
      </c>
      <c r="O89" s="272" t="str">
        <f t="shared" si="83"/>
        <v/>
      </c>
      <c r="P89" s="272" t="str">
        <f t="shared" si="83"/>
        <v/>
      </c>
      <c r="Q89" s="272" t="str">
        <f t="shared" si="83"/>
        <v/>
      </c>
      <c r="R89" s="272" t="str">
        <f t="shared" si="83"/>
        <v/>
      </c>
      <c r="S89" s="272" t="str">
        <f t="shared" si="83"/>
        <v/>
      </c>
      <c r="T89" s="272" t="str">
        <f t="shared" si="83"/>
        <v/>
      </c>
      <c r="U89" s="272" t="str">
        <f t="shared" si="83"/>
        <v/>
      </c>
      <c r="V89" s="272" t="str">
        <f t="shared" si="83"/>
        <v/>
      </c>
    </row>
    <row r="90" ht="30.0" customHeight="1">
      <c r="A90" s="243">
        <v>84.0</v>
      </c>
      <c r="B90" s="243" t="s">
        <v>643</v>
      </c>
      <c r="C90" s="240" t="s">
        <v>645</v>
      </c>
      <c r="D90" s="240" t="s">
        <v>646</v>
      </c>
      <c r="E90" s="243" t="s">
        <v>263</v>
      </c>
      <c r="F90" s="243"/>
      <c r="G90" s="243"/>
      <c r="H90" s="270"/>
      <c r="I90" s="270"/>
      <c r="J90" s="243" t="s">
        <v>141</v>
      </c>
      <c r="K90" s="273" t="s">
        <v>1270</v>
      </c>
      <c r="L90" s="272" t="str">
        <f t="shared" ref="L90:V90" si="84">IF(AND(L$6&lt;=$I90,L$6+6&gt;=$H90,$H90&lt;&gt;"",$I90&lt;&gt;""),1,"")</f>
        <v/>
      </c>
      <c r="M90" s="272" t="str">
        <f t="shared" si="84"/>
        <v/>
      </c>
      <c r="N90" s="272" t="str">
        <f t="shared" si="84"/>
        <v/>
      </c>
      <c r="O90" s="272" t="str">
        <f t="shared" si="84"/>
        <v/>
      </c>
      <c r="P90" s="272" t="str">
        <f t="shared" si="84"/>
        <v/>
      </c>
      <c r="Q90" s="272" t="str">
        <f t="shared" si="84"/>
        <v/>
      </c>
      <c r="R90" s="272" t="str">
        <f t="shared" si="84"/>
        <v/>
      </c>
      <c r="S90" s="272" t="str">
        <f t="shared" si="84"/>
        <v/>
      </c>
      <c r="T90" s="272" t="str">
        <f t="shared" si="84"/>
        <v/>
      </c>
      <c r="U90" s="272" t="str">
        <f t="shared" si="84"/>
        <v/>
      </c>
      <c r="V90" s="272" t="str">
        <f t="shared" si="84"/>
        <v/>
      </c>
    </row>
    <row r="91" ht="30.0" customHeight="1">
      <c r="A91" s="243">
        <v>85.0</v>
      </c>
      <c r="B91" s="243" t="s">
        <v>663</v>
      </c>
      <c r="C91" s="240" t="s">
        <v>645</v>
      </c>
      <c r="D91" s="240" t="s">
        <v>664</v>
      </c>
      <c r="E91" s="243" t="s">
        <v>263</v>
      </c>
      <c r="F91" s="243"/>
      <c r="G91" s="243"/>
      <c r="H91" s="270"/>
      <c r="I91" s="270"/>
      <c r="J91" s="243" t="s">
        <v>141</v>
      </c>
      <c r="K91" s="273" t="s">
        <v>1271</v>
      </c>
      <c r="L91" s="272" t="str">
        <f t="shared" ref="L91:V91" si="85">IF(AND(L$6&lt;=$I91,L$6+6&gt;=$H91,$H91&lt;&gt;"",$I91&lt;&gt;""),1,"")</f>
        <v/>
      </c>
      <c r="M91" s="272" t="str">
        <f t="shared" si="85"/>
        <v/>
      </c>
      <c r="N91" s="272" t="str">
        <f t="shared" si="85"/>
        <v/>
      </c>
      <c r="O91" s="272" t="str">
        <f t="shared" si="85"/>
        <v/>
      </c>
      <c r="P91" s="272" t="str">
        <f t="shared" si="85"/>
        <v/>
      </c>
      <c r="Q91" s="272" t="str">
        <f t="shared" si="85"/>
        <v/>
      </c>
      <c r="R91" s="272" t="str">
        <f t="shared" si="85"/>
        <v/>
      </c>
      <c r="S91" s="272" t="str">
        <f t="shared" si="85"/>
        <v/>
      </c>
      <c r="T91" s="272" t="str">
        <f t="shared" si="85"/>
        <v/>
      </c>
      <c r="U91" s="272" t="str">
        <f t="shared" si="85"/>
        <v/>
      </c>
      <c r="V91" s="272" t="str">
        <f t="shared" si="85"/>
        <v/>
      </c>
    </row>
    <row r="92" ht="30.0" customHeight="1">
      <c r="A92" s="243">
        <v>86.0</v>
      </c>
      <c r="B92" s="243" t="s">
        <v>670</v>
      </c>
      <c r="C92" s="240" t="s">
        <v>645</v>
      </c>
      <c r="D92" s="240" t="s">
        <v>673</v>
      </c>
      <c r="E92" s="243" t="s">
        <v>263</v>
      </c>
      <c r="F92" s="243"/>
      <c r="G92" s="243"/>
      <c r="H92" s="270"/>
      <c r="I92" s="270"/>
      <c r="J92" s="243" t="s">
        <v>141</v>
      </c>
      <c r="K92" s="273" t="s">
        <v>1271</v>
      </c>
      <c r="L92" s="272" t="str">
        <f t="shared" ref="L92:V92" si="86">IF(AND(L$6&lt;=$I92,L$6+6&gt;=$H92,$H92&lt;&gt;"",$I92&lt;&gt;""),1,"")</f>
        <v/>
      </c>
      <c r="M92" s="272" t="str">
        <f t="shared" si="86"/>
        <v/>
      </c>
      <c r="N92" s="272" t="str">
        <f t="shared" si="86"/>
        <v/>
      </c>
      <c r="O92" s="272" t="str">
        <f t="shared" si="86"/>
        <v/>
      </c>
      <c r="P92" s="272" t="str">
        <f t="shared" si="86"/>
        <v/>
      </c>
      <c r="Q92" s="272" t="str">
        <f t="shared" si="86"/>
        <v/>
      </c>
      <c r="R92" s="272" t="str">
        <f t="shared" si="86"/>
        <v/>
      </c>
      <c r="S92" s="272" t="str">
        <f t="shared" si="86"/>
        <v/>
      </c>
      <c r="T92" s="272" t="str">
        <f t="shared" si="86"/>
        <v/>
      </c>
      <c r="U92" s="272" t="str">
        <f t="shared" si="86"/>
        <v/>
      </c>
      <c r="V92" s="272" t="str">
        <f t="shared" si="86"/>
        <v/>
      </c>
    </row>
    <row r="93" ht="30.0" customHeight="1">
      <c r="A93" s="243">
        <v>87.0</v>
      </c>
      <c r="B93" s="243" t="s">
        <v>682</v>
      </c>
      <c r="C93" s="240" t="s">
        <v>645</v>
      </c>
      <c r="D93" s="240" t="s">
        <v>683</v>
      </c>
      <c r="E93" s="243" t="s">
        <v>263</v>
      </c>
      <c r="F93" s="243"/>
      <c r="G93" s="243"/>
      <c r="H93" s="270"/>
      <c r="I93" s="270"/>
      <c r="J93" s="243" t="s">
        <v>141</v>
      </c>
      <c r="K93" s="273" t="s">
        <v>1271</v>
      </c>
      <c r="L93" s="272" t="str">
        <f t="shared" ref="L93:V93" si="87">IF(AND(L$6&lt;=$I93,L$6+6&gt;=$H93,$H93&lt;&gt;"",$I93&lt;&gt;""),1,"")</f>
        <v/>
      </c>
      <c r="M93" s="272" t="str">
        <f t="shared" si="87"/>
        <v/>
      </c>
      <c r="N93" s="272" t="str">
        <f t="shared" si="87"/>
        <v/>
      </c>
      <c r="O93" s="272" t="str">
        <f t="shared" si="87"/>
        <v/>
      </c>
      <c r="P93" s="272" t="str">
        <f t="shared" si="87"/>
        <v/>
      </c>
      <c r="Q93" s="272" t="str">
        <f t="shared" si="87"/>
        <v/>
      </c>
      <c r="R93" s="272" t="str">
        <f t="shared" si="87"/>
        <v/>
      </c>
      <c r="S93" s="272" t="str">
        <f t="shared" si="87"/>
        <v/>
      </c>
      <c r="T93" s="272" t="str">
        <f t="shared" si="87"/>
        <v/>
      </c>
      <c r="U93" s="272" t="str">
        <f t="shared" si="87"/>
        <v/>
      </c>
      <c r="V93" s="272" t="str">
        <f t="shared" si="87"/>
        <v/>
      </c>
    </row>
    <row r="94" ht="30.0" customHeight="1">
      <c r="A94" s="243">
        <v>88.0</v>
      </c>
      <c r="B94" s="243" t="s">
        <v>697</v>
      </c>
      <c r="C94" s="240" t="s">
        <v>645</v>
      </c>
      <c r="D94" s="240" t="s">
        <v>698</v>
      </c>
      <c r="E94" s="243" t="s">
        <v>263</v>
      </c>
      <c r="F94" s="243"/>
      <c r="G94" s="243"/>
      <c r="H94" s="270"/>
      <c r="I94" s="270"/>
      <c r="J94" s="243" t="s">
        <v>141</v>
      </c>
      <c r="K94" s="273" t="s">
        <v>1271</v>
      </c>
      <c r="L94" s="272" t="str">
        <f t="shared" ref="L94:V94" si="88">IF(AND(L$6&lt;=$I94,L$6+6&gt;=$H94,$H94&lt;&gt;"",$I94&lt;&gt;""),1,"")</f>
        <v/>
      </c>
      <c r="M94" s="272" t="str">
        <f t="shared" si="88"/>
        <v/>
      </c>
      <c r="N94" s="272" t="str">
        <f t="shared" si="88"/>
        <v/>
      </c>
      <c r="O94" s="272" t="str">
        <f t="shared" si="88"/>
        <v/>
      </c>
      <c r="P94" s="272" t="str">
        <f t="shared" si="88"/>
        <v/>
      </c>
      <c r="Q94" s="272" t="str">
        <f t="shared" si="88"/>
        <v/>
      </c>
      <c r="R94" s="272" t="str">
        <f t="shared" si="88"/>
        <v/>
      </c>
      <c r="S94" s="272" t="str">
        <f t="shared" si="88"/>
        <v/>
      </c>
      <c r="T94" s="272" t="str">
        <f t="shared" si="88"/>
        <v/>
      </c>
      <c r="U94" s="272" t="str">
        <f t="shared" si="88"/>
        <v/>
      </c>
      <c r="V94" s="272" t="str">
        <f t="shared" si="88"/>
        <v/>
      </c>
    </row>
    <row r="95" ht="30.0" customHeight="1">
      <c r="A95" s="243">
        <v>89.0</v>
      </c>
      <c r="B95" s="243" t="s">
        <v>701</v>
      </c>
      <c r="C95" s="240" t="s">
        <v>645</v>
      </c>
      <c r="D95" s="240" t="s">
        <v>702</v>
      </c>
      <c r="E95" s="243" t="s">
        <v>263</v>
      </c>
      <c r="F95" s="243"/>
      <c r="G95" s="243"/>
      <c r="H95" s="270"/>
      <c r="I95" s="270"/>
      <c r="J95" s="243" t="s">
        <v>141</v>
      </c>
      <c r="K95" s="273" t="s">
        <v>1272</v>
      </c>
      <c r="L95" s="272" t="str">
        <f t="shared" ref="L95:V95" si="89">IF(AND(L$6&lt;=$I95,L$6+6&gt;=$H95,$H95&lt;&gt;"",$I95&lt;&gt;""),1,"")</f>
        <v/>
      </c>
      <c r="M95" s="272" t="str">
        <f t="shared" si="89"/>
        <v/>
      </c>
      <c r="N95" s="272" t="str">
        <f t="shared" si="89"/>
        <v/>
      </c>
      <c r="O95" s="272" t="str">
        <f t="shared" si="89"/>
        <v/>
      </c>
      <c r="P95" s="272" t="str">
        <f t="shared" si="89"/>
        <v/>
      </c>
      <c r="Q95" s="272" t="str">
        <f t="shared" si="89"/>
        <v/>
      </c>
      <c r="R95" s="272" t="str">
        <f t="shared" si="89"/>
        <v/>
      </c>
      <c r="S95" s="272" t="str">
        <f t="shared" si="89"/>
        <v/>
      </c>
      <c r="T95" s="272" t="str">
        <f t="shared" si="89"/>
        <v/>
      </c>
      <c r="U95" s="272" t="str">
        <f t="shared" si="89"/>
        <v/>
      </c>
      <c r="V95" s="272" t="str">
        <f t="shared" si="89"/>
        <v/>
      </c>
    </row>
    <row r="96" ht="30.0" customHeight="1">
      <c r="A96" s="243">
        <v>90.0</v>
      </c>
      <c r="B96" s="243" t="s">
        <v>706</v>
      </c>
      <c r="C96" s="240" t="s">
        <v>707</v>
      </c>
      <c r="D96" s="240" t="s">
        <v>708</v>
      </c>
      <c r="E96" s="243" t="s">
        <v>211</v>
      </c>
      <c r="F96" s="243"/>
      <c r="G96" s="243"/>
      <c r="H96" s="270"/>
      <c r="I96" s="270"/>
      <c r="J96" s="243" t="s">
        <v>141</v>
      </c>
      <c r="K96" s="273" t="s">
        <v>1273</v>
      </c>
      <c r="L96" s="272" t="str">
        <f t="shared" ref="L96:V96" si="90">IF(AND(L$6&lt;=$I96,L$6+6&gt;=$H96,$H96&lt;&gt;"",$I96&lt;&gt;""),1,"")</f>
        <v/>
      </c>
      <c r="M96" s="272" t="str">
        <f t="shared" si="90"/>
        <v/>
      </c>
      <c r="N96" s="272" t="str">
        <f t="shared" si="90"/>
        <v/>
      </c>
      <c r="O96" s="272" t="str">
        <f t="shared" si="90"/>
        <v/>
      </c>
      <c r="P96" s="272" t="str">
        <f t="shared" si="90"/>
        <v/>
      </c>
      <c r="Q96" s="272" t="str">
        <f t="shared" si="90"/>
        <v/>
      </c>
      <c r="R96" s="272" t="str">
        <f t="shared" si="90"/>
        <v/>
      </c>
      <c r="S96" s="272" t="str">
        <f t="shared" si="90"/>
        <v/>
      </c>
      <c r="T96" s="272" t="str">
        <f t="shared" si="90"/>
        <v/>
      </c>
      <c r="U96" s="272" t="str">
        <f t="shared" si="90"/>
        <v/>
      </c>
      <c r="V96" s="272" t="str">
        <f t="shared" si="90"/>
        <v/>
      </c>
    </row>
    <row r="97" ht="30.0" customHeight="1">
      <c r="A97" s="243">
        <v>91.0</v>
      </c>
      <c r="B97" s="243" t="s">
        <v>714</v>
      </c>
      <c r="C97" s="240" t="s">
        <v>707</v>
      </c>
      <c r="D97" s="240" t="s">
        <v>715</v>
      </c>
      <c r="E97" s="243" t="s">
        <v>211</v>
      </c>
      <c r="F97" s="243"/>
      <c r="G97" s="243"/>
      <c r="H97" s="270"/>
      <c r="I97" s="270"/>
      <c r="J97" s="243" t="s">
        <v>141</v>
      </c>
      <c r="K97" s="273" t="s">
        <v>1273</v>
      </c>
      <c r="L97" s="272" t="str">
        <f t="shared" ref="L97:V97" si="91">IF(AND(L$6&lt;=$I97,L$6+6&gt;=$H97,$H97&lt;&gt;"",$I97&lt;&gt;""),1,"")</f>
        <v/>
      </c>
      <c r="M97" s="272" t="str">
        <f t="shared" si="91"/>
        <v/>
      </c>
      <c r="N97" s="272" t="str">
        <f t="shared" si="91"/>
        <v/>
      </c>
      <c r="O97" s="272" t="str">
        <f t="shared" si="91"/>
        <v/>
      </c>
      <c r="P97" s="272" t="str">
        <f t="shared" si="91"/>
        <v/>
      </c>
      <c r="Q97" s="272" t="str">
        <f t="shared" si="91"/>
        <v/>
      </c>
      <c r="R97" s="272" t="str">
        <f t="shared" si="91"/>
        <v/>
      </c>
      <c r="S97" s="272" t="str">
        <f t="shared" si="91"/>
        <v/>
      </c>
      <c r="T97" s="272" t="str">
        <f t="shared" si="91"/>
        <v/>
      </c>
      <c r="U97" s="272" t="str">
        <f t="shared" si="91"/>
        <v/>
      </c>
      <c r="V97" s="272" t="str">
        <f t="shared" si="91"/>
        <v/>
      </c>
    </row>
    <row r="98" ht="30.0" customHeight="1">
      <c r="A98" s="243">
        <v>92.0</v>
      </c>
      <c r="B98" s="243" t="s">
        <v>718</v>
      </c>
      <c r="C98" s="240" t="s">
        <v>707</v>
      </c>
      <c r="D98" s="240" t="s">
        <v>719</v>
      </c>
      <c r="E98" s="243" t="s">
        <v>211</v>
      </c>
      <c r="F98" s="243"/>
      <c r="G98" s="243"/>
      <c r="H98" s="270"/>
      <c r="I98" s="270"/>
      <c r="J98" s="243" t="s">
        <v>141</v>
      </c>
      <c r="K98" s="273" t="s">
        <v>1273</v>
      </c>
      <c r="L98" s="272" t="str">
        <f t="shared" ref="L98:V98" si="92">IF(AND(L$6&lt;=$I98,L$6+6&gt;=$H98,$H98&lt;&gt;"",$I98&lt;&gt;""),1,"")</f>
        <v/>
      </c>
      <c r="M98" s="272" t="str">
        <f t="shared" si="92"/>
        <v/>
      </c>
      <c r="N98" s="272" t="str">
        <f t="shared" si="92"/>
        <v/>
      </c>
      <c r="O98" s="272" t="str">
        <f t="shared" si="92"/>
        <v/>
      </c>
      <c r="P98" s="272" t="str">
        <f t="shared" si="92"/>
        <v/>
      </c>
      <c r="Q98" s="272" t="str">
        <f t="shared" si="92"/>
        <v/>
      </c>
      <c r="R98" s="272" t="str">
        <f t="shared" si="92"/>
        <v/>
      </c>
      <c r="S98" s="272" t="str">
        <f t="shared" si="92"/>
        <v/>
      </c>
      <c r="T98" s="272" t="str">
        <f t="shared" si="92"/>
        <v/>
      </c>
      <c r="U98" s="272" t="str">
        <f t="shared" si="92"/>
        <v/>
      </c>
      <c r="V98" s="272" t="str">
        <f t="shared" si="92"/>
        <v/>
      </c>
    </row>
    <row r="99" ht="30.0" customHeight="1">
      <c r="A99" s="243">
        <v>93.0</v>
      </c>
      <c r="B99" s="243" t="s">
        <v>722</v>
      </c>
      <c r="C99" s="240" t="s">
        <v>707</v>
      </c>
      <c r="D99" s="240" t="s">
        <v>723</v>
      </c>
      <c r="E99" s="243" t="s">
        <v>211</v>
      </c>
      <c r="F99" s="243"/>
      <c r="G99" s="243"/>
      <c r="H99" s="270"/>
      <c r="I99" s="270"/>
      <c r="J99" s="243" t="s">
        <v>141</v>
      </c>
      <c r="K99" s="273" t="s">
        <v>1273</v>
      </c>
      <c r="L99" s="272" t="str">
        <f t="shared" ref="L99:V99" si="93">IF(AND(L$6&lt;=$I99,L$6+6&gt;=$H99,$H99&lt;&gt;"",$I99&lt;&gt;""),1,"")</f>
        <v/>
      </c>
      <c r="M99" s="272" t="str">
        <f t="shared" si="93"/>
        <v/>
      </c>
      <c r="N99" s="272" t="str">
        <f t="shared" si="93"/>
        <v/>
      </c>
      <c r="O99" s="272" t="str">
        <f t="shared" si="93"/>
        <v/>
      </c>
      <c r="P99" s="272" t="str">
        <f t="shared" si="93"/>
        <v/>
      </c>
      <c r="Q99" s="272" t="str">
        <f t="shared" si="93"/>
        <v/>
      </c>
      <c r="R99" s="272" t="str">
        <f t="shared" si="93"/>
        <v/>
      </c>
      <c r="S99" s="272" t="str">
        <f t="shared" si="93"/>
        <v/>
      </c>
      <c r="T99" s="272" t="str">
        <f t="shared" si="93"/>
        <v/>
      </c>
      <c r="U99" s="272" t="str">
        <f t="shared" si="93"/>
        <v/>
      </c>
      <c r="V99" s="272" t="str">
        <f t="shared" si="93"/>
        <v/>
      </c>
    </row>
    <row r="100" ht="30.0" customHeight="1">
      <c r="A100" s="243">
        <v>94.0</v>
      </c>
      <c r="B100" s="243" t="s">
        <v>726</v>
      </c>
      <c r="C100" s="240" t="s">
        <v>707</v>
      </c>
      <c r="D100" s="240" t="s">
        <v>727</v>
      </c>
      <c r="E100" s="243" t="s">
        <v>211</v>
      </c>
      <c r="F100" s="243"/>
      <c r="G100" s="243"/>
      <c r="H100" s="270"/>
      <c r="I100" s="270"/>
      <c r="J100" s="243" t="s">
        <v>141</v>
      </c>
      <c r="K100" s="273" t="s">
        <v>1273</v>
      </c>
      <c r="L100" s="272" t="str">
        <f t="shared" ref="L100:V100" si="94">IF(AND(L$6&lt;=$I100,L$6+6&gt;=$H100,$H100&lt;&gt;"",$I100&lt;&gt;""),1,"")</f>
        <v/>
      </c>
      <c r="M100" s="272" t="str">
        <f t="shared" si="94"/>
        <v/>
      </c>
      <c r="N100" s="272" t="str">
        <f t="shared" si="94"/>
        <v/>
      </c>
      <c r="O100" s="272" t="str">
        <f t="shared" si="94"/>
        <v/>
      </c>
      <c r="P100" s="272" t="str">
        <f t="shared" si="94"/>
        <v/>
      </c>
      <c r="Q100" s="272" t="str">
        <f t="shared" si="94"/>
        <v/>
      </c>
      <c r="R100" s="272" t="str">
        <f t="shared" si="94"/>
        <v/>
      </c>
      <c r="S100" s="272" t="str">
        <f t="shared" si="94"/>
        <v/>
      </c>
      <c r="T100" s="272" t="str">
        <f t="shared" si="94"/>
        <v/>
      </c>
      <c r="U100" s="272" t="str">
        <f t="shared" si="94"/>
        <v/>
      </c>
      <c r="V100" s="272" t="str">
        <f t="shared" si="94"/>
        <v/>
      </c>
    </row>
    <row r="101" ht="30.0" customHeight="1">
      <c r="A101" s="243">
        <v>95.0</v>
      </c>
      <c r="B101" s="243" t="s">
        <v>730</v>
      </c>
      <c r="C101" s="240" t="s">
        <v>707</v>
      </c>
      <c r="D101" s="240" t="s">
        <v>731</v>
      </c>
      <c r="E101" s="243" t="s">
        <v>211</v>
      </c>
      <c r="F101" s="243"/>
      <c r="G101" s="243"/>
      <c r="H101" s="270"/>
      <c r="I101" s="270"/>
      <c r="J101" s="243" t="s">
        <v>141</v>
      </c>
      <c r="K101" s="273" t="s">
        <v>1273</v>
      </c>
      <c r="L101" s="272" t="str">
        <f t="shared" ref="L101:V101" si="95">IF(AND(L$6&lt;=$I101,L$6+6&gt;=$H101,$H101&lt;&gt;"",$I101&lt;&gt;""),1,"")</f>
        <v/>
      </c>
      <c r="M101" s="272" t="str">
        <f t="shared" si="95"/>
        <v/>
      </c>
      <c r="N101" s="272" t="str">
        <f t="shared" si="95"/>
        <v/>
      </c>
      <c r="O101" s="272" t="str">
        <f t="shared" si="95"/>
        <v/>
      </c>
      <c r="P101" s="272" t="str">
        <f t="shared" si="95"/>
        <v/>
      </c>
      <c r="Q101" s="272" t="str">
        <f t="shared" si="95"/>
        <v/>
      </c>
      <c r="R101" s="272" t="str">
        <f t="shared" si="95"/>
        <v/>
      </c>
      <c r="S101" s="272" t="str">
        <f t="shared" si="95"/>
        <v/>
      </c>
      <c r="T101" s="272" t="str">
        <f t="shared" si="95"/>
        <v/>
      </c>
      <c r="U101" s="272" t="str">
        <f t="shared" si="95"/>
        <v/>
      </c>
      <c r="V101" s="272" t="str">
        <f t="shared" si="95"/>
        <v/>
      </c>
    </row>
    <row r="102" ht="30.0" customHeight="1">
      <c r="A102" s="243">
        <v>96.0</v>
      </c>
      <c r="B102" s="243" t="s">
        <v>734</v>
      </c>
      <c r="C102" s="240" t="s">
        <v>707</v>
      </c>
      <c r="D102" s="240" t="s">
        <v>735</v>
      </c>
      <c r="E102" s="243" t="s">
        <v>211</v>
      </c>
      <c r="F102" s="243"/>
      <c r="G102" s="243"/>
      <c r="H102" s="270"/>
      <c r="I102" s="270"/>
      <c r="J102" s="243" t="s">
        <v>141</v>
      </c>
      <c r="K102" s="273" t="s">
        <v>1273</v>
      </c>
      <c r="L102" s="272" t="str">
        <f t="shared" ref="L102:V102" si="96">IF(AND(L$6&lt;=$I102,L$6+6&gt;=$H102,$H102&lt;&gt;"",$I102&lt;&gt;""),1,"")</f>
        <v/>
      </c>
      <c r="M102" s="272" t="str">
        <f t="shared" si="96"/>
        <v/>
      </c>
      <c r="N102" s="272" t="str">
        <f t="shared" si="96"/>
        <v/>
      </c>
      <c r="O102" s="272" t="str">
        <f t="shared" si="96"/>
        <v/>
      </c>
      <c r="P102" s="272" t="str">
        <f t="shared" si="96"/>
        <v/>
      </c>
      <c r="Q102" s="272" t="str">
        <f t="shared" si="96"/>
        <v/>
      </c>
      <c r="R102" s="272" t="str">
        <f t="shared" si="96"/>
        <v/>
      </c>
      <c r="S102" s="272" t="str">
        <f t="shared" si="96"/>
        <v/>
      </c>
      <c r="T102" s="272" t="str">
        <f t="shared" si="96"/>
        <v/>
      </c>
      <c r="U102" s="272" t="str">
        <f t="shared" si="96"/>
        <v/>
      </c>
      <c r="V102" s="272" t="str">
        <f t="shared" si="96"/>
        <v/>
      </c>
    </row>
    <row r="103" ht="30.0" customHeight="1">
      <c r="A103" s="243">
        <v>97.0</v>
      </c>
      <c r="B103" s="243" t="s">
        <v>738</v>
      </c>
      <c r="C103" s="240" t="s">
        <v>707</v>
      </c>
      <c r="D103" s="240" t="s">
        <v>739</v>
      </c>
      <c r="E103" s="243" t="s">
        <v>211</v>
      </c>
      <c r="F103" s="243"/>
      <c r="G103" s="243"/>
      <c r="H103" s="270"/>
      <c r="I103" s="270"/>
      <c r="J103" s="243" t="s">
        <v>141</v>
      </c>
      <c r="K103" s="273" t="s">
        <v>1273</v>
      </c>
      <c r="L103" s="272" t="str">
        <f t="shared" ref="L103:V103" si="97">IF(AND(L$6&lt;=$I103,L$6+6&gt;=$H103,$H103&lt;&gt;"",$I103&lt;&gt;""),1,"")</f>
        <v/>
      </c>
      <c r="M103" s="272" t="str">
        <f t="shared" si="97"/>
        <v/>
      </c>
      <c r="N103" s="272" t="str">
        <f t="shared" si="97"/>
        <v/>
      </c>
      <c r="O103" s="272" t="str">
        <f t="shared" si="97"/>
        <v/>
      </c>
      <c r="P103" s="272" t="str">
        <f t="shared" si="97"/>
        <v/>
      </c>
      <c r="Q103" s="272" t="str">
        <f t="shared" si="97"/>
        <v/>
      </c>
      <c r="R103" s="272" t="str">
        <f t="shared" si="97"/>
        <v/>
      </c>
      <c r="S103" s="272" t="str">
        <f t="shared" si="97"/>
        <v/>
      </c>
      <c r="T103" s="272" t="str">
        <f t="shared" si="97"/>
        <v/>
      </c>
      <c r="U103" s="272" t="str">
        <f t="shared" si="97"/>
        <v/>
      </c>
      <c r="V103" s="272" t="str">
        <f t="shared" si="97"/>
        <v/>
      </c>
    </row>
    <row r="104" ht="30.0" customHeight="1">
      <c r="A104" s="243">
        <v>98.0</v>
      </c>
      <c r="B104" s="243" t="s">
        <v>744</v>
      </c>
      <c r="C104" s="240" t="s">
        <v>747</v>
      </c>
      <c r="D104" s="240" t="s">
        <v>749</v>
      </c>
      <c r="E104" s="243" t="s">
        <v>214</v>
      </c>
      <c r="F104" s="243"/>
      <c r="G104" s="243"/>
      <c r="H104" s="270">
        <v>46283.0</v>
      </c>
      <c r="I104" s="270">
        <v>46283.0</v>
      </c>
      <c r="J104" s="243" t="s">
        <v>141</v>
      </c>
      <c r="K104" s="271" t="s">
        <v>1274</v>
      </c>
      <c r="L104" s="272" t="str">
        <f t="shared" ref="L104:V104" si="98">IF(AND(L$6&lt;=$I104,L$6+6&gt;=$H104,$H104&lt;&gt;"",$I104&lt;&gt;""),1,"")</f>
        <v/>
      </c>
      <c r="M104" s="272" t="str">
        <f t="shared" si="98"/>
        <v/>
      </c>
      <c r="N104" s="272" t="str">
        <f t="shared" si="98"/>
        <v/>
      </c>
      <c r="O104" s="272" t="str">
        <f t="shared" si="98"/>
        <v/>
      </c>
      <c r="P104" s="272" t="str">
        <f t="shared" si="98"/>
        <v/>
      </c>
      <c r="Q104" s="272" t="str">
        <f t="shared" si="98"/>
        <v/>
      </c>
      <c r="R104" s="272">
        <f t="shared" si="98"/>
        <v>1</v>
      </c>
      <c r="S104" s="272" t="str">
        <f t="shared" si="98"/>
        <v/>
      </c>
      <c r="T104" s="272" t="str">
        <f t="shared" si="98"/>
        <v/>
      </c>
      <c r="U104" s="272" t="str">
        <f t="shared" si="98"/>
        <v/>
      </c>
      <c r="V104" s="272" t="str">
        <f t="shared" si="98"/>
        <v/>
      </c>
    </row>
    <row r="105" ht="30.0" customHeight="1">
      <c r="A105" s="243">
        <v>99.0</v>
      </c>
      <c r="B105" s="243" t="s">
        <v>761</v>
      </c>
      <c r="C105" s="240" t="s">
        <v>692</v>
      </c>
      <c r="D105" s="240" t="s">
        <v>762</v>
      </c>
      <c r="E105" s="243" t="s">
        <v>211</v>
      </c>
      <c r="F105" s="243"/>
      <c r="G105" s="243"/>
      <c r="H105" s="270"/>
      <c r="I105" s="270"/>
      <c r="J105" s="243" t="s">
        <v>141</v>
      </c>
      <c r="K105" s="273" t="s">
        <v>1275</v>
      </c>
      <c r="L105" s="272" t="str">
        <f t="shared" ref="L105:V105" si="99">IF(AND(L$6&lt;=$I105,L$6+6&gt;=$H105,$H105&lt;&gt;"",$I105&lt;&gt;""),1,"")</f>
        <v/>
      </c>
      <c r="M105" s="272" t="str">
        <f t="shared" si="99"/>
        <v/>
      </c>
      <c r="N105" s="272" t="str">
        <f t="shared" si="99"/>
        <v/>
      </c>
      <c r="O105" s="272" t="str">
        <f t="shared" si="99"/>
        <v/>
      </c>
      <c r="P105" s="272" t="str">
        <f t="shared" si="99"/>
        <v/>
      </c>
      <c r="Q105" s="272" t="str">
        <f t="shared" si="99"/>
        <v/>
      </c>
      <c r="R105" s="272" t="str">
        <f t="shared" si="99"/>
        <v/>
      </c>
      <c r="S105" s="272" t="str">
        <f t="shared" si="99"/>
        <v/>
      </c>
      <c r="T105" s="272" t="str">
        <f t="shared" si="99"/>
        <v/>
      </c>
      <c r="U105" s="272" t="str">
        <f t="shared" si="99"/>
        <v/>
      </c>
      <c r="V105" s="272" t="str">
        <f t="shared" si="99"/>
        <v/>
      </c>
    </row>
    <row r="106" ht="30.0" customHeight="1">
      <c r="A106" s="243">
        <v>100.0</v>
      </c>
      <c r="B106" s="243" t="s">
        <v>768</v>
      </c>
      <c r="C106" s="240" t="s">
        <v>692</v>
      </c>
      <c r="D106" s="240" t="s">
        <v>770</v>
      </c>
      <c r="E106" s="243" t="s">
        <v>211</v>
      </c>
      <c r="F106" s="243"/>
      <c r="G106" s="243"/>
      <c r="H106" s="270"/>
      <c r="I106" s="270"/>
      <c r="J106" s="243" t="s">
        <v>141</v>
      </c>
      <c r="K106" s="273" t="s">
        <v>1275</v>
      </c>
      <c r="L106" s="272" t="str">
        <f t="shared" ref="L106:V106" si="100">IF(AND(L$6&lt;=$I106,L$6+6&gt;=$H106,$H106&lt;&gt;"",$I106&lt;&gt;""),1,"")</f>
        <v/>
      </c>
      <c r="M106" s="272" t="str">
        <f t="shared" si="100"/>
        <v/>
      </c>
      <c r="N106" s="272" t="str">
        <f t="shared" si="100"/>
        <v/>
      </c>
      <c r="O106" s="272" t="str">
        <f t="shared" si="100"/>
        <v/>
      </c>
      <c r="P106" s="272" t="str">
        <f t="shared" si="100"/>
        <v/>
      </c>
      <c r="Q106" s="272" t="str">
        <f t="shared" si="100"/>
        <v/>
      </c>
      <c r="R106" s="272" t="str">
        <f t="shared" si="100"/>
        <v/>
      </c>
      <c r="S106" s="272" t="str">
        <f t="shared" si="100"/>
        <v/>
      </c>
      <c r="T106" s="272" t="str">
        <f t="shared" si="100"/>
        <v/>
      </c>
      <c r="U106" s="272" t="str">
        <f t="shared" si="100"/>
        <v/>
      </c>
      <c r="V106" s="272" t="str">
        <f t="shared" si="100"/>
        <v/>
      </c>
    </row>
    <row r="107" ht="30.0" customHeight="1">
      <c r="A107" s="243">
        <v>101.0</v>
      </c>
      <c r="B107" s="243" t="s">
        <v>773</v>
      </c>
      <c r="C107" s="240" t="s">
        <v>692</v>
      </c>
      <c r="D107" s="240" t="s">
        <v>774</v>
      </c>
      <c r="E107" s="243" t="s">
        <v>211</v>
      </c>
      <c r="F107" s="243"/>
      <c r="G107" s="243"/>
      <c r="H107" s="270"/>
      <c r="I107" s="270"/>
      <c r="J107" s="243" t="s">
        <v>141</v>
      </c>
      <c r="K107" s="273" t="s">
        <v>1276</v>
      </c>
      <c r="L107" s="272" t="str">
        <f t="shared" ref="L107:V107" si="101">IF(AND(L$6&lt;=$I107,L$6+6&gt;=$H107,$H107&lt;&gt;"",$I107&lt;&gt;""),1,"")</f>
        <v/>
      </c>
      <c r="M107" s="272" t="str">
        <f t="shared" si="101"/>
        <v/>
      </c>
      <c r="N107" s="272" t="str">
        <f t="shared" si="101"/>
        <v/>
      </c>
      <c r="O107" s="272" t="str">
        <f t="shared" si="101"/>
        <v/>
      </c>
      <c r="P107" s="272" t="str">
        <f t="shared" si="101"/>
        <v/>
      </c>
      <c r="Q107" s="272" t="str">
        <f t="shared" si="101"/>
        <v/>
      </c>
      <c r="R107" s="272" t="str">
        <f t="shared" si="101"/>
        <v/>
      </c>
      <c r="S107" s="272" t="str">
        <f t="shared" si="101"/>
        <v/>
      </c>
      <c r="T107" s="272" t="str">
        <f t="shared" si="101"/>
        <v/>
      </c>
      <c r="U107" s="272" t="str">
        <f t="shared" si="101"/>
        <v/>
      </c>
      <c r="V107" s="272" t="str">
        <f t="shared" si="101"/>
        <v/>
      </c>
    </row>
    <row r="108" ht="30.0" customHeight="1">
      <c r="A108" s="243">
        <v>102.0</v>
      </c>
      <c r="B108" s="243" t="s">
        <v>779</v>
      </c>
      <c r="C108" s="240" t="s">
        <v>692</v>
      </c>
      <c r="D108" s="240" t="s">
        <v>780</v>
      </c>
      <c r="E108" s="243" t="s">
        <v>211</v>
      </c>
      <c r="F108" s="243"/>
      <c r="G108" s="243"/>
      <c r="H108" s="270"/>
      <c r="I108" s="270"/>
      <c r="J108" s="243" t="s">
        <v>141</v>
      </c>
      <c r="K108" s="273" t="s">
        <v>1275</v>
      </c>
      <c r="L108" s="272" t="str">
        <f t="shared" ref="L108:V108" si="102">IF(AND(L$6&lt;=$I108,L$6+6&gt;=$H108,$H108&lt;&gt;"",$I108&lt;&gt;""),1,"")</f>
        <v/>
      </c>
      <c r="M108" s="272" t="str">
        <f t="shared" si="102"/>
        <v/>
      </c>
      <c r="N108" s="272" t="str">
        <f t="shared" si="102"/>
        <v/>
      </c>
      <c r="O108" s="272" t="str">
        <f t="shared" si="102"/>
        <v/>
      </c>
      <c r="P108" s="272" t="str">
        <f t="shared" si="102"/>
        <v/>
      </c>
      <c r="Q108" s="272" t="str">
        <f t="shared" si="102"/>
        <v/>
      </c>
      <c r="R108" s="272" t="str">
        <f t="shared" si="102"/>
        <v/>
      </c>
      <c r="S108" s="272" t="str">
        <f t="shared" si="102"/>
        <v/>
      </c>
      <c r="T108" s="272" t="str">
        <f t="shared" si="102"/>
        <v/>
      </c>
      <c r="U108" s="272" t="str">
        <f t="shared" si="102"/>
        <v/>
      </c>
      <c r="V108" s="272" t="str">
        <f t="shared" si="102"/>
        <v/>
      </c>
    </row>
    <row r="109" ht="30.0" customHeight="1">
      <c r="A109" s="243">
        <v>103.0</v>
      </c>
      <c r="B109" s="243" t="s">
        <v>783</v>
      </c>
      <c r="C109" s="240" t="s">
        <v>692</v>
      </c>
      <c r="D109" s="240" t="s">
        <v>784</v>
      </c>
      <c r="E109" s="243" t="s">
        <v>211</v>
      </c>
      <c r="F109" s="243"/>
      <c r="G109" s="243"/>
      <c r="H109" s="270"/>
      <c r="I109" s="270"/>
      <c r="J109" s="243" t="s">
        <v>141</v>
      </c>
      <c r="K109" s="273" t="s">
        <v>1277</v>
      </c>
      <c r="L109" s="272" t="str">
        <f t="shared" ref="L109:V109" si="103">IF(AND(L$6&lt;=$I109,L$6+6&gt;=$H109,$H109&lt;&gt;"",$I109&lt;&gt;""),1,"")</f>
        <v/>
      </c>
      <c r="M109" s="272" t="str">
        <f t="shared" si="103"/>
        <v/>
      </c>
      <c r="N109" s="272" t="str">
        <f t="shared" si="103"/>
        <v/>
      </c>
      <c r="O109" s="272" t="str">
        <f t="shared" si="103"/>
        <v/>
      </c>
      <c r="P109" s="272" t="str">
        <f t="shared" si="103"/>
        <v/>
      </c>
      <c r="Q109" s="272" t="str">
        <f t="shared" si="103"/>
        <v/>
      </c>
      <c r="R109" s="272" t="str">
        <f t="shared" si="103"/>
        <v/>
      </c>
      <c r="S109" s="272" t="str">
        <f t="shared" si="103"/>
        <v/>
      </c>
      <c r="T109" s="272" t="str">
        <f t="shared" si="103"/>
        <v/>
      </c>
      <c r="U109" s="272" t="str">
        <f t="shared" si="103"/>
        <v/>
      </c>
      <c r="V109" s="272" t="str">
        <f t="shared" si="103"/>
        <v/>
      </c>
    </row>
    <row r="110" ht="30.0" customHeight="1">
      <c r="A110" s="243">
        <v>104.0</v>
      </c>
      <c r="B110" s="243" t="s">
        <v>789</v>
      </c>
      <c r="C110" s="240" t="s">
        <v>692</v>
      </c>
      <c r="D110" s="240" t="s">
        <v>790</v>
      </c>
      <c r="E110" s="243" t="s">
        <v>211</v>
      </c>
      <c r="F110" s="243"/>
      <c r="G110" s="243"/>
      <c r="H110" s="270"/>
      <c r="I110" s="270"/>
      <c r="J110" s="243" t="s">
        <v>141</v>
      </c>
      <c r="K110" s="273" t="s">
        <v>1275</v>
      </c>
      <c r="L110" s="272" t="str">
        <f t="shared" ref="L110:V110" si="104">IF(AND(L$6&lt;=$I110,L$6+6&gt;=$H110,$H110&lt;&gt;"",$I110&lt;&gt;""),1,"")</f>
        <v/>
      </c>
      <c r="M110" s="272" t="str">
        <f t="shared" si="104"/>
        <v/>
      </c>
      <c r="N110" s="272" t="str">
        <f t="shared" si="104"/>
        <v/>
      </c>
      <c r="O110" s="272" t="str">
        <f t="shared" si="104"/>
        <v/>
      </c>
      <c r="P110" s="272" t="str">
        <f t="shared" si="104"/>
        <v/>
      </c>
      <c r="Q110" s="272" t="str">
        <f t="shared" si="104"/>
        <v/>
      </c>
      <c r="R110" s="272" t="str">
        <f t="shared" si="104"/>
        <v/>
      </c>
      <c r="S110" s="272" t="str">
        <f t="shared" si="104"/>
        <v/>
      </c>
      <c r="T110" s="272" t="str">
        <f t="shared" si="104"/>
        <v/>
      </c>
      <c r="U110" s="272" t="str">
        <f t="shared" si="104"/>
        <v/>
      </c>
      <c r="V110" s="272" t="str">
        <f t="shared" si="104"/>
        <v/>
      </c>
    </row>
    <row r="111" ht="30.0" customHeight="1">
      <c r="A111" s="243">
        <v>105.0</v>
      </c>
      <c r="B111" s="243" t="s">
        <v>793</v>
      </c>
      <c r="C111" s="240" t="s">
        <v>692</v>
      </c>
      <c r="D111" s="240" t="s">
        <v>794</v>
      </c>
      <c r="E111" s="243" t="s">
        <v>211</v>
      </c>
      <c r="F111" s="243"/>
      <c r="G111" s="243"/>
      <c r="H111" s="270"/>
      <c r="I111" s="270"/>
      <c r="J111" s="243" t="s">
        <v>141</v>
      </c>
      <c r="K111" s="273" t="s">
        <v>1278</v>
      </c>
      <c r="L111" s="272" t="str">
        <f t="shared" ref="L111:V111" si="105">IF(AND(L$6&lt;=$I111,L$6+6&gt;=$H111,$H111&lt;&gt;"",$I111&lt;&gt;""),1,"")</f>
        <v/>
      </c>
      <c r="M111" s="272" t="str">
        <f t="shared" si="105"/>
        <v/>
      </c>
      <c r="N111" s="272" t="str">
        <f t="shared" si="105"/>
        <v/>
      </c>
      <c r="O111" s="272" t="str">
        <f t="shared" si="105"/>
        <v/>
      </c>
      <c r="P111" s="272" t="str">
        <f t="shared" si="105"/>
        <v/>
      </c>
      <c r="Q111" s="272" t="str">
        <f t="shared" si="105"/>
        <v/>
      </c>
      <c r="R111" s="272" t="str">
        <f t="shared" si="105"/>
        <v/>
      </c>
      <c r="S111" s="272" t="str">
        <f t="shared" si="105"/>
        <v/>
      </c>
      <c r="T111" s="272" t="str">
        <f t="shared" si="105"/>
        <v/>
      </c>
      <c r="U111" s="272" t="str">
        <f t="shared" si="105"/>
        <v/>
      </c>
      <c r="V111" s="272" t="str">
        <f t="shared" si="105"/>
        <v/>
      </c>
    </row>
    <row r="112" ht="30.0" customHeight="1">
      <c r="A112" s="243">
        <v>106.0</v>
      </c>
      <c r="B112" s="243" t="s">
        <v>799</v>
      </c>
      <c r="C112" s="240" t="s">
        <v>692</v>
      </c>
      <c r="D112" s="240" t="s">
        <v>800</v>
      </c>
      <c r="E112" s="243" t="s">
        <v>211</v>
      </c>
      <c r="F112" s="243"/>
      <c r="G112" s="243"/>
      <c r="H112" s="270"/>
      <c r="I112" s="270"/>
      <c r="J112" s="243" t="s">
        <v>141</v>
      </c>
      <c r="K112" s="273" t="s">
        <v>1278</v>
      </c>
      <c r="L112" s="272" t="str">
        <f t="shared" ref="L112:V112" si="106">IF(AND(L$6&lt;=$I112,L$6+6&gt;=$H112,$H112&lt;&gt;"",$I112&lt;&gt;""),1,"")</f>
        <v/>
      </c>
      <c r="M112" s="272" t="str">
        <f t="shared" si="106"/>
        <v/>
      </c>
      <c r="N112" s="272" t="str">
        <f t="shared" si="106"/>
        <v/>
      </c>
      <c r="O112" s="272" t="str">
        <f t="shared" si="106"/>
        <v/>
      </c>
      <c r="P112" s="272" t="str">
        <f t="shared" si="106"/>
        <v/>
      </c>
      <c r="Q112" s="272" t="str">
        <f t="shared" si="106"/>
        <v/>
      </c>
      <c r="R112" s="272" t="str">
        <f t="shared" si="106"/>
        <v/>
      </c>
      <c r="S112" s="272" t="str">
        <f t="shared" si="106"/>
        <v/>
      </c>
      <c r="T112" s="272" t="str">
        <f t="shared" si="106"/>
        <v/>
      </c>
      <c r="U112" s="272" t="str">
        <f t="shared" si="106"/>
        <v/>
      </c>
      <c r="V112" s="272" t="str">
        <f t="shared" si="106"/>
        <v/>
      </c>
    </row>
    <row r="113" ht="30.0" customHeight="1">
      <c r="A113" s="243">
        <v>107.0</v>
      </c>
      <c r="B113" s="243" t="s">
        <v>804</v>
      </c>
      <c r="C113" s="240" t="s">
        <v>692</v>
      </c>
      <c r="D113" s="240" t="s">
        <v>805</v>
      </c>
      <c r="E113" s="243" t="s">
        <v>211</v>
      </c>
      <c r="F113" s="243"/>
      <c r="G113" s="243"/>
      <c r="H113" s="270"/>
      <c r="I113" s="270"/>
      <c r="J113" s="243" t="s">
        <v>141</v>
      </c>
      <c r="K113" s="273" t="s">
        <v>1278</v>
      </c>
      <c r="L113" s="272" t="str">
        <f t="shared" ref="L113:V113" si="107">IF(AND(L$6&lt;=$I113,L$6+6&gt;=$H113,$H113&lt;&gt;"",$I113&lt;&gt;""),1,"")</f>
        <v/>
      </c>
      <c r="M113" s="272" t="str">
        <f t="shared" si="107"/>
        <v/>
      </c>
      <c r="N113" s="272" t="str">
        <f t="shared" si="107"/>
        <v/>
      </c>
      <c r="O113" s="272" t="str">
        <f t="shared" si="107"/>
        <v/>
      </c>
      <c r="P113" s="272" t="str">
        <f t="shared" si="107"/>
        <v/>
      </c>
      <c r="Q113" s="272" t="str">
        <f t="shared" si="107"/>
        <v/>
      </c>
      <c r="R113" s="272" t="str">
        <f t="shared" si="107"/>
        <v/>
      </c>
      <c r="S113" s="272" t="str">
        <f t="shared" si="107"/>
        <v/>
      </c>
      <c r="T113" s="272" t="str">
        <f t="shared" si="107"/>
        <v/>
      </c>
      <c r="U113" s="272" t="str">
        <f t="shared" si="107"/>
        <v/>
      </c>
      <c r="V113" s="272" t="str">
        <f t="shared" si="107"/>
        <v/>
      </c>
    </row>
    <row r="114" ht="30.0" customHeight="1">
      <c r="A114" s="243">
        <v>108.0</v>
      </c>
      <c r="B114" s="243" t="s">
        <v>809</v>
      </c>
      <c r="C114" s="240" t="s">
        <v>692</v>
      </c>
      <c r="D114" s="240" t="s">
        <v>810</v>
      </c>
      <c r="E114" s="243" t="s">
        <v>211</v>
      </c>
      <c r="F114" s="243"/>
      <c r="G114" s="243"/>
      <c r="H114" s="270"/>
      <c r="I114" s="270"/>
      <c r="J114" s="243" t="s">
        <v>141</v>
      </c>
      <c r="K114" s="273" t="s">
        <v>1279</v>
      </c>
      <c r="L114" s="272" t="str">
        <f t="shared" ref="L114:V114" si="108">IF(AND(L$6&lt;=$I114,L$6+6&gt;=$H114,$H114&lt;&gt;"",$I114&lt;&gt;""),1,"")</f>
        <v/>
      </c>
      <c r="M114" s="272" t="str">
        <f t="shared" si="108"/>
        <v/>
      </c>
      <c r="N114" s="272" t="str">
        <f t="shared" si="108"/>
        <v/>
      </c>
      <c r="O114" s="272" t="str">
        <f t="shared" si="108"/>
        <v/>
      </c>
      <c r="P114" s="272" t="str">
        <f t="shared" si="108"/>
        <v/>
      </c>
      <c r="Q114" s="272" t="str">
        <f t="shared" si="108"/>
        <v/>
      </c>
      <c r="R114" s="272" t="str">
        <f t="shared" si="108"/>
        <v/>
      </c>
      <c r="S114" s="272" t="str">
        <f t="shared" si="108"/>
        <v/>
      </c>
      <c r="T114" s="272" t="str">
        <f t="shared" si="108"/>
        <v/>
      </c>
      <c r="U114" s="272" t="str">
        <f t="shared" si="108"/>
        <v/>
      </c>
      <c r="V114" s="272" t="str">
        <f t="shared" si="108"/>
        <v/>
      </c>
    </row>
    <row r="115" ht="30.0" customHeight="1">
      <c r="A115" s="243">
        <v>109.0</v>
      </c>
      <c r="B115" s="243" t="s">
        <v>814</v>
      </c>
      <c r="C115" s="240" t="s">
        <v>692</v>
      </c>
      <c r="D115" s="240" t="s">
        <v>816</v>
      </c>
      <c r="E115" s="243" t="s">
        <v>211</v>
      </c>
      <c r="F115" s="243"/>
      <c r="G115" s="243"/>
      <c r="H115" s="270"/>
      <c r="I115" s="270"/>
      <c r="J115" s="243" t="s">
        <v>141</v>
      </c>
      <c r="K115" s="273" t="s">
        <v>1280</v>
      </c>
      <c r="L115" s="272" t="str">
        <f t="shared" ref="L115:V115" si="109">IF(AND(L$6&lt;=$I115,L$6+6&gt;=$H115,$H115&lt;&gt;"",$I115&lt;&gt;""),1,"")</f>
        <v/>
      </c>
      <c r="M115" s="272" t="str">
        <f t="shared" si="109"/>
        <v/>
      </c>
      <c r="N115" s="272" t="str">
        <f t="shared" si="109"/>
        <v/>
      </c>
      <c r="O115" s="272" t="str">
        <f t="shared" si="109"/>
        <v/>
      </c>
      <c r="P115" s="272" t="str">
        <f t="shared" si="109"/>
        <v/>
      </c>
      <c r="Q115" s="272" t="str">
        <f t="shared" si="109"/>
        <v/>
      </c>
      <c r="R115" s="272" t="str">
        <f t="shared" si="109"/>
        <v/>
      </c>
      <c r="S115" s="272" t="str">
        <f t="shared" si="109"/>
        <v/>
      </c>
      <c r="T115" s="272" t="str">
        <f t="shared" si="109"/>
        <v/>
      </c>
      <c r="U115" s="272" t="str">
        <f t="shared" si="109"/>
        <v/>
      </c>
      <c r="V115" s="272" t="str">
        <f t="shared" si="109"/>
        <v/>
      </c>
    </row>
    <row r="116" ht="30.0" customHeight="1">
      <c r="A116" s="243">
        <v>110.0</v>
      </c>
      <c r="B116" s="243" t="s">
        <v>820</v>
      </c>
      <c r="C116" s="240" t="s">
        <v>821</v>
      </c>
      <c r="D116" s="240" t="s">
        <v>822</v>
      </c>
      <c r="E116" s="243" t="s">
        <v>823</v>
      </c>
      <c r="F116" s="243"/>
      <c r="G116" s="243"/>
      <c r="H116" s="270"/>
      <c r="I116" s="270"/>
      <c r="J116" s="243" t="s">
        <v>141</v>
      </c>
      <c r="K116" s="288" t="s">
        <v>1281</v>
      </c>
      <c r="L116" s="272" t="str">
        <f t="shared" ref="L116:V116" si="110">IF(AND(L$6&lt;=$I116,L$6+6&gt;=$H116,$H116&lt;&gt;"",$I116&lt;&gt;""),1,"")</f>
        <v/>
      </c>
      <c r="M116" s="272" t="str">
        <f t="shared" si="110"/>
        <v/>
      </c>
      <c r="N116" s="272" t="str">
        <f t="shared" si="110"/>
        <v/>
      </c>
      <c r="O116" s="272" t="str">
        <f t="shared" si="110"/>
        <v/>
      </c>
      <c r="P116" s="272" t="str">
        <f t="shared" si="110"/>
        <v/>
      </c>
      <c r="Q116" s="272" t="str">
        <f t="shared" si="110"/>
        <v/>
      </c>
      <c r="R116" s="272" t="str">
        <f t="shared" si="110"/>
        <v/>
      </c>
      <c r="S116" s="272" t="str">
        <f t="shared" si="110"/>
        <v/>
      </c>
      <c r="T116" s="272" t="str">
        <f t="shared" si="110"/>
        <v/>
      </c>
      <c r="U116" s="272" t="str">
        <f t="shared" si="110"/>
        <v/>
      </c>
      <c r="V116" s="272" t="str">
        <f t="shared" si="110"/>
        <v/>
      </c>
    </row>
    <row r="117" ht="30.0" customHeight="1">
      <c r="A117" s="243">
        <v>111.0</v>
      </c>
      <c r="B117" s="243" t="s">
        <v>829</v>
      </c>
      <c r="C117" s="240" t="s">
        <v>821</v>
      </c>
      <c r="D117" s="240" t="s">
        <v>830</v>
      </c>
      <c r="E117" s="243" t="s">
        <v>823</v>
      </c>
      <c r="F117" s="243"/>
      <c r="G117" s="243"/>
      <c r="H117" s="270"/>
      <c r="I117" s="270"/>
      <c r="J117" s="243" t="s">
        <v>141</v>
      </c>
      <c r="K117" s="288" t="s">
        <v>1281</v>
      </c>
      <c r="L117" s="272" t="str">
        <f t="shared" ref="L117:V117" si="111">IF(AND(L$6&lt;=$I117,L$6+6&gt;=$H117,$H117&lt;&gt;"",$I117&lt;&gt;""),1,"")</f>
        <v/>
      </c>
      <c r="M117" s="272" t="str">
        <f t="shared" si="111"/>
        <v/>
      </c>
      <c r="N117" s="272" t="str">
        <f t="shared" si="111"/>
        <v/>
      </c>
      <c r="O117" s="272" t="str">
        <f t="shared" si="111"/>
        <v/>
      </c>
      <c r="P117" s="272" t="str">
        <f t="shared" si="111"/>
        <v/>
      </c>
      <c r="Q117" s="272" t="str">
        <f t="shared" si="111"/>
        <v/>
      </c>
      <c r="R117" s="272" t="str">
        <f t="shared" si="111"/>
        <v/>
      </c>
      <c r="S117" s="272" t="str">
        <f t="shared" si="111"/>
        <v/>
      </c>
      <c r="T117" s="272" t="str">
        <f t="shared" si="111"/>
        <v/>
      </c>
      <c r="U117" s="272" t="str">
        <f t="shared" si="111"/>
        <v/>
      </c>
      <c r="V117" s="272" t="str">
        <f t="shared" si="111"/>
        <v/>
      </c>
    </row>
    <row r="118" ht="30.0" customHeight="1">
      <c r="A118" s="243">
        <v>112.0</v>
      </c>
      <c r="B118" s="243" t="s">
        <v>834</v>
      </c>
      <c r="C118" s="240" t="s">
        <v>821</v>
      </c>
      <c r="D118" s="240" t="s">
        <v>835</v>
      </c>
      <c r="E118" s="243" t="s">
        <v>823</v>
      </c>
      <c r="F118" s="243"/>
      <c r="G118" s="243"/>
      <c r="H118" s="270"/>
      <c r="I118" s="270"/>
      <c r="J118" s="243" t="s">
        <v>141</v>
      </c>
      <c r="K118" s="288" t="s">
        <v>1281</v>
      </c>
      <c r="L118" s="272" t="str">
        <f t="shared" ref="L118:V118" si="112">IF(AND(L$6&lt;=$I118,L$6+6&gt;=$H118,$H118&lt;&gt;"",$I118&lt;&gt;""),1,"")</f>
        <v/>
      </c>
      <c r="M118" s="272" t="str">
        <f t="shared" si="112"/>
        <v/>
      </c>
      <c r="N118" s="272" t="str">
        <f t="shared" si="112"/>
        <v/>
      </c>
      <c r="O118" s="272" t="str">
        <f t="shared" si="112"/>
        <v/>
      </c>
      <c r="P118" s="272" t="str">
        <f t="shared" si="112"/>
        <v/>
      </c>
      <c r="Q118" s="272" t="str">
        <f t="shared" si="112"/>
        <v/>
      </c>
      <c r="R118" s="272" t="str">
        <f t="shared" si="112"/>
        <v/>
      </c>
      <c r="S118" s="272" t="str">
        <f t="shared" si="112"/>
        <v/>
      </c>
      <c r="T118" s="272" t="str">
        <f t="shared" si="112"/>
        <v/>
      </c>
      <c r="U118" s="272" t="str">
        <f t="shared" si="112"/>
        <v/>
      </c>
      <c r="V118" s="272" t="str">
        <f t="shared" si="112"/>
        <v/>
      </c>
    </row>
    <row r="119" ht="30.0" customHeight="1">
      <c r="A119" s="243">
        <v>113.0</v>
      </c>
      <c r="B119" s="243" t="s">
        <v>838</v>
      </c>
      <c r="C119" s="240" t="s">
        <v>821</v>
      </c>
      <c r="D119" s="240" t="s">
        <v>839</v>
      </c>
      <c r="E119" s="243" t="s">
        <v>823</v>
      </c>
      <c r="F119" s="243"/>
      <c r="G119" s="243"/>
      <c r="H119" s="270"/>
      <c r="I119" s="270"/>
      <c r="J119" s="243" t="s">
        <v>141</v>
      </c>
      <c r="K119" s="288" t="s">
        <v>1281</v>
      </c>
      <c r="L119" s="272" t="str">
        <f t="shared" ref="L119:V119" si="113">IF(AND(L$6&lt;=$I119,L$6+6&gt;=$H119,$H119&lt;&gt;"",$I119&lt;&gt;""),1,"")</f>
        <v/>
      </c>
      <c r="M119" s="272" t="str">
        <f t="shared" si="113"/>
        <v/>
      </c>
      <c r="N119" s="272" t="str">
        <f t="shared" si="113"/>
        <v/>
      </c>
      <c r="O119" s="272" t="str">
        <f t="shared" si="113"/>
        <v/>
      </c>
      <c r="P119" s="272" t="str">
        <f t="shared" si="113"/>
        <v/>
      </c>
      <c r="Q119" s="272" t="str">
        <f t="shared" si="113"/>
        <v/>
      </c>
      <c r="R119" s="272" t="str">
        <f t="shared" si="113"/>
        <v/>
      </c>
      <c r="S119" s="272" t="str">
        <f t="shared" si="113"/>
        <v/>
      </c>
      <c r="T119" s="272" t="str">
        <f t="shared" si="113"/>
        <v/>
      </c>
      <c r="U119" s="272" t="str">
        <f t="shared" si="113"/>
        <v/>
      </c>
      <c r="V119" s="272" t="str">
        <f t="shared" si="113"/>
        <v/>
      </c>
    </row>
    <row r="120" ht="30.0" customHeight="1">
      <c r="A120" s="243">
        <v>114.0</v>
      </c>
      <c r="B120" s="243" t="s">
        <v>842</v>
      </c>
      <c r="C120" s="240" t="s">
        <v>843</v>
      </c>
      <c r="D120" s="240" t="s">
        <v>844</v>
      </c>
      <c r="E120" s="243" t="s">
        <v>823</v>
      </c>
      <c r="F120" s="243"/>
      <c r="G120" s="243"/>
      <c r="H120" s="270"/>
      <c r="I120" s="270"/>
      <c r="J120" s="243" t="s">
        <v>141</v>
      </c>
      <c r="K120" s="288" t="s">
        <v>1282</v>
      </c>
      <c r="L120" s="272" t="str">
        <f t="shared" ref="L120:V120" si="114">IF(AND(L$6&lt;=$I120,L$6+6&gt;=$H120,$H120&lt;&gt;"",$I120&lt;&gt;""),1,"")</f>
        <v/>
      </c>
      <c r="M120" s="272" t="str">
        <f t="shared" si="114"/>
        <v/>
      </c>
      <c r="N120" s="272" t="str">
        <f t="shared" si="114"/>
        <v/>
      </c>
      <c r="O120" s="272" t="str">
        <f t="shared" si="114"/>
        <v/>
      </c>
      <c r="P120" s="272" t="str">
        <f t="shared" si="114"/>
        <v/>
      </c>
      <c r="Q120" s="272" t="str">
        <f t="shared" si="114"/>
        <v/>
      </c>
      <c r="R120" s="272" t="str">
        <f t="shared" si="114"/>
        <v/>
      </c>
      <c r="S120" s="272" t="str">
        <f t="shared" si="114"/>
        <v/>
      </c>
      <c r="T120" s="272" t="str">
        <f t="shared" si="114"/>
        <v/>
      </c>
      <c r="U120" s="272" t="str">
        <f t="shared" si="114"/>
        <v/>
      </c>
      <c r="V120" s="272" t="str">
        <f t="shared" si="114"/>
        <v/>
      </c>
    </row>
    <row r="121" ht="30.0" customHeight="1">
      <c r="A121" s="243">
        <v>115.0</v>
      </c>
      <c r="B121" s="243" t="s">
        <v>848</v>
      </c>
      <c r="C121" s="240" t="s">
        <v>843</v>
      </c>
      <c r="D121" s="240" t="s">
        <v>849</v>
      </c>
      <c r="E121" s="243" t="s">
        <v>823</v>
      </c>
      <c r="F121" s="243"/>
      <c r="G121" s="243"/>
      <c r="H121" s="270"/>
      <c r="I121" s="270"/>
      <c r="J121" s="243" t="s">
        <v>141</v>
      </c>
      <c r="K121" s="288" t="s">
        <v>1282</v>
      </c>
      <c r="L121" s="272" t="str">
        <f t="shared" ref="L121:V121" si="115">IF(AND(L$6&lt;=$I121,L$6+6&gt;=$H121,$H121&lt;&gt;"",$I121&lt;&gt;""),1,"")</f>
        <v/>
      </c>
      <c r="M121" s="272" t="str">
        <f t="shared" si="115"/>
        <v/>
      </c>
      <c r="N121" s="272" t="str">
        <f t="shared" si="115"/>
        <v/>
      </c>
      <c r="O121" s="272" t="str">
        <f t="shared" si="115"/>
        <v/>
      </c>
      <c r="P121" s="272" t="str">
        <f t="shared" si="115"/>
        <v/>
      </c>
      <c r="Q121" s="272" t="str">
        <f t="shared" si="115"/>
        <v/>
      </c>
      <c r="R121" s="272" t="str">
        <f t="shared" si="115"/>
        <v/>
      </c>
      <c r="S121" s="272" t="str">
        <f t="shared" si="115"/>
        <v/>
      </c>
      <c r="T121" s="272" t="str">
        <f t="shared" si="115"/>
        <v/>
      </c>
      <c r="U121" s="272" t="str">
        <f t="shared" si="115"/>
        <v/>
      </c>
      <c r="V121" s="272" t="str">
        <f t="shared" si="115"/>
        <v/>
      </c>
    </row>
    <row r="122" ht="30.0" customHeight="1">
      <c r="A122" s="243">
        <v>116.0</v>
      </c>
      <c r="B122" s="243" t="s">
        <v>853</v>
      </c>
      <c r="C122" s="240" t="s">
        <v>843</v>
      </c>
      <c r="D122" s="240" t="s">
        <v>854</v>
      </c>
      <c r="E122" s="243" t="s">
        <v>823</v>
      </c>
      <c r="F122" s="243"/>
      <c r="G122" s="243"/>
      <c r="H122" s="270"/>
      <c r="I122" s="270"/>
      <c r="J122" s="243" t="s">
        <v>141</v>
      </c>
      <c r="K122" s="288" t="s">
        <v>1282</v>
      </c>
      <c r="L122" s="272" t="str">
        <f t="shared" ref="L122:V122" si="116">IF(AND(L$6&lt;=$I122,L$6+6&gt;=$H122,$H122&lt;&gt;"",$I122&lt;&gt;""),1,"")</f>
        <v/>
      </c>
      <c r="M122" s="272" t="str">
        <f t="shared" si="116"/>
        <v/>
      </c>
      <c r="N122" s="272" t="str">
        <f t="shared" si="116"/>
        <v/>
      </c>
      <c r="O122" s="272" t="str">
        <f t="shared" si="116"/>
        <v/>
      </c>
      <c r="P122" s="272" t="str">
        <f t="shared" si="116"/>
        <v/>
      </c>
      <c r="Q122" s="272" t="str">
        <f t="shared" si="116"/>
        <v/>
      </c>
      <c r="R122" s="272" t="str">
        <f t="shared" si="116"/>
        <v/>
      </c>
      <c r="S122" s="272" t="str">
        <f t="shared" si="116"/>
        <v/>
      </c>
      <c r="T122" s="272" t="str">
        <f t="shared" si="116"/>
        <v/>
      </c>
      <c r="U122" s="272" t="str">
        <f t="shared" si="116"/>
        <v/>
      </c>
      <c r="V122" s="272" t="str">
        <f t="shared" si="116"/>
        <v/>
      </c>
    </row>
    <row r="123" ht="30.0" customHeight="1">
      <c r="A123" s="243">
        <v>117.0</v>
      </c>
      <c r="B123" s="243" t="s">
        <v>858</v>
      </c>
      <c r="C123" s="240" t="s">
        <v>843</v>
      </c>
      <c r="D123" s="240" t="s">
        <v>859</v>
      </c>
      <c r="E123" s="243" t="s">
        <v>823</v>
      </c>
      <c r="F123" s="243"/>
      <c r="G123" s="243"/>
      <c r="H123" s="270"/>
      <c r="I123" s="270"/>
      <c r="J123" s="243" t="s">
        <v>141</v>
      </c>
      <c r="K123" s="288" t="s">
        <v>1282</v>
      </c>
      <c r="L123" s="272" t="str">
        <f t="shared" ref="L123:V123" si="117">IF(AND(L$6&lt;=$I123,L$6+6&gt;=$H123,$H123&lt;&gt;"",$I123&lt;&gt;""),1,"")</f>
        <v/>
      </c>
      <c r="M123" s="272" t="str">
        <f t="shared" si="117"/>
        <v/>
      </c>
      <c r="N123" s="272" t="str">
        <f t="shared" si="117"/>
        <v/>
      </c>
      <c r="O123" s="272" t="str">
        <f t="shared" si="117"/>
        <v/>
      </c>
      <c r="P123" s="272" t="str">
        <f t="shared" si="117"/>
        <v/>
      </c>
      <c r="Q123" s="272" t="str">
        <f t="shared" si="117"/>
        <v/>
      </c>
      <c r="R123" s="272" t="str">
        <f t="shared" si="117"/>
        <v/>
      </c>
      <c r="S123" s="272" t="str">
        <f t="shared" si="117"/>
        <v/>
      </c>
      <c r="T123" s="272" t="str">
        <f t="shared" si="117"/>
        <v/>
      </c>
      <c r="U123" s="272" t="str">
        <f t="shared" si="117"/>
        <v/>
      </c>
      <c r="V123" s="272" t="str">
        <f t="shared" si="117"/>
        <v/>
      </c>
    </row>
    <row r="124" ht="30.0" customHeight="1">
      <c r="A124" s="243">
        <v>118.0</v>
      </c>
      <c r="B124" s="243" t="s">
        <v>862</v>
      </c>
      <c r="C124" s="240" t="s">
        <v>213</v>
      </c>
      <c r="D124" s="240" t="s">
        <v>864</v>
      </c>
      <c r="E124" s="243" t="s">
        <v>213</v>
      </c>
      <c r="F124" s="243"/>
      <c r="G124" s="243"/>
      <c r="H124" s="270"/>
      <c r="I124" s="270"/>
      <c r="J124" s="243" t="s">
        <v>141</v>
      </c>
      <c r="K124" s="273" t="s">
        <v>1283</v>
      </c>
      <c r="L124" s="272" t="str">
        <f t="shared" ref="L124:V124" si="118">IF(AND(L$6&lt;=$I124,L$6+6&gt;=$H124,$H124&lt;&gt;"",$I124&lt;&gt;""),1,"")</f>
        <v/>
      </c>
      <c r="M124" s="272" t="str">
        <f t="shared" si="118"/>
        <v/>
      </c>
      <c r="N124" s="272" t="str">
        <f t="shared" si="118"/>
        <v/>
      </c>
      <c r="O124" s="272" t="str">
        <f t="shared" si="118"/>
        <v/>
      </c>
      <c r="P124" s="272" t="str">
        <f t="shared" si="118"/>
        <v/>
      </c>
      <c r="Q124" s="272" t="str">
        <f t="shared" si="118"/>
        <v/>
      </c>
      <c r="R124" s="272" t="str">
        <f t="shared" si="118"/>
        <v/>
      </c>
      <c r="S124" s="272" t="str">
        <f t="shared" si="118"/>
        <v/>
      </c>
      <c r="T124" s="272" t="str">
        <f t="shared" si="118"/>
        <v/>
      </c>
      <c r="U124" s="272" t="str">
        <f t="shared" si="118"/>
        <v/>
      </c>
      <c r="V124" s="272" t="str">
        <f t="shared" si="118"/>
        <v/>
      </c>
    </row>
    <row r="125" ht="30.0" customHeight="1">
      <c r="A125" s="243">
        <v>119.0</v>
      </c>
      <c r="B125" s="243" t="s">
        <v>869</v>
      </c>
      <c r="C125" s="240" t="s">
        <v>213</v>
      </c>
      <c r="D125" s="240" t="s">
        <v>870</v>
      </c>
      <c r="E125" s="243" t="s">
        <v>213</v>
      </c>
      <c r="F125" s="243"/>
      <c r="G125" s="243"/>
      <c r="H125" s="270"/>
      <c r="I125" s="270"/>
      <c r="J125" s="243" t="s">
        <v>141</v>
      </c>
      <c r="K125" s="273" t="s">
        <v>1283</v>
      </c>
      <c r="L125" s="272" t="str">
        <f t="shared" ref="L125:V125" si="119">IF(AND(L$6&lt;=$I125,L$6+6&gt;=$H125,$H125&lt;&gt;"",$I125&lt;&gt;""),1,"")</f>
        <v/>
      </c>
      <c r="M125" s="272" t="str">
        <f t="shared" si="119"/>
        <v/>
      </c>
      <c r="N125" s="272" t="str">
        <f t="shared" si="119"/>
        <v/>
      </c>
      <c r="O125" s="272" t="str">
        <f t="shared" si="119"/>
        <v/>
      </c>
      <c r="P125" s="272" t="str">
        <f t="shared" si="119"/>
        <v/>
      </c>
      <c r="Q125" s="272" t="str">
        <f t="shared" si="119"/>
        <v/>
      </c>
      <c r="R125" s="272" t="str">
        <f t="shared" si="119"/>
        <v/>
      </c>
      <c r="S125" s="272" t="str">
        <f t="shared" si="119"/>
        <v/>
      </c>
      <c r="T125" s="272" t="str">
        <f t="shared" si="119"/>
        <v/>
      </c>
      <c r="U125" s="272" t="str">
        <f t="shared" si="119"/>
        <v/>
      </c>
      <c r="V125" s="272" t="str">
        <f t="shared" si="119"/>
        <v/>
      </c>
    </row>
    <row r="126" ht="30.0" customHeight="1">
      <c r="A126" s="243">
        <v>120.0</v>
      </c>
      <c r="B126" s="243" t="s">
        <v>872</v>
      </c>
      <c r="C126" s="240" t="s">
        <v>213</v>
      </c>
      <c r="D126" s="240" t="s">
        <v>873</v>
      </c>
      <c r="E126" s="243" t="s">
        <v>213</v>
      </c>
      <c r="F126" s="243"/>
      <c r="G126" s="243"/>
      <c r="H126" s="270"/>
      <c r="I126" s="270"/>
      <c r="J126" s="243" t="s">
        <v>141</v>
      </c>
      <c r="K126" s="273" t="s">
        <v>1284</v>
      </c>
      <c r="L126" s="272" t="str">
        <f t="shared" ref="L126:V126" si="120">IF(AND(L$6&lt;=$I126,L$6+6&gt;=$H126,$H126&lt;&gt;"",$I126&lt;&gt;""),1,"")</f>
        <v/>
      </c>
      <c r="M126" s="272" t="str">
        <f t="shared" si="120"/>
        <v/>
      </c>
      <c r="N126" s="272" t="str">
        <f t="shared" si="120"/>
        <v/>
      </c>
      <c r="O126" s="272" t="str">
        <f t="shared" si="120"/>
        <v/>
      </c>
      <c r="P126" s="272" t="str">
        <f t="shared" si="120"/>
        <v/>
      </c>
      <c r="Q126" s="272" t="str">
        <f t="shared" si="120"/>
        <v/>
      </c>
      <c r="R126" s="272" t="str">
        <f t="shared" si="120"/>
        <v/>
      </c>
      <c r="S126" s="272" t="str">
        <f t="shared" si="120"/>
        <v/>
      </c>
      <c r="T126" s="272" t="str">
        <f t="shared" si="120"/>
        <v/>
      </c>
      <c r="U126" s="272" t="str">
        <f t="shared" si="120"/>
        <v/>
      </c>
      <c r="V126" s="272" t="str">
        <f t="shared" si="120"/>
        <v/>
      </c>
    </row>
    <row r="127" ht="30.0" customHeight="1">
      <c r="A127" s="243">
        <v>121.0</v>
      </c>
      <c r="B127" s="243" t="s">
        <v>877</v>
      </c>
      <c r="C127" s="240" t="s">
        <v>213</v>
      </c>
      <c r="D127" s="240" t="s">
        <v>878</v>
      </c>
      <c r="E127" s="243" t="s">
        <v>213</v>
      </c>
      <c r="F127" s="243"/>
      <c r="G127" s="243"/>
      <c r="H127" s="270"/>
      <c r="I127" s="270"/>
      <c r="J127" s="243" t="s">
        <v>141</v>
      </c>
      <c r="K127" s="273" t="s">
        <v>1285</v>
      </c>
      <c r="L127" s="272" t="str">
        <f t="shared" ref="L127:V127" si="121">IF(AND(L$6&lt;=$I127,L$6+6&gt;=$H127,$H127&lt;&gt;"",$I127&lt;&gt;""),1,"")</f>
        <v/>
      </c>
      <c r="M127" s="272" t="str">
        <f t="shared" si="121"/>
        <v/>
      </c>
      <c r="N127" s="272" t="str">
        <f t="shared" si="121"/>
        <v/>
      </c>
      <c r="O127" s="272" t="str">
        <f t="shared" si="121"/>
        <v/>
      </c>
      <c r="P127" s="272" t="str">
        <f t="shared" si="121"/>
        <v/>
      </c>
      <c r="Q127" s="272" t="str">
        <f t="shared" si="121"/>
        <v/>
      </c>
      <c r="R127" s="272" t="str">
        <f t="shared" si="121"/>
        <v/>
      </c>
      <c r="S127" s="272" t="str">
        <f t="shared" si="121"/>
        <v/>
      </c>
      <c r="T127" s="272" t="str">
        <f t="shared" si="121"/>
        <v/>
      </c>
      <c r="U127" s="272" t="str">
        <f t="shared" si="121"/>
        <v/>
      </c>
      <c r="V127" s="272" t="str">
        <f t="shared" si="121"/>
        <v/>
      </c>
    </row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V1"/>
    <mergeCell ref="A2:V2"/>
    <mergeCell ref="A4:V4"/>
    <mergeCell ref="A5:K5"/>
    <mergeCell ref="L5:V5"/>
  </mergeCells>
  <conditionalFormatting sqref="A7:K127">
    <cfRule type="expression" dxfId="8" priority="1">
      <formula>$E7="外部依存"</formula>
    </cfRule>
  </conditionalFormatting>
  <conditionalFormatting sqref="A7:K127">
    <cfRule type="expression" dxfId="21" priority="2">
      <formula>$E7="マイルストーン"</formula>
    </cfRule>
  </conditionalFormatting>
  <conditionalFormatting sqref="A7:K127">
    <cfRule type="expression" dxfId="9" priority="3">
      <formula>$E7="条件付き"</formula>
    </cfRule>
  </conditionalFormatting>
  <conditionalFormatting sqref="A7:K127">
    <cfRule type="expression" dxfId="10" priority="4">
      <formula>$E7="対象範囲確認"</formula>
    </cfRule>
  </conditionalFormatting>
  <conditionalFormatting sqref="A7:K127">
    <cfRule type="expression" dxfId="11" priority="5">
      <formula>$E7="将来対応"</formula>
    </cfRule>
  </conditionalFormatting>
  <conditionalFormatting sqref="J7:J127">
    <cfRule type="expression" dxfId="22" priority="6">
      <formula>J7="準備中"</formula>
    </cfRule>
  </conditionalFormatting>
  <conditionalFormatting sqref="J7:J127">
    <cfRule type="expression" dxfId="6" priority="7">
      <formula>J7="進行中"</formula>
    </cfRule>
  </conditionalFormatting>
  <conditionalFormatting sqref="J7:J127">
    <cfRule type="expression" dxfId="7" priority="8">
      <formula>J7="完了"</formula>
    </cfRule>
  </conditionalFormatting>
  <conditionalFormatting sqref="L7:V127">
    <cfRule type="expression" dxfId="23" priority="9">
      <formula>AND(L7=1,$J7="準備中")</formula>
    </cfRule>
  </conditionalFormatting>
  <conditionalFormatting sqref="L7:V127">
    <cfRule type="expression" dxfId="24" priority="10">
      <formula>AND(L7=1,$J7="進行中")</formula>
    </cfRule>
  </conditionalFormatting>
  <conditionalFormatting sqref="L7:V127">
    <cfRule type="expression" dxfId="25" priority="11">
      <formula>AND(L7=1,$J7="完了")</formula>
    </cfRule>
  </conditionalFormatting>
  <conditionalFormatting sqref="L6:V6">
    <cfRule type="expression" dxfId="26" priority="12">
      <formula>OR(L$6=DATE(2026,8,10),L$6=DATE(2026,9,21),L$6=DATE(2026,10,12))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2.0"/>
    <col customWidth="1" min="2" max="2" width="40.0"/>
    <col customWidth="1" min="3" max="3" width="36.0"/>
    <col customWidth="1" min="4" max="4" width="38.0"/>
    <col customWidth="1" min="5" max="5" width="25.0"/>
    <col customWidth="1" min="6" max="6" width="18.0"/>
    <col customWidth="1" min="7" max="7" width="22.0"/>
    <col customWidth="1" min="8" max="8" width="32.0"/>
    <col customWidth="1" min="9" max="26" width="8.71"/>
  </cols>
  <sheetData>
    <row r="1" ht="33.75" customHeight="1">
      <c r="A1" s="219" t="s">
        <v>887</v>
      </c>
    </row>
    <row r="2" ht="37.5" customHeight="1">
      <c r="A2" s="274" t="s">
        <v>888</v>
      </c>
    </row>
    <row r="4" ht="33.75" customHeight="1">
      <c r="A4" s="275" t="s">
        <v>889</v>
      </c>
      <c r="B4" s="275" t="s">
        <v>686</v>
      </c>
    </row>
    <row r="5" ht="33.75" customHeight="1">
      <c r="A5" s="18" t="s">
        <v>890</v>
      </c>
      <c r="B5" s="19" t="s">
        <v>891</v>
      </c>
    </row>
    <row r="6" ht="33.75" customHeight="1">
      <c r="A6" s="18" t="s">
        <v>892</v>
      </c>
      <c r="B6" s="19" t="s">
        <v>893</v>
      </c>
    </row>
    <row r="7" ht="33.75" customHeight="1">
      <c r="A7" s="18" t="s">
        <v>894</v>
      </c>
      <c r="B7" s="19" t="s">
        <v>895</v>
      </c>
    </row>
    <row r="8" ht="33.75" customHeight="1">
      <c r="A8" s="18" t="s">
        <v>896</v>
      </c>
      <c r="B8" s="19" t="s">
        <v>897</v>
      </c>
    </row>
    <row r="9" ht="33.75" customHeight="1">
      <c r="A9" s="18" t="s">
        <v>94</v>
      </c>
      <c r="B9" s="19" t="s">
        <v>95</v>
      </c>
    </row>
    <row r="10" ht="33.75" customHeight="1">
      <c r="A10" s="18"/>
      <c r="B10" s="19"/>
    </row>
    <row r="11" ht="27.75" customHeight="1">
      <c r="A11" s="276" t="s">
        <v>898</v>
      </c>
      <c r="B11" s="276" t="s">
        <v>899</v>
      </c>
      <c r="C11" s="276" t="s">
        <v>900</v>
      </c>
      <c r="D11" s="276" t="s">
        <v>901</v>
      </c>
      <c r="E11" s="276" t="s">
        <v>902</v>
      </c>
      <c r="F11" s="276" t="s">
        <v>903</v>
      </c>
      <c r="G11" s="276" t="s">
        <v>72</v>
      </c>
      <c r="H11" s="276" t="s">
        <v>222</v>
      </c>
    </row>
    <row r="12" ht="51.75" customHeight="1">
      <c r="A12" s="211" t="s">
        <v>904</v>
      </c>
      <c r="B12" s="211" t="s">
        <v>905</v>
      </c>
      <c r="C12" s="211" t="s">
        <v>906</v>
      </c>
      <c r="D12" s="211" t="s">
        <v>64</v>
      </c>
      <c r="E12" s="211" t="s">
        <v>907</v>
      </c>
      <c r="F12" s="211" t="s">
        <v>908</v>
      </c>
      <c r="G12" s="211" t="s">
        <v>909</v>
      </c>
      <c r="H12" s="211" t="s">
        <v>910</v>
      </c>
    </row>
    <row r="13" ht="51.75" customHeight="1">
      <c r="A13" s="19" t="s">
        <v>911</v>
      </c>
      <c r="B13" s="19" t="s">
        <v>912</v>
      </c>
      <c r="C13" s="19" t="s">
        <v>913</v>
      </c>
      <c r="D13" s="19" t="s">
        <v>914</v>
      </c>
      <c r="E13" s="19" t="s">
        <v>915</v>
      </c>
      <c r="F13" s="19" t="s">
        <v>908</v>
      </c>
      <c r="G13" s="19" t="s">
        <v>909</v>
      </c>
      <c r="H13" s="19" t="s">
        <v>916</v>
      </c>
    </row>
    <row r="14" ht="51.75" customHeight="1">
      <c r="A14" s="19" t="s">
        <v>917</v>
      </c>
      <c r="B14" s="19" t="s">
        <v>215</v>
      </c>
      <c r="C14" s="19" t="s">
        <v>918</v>
      </c>
      <c r="D14" s="19" t="s">
        <v>919</v>
      </c>
      <c r="E14" s="19" t="s">
        <v>531</v>
      </c>
      <c r="F14" s="19" t="s">
        <v>920</v>
      </c>
      <c r="G14" s="19" t="s">
        <v>535</v>
      </c>
      <c r="H14" s="19" t="s">
        <v>922</v>
      </c>
    </row>
    <row r="15" ht="51.75" customHeight="1">
      <c r="A15" s="19" t="s">
        <v>923</v>
      </c>
      <c r="B15" s="19" t="s">
        <v>215</v>
      </c>
      <c r="C15" s="19" t="s">
        <v>918</v>
      </c>
      <c r="D15" s="19" t="s">
        <v>924</v>
      </c>
      <c r="E15" s="19" t="s">
        <v>925</v>
      </c>
      <c r="F15" s="19" t="s">
        <v>920</v>
      </c>
      <c r="G15" s="19" t="s">
        <v>535</v>
      </c>
      <c r="H15" s="19" t="s">
        <v>926</v>
      </c>
    </row>
    <row r="16" ht="51.75" customHeight="1">
      <c r="A16" s="19" t="s">
        <v>927</v>
      </c>
      <c r="B16" s="19" t="s">
        <v>928</v>
      </c>
      <c r="C16" s="19" t="s">
        <v>929</v>
      </c>
      <c r="D16" s="19" t="s">
        <v>930</v>
      </c>
      <c r="E16" s="19" t="s">
        <v>744</v>
      </c>
      <c r="F16" s="19" t="s">
        <v>931</v>
      </c>
      <c r="G16" s="19" t="s">
        <v>909</v>
      </c>
      <c r="H16" s="19" t="s">
        <v>932</v>
      </c>
    </row>
    <row r="17" ht="51.75" customHeight="1">
      <c r="A17" s="19" t="s">
        <v>88</v>
      </c>
      <c r="B17" s="19" t="s">
        <v>212</v>
      </c>
      <c r="C17" s="19" t="s">
        <v>933</v>
      </c>
      <c r="D17" s="19" t="s">
        <v>934</v>
      </c>
      <c r="E17" s="19" t="s">
        <v>935</v>
      </c>
      <c r="F17" s="19" t="s">
        <v>936</v>
      </c>
      <c r="G17" s="19" t="s">
        <v>846</v>
      </c>
      <c r="H17" s="19" t="s">
        <v>937</v>
      </c>
    </row>
    <row r="18" ht="51.75" customHeight="1">
      <c r="A18" s="19"/>
      <c r="B18" s="19"/>
      <c r="C18" s="19"/>
      <c r="D18" s="19"/>
      <c r="E18" s="19"/>
      <c r="F18" s="19"/>
      <c r="G18" s="19"/>
      <c r="H18" s="19"/>
    </row>
    <row r="19" ht="33.75" customHeight="1">
      <c r="A19" s="276" t="s">
        <v>938</v>
      </c>
      <c r="B19" s="276" t="s">
        <v>939</v>
      </c>
    </row>
    <row r="20" ht="33.75" customHeight="1">
      <c r="A20" s="256" t="s">
        <v>940</v>
      </c>
      <c r="B20" s="256" t="s">
        <v>941</v>
      </c>
    </row>
    <row r="21" ht="33.75" customHeight="1">
      <c r="A21" s="258" t="s">
        <v>942</v>
      </c>
      <c r="B21" s="19" t="s">
        <v>943</v>
      </c>
    </row>
    <row r="22" ht="33.75" customHeight="1">
      <c r="A22" s="258" t="s">
        <v>944</v>
      </c>
      <c r="B22" s="19" t="s">
        <v>945</v>
      </c>
    </row>
    <row r="23" ht="33.75" customHeight="1">
      <c r="A23" s="258" t="s">
        <v>946</v>
      </c>
      <c r="B23" s="19" t="s">
        <v>947</v>
      </c>
    </row>
    <row r="24" ht="33.75" customHeight="1">
      <c r="A24" s="258" t="s">
        <v>948</v>
      </c>
      <c r="B24" s="19" t="s">
        <v>949</v>
      </c>
    </row>
    <row r="25" ht="33.75" customHeight="1">
      <c r="A25" s="258" t="s">
        <v>695</v>
      </c>
      <c r="B25" s="19" t="s">
        <v>950</v>
      </c>
    </row>
    <row r="26" ht="33.75" customHeight="1">
      <c r="A26" s="258" t="s">
        <v>951</v>
      </c>
      <c r="B26" s="19" t="s">
        <v>952</v>
      </c>
    </row>
    <row r="27" ht="33.75" customHeight="1">
      <c r="A27" s="258" t="s">
        <v>953</v>
      </c>
      <c r="B27" s="19" t="s">
        <v>954</v>
      </c>
    </row>
    <row r="28" ht="33.75" customHeight="1">
      <c r="A28" s="258"/>
      <c r="B28" s="19"/>
    </row>
    <row r="29" ht="27.75" customHeight="1">
      <c r="A29" s="276" t="s">
        <v>955</v>
      </c>
      <c r="B29" s="276" t="s">
        <v>899</v>
      </c>
      <c r="C29" s="276" t="s">
        <v>900</v>
      </c>
      <c r="D29" s="276" t="s">
        <v>644</v>
      </c>
      <c r="E29" s="276" t="s">
        <v>956</v>
      </c>
      <c r="F29" s="276" t="s">
        <v>957</v>
      </c>
      <c r="G29" s="276" t="s">
        <v>211</v>
      </c>
      <c r="H29" s="276" t="s">
        <v>43</v>
      </c>
    </row>
    <row r="30" ht="43.5" customHeight="1">
      <c r="A30" s="275" t="s">
        <v>100</v>
      </c>
      <c r="B30" s="275" t="s">
        <v>909</v>
      </c>
      <c r="C30" s="275" t="s">
        <v>958</v>
      </c>
      <c r="D30" s="275" t="s">
        <v>959</v>
      </c>
      <c r="E30" s="275" t="s">
        <v>960</v>
      </c>
      <c r="F30" s="275" t="s">
        <v>961</v>
      </c>
      <c r="G30" s="275" t="s">
        <v>962</v>
      </c>
      <c r="H30" s="275" t="s">
        <v>963</v>
      </c>
    </row>
    <row r="31" ht="43.5" customHeight="1">
      <c r="A31" s="19" t="s">
        <v>964</v>
      </c>
      <c r="B31" s="19" t="s">
        <v>215</v>
      </c>
      <c r="C31" s="19" t="s">
        <v>965</v>
      </c>
      <c r="D31" s="19" t="s">
        <v>966</v>
      </c>
      <c r="E31" s="19" t="s">
        <v>967</v>
      </c>
      <c r="F31" s="19" t="s">
        <v>936</v>
      </c>
      <c r="G31" s="19" t="s">
        <v>968</v>
      </c>
      <c r="H31" s="19" t="s">
        <v>969</v>
      </c>
    </row>
    <row r="32" ht="43.5" customHeight="1">
      <c r="A32" s="19" t="s">
        <v>970</v>
      </c>
      <c r="B32" s="19" t="s">
        <v>971</v>
      </c>
      <c r="C32" s="19" t="s">
        <v>972</v>
      </c>
      <c r="D32" s="19" t="s">
        <v>973</v>
      </c>
      <c r="E32" s="19" t="s">
        <v>974</v>
      </c>
      <c r="F32" s="19" t="s">
        <v>975</v>
      </c>
      <c r="G32" s="19" t="s">
        <v>976</v>
      </c>
      <c r="H32" s="19" t="s">
        <v>977</v>
      </c>
    </row>
    <row r="33" ht="43.5" customHeight="1">
      <c r="A33" s="19" t="s">
        <v>978</v>
      </c>
      <c r="B33" s="19" t="s">
        <v>979</v>
      </c>
      <c r="C33" s="19" t="s">
        <v>980</v>
      </c>
      <c r="D33" s="19" t="s">
        <v>981</v>
      </c>
      <c r="E33" s="19" t="s">
        <v>982</v>
      </c>
      <c r="F33" s="19" t="s">
        <v>983</v>
      </c>
      <c r="G33" s="19" t="s">
        <v>984</v>
      </c>
      <c r="H33" s="19" t="s">
        <v>985</v>
      </c>
    </row>
    <row r="34" ht="43.5" customHeight="1">
      <c r="A34" s="19"/>
      <c r="B34" s="19"/>
      <c r="C34" s="19"/>
      <c r="D34" s="19"/>
      <c r="E34" s="19"/>
      <c r="F34" s="19"/>
      <c r="G34" s="19"/>
      <c r="H34" s="19"/>
    </row>
    <row r="35" ht="15.75" customHeight="1">
      <c r="A35" s="275" t="s">
        <v>986</v>
      </c>
      <c r="B35" s="275" t="s">
        <v>899</v>
      </c>
      <c r="C35" s="275" t="s">
        <v>900</v>
      </c>
      <c r="D35" s="275" t="s">
        <v>901</v>
      </c>
      <c r="E35" s="275" t="s">
        <v>956</v>
      </c>
      <c r="F35" s="275" t="s">
        <v>987</v>
      </c>
      <c r="G35" s="275" t="s">
        <v>988</v>
      </c>
      <c r="H35" s="275" t="s">
        <v>43</v>
      </c>
    </row>
    <row r="36" ht="48.0" customHeight="1">
      <c r="A36" s="19" t="s">
        <v>989</v>
      </c>
      <c r="B36" s="19" t="s">
        <v>990</v>
      </c>
      <c r="C36" s="19" t="s">
        <v>913</v>
      </c>
      <c r="D36" s="19" t="s">
        <v>991</v>
      </c>
      <c r="E36" s="19" t="s">
        <v>992</v>
      </c>
      <c r="F36" s="19" t="s">
        <v>993</v>
      </c>
      <c r="G36" s="19" t="s">
        <v>994</v>
      </c>
      <c r="H36" s="19" t="s">
        <v>995</v>
      </c>
    </row>
    <row r="37" ht="48.0" customHeight="1">
      <c r="A37" s="19" t="s">
        <v>996</v>
      </c>
      <c r="B37" s="19" t="s">
        <v>212</v>
      </c>
      <c r="C37" s="19" t="s">
        <v>997</v>
      </c>
      <c r="D37" s="19" t="s">
        <v>998</v>
      </c>
      <c r="E37" s="19" t="s">
        <v>999</v>
      </c>
      <c r="F37" s="19" t="s">
        <v>1000</v>
      </c>
      <c r="G37" s="19" t="s">
        <v>1001</v>
      </c>
      <c r="H37" s="19" t="s">
        <v>1002</v>
      </c>
    </row>
    <row r="38" ht="48.0" customHeight="1">
      <c r="A38" s="19" t="s">
        <v>1003</v>
      </c>
      <c r="B38" s="19" t="s">
        <v>1004</v>
      </c>
      <c r="C38" s="19" t="s">
        <v>1005</v>
      </c>
      <c r="D38" s="19" t="s">
        <v>1006</v>
      </c>
      <c r="E38" s="19" t="s">
        <v>1007</v>
      </c>
      <c r="F38" s="19" t="s">
        <v>1008</v>
      </c>
      <c r="G38" s="19" t="s">
        <v>1009</v>
      </c>
      <c r="H38" s="19" t="s">
        <v>1010</v>
      </c>
    </row>
    <row r="39" ht="48.0" customHeight="1">
      <c r="A39" s="19" t="s">
        <v>1011</v>
      </c>
      <c r="B39" s="19" t="s">
        <v>1012</v>
      </c>
      <c r="C39" s="19" t="s">
        <v>1013</v>
      </c>
      <c r="D39" s="19" t="s">
        <v>1014</v>
      </c>
      <c r="E39" s="19" t="s">
        <v>1015</v>
      </c>
      <c r="F39" s="19" t="s">
        <v>1016</v>
      </c>
      <c r="G39" s="19" t="s">
        <v>1017</v>
      </c>
      <c r="H39" s="19" t="s">
        <v>1018</v>
      </c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0"/>
    <col customWidth="1" min="2" max="2" width="20.0"/>
    <col customWidth="1" min="3" max="3" width="22.0"/>
    <col customWidth="1" min="4" max="5" width="14.0"/>
    <col customWidth="1" min="6" max="6" width="32.0"/>
    <col customWidth="1" min="7" max="7" width="46.0"/>
    <col customWidth="1" min="8" max="8" width="18.0"/>
    <col customWidth="1" min="9" max="9" width="36.0"/>
    <col customWidth="1" min="10" max="26" width="8.71"/>
  </cols>
  <sheetData>
    <row r="1">
      <c r="A1" s="277" t="s">
        <v>1021</v>
      </c>
    </row>
    <row r="2" ht="33.75" customHeight="1">
      <c r="A2" s="18" t="s">
        <v>1022</v>
      </c>
    </row>
    <row r="4">
      <c r="A4" s="211" t="s">
        <v>758</v>
      </c>
      <c r="B4" s="211" t="s">
        <v>638</v>
      </c>
      <c r="C4" s="211" t="s">
        <v>1023</v>
      </c>
      <c r="D4" s="211" t="s">
        <v>1024</v>
      </c>
      <c r="E4" s="211" t="s">
        <v>951</v>
      </c>
      <c r="F4" s="211" t="s">
        <v>1025</v>
      </c>
      <c r="G4" s="211" t="s">
        <v>1026</v>
      </c>
      <c r="H4" s="211" t="s">
        <v>641</v>
      </c>
      <c r="I4" s="211" t="s">
        <v>1027</v>
      </c>
    </row>
    <row r="5" ht="42.0" customHeight="1">
      <c r="A5" s="250">
        <v>1.0</v>
      </c>
      <c r="B5" s="250" t="s">
        <v>203</v>
      </c>
      <c r="C5" s="250" t="s">
        <v>1028</v>
      </c>
      <c r="D5" s="251">
        <v>5.0</v>
      </c>
      <c r="E5" s="251">
        <v>5.0</v>
      </c>
      <c r="F5" s="250" t="s">
        <v>1029</v>
      </c>
      <c r="G5" s="250" t="s">
        <v>1030</v>
      </c>
      <c r="H5" s="250" t="s">
        <v>650</v>
      </c>
      <c r="I5" s="250" t="s">
        <v>1031</v>
      </c>
    </row>
    <row r="6" ht="42.0" customHeight="1">
      <c r="A6" s="250">
        <v>2.0</v>
      </c>
      <c r="B6" s="250" t="s">
        <v>203</v>
      </c>
      <c r="C6" s="250" t="s">
        <v>1032</v>
      </c>
      <c r="D6" s="251">
        <v>5.0</v>
      </c>
      <c r="E6" s="251">
        <v>5.0</v>
      </c>
      <c r="F6" s="250" t="s">
        <v>1033</v>
      </c>
      <c r="G6" s="250" t="s">
        <v>1034</v>
      </c>
      <c r="H6" s="250" t="s">
        <v>650</v>
      </c>
      <c r="I6" s="250" t="s">
        <v>1035</v>
      </c>
    </row>
    <row r="7" ht="42.0" customHeight="1">
      <c r="A7" s="250">
        <v>3.0</v>
      </c>
      <c r="B7" s="250" t="s">
        <v>654</v>
      </c>
      <c r="C7" s="250" t="s">
        <v>1036</v>
      </c>
      <c r="D7" s="251">
        <v>2.0</v>
      </c>
      <c r="E7" s="251">
        <v>2.0</v>
      </c>
      <c r="F7" s="250" t="s">
        <v>1037</v>
      </c>
      <c r="G7" s="250" t="s">
        <v>1038</v>
      </c>
      <c r="H7" s="250" t="s">
        <v>650</v>
      </c>
      <c r="I7" s="250" t="s">
        <v>1039</v>
      </c>
    </row>
    <row r="8" ht="42.0" customHeight="1">
      <c r="A8" s="250">
        <v>4.0</v>
      </c>
      <c r="B8" s="250" t="s">
        <v>654</v>
      </c>
      <c r="C8" s="250" t="s">
        <v>1040</v>
      </c>
      <c r="D8" s="251">
        <v>5.0</v>
      </c>
      <c r="E8" s="251">
        <v>5.0</v>
      </c>
      <c r="F8" s="250" t="s">
        <v>1041</v>
      </c>
      <c r="G8" s="250" t="s">
        <v>1042</v>
      </c>
      <c r="H8" s="250" t="s">
        <v>650</v>
      </c>
      <c r="I8" s="250" t="s">
        <v>1043</v>
      </c>
    </row>
    <row r="9" ht="42.0" customHeight="1">
      <c r="A9" s="250">
        <v>5.0</v>
      </c>
      <c r="B9" s="250" t="s">
        <v>1044</v>
      </c>
      <c r="C9" s="250" t="s">
        <v>1045</v>
      </c>
      <c r="D9" s="251">
        <v>2.0</v>
      </c>
      <c r="E9" s="251">
        <v>2.0</v>
      </c>
      <c r="F9" s="250" t="s">
        <v>272</v>
      </c>
      <c r="G9" s="250" t="s">
        <v>1046</v>
      </c>
      <c r="H9" s="250" t="s">
        <v>650</v>
      </c>
      <c r="I9" s="250" t="s">
        <v>1047</v>
      </c>
    </row>
    <row r="10" ht="42.0" customHeight="1">
      <c r="A10" s="250">
        <v>6.0</v>
      </c>
      <c r="B10" s="250" t="s">
        <v>1044</v>
      </c>
      <c r="C10" s="250" t="s">
        <v>1048</v>
      </c>
      <c r="D10" s="251">
        <v>3.0</v>
      </c>
      <c r="E10" s="251">
        <v>3.0</v>
      </c>
      <c r="F10" s="250" t="s">
        <v>1049</v>
      </c>
      <c r="G10" s="250" t="s">
        <v>1050</v>
      </c>
      <c r="H10" s="250" t="s">
        <v>650</v>
      </c>
      <c r="I10" s="250" t="s">
        <v>1051</v>
      </c>
    </row>
    <row r="11" ht="42.0" customHeight="1">
      <c r="A11" s="250">
        <v>7.0</v>
      </c>
      <c r="B11" s="250" t="s">
        <v>1044</v>
      </c>
      <c r="C11" s="250" t="s">
        <v>1052</v>
      </c>
      <c r="D11" s="251">
        <v>3.0</v>
      </c>
      <c r="E11" s="251">
        <v>3.0</v>
      </c>
      <c r="F11" s="250" t="s">
        <v>1053</v>
      </c>
      <c r="G11" s="250" t="s">
        <v>1054</v>
      </c>
      <c r="H11" s="250" t="s">
        <v>650</v>
      </c>
      <c r="I11" s="250" t="s">
        <v>1055</v>
      </c>
    </row>
    <row r="12" ht="42.0" customHeight="1">
      <c r="A12" s="250">
        <v>8.0</v>
      </c>
      <c r="B12" s="250" t="s">
        <v>1044</v>
      </c>
      <c r="C12" s="250" t="s">
        <v>1056</v>
      </c>
      <c r="D12" s="251">
        <v>1.5</v>
      </c>
      <c r="E12" s="251">
        <v>1.5</v>
      </c>
      <c r="F12" s="250" t="s">
        <v>1057</v>
      </c>
      <c r="G12" s="250" t="s">
        <v>1058</v>
      </c>
      <c r="H12" s="250" t="s">
        <v>650</v>
      </c>
      <c r="I12" s="250" t="s">
        <v>1059</v>
      </c>
    </row>
    <row r="13" ht="42.0" customHeight="1">
      <c r="A13" s="250">
        <v>9.0</v>
      </c>
      <c r="B13" s="250" t="s">
        <v>668</v>
      </c>
      <c r="C13" s="250" t="s">
        <v>1048</v>
      </c>
      <c r="D13" s="251">
        <v>3.0</v>
      </c>
      <c r="E13" s="251">
        <v>3.0</v>
      </c>
      <c r="F13" s="250" t="s">
        <v>1060</v>
      </c>
      <c r="G13" s="250" t="s">
        <v>1061</v>
      </c>
      <c r="H13" s="250" t="s">
        <v>650</v>
      </c>
      <c r="I13" s="250" t="s">
        <v>1062</v>
      </c>
    </row>
    <row r="14" ht="42.0" customHeight="1">
      <c r="A14" s="250">
        <v>10.0</v>
      </c>
      <c r="B14" s="250" t="s">
        <v>668</v>
      </c>
      <c r="C14" s="250" t="s">
        <v>1063</v>
      </c>
      <c r="D14" s="251">
        <v>4.0</v>
      </c>
      <c r="E14" s="251">
        <v>4.0</v>
      </c>
      <c r="F14" s="250" t="s">
        <v>1064</v>
      </c>
      <c r="G14" s="250" t="s">
        <v>1065</v>
      </c>
      <c r="H14" s="250" t="s">
        <v>650</v>
      </c>
      <c r="I14" s="250" t="s">
        <v>1066</v>
      </c>
    </row>
    <row r="15" ht="42.0" customHeight="1">
      <c r="A15" s="250">
        <v>11.0</v>
      </c>
      <c r="B15" s="250" t="s">
        <v>668</v>
      </c>
      <c r="C15" s="250" t="s">
        <v>1067</v>
      </c>
      <c r="D15" s="251">
        <v>4.0</v>
      </c>
      <c r="E15" s="251">
        <v>4.0</v>
      </c>
      <c r="F15" s="250" t="s">
        <v>1068</v>
      </c>
      <c r="G15" s="250" t="s">
        <v>1069</v>
      </c>
      <c r="H15" s="250" t="s">
        <v>650</v>
      </c>
      <c r="I15" s="250" t="s">
        <v>1070</v>
      </c>
    </row>
    <row r="16" ht="42.0" customHeight="1">
      <c r="A16" s="250">
        <v>12.0</v>
      </c>
      <c r="B16" s="250" t="s">
        <v>668</v>
      </c>
      <c r="C16" s="250" t="s">
        <v>1056</v>
      </c>
      <c r="D16" s="251">
        <v>2.0</v>
      </c>
      <c r="E16" s="251">
        <v>2.0</v>
      </c>
      <c r="F16" s="250" t="s">
        <v>1071</v>
      </c>
      <c r="G16" s="250" t="s">
        <v>1072</v>
      </c>
      <c r="H16" s="250" t="s">
        <v>650</v>
      </c>
      <c r="I16" s="250" t="s">
        <v>1066</v>
      </c>
    </row>
    <row r="17" ht="42.0" customHeight="1">
      <c r="A17" s="250">
        <v>13.0</v>
      </c>
      <c r="B17" s="250" t="s">
        <v>672</v>
      </c>
      <c r="C17" s="250" t="s">
        <v>1073</v>
      </c>
      <c r="D17" s="251">
        <v>2.0</v>
      </c>
      <c r="E17" s="251">
        <v>2.0</v>
      </c>
      <c r="F17" s="250" t="s">
        <v>571</v>
      </c>
      <c r="G17" s="250" t="s">
        <v>1074</v>
      </c>
      <c r="H17" s="250" t="s">
        <v>650</v>
      </c>
      <c r="I17" s="250" t="s">
        <v>913</v>
      </c>
    </row>
    <row r="18" ht="42.0" customHeight="1">
      <c r="A18" s="250">
        <v>14.0</v>
      </c>
      <c r="B18" s="250" t="s">
        <v>672</v>
      </c>
      <c r="C18" s="250" t="s">
        <v>1075</v>
      </c>
      <c r="D18" s="251">
        <v>2.0</v>
      </c>
      <c r="E18" s="251">
        <v>2.0</v>
      </c>
      <c r="F18" s="250" t="s">
        <v>1076</v>
      </c>
      <c r="G18" s="250" t="s">
        <v>1077</v>
      </c>
      <c r="H18" s="250" t="s">
        <v>650</v>
      </c>
      <c r="I18" s="250" t="s">
        <v>1059</v>
      </c>
    </row>
    <row r="19" ht="42.0" customHeight="1">
      <c r="A19" s="250">
        <v>15.0</v>
      </c>
      <c r="B19" s="250" t="s">
        <v>678</v>
      </c>
      <c r="C19" s="250" t="s">
        <v>1078</v>
      </c>
      <c r="D19" s="251">
        <v>2.0</v>
      </c>
      <c r="E19" s="251">
        <v>0.0</v>
      </c>
      <c r="F19" s="250" t="s">
        <v>1079</v>
      </c>
      <c r="G19" s="250" t="s">
        <v>1080</v>
      </c>
      <c r="H19" s="250" t="s">
        <v>211</v>
      </c>
      <c r="I19" s="250" t="s">
        <v>1081</v>
      </c>
    </row>
    <row r="20" ht="42.0" customHeight="1">
      <c r="A20" s="250">
        <v>16.0</v>
      </c>
      <c r="B20" s="250" t="s">
        <v>678</v>
      </c>
      <c r="C20" s="250" t="s">
        <v>1082</v>
      </c>
      <c r="D20" s="251">
        <v>2.0</v>
      </c>
      <c r="E20" s="251">
        <v>0.0</v>
      </c>
      <c r="F20" s="250" t="s">
        <v>1083</v>
      </c>
      <c r="G20" s="250" t="s">
        <v>1084</v>
      </c>
      <c r="H20" s="250" t="s">
        <v>211</v>
      </c>
      <c r="I20" s="250" t="s">
        <v>1081</v>
      </c>
    </row>
    <row r="21" ht="42.0" customHeight="1">
      <c r="A21" s="250">
        <v>17.0</v>
      </c>
      <c r="B21" s="250" t="s">
        <v>125</v>
      </c>
      <c r="C21" s="250" t="s">
        <v>1085</v>
      </c>
      <c r="D21" s="251">
        <v>5.0</v>
      </c>
      <c r="E21" s="251">
        <v>5.0</v>
      </c>
      <c r="F21" s="250" t="s">
        <v>1086</v>
      </c>
      <c r="G21" s="250" t="s">
        <v>1087</v>
      </c>
      <c r="H21" s="250" t="s">
        <v>650</v>
      </c>
      <c r="I21" s="250" t="s">
        <v>1088</v>
      </c>
    </row>
    <row r="22" ht="42.0" customHeight="1">
      <c r="A22" s="250">
        <v>18.0</v>
      </c>
      <c r="B22" s="250" t="s">
        <v>125</v>
      </c>
      <c r="C22" s="250" t="s">
        <v>1089</v>
      </c>
      <c r="D22" s="251">
        <v>5.0</v>
      </c>
      <c r="E22" s="251">
        <v>5.0</v>
      </c>
      <c r="F22" s="250" t="s">
        <v>1090</v>
      </c>
      <c r="G22" s="250" t="s">
        <v>1091</v>
      </c>
      <c r="H22" s="250" t="s">
        <v>650</v>
      </c>
      <c r="I22" s="250" t="s">
        <v>1092</v>
      </c>
    </row>
    <row r="23" ht="42.0" customHeight="1">
      <c r="A23" s="255" t="s">
        <v>681</v>
      </c>
      <c r="B23" s="250"/>
      <c r="C23" s="250"/>
      <c r="D23" s="251">
        <v>57.5</v>
      </c>
      <c r="E23" s="251">
        <v>53.5</v>
      </c>
      <c r="F23" s="250"/>
      <c r="G23" s="250"/>
      <c r="H23" s="250"/>
      <c r="I23" s="250" t="s">
        <v>1093</v>
      </c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:I2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0"/>
    <col customWidth="1" min="2" max="2" width="28.0"/>
    <col customWidth="1" min="3" max="3" width="12.0"/>
    <col customWidth="1" min="4" max="4" width="34.0"/>
    <col customWidth="1" min="5" max="5" width="28.0"/>
    <col customWidth="1" min="6" max="6" width="16.0"/>
    <col customWidth="1" min="7" max="7" width="44.0"/>
    <col customWidth="1" min="8" max="8" width="30.0"/>
    <col customWidth="1" min="9" max="26" width="8.71"/>
  </cols>
  <sheetData>
    <row r="1">
      <c r="A1" s="277" t="s">
        <v>1096</v>
      </c>
    </row>
    <row r="2" ht="42.0" customHeight="1">
      <c r="A2" s="278" t="s">
        <v>1097</v>
      </c>
    </row>
    <row r="4">
      <c r="A4" s="275" t="s">
        <v>1098</v>
      </c>
      <c r="B4" s="275" t="s">
        <v>1099</v>
      </c>
      <c r="C4" s="275" t="s">
        <v>1100</v>
      </c>
      <c r="D4" s="275" t="s">
        <v>1101</v>
      </c>
      <c r="E4" s="275" t="s">
        <v>1102</v>
      </c>
      <c r="F4" s="275" t="s">
        <v>1103</v>
      </c>
      <c r="G4" s="275" t="s">
        <v>901</v>
      </c>
      <c r="H4" s="275" t="s">
        <v>988</v>
      </c>
    </row>
    <row r="5" ht="48.0" customHeight="1">
      <c r="A5" s="250" t="s">
        <v>203</v>
      </c>
      <c r="B5" s="250" t="s">
        <v>1104</v>
      </c>
      <c r="C5" s="251">
        <v>2.0</v>
      </c>
      <c r="D5" s="250" t="s">
        <v>1105</v>
      </c>
      <c r="E5" s="250" t="s">
        <v>1106</v>
      </c>
      <c r="F5" s="250" t="s">
        <v>1107</v>
      </c>
      <c r="G5" s="250" t="s">
        <v>1108</v>
      </c>
      <c r="H5" s="250" t="s">
        <v>1109</v>
      </c>
    </row>
    <row r="6" ht="48.0" customHeight="1">
      <c r="A6" s="250" t="s">
        <v>203</v>
      </c>
      <c r="B6" s="250" t="s">
        <v>307</v>
      </c>
      <c r="C6" s="251">
        <v>1.5</v>
      </c>
      <c r="D6" s="250" t="s">
        <v>1110</v>
      </c>
      <c r="E6" s="250" t="s">
        <v>1111</v>
      </c>
      <c r="F6" s="250" t="s">
        <v>1110</v>
      </c>
      <c r="G6" s="250" t="s">
        <v>1112</v>
      </c>
      <c r="H6" s="250" t="s">
        <v>1109</v>
      </c>
    </row>
    <row r="7" ht="48.0" customHeight="1">
      <c r="A7" s="250" t="s">
        <v>1113</v>
      </c>
      <c r="B7" s="250" t="s">
        <v>1114</v>
      </c>
      <c r="C7" s="251">
        <v>3.0</v>
      </c>
      <c r="D7" s="250" t="s">
        <v>1115</v>
      </c>
      <c r="E7" s="250" t="s">
        <v>1116</v>
      </c>
      <c r="F7" s="250" t="s">
        <v>1107</v>
      </c>
      <c r="G7" s="250" t="s">
        <v>1117</v>
      </c>
      <c r="H7" s="250" t="s">
        <v>1109</v>
      </c>
    </row>
    <row r="8" ht="48.0" customHeight="1">
      <c r="A8" s="250" t="s">
        <v>1113</v>
      </c>
      <c r="B8" s="250" t="s">
        <v>1118</v>
      </c>
      <c r="C8" s="251">
        <v>1.5</v>
      </c>
      <c r="D8" s="250" t="s">
        <v>1110</v>
      </c>
      <c r="E8" s="250" t="s">
        <v>1119</v>
      </c>
      <c r="F8" s="250" t="s">
        <v>1120</v>
      </c>
      <c r="G8" s="250" t="s">
        <v>1121</v>
      </c>
      <c r="H8" s="250" t="s">
        <v>1122</v>
      </c>
    </row>
    <row r="9" ht="48.0" customHeight="1">
      <c r="A9" s="250" t="s">
        <v>1123</v>
      </c>
      <c r="B9" s="250" t="s">
        <v>1124</v>
      </c>
      <c r="C9" s="251">
        <v>1.5</v>
      </c>
      <c r="D9" s="250" t="s">
        <v>1125</v>
      </c>
      <c r="E9" s="250" t="s">
        <v>1126</v>
      </c>
      <c r="F9" s="250" t="s">
        <v>1110</v>
      </c>
      <c r="G9" s="250" t="s">
        <v>1127</v>
      </c>
      <c r="H9" s="250" t="s">
        <v>1128</v>
      </c>
    </row>
    <row r="10" ht="48.0" customHeight="1">
      <c r="A10" s="250" t="s">
        <v>1129</v>
      </c>
      <c r="B10" s="250" t="s">
        <v>1130</v>
      </c>
      <c r="C10" s="251">
        <v>1.5</v>
      </c>
      <c r="D10" s="250" t="s">
        <v>1131</v>
      </c>
      <c r="E10" s="250" t="s">
        <v>1132</v>
      </c>
      <c r="F10" s="250" t="s">
        <v>1107</v>
      </c>
      <c r="G10" s="250" t="s">
        <v>1133</v>
      </c>
      <c r="H10" s="250" t="s">
        <v>1128</v>
      </c>
    </row>
    <row r="11" ht="48.0" customHeight="1">
      <c r="A11" s="250" t="s">
        <v>1134</v>
      </c>
      <c r="B11" s="250" t="s">
        <v>1135</v>
      </c>
      <c r="C11" s="251">
        <v>2.0</v>
      </c>
      <c r="D11" s="250" t="s">
        <v>1136</v>
      </c>
      <c r="E11" s="250" t="s">
        <v>1137</v>
      </c>
      <c r="F11" s="250" t="s">
        <v>1107</v>
      </c>
      <c r="G11" s="250" t="s">
        <v>1138</v>
      </c>
      <c r="H11" s="250" t="s">
        <v>1139</v>
      </c>
    </row>
    <row r="12" ht="48.0" customHeight="1">
      <c r="A12" s="250" t="s">
        <v>1140</v>
      </c>
      <c r="B12" s="250" t="s">
        <v>1141</v>
      </c>
      <c r="C12" s="251">
        <v>1.0</v>
      </c>
      <c r="D12" s="250" t="s">
        <v>1142</v>
      </c>
      <c r="E12" s="250" t="s">
        <v>1143</v>
      </c>
      <c r="F12" s="250" t="s">
        <v>1107</v>
      </c>
      <c r="G12" s="250" t="s">
        <v>1144</v>
      </c>
      <c r="H12" s="250" t="s">
        <v>1109</v>
      </c>
    </row>
    <row r="13" ht="48.0" customHeight="1">
      <c r="A13" s="250" t="s">
        <v>1145</v>
      </c>
      <c r="B13" s="250" t="s">
        <v>1146</v>
      </c>
      <c r="C13" s="251">
        <v>2.0</v>
      </c>
      <c r="D13" s="250" t="s">
        <v>1147</v>
      </c>
      <c r="E13" s="250" t="s">
        <v>1148</v>
      </c>
      <c r="F13" s="250" t="s">
        <v>1107</v>
      </c>
      <c r="G13" s="250" t="s">
        <v>1149</v>
      </c>
      <c r="H13" s="250" t="s">
        <v>1109</v>
      </c>
    </row>
    <row r="14" ht="48.0" customHeight="1">
      <c r="A14" s="250" t="s">
        <v>1150</v>
      </c>
      <c r="B14" s="250" t="s">
        <v>1151</v>
      </c>
      <c r="C14" s="251">
        <v>1.5</v>
      </c>
      <c r="D14" s="250" t="s">
        <v>1152</v>
      </c>
      <c r="E14" s="250" t="s">
        <v>1153</v>
      </c>
      <c r="F14" s="250" t="s">
        <v>1110</v>
      </c>
      <c r="G14" s="250" t="s">
        <v>1154</v>
      </c>
      <c r="H14" s="250" t="s">
        <v>1128</v>
      </c>
    </row>
    <row r="15" ht="48.0" customHeight="1">
      <c r="A15" s="250" t="s">
        <v>1150</v>
      </c>
      <c r="B15" s="250" t="s">
        <v>1155</v>
      </c>
      <c r="C15" s="251">
        <v>4.0</v>
      </c>
      <c r="D15" s="250" t="s">
        <v>1156</v>
      </c>
      <c r="E15" s="250" t="s">
        <v>1157</v>
      </c>
      <c r="F15" s="250" t="s">
        <v>1158</v>
      </c>
      <c r="G15" s="250" t="s">
        <v>1159</v>
      </c>
      <c r="H15" s="250" t="s">
        <v>1160</v>
      </c>
    </row>
    <row r="16" ht="48.0" customHeight="1">
      <c r="A16" s="250" t="s">
        <v>1150</v>
      </c>
      <c r="B16" s="250" t="s">
        <v>1161</v>
      </c>
      <c r="C16" s="251">
        <v>2.5</v>
      </c>
      <c r="D16" s="250" t="s">
        <v>211</v>
      </c>
      <c r="E16" s="250" t="s">
        <v>1162</v>
      </c>
      <c r="F16" s="250" t="s">
        <v>211</v>
      </c>
      <c r="G16" s="250" t="s">
        <v>1163</v>
      </c>
      <c r="H16" s="250" t="s">
        <v>1164</v>
      </c>
    </row>
    <row r="17" ht="48.0" customHeight="1">
      <c r="A17" s="250" t="s">
        <v>1165</v>
      </c>
      <c r="B17" s="250" t="s">
        <v>1166</v>
      </c>
      <c r="C17" s="251">
        <v>1.5</v>
      </c>
      <c r="D17" s="250" t="s">
        <v>115</v>
      </c>
      <c r="E17" s="250" t="s">
        <v>820</v>
      </c>
      <c r="F17" s="250" t="s">
        <v>1167</v>
      </c>
      <c r="G17" s="250" t="s">
        <v>1168</v>
      </c>
      <c r="H17" s="250" t="s">
        <v>1169</v>
      </c>
    </row>
    <row r="18" ht="48.0" customHeight="1">
      <c r="A18" s="250" t="s">
        <v>996</v>
      </c>
      <c r="B18" s="250" t="s">
        <v>1170</v>
      </c>
      <c r="C18" s="251">
        <v>3.0</v>
      </c>
      <c r="D18" s="250" t="s">
        <v>115</v>
      </c>
      <c r="E18" s="250" t="s">
        <v>829</v>
      </c>
      <c r="F18" s="250" t="s">
        <v>1167</v>
      </c>
      <c r="G18" s="250" t="s">
        <v>1171</v>
      </c>
      <c r="H18" s="250" t="s">
        <v>1169</v>
      </c>
    </row>
    <row r="19" ht="48.0" customHeight="1">
      <c r="A19" s="250" t="s">
        <v>996</v>
      </c>
      <c r="B19" s="250" t="s">
        <v>1172</v>
      </c>
      <c r="C19" s="251">
        <v>4.0</v>
      </c>
      <c r="D19" s="250" t="s">
        <v>115</v>
      </c>
      <c r="E19" s="250" t="s">
        <v>834</v>
      </c>
      <c r="F19" s="250" t="s">
        <v>1167</v>
      </c>
      <c r="G19" s="250" t="s">
        <v>1173</v>
      </c>
      <c r="H19" s="250" t="s">
        <v>1169</v>
      </c>
    </row>
    <row r="20" ht="48.0" customHeight="1">
      <c r="A20" s="250" t="s">
        <v>996</v>
      </c>
      <c r="B20" s="250" t="s">
        <v>1174</v>
      </c>
      <c r="C20" s="251">
        <v>3.0</v>
      </c>
      <c r="D20" s="250" t="s">
        <v>115</v>
      </c>
      <c r="E20" s="250" t="s">
        <v>838</v>
      </c>
      <c r="F20" s="250" t="s">
        <v>1167</v>
      </c>
      <c r="G20" s="250" t="s">
        <v>1175</v>
      </c>
      <c r="H20" s="250" t="s">
        <v>1169</v>
      </c>
    </row>
    <row r="21" ht="48.0" customHeight="1">
      <c r="A21" s="250" t="s">
        <v>1176</v>
      </c>
      <c r="B21" s="250" t="s">
        <v>88</v>
      </c>
      <c r="C21" s="251">
        <v>3.0</v>
      </c>
      <c r="D21" s="250" t="s">
        <v>115</v>
      </c>
      <c r="E21" s="250" t="s">
        <v>1177</v>
      </c>
      <c r="F21" s="250" t="s">
        <v>1167</v>
      </c>
      <c r="G21" s="250" t="s">
        <v>1178</v>
      </c>
      <c r="H21" s="250" t="s">
        <v>1169</v>
      </c>
    </row>
    <row r="22" ht="48.0" customHeight="1">
      <c r="A22" s="250" t="s">
        <v>184</v>
      </c>
      <c r="B22" s="250" t="s">
        <v>542</v>
      </c>
      <c r="C22" s="251">
        <v>4.0</v>
      </c>
      <c r="D22" s="250" t="s">
        <v>1179</v>
      </c>
      <c r="E22" s="250" t="s">
        <v>1180</v>
      </c>
      <c r="F22" s="250" t="s">
        <v>1110</v>
      </c>
      <c r="G22" s="250" t="s">
        <v>1181</v>
      </c>
      <c r="H22" s="250" t="s">
        <v>1182</v>
      </c>
    </row>
    <row r="23" ht="48.0" customHeight="1">
      <c r="A23" s="250" t="s">
        <v>184</v>
      </c>
      <c r="B23" s="250" t="s">
        <v>572</v>
      </c>
      <c r="C23" s="251">
        <v>2.0</v>
      </c>
      <c r="D23" s="250" t="s">
        <v>1183</v>
      </c>
      <c r="E23" s="250" t="s">
        <v>1184</v>
      </c>
      <c r="F23" s="250" t="s">
        <v>1110</v>
      </c>
      <c r="G23" s="250" t="s">
        <v>1185</v>
      </c>
      <c r="H23" s="250" t="s">
        <v>1186</v>
      </c>
    </row>
    <row r="24" ht="48.0" customHeight="1">
      <c r="A24" s="250" t="s">
        <v>184</v>
      </c>
      <c r="B24" s="250" t="s">
        <v>1187</v>
      </c>
      <c r="C24" s="251">
        <v>1.0</v>
      </c>
      <c r="D24" s="250" t="s">
        <v>1110</v>
      </c>
      <c r="E24" s="250" t="s">
        <v>1057</v>
      </c>
      <c r="F24" s="250" t="s">
        <v>1110</v>
      </c>
      <c r="G24" s="250" t="s">
        <v>665</v>
      </c>
      <c r="H24" s="250" t="s">
        <v>1188</v>
      </c>
    </row>
    <row r="25" ht="48.0" customHeight="1">
      <c r="A25" s="250" t="s">
        <v>1189</v>
      </c>
      <c r="B25" s="250" t="s">
        <v>1190</v>
      </c>
      <c r="C25" s="251">
        <v>1.5</v>
      </c>
      <c r="D25" s="250" t="s">
        <v>1191</v>
      </c>
      <c r="E25" s="250" t="s">
        <v>1192</v>
      </c>
      <c r="F25" s="250" t="s">
        <v>1193</v>
      </c>
      <c r="G25" s="250" t="s">
        <v>1194</v>
      </c>
      <c r="H25" s="250" t="s">
        <v>1109</v>
      </c>
    </row>
    <row r="26" ht="48.0" customHeight="1">
      <c r="A26" s="250" t="s">
        <v>964</v>
      </c>
      <c r="B26" s="250" t="s">
        <v>1195</v>
      </c>
      <c r="C26" s="251">
        <v>1.5</v>
      </c>
      <c r="D26" s="250" t="s">
        <v>918</v>
      </c>
      <c r="E26" s="250" t="s">
        <v>967</v>
      </c>
      <c r="F26" s="250" t="s">
        <v>211</v>
      </c>
      <c r="G26" s="250" t="s">
        <v>1196</v>
      </c>
      <c r="H26" s="250" t="s">
        <v>1197</v>
      </c>
    </row>
    <row r="27" ht="48.0" customHeight="1">
      <c r="A27" s="250" t="s">
        <v>1198</v>
      </c>
      <c r="B27" s="250" t="s">
        <v>125</v>
      </c>
      <c r="C27" s="251">
        <v>3.0</v>
      </c>
      <c r="D27" s="250" t="s">
        <v>1110</v>
      </c>
      <c r="E27" s="250" t="s">
        <v>1086</v>
      </c>
      <c r="F27" s="250" t="s">
        <v>1110</v>
      </c>
      <c r="G27" s="250" t="s">
        <v>1199</v>
      </c>
      <c r="H27" s="250" t="s">
        <v>1200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2.0"/>
    <col customWidth="1" min="2" max="2" width="38.0"/>
    <col customWidth="1" min="3" max="3" width="18.0"/>
    <col customWidth="1" min="4" max="4" width="52.0"/>
    <col customWidth="1" min="5" max="5" width="34.0"/>
    <col customWidth="1" min="6" max="6" width="18.0"/>
    <col customWidth="1" min="7" max="7" width="38.0"/>
    <col customWidth="1" min="8" max="8" width="24.0"/>
    <col customWidth="1" min="9" max="26" width="8.71"/>
  </cols>
  <sheetData>
    <row r="1" ht="33.75" customHeight="1">
      <c r="A1" s="279" t="s">
        <v>1202</v>
      </c>
    </row>
    <row r="2" ht="39.75" customHeight="1">
      <c r="A2" s="280" t="s">
        <v>1203</v>
      </c>
    </row>
    <row r="3">
      <c r="A3" s="19"/>
      <c r="B3" s="19"/>
      <c r="C3" s="19"/>
      <c r="D3" s="19"/>
      <c r="E3" s="19"/>
      <c r="F3" s="19"/>
      <c r="G3" s="19"/>
      <c r="H3" s="19"/>
    </row>
    <row r="4">
      <c r="A4" s="281" t="s">
        <v>233</v>
      </c>
      <c r="B4" s="281"/>
      <c r="C4" s="282" t="s">
        <v>1204</v>
      </c>
      <c r="D4" s="282"/>
      <c r="E4" s="283" t="s">
        <v>538</v>
      </c>
      <c r="F4" s="283"/>
      <c r="G4" s="284" t="s">
        <v>1205</v>
      </c>
      <c r="H4" s="284"/>
    </row>
    <row r="5">
      <c r="A5" s="281">
        <v>61.0</v>
      </c>
      <c r="B5" s="281"/>
      <c r="C5" s="282">
        <v>51.0</v>
      </c>
      <c r="D5" s="282"/>
      <c r="E5" s="283">
        <v>9.0</v>
      </c>
      <c r="F5" s="283"/>
      <c r="G5" s="284">
        <v>77.0</v>
      </c>
      <c r="H5" s="284"/>
    </row>
    <row r="6">
      <c r="A6" s="281" t="s">
        <v>1206</v>
      </c>
      <c r="B6" s="281"/>
      <c r="C6" s="282" t="s">
        <v>1207</v>
      </c>
      <c r="D6" s="282"/>
      <c r="E6" s="283" t="s">
        <v>1208</v>
      </c>
      <c r="F6" s="283"/>
      <c r="G6" s="284" t="s">
        <v>1209</v>
      </c>
      <c r="H6" s="284"/>
    </row>
    <row r="7">
      <c r="A7" s="19"/>
      <c r="B7" s="19"/>
      <c r="C7" s="19"/>
      <c r="D7" s="19"/>
      <c r="E7" s="19"/>
      <c r="F7" s="19"/>
      <c r="G7" s="19"/>
      <c r="H7" s="19"/>
    </row>
    <row r="8">
      <c r="A8" s="211" t="s">
        <v>1210</v>
      </c>
      <c r="B8" s="211" t="s">
        <v>1211</v>
      </c>
      <c r="C8" s="211" t="s">
        <v>1212</v>
      </c>
      <c r="D8" s="211" t="s">
        <v>1213</v>
      </c>
      <c r="E8" s="211" t="s">
        <v>219</v>
      </c>
      <c r="F8" s="211" t="s">
        <v>1214</v>
      </c>
      <c r="G8" s="211" t="s">
        <v>1215</v>
      </c>
      <c r="H8" s="211" t="s">
        <v>1216</v>
      </c>
    </row>
    <row r="9" ht="51.75" customHeight="1">
      <c r="A9" s="285">
        <v>1.0</v>
      </c>
      <c r="B9" s="285" t="s">
        <v>1217</v>
      </c>
      <c r="C9" s="285" t="s">
        <v>1218</v>
      </c>
      <c r="D9" s="285" t="s">
        <v>1219</v>
      </c>
      <c r="E9" s="285" t="s">
        <v>1220</v>
      </c>
      <c r="F9" s="285" t="s">
        <v>1221</v>
      </c>
      <c r="G9" s="285" t="s">
        <v>1222</v>
      </c>
      <c r="H9" s="285" t="s">
        <v>1223</v>
      </c>
    </row>
    <row r="10" ht="51.75" customHeight="1">
      <c r="A10" s="285">
        <v>2.0</v>
      </c>
      <c r="B10" s="285" t="s">
        <v>1224</v>
      </c>
      <c r="C10" s="285" t="s">
        <v>1225</v>
      </c>
      <c r="D10" s="285" t="s">
        <v>1226</v>
      </c>
      <c r="E10" s="285" t="s">
        <v>1227</v>
      </c>
      <c r="F10" s="285" t="s">
        <v>1228</v>
      </c>
      <c r="G10" s="285" t="s">
        <v>1229</v>
      </c>
      <c r="H10" s="285" t="s">
        <v>1230</v>
      </c>
    </row>
    <row r="11" ht="51.75" customHeight="1">
      <c r="A11" s="285">
        <v>3.0</v>
      </c>
      <c r="B11" s="285" t="s">
        <v>1231</v>
      </c>
      <c r="C11" s="285" t="s">
        <v>1232</v>
      </c>
      <c r="D11" s="285" t="s">
        <v>1233</v>
      </c>
      <c r="E11" s="285" t="s">
        <v>1234</v>
      </c>
      <c r="F11" s="285" t="s">
        <v>1235</v>
      </c>
      <c r="G11" s="285" t="s">
        <v>1236</v>
      </c>
      <c r="H11" s="285" t="s">
        <v>1157</v>
      </c>
    </row>
    <row r="12" ht="51.75" customHeight="1">
      <c r="A12" s="285">
        <v>4.0</v>
      </c>
      <c r="B12" s="285" t="s">
        <v>1237</v>
      </c>
      <c r="C12" s="285" t="s">
        <v>1238</v>
      </c>
      <c r="D12" s="285" t="s">
        <v>1239</v>
      </c>
      <c r="E12" s="285" t="s">
        <v>1240</v>
      </c>
      <c r="F12" s="285" t="s">
        <v>1241</v>
      </c>
      <c r="G12" s="285" t="s">
        <v>1242</v>
      </c>
      <c r="H12" s="285" t="s">
        <v>1243</v>
      </c>
    </row>
    <row r="13" ht="51.75" customHeight="1">
      <c r="A13" s="285">
        <v>5.0</v>
      </c>
      <c r="B13" s="285" t="s">
        <v>927</v>
      </c>
      <c r="C13" s="285" t="s">
        <v>1244</v>
      </c>
      <c r="D13" s="285" t="s">
        <v>1245</v>
      </c>
      <c r="E13" s="285" t="s">
        <v>1246</v>
      </c>
      <c r="F13" s="285" t="s">
        <v>1247</v>
      </c>
      <c r="G13" s="285" t="s">
        <v>1248</v>
      </c>
      <c r="H13" s="285" t="s">
        <v>744</v>
      </c>
    </row>
    <row r="14">
      <c r="A14" s="19"/>
      <c r="B14" s="19"/>
      <c r="C14" s="19"/>
      <c r="D14" s="19"/>
      <c r="E14" s="19"/>
      <c r="F14" s="19"/>
      <c r="G14" s="19"/>
      <c r="H14" s="19"/>
    </row>
    <row r="15">
      <c r="A15" s="34" t="s">
        <v>1249</v>
      </c>
    </row>
    <row r="16">
      <c r="A16" s="34" t="s">
        <v>216</v>
      </c>
      <c r="B16" s="34" t="s">
        <v>1099</v>
      </c>
      <c r="C16" s="34" t="s">
        <v>225</v>
      </c>
      <c r="D16" s="34" t="s">
        <v>1250</v>
      </c>
      <c r="E16" s="19"/>
      <c r="F16" s="19"/>
      <c r="G16" s="19"/>
      <c r="H16" s="19"/>
    </row>
    <row r="17" ht="39.75" customHeight="1">
      <c r="A17" s="19" t="s">
        <v>227</v>
      </c>
      <c r="B17" s="19" t="s">
        <v>165</v>
      </c>
      <c r="C17" s="19" t="s">
        <v>234</v>
      </c>
      <c r="D17" s="19" t="s">
        <v>235</v>
      </c>
      <c r="E17" s="19"/>
      <c r="F17" s="19"/>
      <c r="G17" s="19"/>
      <c r="H17" s="19"/>
    </row>
    <row r="18" ht="39.75" customHeight="1">
      <c r="A18" s="19" t="s">
        <v>236</v>
      </c>
      <c r="B18" s="19" t="s">
        <v>173</v>
      </c>
      <c r="C18" s="19" t="s">
        <v>234</v>
      </c>
      <c r="D18" s="19" t="s">
        <v>235</v>
      </c>
      <c r="E18" s="19"/>
      <c r="F18" s="19"/>
      <c r="G18" s="19"/>
      <c r="H18" s="19"/>
    </row>
    <row r="19" ht="39.75" customHeight="1">
      <c r="A19" s="19" t="s">
        <v>240</v>
      </c>
      <c r="B19" s="19" t="s">
        <v>182</v>
      </c>
      <c r="C19" s="19" t="s">
        <v>234</v>
      </c>
      <c r="D19" s="19" t="s">
        <v>235</v>
      </c>
      <c r="E19" s="19"/>
      <c r="F19" s="19"/>
      <c r="G19" s="19"/>
      <c r="H19" s="19"/>
    </row>
    <row r="20" ht="39.75" customHeight="1">
      <c r="A20" s="19" t="s">
        <v>246</v>
      </c>
      <c r="B20" s="19" t="s">
        <v>191</v>
      </c>
      <c r="C20" s="19" t="s">
        <v>234</v>
      </c>
      <c r="D20" s="19" t="s">
        <v>235</v>
      </c>
      <c r="E20" s="19"/>
      <c r="F20" s="19"/>
      <c r="G20" s="19"/>
      <c r="H20" s="19"/>
    </row>
    <row r="21" ht="39.75" customHeight="1">
      <c r="A21" s="19" t="s">
        <v>251</v>
      </c>
      <c r="B21" s="19" t="s">
        <v>195</v>
      </c>
      <c r="C21" s="19" t="s">
        <v>234</v>
      </c>
      <c r="D21" s="19" t="s">
        <v>235</v>
      </c>
      <c r="E21" s="19"/>
      <c r="F21" s="19"/>
      <c r="G21" s="19"/>
      <c r="H21" s="19"/>
    </row>
    <row r="22" ht="39.75" customHeight="1">
      <c r="A22" s="19" t="s">
        <v>257</v>
      </c>
      <c r="B22" s="19" t="s">
        <v>196</v>
      </c>
      <c r="C22" s="19" t="s">
        <v>234</v>
      </c>
      <c r="D22" s="19" t="s">
        <v>235</v>
      </c>
      <c r="E22" s="19"/>
      <c r="F22" s="19"/>
      <c r="G22" s="19"/>
      <c r="H22" s="19"/>
    </row>
    <row r="23" ht="39.75" customHeight="1">
      <c r="A23" s="19" t="s">
        <v>262</v>
      </c>
      <c r="B23" s="19" t="s">
        <v>197</v>
      </c>
      <c r="C23" s="19" t="s">
        <v>267</v>
      </c>
      <c r="D23" s="19" t="s">
        <v>268</v>
      </c>
      <c r="E23" s="19"/>
      <c r="F23" s="19"/>
      <c r="G23" s="19"/>
      <c r="H23" s="19"/>
    </row>
    <row r="24" ht="39.75" customHeight="1">
      <c r="A24" s="19" t="s">
        <v>269</v>
      </c>
      <c r="B24" s="19" t="s">
        <v>198</v>
      </c>
      <c r="C24" s="19" t="s">
        <v>267</v>
      </c>
      <c r="D24" s="19" t="s">
        <v>268</v>
      </c>
      <c r="E24" s="19"/>
      <c r="F24" s="19"/>
      <c r="G24" s="19"/>
      <c r="H24" s="19"/>
    </row>
    <row r="25" ht="39.75" customHeight="1">
      <c r="A25" s="19" t="s">
        <v>272</v>
      </c>
      <c r="B25" s="19" t="s">
        <v>199</v>
      </c>
      <c r="C25" s="19" t="s">
        <v>267</v>
      </c>
      <c r="D25" s="19" t="s">
        <v>268</v>
      </c>
      <c r="E25" s="19"/>
      <c r="F25" s="19"/>
      <c r="G25" s="19"/>
      <c r="H25" s="19"/>
    </row>
    <row r="26" ht="39.75" customHeight="1">
      <c r="A26" s="19" t="s">
        <v>276</v>
      </c>
      <c r="B26" s="19" t="s">
        <v>200</v>
      </c>
      <c r="C26" s="19" t="s">
        <v>267</v>
      </c>
      <c r="D26" s="19" t="s">
        <v>268</v>
      </c>
      <c r="E26" s="19"/>
      <c r="F26" s="19"/>
      <c r="G26" s="19"/>
      <c r="H26" s="19"/>
    </row>
    <row r="27" ht="39.75" customHeight="1">
      <c r="A27" s="19" t="s">
        <v>279</v>
      </c>
      <c r="B27" s="19" t="s">
        <v>201</v>
      </c>
      <c r="C27" s="19" t="s">
        <v>283</v>
      </c>
      <c r="D27" s="19" t="s">
        <v>268</v>
      </c>
      <c r="E27" s="19"/>
      <c r="F27" s="19"/>
      <c r="G27" s="19"/>
      <c r="H27" s="19"/>
    </row>
    <row r="28" ht="39.75" customHeight="1">
      <c r="A28" s="19" t="s">
        <v>290</v>
      </c>
      <c r="B28" s="19" t="s">
        <v>204</v>
      </c>
      <c r="C28" s="19" t="s">
        <v>267</v>
      </c>
      <c r="D28" s="19" t="s">
        <v>294</v>
      </c>
      <c r="E28" s="19"/>
      <c r="F28" s="19"/>
      <c r="G28" s="19"/>
      <c r="H28" s="19"/>
    </row>
    <row r="29" ht="15.75" customHeight="1">
      <c r="A29" s="19"/>
      <c r="B29" s="19"/>
      <c r="C29" s="19"/>
      <c r="D29" s="19"/>
      <c r="E29" s="19"/>
      <c r="F29" s="19"/>
      <c r="G29" s="19"/>
      <c r="H29" s="19"/>
    </row>
    <row r="30" ht="15.75" customHeight="1">
      <c r="A30" s="286" t="s">
        <v>1251</v>
      </c>
    </row>
    <row r="31" ht="15.75" customHeight="1">
      <c r="A31" s="286" t="s">
        <v>216</v>
      </c>
      <c r="B31" s="286" t="s">
        <v>1099</v>
      </c>
      <c r="C31" s="286" t="s">
        <v>225</v>
      </c>
      <c r="D31" s="286" t="s">
        <v>1252</v>
      </c>
      <c r="E31" s="19"/>
      <c r="F31" s="19"/>
      <c r="G31" s="19"/>
      <c r="H31" s="19"/>
    </row>
    <row r="32" ht="39.75" customHeight="1">
      <c r="A32" s="19" t="s">
        <v>284</v>
      </c>
      <c r="B32" s="19" t="s">
        <v>202</v>
      </c>
      <c r="C32" s="19" t="s">
        <v>267</v>
      </c>
      <c r="D32" s="19" t="s">
        <v>289</v>
      </c>
      <c r="E32" s="19"/>
      <c r="F32" s="19"/>
      <c r="G32" s="19"/>
      <c r="H32" s="19"/>
    </row>
    <row r="33" ht="39.75" customHeight="1">
      <c r="A33" s="19" t="s">
        <v>301</v>
      </c>
      <c r="B33" s="19" t="s">
        <v>207</v>
      </c>
      <c r="C33" s="19" t="s">
        <v>267</v>
      </c>
      <c r="D33" s="19" t="s">
        <v>289</v>
      </c>
      <c r="E33" s="19"/>
      <c r="F33" s="19"/>
      <c r="G33" s="19"/>
      <c r="H33" s="19"/>
    </row>
    <row r="34" ht="39.75" customHeight="1">
      <c r="A34" s="19" t="s">
        <v>304</v>
      </c>
      <c r="B34" s="19" t="s">
        <v>242</v>
      </c>
      <c r="C34" s="19" t="s">
        <v>267</v>
      </c>
      <c r="D34" s="19" t="s">
        <v>310</v>
      </c>
      <c r="E34" s="19"/>
      <c r="F34" s="19"/>
      <c r="G34" s="19"/>
      <c r="H34" s="19"/>
    </row>
    <row r="35" ht="39.75" customHeight="1">
      <c r="A35" s="19" t="s">
        <v>334</v>
      </c>
      <c r="B35" s="19" t="s">
        <v>335</v>
      </c>
      <c r="C35" s="19" t="s">
        <v>267</v>
      </c>
      <c r="D35" s="19" t="s">
        <v>310</v>
      </c>
      <c r="E35" s="19"/>
      <c r="F35" s="19"/>
      <c r="G35" s="19"/>
      <c r="H35" s="19"/>
    </row>
    <row r="36" ht="39.75" customHeight="1">
      <c r="A36" s="19" t="s">
        <v>349</v>
      </c>
      <c r="B36" s="19" t="s">
        <v>350</v>
      </c>
      <c r="C36" s="19" t="s">
        <v>267</v>
      </c>
      <c r="D36" s="19" t="s">
        <v>354</v>
      </c>
      <c r="E36" s="19"/>
      <c r="F36" s="19"/>
      <c r="G36" s="19"/>
      <c r="H36" s="19"/>
    </row>
    <row r="37" ht="39.75" customHeight="1">
      <c r="A37" s="19" t="s">
        <v>355</v>
      </c>
      <c r="B37" s="19" t="s">
        <v>356</v>
      </c>
      <c r="C37" s="19" t="s">
        <v>267</v>
      </c>
      <c r="D37" s="19" t="s">
        <v>359</v>
      </c>
      <c r="E37" s="19"/>
      <c r="F37" s="19"/>
      <c r="G37" s="19"/>
      <c r="H37" s="19"/>
    </row>
    <row r="38" ht="39.75" customHeight="1">
      <c r="A38" s="19" t="s">
        <v>364</v>
      </c>
      <c r="B38" s="19" t="s">
        <v>365</v>
      </c>
      <c r="C38" s="19" t="s">
        <v>267</v>
      </c>
      <c r="D38" s="19" t="s">
        <v>368</v>
      </c>
      <c r="E38" s="19"/>
      <c r="F38" s="19"/>
      <c r="G38" s="19"/>
      <c r="H38" s="19"/>
    </row>
    <row r="39" ht="39.75" customHeight="1">
      <c r="A39" s="19" t="s">
        <v>369</v>
      </c>
      <c r="B39" s="19" t="s">
        <v>370</v>
      </c>
      <c r="C39" s="19" t="s">
        <v>267</v>
      </c>
      <c r="D39" s="19" t="s">
        <v>310</v>
      </c>
      <c r="E39" s="19"/>
      <c r="F39" s="19"/>
      <c r="G39" s="19"/>
      <c r="H39" s="19"/>
    </row>
    <row r="40" ht="39.75" customHeight="1">
      <c r="A40" s="19" t="s">
        <v>394</v>
      </c>
      <c r="B40" s="19" t="s">
        <v>395</v>
      </c>
      <c r="C40" s="19" t="s">
        <v>267</v>
      </c>
      <c r="D40" s="19" t="s">
        <v>368</v>
      </c>
      <c r="E40" s="19"/>
      <c r="F40" s="19"/>
      <c r="G40" s="19"/>
      <c r="H40" s="19"/>
    </row>
    <row r="41" ht="39.75" customHeight="1">
      <c r="A41" s="19" t="s">
        <v>398</v>
      </c>
      <c r="B41" s="19" t="s">
        <v>399</v>
      </c>
      <c r="C41" s="19" t="s">
        <v>267</v>
      </c>
      <c r="D41" s="19" t="s">
        <v>310</v>
      </c>
      <c r="E41" s="19"/>
      <c r="F41" s="19"/>
      <c r="G41" s="19"/>
      <c r="H41" s="19"/>
    </row>
    <row r="42" ht="39.75" customHeight="1">
      <c r="A42" s="19" t="s">
        <v>424</v>
      </c>
      <c r="B42" s="19" t="s">
        <v>425</v>
      </c>
      <c r="C42" s="19" t="s">
        <v>267</v>
      </c>
      <c r="D42" s="19" t="s">
        <v>368</v>
      </c>
      <c r="E42" s="19"/>
      <c r="F42" s="19"/>
      <c r="G42" s="19"/>
      <c r="H42" s="19"/>
    </row>
    <row r="43" ht="39.75" customHeight="1">
      <c r="A43" s="19" t="s">
        <v>428</v>
      </c>
      <c r="B43" s="19" t="s">
        <v>429</v>
      </c>
      <c r="C43" s="19" t="s">
        <v>267</v>
      </c>
      <c r="D43" s="19" t="s">
        <v>310</v>
      </c>
      <c r="E43" s="19"/>
      <c r="F43" s="19"/>
      <c r="G43" s="19"/>
      <c r="H43" s="19"/>
    </row>
    <row r="44" ht="15.75" customHeight="1">
      <c r="A44" s="19"/>
      <c r="B44" s="19"/>
      <c r="C44" s="19"/>
      <c r="D44" s="19"/>
      <c r="E44" s="19"/>
      <c r="F44" s="19"/>
      <c r="G44" s="19"/>
      <c r="H44" s="19"/>
    </row>
    <row r="45" ht="15.75" customHeight="1">
      <c r="A45" s="18" t="s">
        <v>1253</v>
      </c>
    </row>
    <row r="46" ht="15.75" customHeight="1">
      <c r="A46" s="18" t="s">
        <v>216</v>
      </c>
      <c r="B46" s="18" t="s">
        <v>1099</v>
      </c>
      <c r="C46" s="18" t="s">
        <v>1254</v>
      </c>
      <c r="D46" s="18" t="s">
        <v>225</v>
      </c>
      <c r="E46" s="19"/>
      <c r="F46" s="19"/>
      <c r="G46" s="19"/>
      <c r="H46" s="19"/>
    </row>
    <row r="47" ht="39.75" customHeight="1">
      <c r="A47" s="19" t="s">
        <v>262</v>
      </c>
      <c r="B47" s="19" t="s">
        <v>197</v>
      </c>
      <c r="C47" s="19" t="s">
        <v>233</v>
      </c>
      <c r="D47" s="19" t="s">
        <v>267</v>
      </c>
      <c r="E47" s="19"/>
      <c r="F47" s="19"/>
      <c r="G47" s="19"/>
      <c r="H47" s="19"/>
    </row>
    <row r="48" ht="39.75" customHeight="1">
      <c r="A48" s="19" t="s">
        <v>269</v>
      </c>
      <c r="B48" s="19" t="s">
        <v>198</v>
      </c>
      <c r="C48" s="19" t="s">
        <v>233</v>
      </c>
      <c r="D48" s="19" t="s">
        <v>267</v>
      </c>
      <c r="E48" s="19"/>
      <c r="F48" s="19"/>
      <c r="G48" s="19"/>
      <c r="H48" s="19"/>
    </row>
    <row r="49" ht="39.75" customHeight="1">
      <c r="A49" s="19" t="s">
        <v>272</v>
      </c>
      <c r="B49" s="19" t="s">
        <v>199</v>
      </c>
      <c r="C49" s="19" t="s">
        <v>233</v>
      </c>
      <c r="D49" s="19" t="s">
        <v>267</v>
      </c>
      <c r="E49" s="19"/>
      <c r="F49" s="19"/>
      <c r="G49" s="19"/>
      <c r="H49" s="19"/>
    </row>
    <row r="50" ht="39.75" customHeight="1">
      <c r="A50" s="19" t="s">
        <v>276</v>
      </c>
      <c r="B50" s="19" t="s">
        <v>200</v>
      </c>
      <c r="C50" s="19" t="s">
        <v>233</v>
      </c>
      <c r="D50" s="19" t="s">
        <v>267</v>
      </c>
      <c r="E50" s="19"/>
      <c r="F50" s="19"/>
      <c r="G50" s="19"/>
      <c r="H50" s="19"/>
    </row>
    <row r="51" ht="39.75" customHeight="1">
      <c r="A51" s="19" t="s">
        <v>279</v>
      </c>
      <c r="B51" s="19" t="s">
        <v>201</v>
      </c>
      <c r="C51" s="19" t="s">
        <v>233</v>
      </c>
      <c r="D51" s="19" t="s">
        <v>283</v>
      </c>
      <c r="E51" s="19"/>
      <c r="F51" s="19"/>
      <c r="G51" s="19"/>
      <c r="H51" s="19"/>
    </row>
    <row r="52" ht="39.75" customHeight="1">
      <c r="A52" s="19" t="s">
        <v>284</v>
      </c>
      <c r="B52" s="19" t="s">
        <v>202</v>
      </c>
      <c r="C52" s="19" t="s">
        <v>288</v>
      </c>
      <c r="D52" s="19" t="s">
        <v>267</v>
      </c>
      <c r="E52" s="19"/>
      <c r="F52" s="19"/>
      <c r="G52" s="19"/>
      <c r="H52" s="19"/>
    </row>
    <row r="53" ht="39.75" customHeight="1">
      <c r="A53" s="19" t="s">
        <v>290</v>
      </c>
      <c r="B53" s="19" t="s">
        <v>204</v>
      </c>
      <c r="C53" s="19" t="s">
        <v>233</v>
      </c>
      <c r="D53" s="19" t="s">
        <v>267</v>
      </c>
      <c r="E53" s="19"/>
      <c r="F53" s="19"/>
      <c r="G53" s="19"/>
      <c r="H53" s="19"/>
    </row>
    <row r="54" ht="39.75" customHeight="1">
      <c r="A54" s="19" t="s">
        <v>295</v>
      </c>
      <c r="B54" s="19" t="s">
        <v>205</v>
      </c>
      <c r="C54" s="19" t="s">
        <v>233</v>
      </c>
      <c r="D54" s="19" t="s">
        <v>267</v>
      </c>
      <c r="E54" s="19"/>
      <c r="F54" s="19"/>
      <c r="G54" s="19"/>
      <c r="H54" s="19"/>
    </row>
    <row r="55" ht="39.75" customHeight="1">
      <c r="A55" s="19" t="s">
        <v>298</v>
      </c>
      <c r="B55" s="19" t="s">
        <v>206</v>
      </c>
      <c r="C55" s="19" t="s">
        <v>233</v>
      </c>
      <c r="D55" s="19" t="s">
        <v>267</v>
      </c>
      <c r="E55" s="19"/>
      <c r="F55" s="19"/>
      <c r="G55" s="19"/>
      <c r="H55" s="19"/>
    </row>
    <row r="56" ht="39.75" customHeight="1">
      <c r="A56" s="19" t="s">
        <v>301</v>
      </c>
      <c r="B56" s="19" t="s">
        <v>207</v>
      </c>
      <c r="C56" s="19" t="s">
        <v>288</v>
      </c>
      <c r="D56" s="19" t="s">
        <v>267</v>
      </c>
      <c r="E56" s="19"/>
      <c r="F56" s="19"/>
      <c r="G56" s="19"/>
      <c r="H56" s="19"/>
    </row>
    <row r="57" ht="39.75" customHeight="1">
      <c r="A57" s="19" t="s">
        <v>304</v>
      </c>
      <c r="B57" s="19" t="s">
        <v>242</v>
      </c>
      <c r="C57" s="19" t="s">
        <v>288</v>
      </c>
      <c r="D57" s="19" t="s">
        <v>267</v>
      </c>
      <c r="E57" s="19"/>
      <c r="F57" s="19"/>
      <c r="G57" s="19"/>
      <c r="H57" s="19"/>
    </row>
    <row r="58" ht="39.75" customHeight="1">
      <c r="A58" s="19" t="s">
        <v>311</v>
      </c>
      <c r="B58" s="19" t="s">
        <v>308</v>
      </c>
      <c r="C58" s="19" t="s">
        <v>233</v>
      </c>
      <c r="D58" s="19" t="s">
        <v>267</v>
      </c>
      <c r="E58" s="19"/>
      <c r="F58" s="19"/>
      <c r="G58" s="19"/>
      <c r="H58" s="19"/>
    </row>
    <row r="59" ht="15.75" customHeight="1">
      <c r="A59" s="19"/>
      <c r="B59" s="19"/>
      <c r="C59" s="19"/>
      <c r="D59" s="19"/>
      <c r="E59" s="19"/>
      <c r="F59" s="19"/>
      <c r="G59" s="19"/>
      <c r="H59" s="19"/>
    </row>
    <row r="60" ht="15.75" customHeight="1">
      <c r="A60" s="287" t="s">
        <v>1255</v>
      </c>
    </row>
    <row r="61" ht="15.75" customHeight="1">
      <c r="A61" s="287" t="s">
        <v>216</v>
      </c>
      <c r="B61" s="287" t="s">
        <v>1099</v>
      </c>
      <c r="C61" s="287" t="s">
        <v>641</v>
      </c>
      <c r="D61" s="287" t="s">
        <v>901</v>
      </c>
      <c r="E61" s="19"/>
      <c r="F61" s="19"/>
      <c r="G61" s="19"/>
      <c r="H61" s="19"/>
    </row>
    <row r="62" ht="39.75" customHeight="1">
      <c r="A62" s="19" t="s">
        <v>531</v>
      </c>
      <c r="B62" s="19" t="s">
        <v>532</v>
      </c>
      <c r="C62" s="19" t="s">
        <v>539</v>
      </c>
      <c r="D62" s="19" t="s">
        <v>540</v>
      </c>
      <c r="E62" s="19"/>
      <c r="F62" s="19"/>
      <c r="G62" s="19"/>
      <c r="H62" s="19"/>
    </row>
    <row r="63" ht="39.75" customHeight="1">
      <c r="A63" s="19" t="s">
        <v>820</v>
      </c>
      <c r="B63" s="19" t="s">
        <v>822</v>
      </c>
      <c r="C63" s="19" t="s">
        <v>539</v>
      </c>
      <c r="D63" s="19" t="s">
        <v>828</v>
      </c>
      <c r="E63" s="19"/>
      <c r="F63" s="19"/>
      <c r="G63" s="19"/>
      <c r="H63" s="19"/>
    </row>
    <row r="64" ht="39.75" customHeight="1">
      <c r="A64" s="19" t="s">
        <v>829</v>
      </c>
      <c r="B64" s="19" t="s">
        <v>830</v>
      </c>
      <c r="C64" s="19" t="s">
        <v>539</v>
      </c>
      <c r="D64" s="19" t="s">
        <v>828</v>
      </c>
      <c r="E64" s="19"/>
      <c r="F64" s="19"/>
      <c r="G64" s="19"/>
      <c r="H64" s="19"/>
    </row>
    <row r="65" ht="39.75" customHeight="1">
      <c r="A65" s="19" t="s">
        <v>834</v>
      </c>
      <c r="B65" s="19" t="s">
        <v>835</v>
      </c>
      <c r="C65" s="19" t="s">
        <v>539</v>
      </c>
      <c r="D65" s="19" t="s">
        <v>828</v>
      </c>
      <c r="E65" s="19"/>
      <c r="F65" s="19"/>
      <c r="G65" s="19"/>
      <c r="H65" s="19"/>
    </row>
    <row r="66" ht="39.75" customHeight="1">
      <c r="A66" s="19" t="s">
        <v>838</v>
      </c>
      <c r="B66" s="19" t="s">
        <v>839</v>
      </c>
      <c r="C66" s="19" t="s">
        <v>539</v>
      </c>
      <c r="D66" s="19" t="s">
        <v>828</v>
      </c>
      <c r="E66" s="19"/>
      <c r="F66" s="19"/>
      <c r="G66" s="19"/>
      <c r="H66" s="19"/>
    </row>
    <row r="67" ht="39.75" customHeight="1">
      <c r="A67" s="19" t="s">
        <v>842</v>
      </c>
      <c r="B67" s="19" t="s">
        <v>844</v>
      </c>
      <c r="C67" s="19" t="s">
        <v>539</v>
      </c>
      <c r="D67" s="19" t="s">
        <v>828</v>
      </c>
      <c r="E67" s="19"/>
      <c r="F67" s="19"/>
      <c r="G67" s="19"/>
      <c r="H67" s="19"/>
    </row>
    <row r="68" ht="39.75" customHeight="1">
      <c r="A68" s="19" t="s">
        <v>848</v>
      </c>
      <c r="B68" s="19" t="s">
        <v>849</v>
      </c>
      <c r="C68" s="19" t="s">
        <v>539</v>
      </c>
      <c r="D68" s="19" t="s">
        <v>828</v>
      </c>
      <c r="E68" s="19"/>
      <c r="F68" s="19"/>
      <c r="G68" s="19"/>
      <c r="H68" s="19"/>
    </row>
    <row r="69" ht="39.75" customHeight="1">
      <c r="A69" s="19" t="s">
        <v>853</v>
      </c>
      <c r="B69" s="19" t="s">
        <v>854</v>
      </c>
      <c r="C69" s="19" t="s">
        <v>539</v>
      </c>
      <c r="D69" s="19" t="s">
        <v>828</v>
      </c>
      <c r="E69" s="19"/>
      <c r="F69" s="19"/>
      <c r="G69" s="19"/>
      <c r="H69" s="19"/>
    </row>
    <row r="70" ht="39.75" customHeight="1">
      <c r="A70" s="19" t="s">
        <v>858</v>
      </c>
      <c r="B70" s="19" t="s">
        <v>859</v>
      </c>
      <c r="C70" s="19" t="s">
        <v>539</v>
      </c>
      <c r="D70" s="19" t="s">
        <v>828</v>
      </c>
      <c r="E70" s="19"/>
      <c r="F70" s="19"/>
      <c r="G70" s="19"/>
      <c r="H70" s="19"/>
    </row>
    <row r="71" ht="15.75" customHeight="1">
      <c r="A71" s="19"/>
      <c r="B71" s="19"/>
      <c r="C71" s="19"/>
      <c r="D71" s="19"/>
      <c r="E71" s="19"/>
      <c r="F71" s="19"/>
      <c r="G71" s="19"/>
      <c r="H71" s="19"/>
    </row>
    <row r="72" ht="15.75" customHeight="1">
      <c r="A72" s="19"/>
      <c r="B72" s="19"/>
      <c r="C72" s="19"/>
      <c r="D72" s="19"/>
      <c r="E72" s="19"/>
      <c r="F72" s="19"/>
      <c r="G72" s="19"/>
      <c r="H72" s="19"/>
    </row>
    <row r="73" ht="15.75" customHeight="1">
      <c r="A73" s="19"/>
      <c r="B73" s="19"/>
      <c r="C73" s="19"/>
      <c r="D73" s="19"/>
      <c r="E73" s="19"/>
      <c r="F73" s="19"/>
      <c r="G73" s="19"/>
      <c r="H73" s="19"/>
    </row>
    <row r="74" ht="15.75" customHeight="1">
      <c r="A74" s="19"/>
      <c r="B74" s="19"/>
      <c r="C74" s="19"/>
      <c r="D74" s="19"/>
      <c r="E74" s="19"/>
      <c r="F74" s="19"/>
      <c r="G74" s="19"/>
      <c r="H74" s="19"/>
    </row>
    <row r="75" ht="15.75" customHeight="1">
      <c r="A75" s="19"/>
      <c r="B75" s="19"/>
      <c r="C75" s="19"/>
      <c r="D75" s="19"/>
      <c r="E75" s="19"/>
      <c r="F75" s="19"/>
      <c r="G75" s="19"/>
      <c r="H75" s="19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A1:H1"/>
    <mergeCell ref="A2:H2"/>
    <mergeCell ref="A15:H15"/>
    <mergeCell ref="A30:H30"/>
    <mergeCell ref="A45:H45"/>
    <mergeCell ref="A60:H60"/>
  </mergeCells>
  <printOptions/>
  <pageMargins bottom="0.75" footer="0.0" header="0.0" left="0.7" right="0.7" top="0.75"/>
  <pageSetup orientation="landscape"/>
  <drawing r:id="rId1"/>
</worksheet>
</file>