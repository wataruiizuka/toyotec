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a0c362deb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入力規則設定" sheetId="4" r:id="R87028c087a074ba6"/>
    <x:sheet xmlns:r="http://schemas.openxmlformats.org/officeDocument/2006/relationships" name="WBS_テンプレ" sheetId="3" r:id="R167cf0d9d5ea41bb"/>
    <x:sheet xmlns:r="http://schemas.openxmlformats.org/officeDocument/2006/relationships" name="_old_WBS_Kuduバージョン" sheetId="1" r:id="R874de5d3961e4be1"/>
    <x:sheet xmlns:r="http://schemas.openxmlformats.org/officeDocument/2006/relationships" name="ref_祝日・トヨテック休日一覧2026" sheetId="2" r:id="R4167d66d849942a4"/>
    <x:sheet xmlns:r="http://schemas.openxmlformats.org/officeDocument/2006/relationships" name="WBS_閲覧用" sheetId="5" r:id="Rbea6968b7c6b4337"/>
    <x:sheet xmlns:r="http://schemas.openxmlformats.org/officeDocument/2006/relationships" name="WBS_方針変更記録" sheetId="6" r:id="R58e49fdcb8154c2f"/>
    <x:sheet xmlns:r="http://schemas.openxmlformats.org/officeDocument/2006/relationships" name="WBS工数配賦" sheetId="7" r:id="R6a6c5a3cde11459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<x:sst xmlns:x="http://schemas.openxmlformats.org/spreadsheetml/2006/main">
  <x:si>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範囲</x:t>
  </x:si>
  <x:si>
    <x:t xml:space="preserve">入力規則</x:t>
  </x:si>
  <x:si>
    <x:t xml:space="preserve">A:D</x:t>
  </x:si>
  <x:si>
    <x:t xml:space="preserve">自由入力</x:t>
  </x:si>
  <x:si>
    <x:t xml:space="preserve">E:H</x:t>
  </x:si>
  <x:si>
    <x:t xml:space="preserve">編集禁止</x:t>
  </x:si>
  <x:si>
    <x:t xml:space="preserve">J:J</x:t>
  </x:si>
  <x:si>
    <x:t xml:space="preserve">チーム一覧</x:t>
  </x:si>
  <x:si>
    <x:t xml:space="preserve">M:M</x:t>
  </x:si>
  <x:si>
    <x:t xml:space="preserve">ステータス一覧</x:t>
  </x:si>
  <x:si>
    <x:t xml:space="preserve">入力用</x:t>
  </x:si>
  <x:si>
    <x:t xml:space="preserve">表示用</x:t>
  </x:si>
  <x:si>
    <x:t xml:space="preserve">大項目</x:t>
  </x:si>
  <x:si>
    <x:t xml:space="preserve">中項目</x:t>
  </x:si>
  <x:si>
    <x:t xml:space="preserve">小項目</x:t>
  </x:si>
  <x:si>
    <x:t xml:space="preserve">プロジェクト</x:t>
  </x:si>
  <x:si>
    <x:t xml:space="preserve">タスク明細</x:t>
  </x:si>
  <x:si>
    <x:t xml:space="preserve">担当</x:t>
  </x:si>
  <x:si>
    <x:t xml:space="preserve">PROEVER情報</x:t>
  </x:si>
  <x:si>
    <x:t xml:space="preserve">スケジュール</x:t>
  </x:si>
  <x:si>
    <x:t xml:space="preserve">ステータス</x:t>
  </x:si>
  <x:si>
    <x:t xml:space="preserve">タイトル</x:t>
  </x:si>
  <x:si>
    <x:t xml:space="preserve">中項番</x:t>
  </x:si>
  <x:si>
    <x:t xml:space="preserve">小項番</x:t>
  </x:si>
  <x:si>
    <x:t xml:space="preserve">チーム</x:t>
  </x:si>
  <x:si>
    <x:t xml:space="preserve">担当者</x:t>
  </x:si>
  <x:si>
    <x:t xml:space="preserve">URL</x:t>
  </x:si>
  <x:si>
    <x:t xml:space="preserve">タイトル（自動作成）</x:t>
  </x:si>
  <x:si>
    <x:t xml:space="preserve">開始日</x:t>
  </x:si>
  <x:si>
    <x:t xml:space="preserve">終了日</x:t>
  </x:si>
  <x:si>
    <x:t xml:space="preserve">-</x:t>
  </x:si>
  <x:si>
    <x:t xml:space="preserve">Kuduバージョン</x:t>
  </x:si>
  <x:si>
    <x:t xml:space="preserve">※タスクの項番はDX道場チーム資料準拠</x:t>
  </x:si>
  <x:si>
    <x:t xml:space="preserve">Sprint7</x:t>
  </x:si>
  <x:si>
    <x:t xml:space="preserve">Sprint8</x:t>
  </x:si>
  <x:si>
    <x:t xml:space="preserve">Sprint9</x:t>
  </x:si>
  <x:si>
    <x:t xml:space="preserve">夏休みーー</x:t>
  </x:si>
  <x:si>
    <x:t xml:space="preserve">ーーー</x:t>
  </x:si>
  <x:si>
    <x:t xml:space="preserve">ーー＞</x:t>
  </x:si>
  <x:si>
    <x:t xml:space="preserve">Sprint10</x:t>
  </x:si>
  <x:si>
    <x:t xml:space="preserve">Sprint11</x:t>
  </x:si>
  <x:si>
    <x:t xml:space="preserve">Sprint12</x:t>
  </x:si>
  <x:si>
    <x:t xml:space="preserve">Sprint13</x:t>
  </x:si>
  <x:si>
    <x:t xml:space="preserve">項番</x:t>
  </x:si>
  <x:si>
    <x:t xml:space="preserve">PROEVER URL</x:t>
  </x:si>
  <x:si>
    <x:t xml:space="preserve">月</x:t>
  </x:si>
  <x:si>
    <x:t xml:space="preserve">火</x:t>
  </x:si>
  <x:si>
    <x:t xml:space="preserve">水</x:t>
  </x:si>
  <x:si>
    <x:t xml:space="preserve">木</x:t>
  </x:si>
  <x:si>
    <x:t xml:space="preserve">金</x:t>
  </x:si>
  <x:si>
    <x:t xml:space="preserve">土</x:t>
  </x:si>
  <x:si>
    <x:t xml:space="preserve">日</x:t>
  </x:si>
  <x:si>
    <x:t xml:space="preserve">Dataviz</x:t>
  </x:si>
  <x:si>
    <x:t xml:space="preserve">プロジェクト管理</x:t>
  </x:si>
  <x:si>
    <x:t xml:space="preserve">PowerBI関連</x:t>
  </x:si>
  <x:si>
    <x:t xml:space="preserve">DX道場</x:t>
  </x:si>
  <x:si>
    <x:t xml:space="preserve">進行中</x:t>
  </x:si>
  <x:si>
    <x:t xml:space="preserve">dataviz関連</x:t>
  </x:si>
  <x:si>
    <x:t xml:space="preserve">PowerBI帳票仕様変更対応</x:t>
  </x:si>
  <x:si>
    <x:t xml:space="preserve">NEO帳票仕様変更対応(仕様変更と全国展開対応)</x:t>
  </x:si>
  <x:si>
    <x:t xml:space="preserve">問合せ</x:t>
  </x:si>
  <x:si>
    <x:t xml:space="preserve">顧客問合せ対応</x:t>
  </x:si>
  <x:si>
    <x:t xml:space="preserve">dataviz開発（既存機能）</x:t>
  </x:si>
  <x:si>
    <x:t xml:space="preserve">残った帳票の開発（SMB空き枠カレンダー、新車受注分析、長崎_経営ダッシュボード 、マスタメンテナンス機能の一部）</x:t>
  </x:si>
  <x:si>
    <x:t xml:space="preserve">dataviz開発（マージ対応）</x:t>
  </x:si>
  <x:si>
    <x:t xml:space="preserve">新車受注分析</x:t>
  </x:si>
  <x:si>
    <x:t xml:space="preserve">準備中</x:t>
  </x:si>
  <x:si>
    <x:t xml:space="preserve">中古車受注分析（マスタ画面含め）</x:t>
  </x:si>
  <x:si>
    <x:t xml:space="preserve">中古車仕入・在庫情報</x:t>
  </x:si>
  <x:si>
    <x:t xml:space="preserve">市場処置の実施状況と部品管理見える化</x:t>
  </x:si>
  <x:si>
    <x:t xml:space="preserve">NEO 契約№変更対応の帳票改修</x:t>
  </x:si>
  <x:si>
    <x:t xml:space="preserve">ストール充足率の見える化</x:t>
  </x:si>
  <x:si>
    <x:t xml:space="preserve">A</x:t>
  </x:si>
  <x:si>
    <x:t xml:space="preserve">事前準備</x:t>
  </x:si>
  <x:si>
    <x:t xml:space="preserve">Dataviz構成図整理</x:t>
  </x:si>
  <x:si>
    <x:t xml:space="preserve">インフラ</x:t>
  </x:si>
  <x:si>
    <x:t xml:space="preserve">Schiffer</x:t>
  </x:si>
  <x:si>
    <x:t xml:space="preserve">【DATA VIZ】コンポーネント図作成 | PROEVER</x:t>
  </x:si>
  <x:si>
    <x:t xml:space="preserve">B</x:t>
  </x:si>
  <x:si>
    <x:t xml:space="preserve">WBS作成</x:t>
  </x:si>
  <x:si>
    <x:t xml:space="preserve">木村</x:t>
  </x:si>
  <x:si>
    <x:t xml:space="preserve">【Data Viz】WBS詳細の作成 | PROEVER</x:t>
  </x:si>
  <x:si>
    <x:t xml:space="preserve">権限設計</x:t>
  </x:si>
  <x:si>
    <x:t xml:space="preserve">各販社のユーザー情報収集</x:t>
  </x:si>
  <x:si>
    <x:t xml:space="preserve">Ranger権限設定のデモのスクリプト作成とインフラチームへの説明</x:t>
  </x:si>
  <x:si>
    <x:t xml:space="preserve">C</x:t>
  </x:si>
  <x:si>
    <x:t xml:space="preserve">Ranger権限設定のレビュー（Clouderaに連携）</x:t>
  </x:si>
  <x:si>
    <x:t xml:space="preserve">各販社ユーザー向けRangeロール作成（検証環境）</x:t>
  </x:si>
  <x:si>
    <x:t xml:space="preserve">各販社ユーザー向けユーザ権限付与（検証環境）</x:t>
  </x:si>
  <x:si>
    <x:t xml:space="preserve">Dataviz関連ユーザ権限設計レビュー（設計は６月にやった）</x:t>
  </x:si>
  <x:si>
    <x:t xml:space="preserve">Dataviz関連ユーザ権限設計検証</x:t>
  </x:si>
  <x:si>
    <x:t xml:space="preserve">D</x:t>
  </x:si>
  <x:si>
    <x:t xml:space="preserve">認証方式変更</x:t>
  </x:si>
  <x:si>
    <x:t xml:space="preserve">GAC申請</x:t>
  </x:si>
  <x:si>
    <x:r>
      <x:rPr>
        <x:sz val="11"/>
        <x:color rgb="FF000000"/>
        <x:rFont val="Yu Gothic UI"/>
      </x:rPr>
      <x:t xml:space="preserve">ATSC／GAC CDP導入（検証環境）
</x:t>
    </x:r>
    <x:r>
      <x:rPr>
        <x:sz val="11"/>
        <x:color rgb="FFFF0000"/>
        <x:rFont val="Meiryo UI"/>
      </x:rPr>
      <x:t xml:space="preserve">※望ましいのは7月末前に完了、できない場合、</x:t>
    </x:r>
    <x:r>
      <x:rPr>
        <x:sz val="11"/>
        <x:color rgb="FFFF0000"/>
        <x:rFont val="Noto Sans JP"/>
      </x:rPr>
      <x:t xml:space="preserve">8/7前</x:t>
    </x:r>
    <x:r>
      <x:rPr>
        <x:sz val="11"/>
        <x:color rgb="FFFF0000"/>
        <x:rFont val="Meiryo UI"/>
      </x:rPr>
      <x:t xml:space="preserve">に完了必須</x:t>
    </x:r>
  </x:si>
  <x:si>
    <x:t xml:space="preserve">ATSC／GAC  Web導入（検証環境）</x:t>
  </x:si>
  <x:si>
    <x:t xml:space="preserve">中間テーブル</x:t>
  </x:si>
  <x:si>
    <x:t xml:space="preserve">JOB環境の申込</x:t>
  </x:si>
  <x:si>
    <x:t xml:space="preserve">JOB環境の構築</x:t>
  </x:si>
  <x:si>
    <x:t xml:space="preserve">中間テーブル更新のJOB作成</x:t>
  </x:si>
  <x:si>
    <x:t xml:space="preserve">テスト</x:t>
  </x:si>
  <x:si>
    <x:t xml:space="preserve">詳細設計書改修</x:t>
  </x:si>
  <x:si>
    <x:t xml:space="preserve">資料整備</x:t>
  </x:si>
  <x:si>
    <x:t xml:space="preserve">マニュアル改修</x:t>
  </x:si>
  <x:si>
    <x:t xml:space="preserve">受入テスト対応</x:t>
  </x:si>
  <x:si>
    <x:t xml:space="preserve">受入テスト</x:t>
  </x:si>
  <x:si>
    <x:t xml:space="preserve">ユーザーアクセス権限の本番データ移行</x:t>
  </x:si>
  <x:si>
    <x:t xml:space="preserve">本番リリース</x:t>
  </x:si>
  <x:si>
    <x:t xml:space="preserve">本番情報設定（役割グループ、Ranger、Job）</x:t>
  </x:si>
  <x:si>
    <x:t xml:space="preserve">リリース準備と実施</x:t>
  </x:si>
  <x:si>
    <x:t xml:space="preserve">祝日名</x:t>
  </x:si>
  <x:si>
    <x:t xml:space="preserve">日付</x:t>
  </x:si>
  <x:si>
    <x:t xml:space="preserve">曜日</x:t>
  </x:si>
  <x:si>
    <x:t xml:space="preserve">元日</x:t>
  </x:si>
  <x:si>
    <x:t xml:space="preserve">成人の日</x:t>
  </x:si>
  <x:si>
    <x:t xml:space="preserve">建国記念の日</x:t>
  </x:si>
  <x:si>
    <x:t xml:space="preserve">天皇誕生日</x:t>
  </x:si>
  <x:si>
    <x:t xml:space="preserve">春分の日</x:t>
  </x:si>
  <x:si>
    <x:t xml:space="preserve">昭和の日</x:t>
  </x:si>
  <x:si>
    <x:t xml:space="preserve">憲法記念日</x:t>
  </x:si>
  <x:si>
    <x:t xml:space="preserve">みどりの日</x:t>
  </x:si>
  <x:si>
    <x:t xml:space="preserve">こどもの日</x:t>
  </x:si>
  <x:si>
    <x:t xml:space="preserve">憲法記念日振替休日</x:t>
  </x:si>
  <x:si>
    <x:t xml:space="preserve">海の日</x:t>
  </x:si>
  <x:si>
    <x:t xml:space="preserve">山の日</x:t>
  </x:si>
  <x:si>
    <x:t xml:space="preserve">敬老の日</x:t>
  </x:si>
  <x:si>
    <x:t xml:space="preserve">国民の休日</x:t>
  </x:si>
  <x:si>
    <x:t xml:space="preserve">秋分の日</x:t>
  </x:si>
  <x:si>
    <x:t xml:space="preserve">スポーツの日</x:t>
  </x:si>
  <x:si>
    <x:t xml:space="preserve">文化の日</x:t>
  </x:si>
  <x:si>
    <x:t xml:space="preserve">勤労感謝の日</x:t>
  </x:si>
  <x:si>
    <x:t xml:space="preserve">夏休み</x:t>
  </x:si>
</x:sst>
</file>

<file path=xl/styles.xml><?xml version="1.0" encoding="utf-8"?>
<x:styleSheet xmlns:x="http://schemas.openxmlformats.org/spreadsheetml/2006/main">
  <x:numFmts count="4">
    <x:numFmt numFmtId="176" formatCode="m/d;@"/>
    <x:numFmt numFmtId="200" formatCode="m/d"/>
    <x:numFmt numFmtId="201" formatCode=";;;"/>
    <x:numFmt numFmtId="202" formatCode="0.0&quot;人日&quot;"/>
  </x:numFmts>
  <x:fonts count="27">
    <x:font>
      <x:sz val="11"/>
      <x:color theme="1"/>
      <x:name val="游ゴシック"/>
    </x:font>
    <x:font>
      <x:sz val="11"/>
      <x:color theme="1"/>
      <x:name val="游ゴシック"/>
    </x:font>
    <x:font>
      <x:sz val="18"/>
      <x:color theme="3"/>
      <x:name val="Yu Gothic"/>
    </x:font>
    <x:font>
      <x:sz val="11"/>
      <x:color theme="1"/>
      <x:name val="Yu Gothic UI"/>
    </x:font>
    <x:font>
      <x:sz val="8"/>
      <x:color rgb="FF000000"/>
      <x:name val="Yu Gothic UI"/>
    </x:font>
    <x:font>
      <x:sz val="11"/>
      <x:color rgb="FF000000"/>
      <x:name val="Yu Gothic UI"/>
    </x:font>
    <x:font>
      <x:sz val="11"/>
      <x:color rgb="FFFF0000"/>
      <x:name val="Meiryo UI"/>
    </x:font>
    <x:font>
      <x:sz val="11"/>
      <x:color rgb="FFFF0000"/>
      <x:name val="Noto Sans JP"/>
    </x:font>
    <x:font>
      <x:b/>
      <x:sz val="11"/>
      <x:color rgb="FFC00000"/>
      <x:name val="Yu Gothic UI"/>
    </x:font>
    <x:font>
      <x:b/>
      <x:sz val="11"/>
      <x:color theme="5" tint="-0.24998"/>
      <x:name val="Yu Gothic UI"/>
    </x:font>
    <x:font>
      <x:b/>
      <x:sz val="11"/>
      <x:color theme="1"/>
      <x:name val="Yu Gothic UI"/>
    </x:font>
    <x:font>
      <x:sz val="9"/>
      <x:color rgb="FF002060"/>
      <x:name val="Yu Gothic UI"/>
    </x:font>
    <x:font>
      <x:sz val="11"/>
      <x:color theme="10"/>
      <x:name val="游ゴシック"/>
    </x:font>
    <x:font>
      <x:sz val="11"/>
      <x:color rgb="FFC00000"/>
      <x:name val="Yu Gothic UI"/>
    </x:font>
    <x:font>
      <x:sz val="11"/>
      <x:color rgb="FF000000"/>
      <x:name val="游ゴシック"/>
    </x:font>
    <x:font>
      <x:sz val="11"/>
      <x:color theme="10"/>
      <x:name val="游ゴシック"/>
    </x:font>
    <x:font>
      <x:b/>
      <x:sz val="14"/>
      <x:color rgb="FFFFFFFF"/>
      <x:name val="游ゴシック"/>
    </x:font>
    <x:font>
      <x:i/>
      <x:sz val="9"/>
      <x:color rgb="FF44546A"/>
      <x:name val="游ゴシック"/>
    </x:font>
    <x:font>
      <x:b/>
      <x:sz val="11"/>
      <x:color rgb="FF1F1F1F"/>
      <x:name val="游ゴシック"/>
    </x:font>
    <x:font>
      <x:b/>
      <x:sz val="11"/>
      <x:color rgb="FFFFFFFF"/>
      <x:name val="游ゴシック"/>
    </x:font>
    <x:font>
      <x:b/>
      <x:sz val="11"/>
      <x:color rgb="FFC00000"/>
      <x:name val="游ゴシック"/>
    </x:font>
    <x:font>
      <x:b/>
      <x:sz val="9"/>
      <x:color rgb="FF7F6000"/>
      <x:name val="游ゴシック"/>
    </x:font>
    <x:font>
      <x:b/>
      <x:sz val="11"/>
      <x:color rgb="FF1F4E78"/>
      <x:name val="游ゴシック"/>
    </x:font>
    <x:font>
      <x:b/>
      <x:sz val="11"/>
      <x:color rgb="FF7F6000"/>
      <x:name val="游ゴシック"/>
    </x:font>
    <x:font>
      <x:b/>
      <x:sz val="11"/>
      <x:color rgb="FF9C5700"/>
      <x:name val="游ゴシック"/>
    </x:font>
    <x:font>
      <x:b/>
      <x:sz val="9"/>
      <x:color rgb="FF1F4E78"/>
      <x:name val="游ゴシック"/>
    </x:font>
    <x:font>
      <x:b/>
      <x:sz val="11"/>
      <x:color rgb="FF375623"/>
      <x:name val="游ゴシック"/>
    </x:font>
  </x:fonts>
  <x:fills count="27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0" tint="-0.04999"/>
      </x:patternFill>
    </x:fill>
    <x:fill>
      <x:patternFill patternType="solid">
        <x:fgColor theme="3" tint="0.79998"/>
      </x:patternFill>
    </x:fill>
    <x:fill>
      <x:patternFill patternType="solid">
        <x:fgColor rgb="FFD9D9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4DFEC"/>
      </x:patternFill>
    </x:fill>
    <x:fill>
      <x:patternFill patternType="solid">
        <x:fgColor rgb="FFF4B183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DF2E9"/>
      </x:patternFill>
    </x:fill>
    <x:fill>
      <x:patternFill patternType="solid">
        <x:fgColor rgb="FFE8F6F3"/>
      </x:patternFill>
    </x:fill>
    <x:fill>
      <x:patternFill patternType="solid">
        <x:fgColor rgb="FFEBDEF0"/>
      </x:patternFill>
    </x:fill>
    <x:fill>
      <x:patternFill patternType="solid">
        <x:fgColor rgb="FFFDEDEC"/>
      </x:patternFill>
    </x:fill>
    <x:fill>
      <x:patternFill patternType="solid">
        <x:fgColor rgb="FFE8F8F5"/>
      </x:patternFill>
    </x:fill>
    <x:fill>
      <x:patternFill patternType="solid">
        <x:fgColor rgb="FFFEF9E7"/>
      </x:patternFill>
    </x:fill>
    <x:fill>
      <x:patternFill patternType="solid">
        <x:fgColor rgb="FFF4ECF7"/>
      </x:patternFill>
    </x:fill>
    <x:fill>
      <x:patternFill patternType="solid">
        <x:fgColor rgb="FFE5E7E9"/>
      </x:patternFill>
    </x:fill>
    <x:fill>
      <x:patternFill patternType="solid">
        <x:fgColor rgb="FFFFFFFF"/>
      </x:patternFill>
    </x:fill>
    <x:fill>
      <x:patternFill patternType="solid">
        <x:fgColor rgb="FF9DC3E6"/>
      </x:patternFill>
    </x:fill>
  </x:fills>
  <x:borders count="102">
    <x:border/>
    <x:border>
      <x:right style="dotted">
        <x:color rgb="FF000000"/>
      </x:right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bottom style="dotted">
        <x:color rgb="FF000000"/>
      </x:bottom>
    </x:border>
    <x:border>
      <x:right style="dotted">
        <x:color rgb="FF000000"/>
      </x:right>
      <x:top style="dotted">
        <x:color rgb="FF000000"/>
      </x:top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left style="dotted">
        <x:color rgb="FF000000"/>
      </x:left>
      <x:right style="thin">
        <x:color rgb="FF000000"/>
      </x:right>
      <x:bottom style="dotted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right style="dotted">
        <x:color rgb="FF000000"/>
      </x:right>
      <x:top style="dotted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thin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</x:border>
    <x:border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double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dotted">
        <x:color rgb="FF000000"/>
      </x:top>
      <x:bottom style="double">
        <x:color rgb="FF000000"/>
      </x:bottom>
    </x:border>
    <x:border>
      <x:right style="dotted">
        <x:color rgb="FF000000"/>
      </x:right>
    </x:border>
    <x:border>
      <x:left style="thin">
        <x:color rgb="FF000000"/>
      </x:left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left style="thin">
        <x:color rgb="FF000000"/>
      </x:left>
      <x:top style="dotted">
        <x:color rgb="FF000000"/>
      </x:top>
      <x:bottom style="double">
        <x:color rgb="FF000000"/>
      </x:bottom>
    </x:border>
    <x:border>
      <x:right style="dotted">
        <x:color rgb="FF000000"/>
      </x:right>
      <x:top style="thin">
        <x:color rgb="FF000000"/>
      </x:top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thin">
        <x:color rgb="FF000000"/>
      </x:top>
    </x:border>
    <x:border>
      <x:left style="dotted">
        <x:color rgb="FF000000"/>
      </x:left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thin">
        <x:color rgb="FF000000"/>
      </x:top>
      <x:bottom style="dotted">
        <x:color rgb="FF000000"/>
      </x:bottom>
    </x:border>
    <x:border>
      <x:right style="dotted">
        <x:color rgb="FF000000"/>
      </x:right>
      <x:top style="dotted">
        <x:color rgb="FF000000"/>
      </x:top>
    </x:border>
    <x:border>
      <x:left style="dotted">
        <x:color rgb="FF000000"/>
      </x:left>
      <x:right style="thin">
        <x:color rgb="FF000000"/>
      </x:right>
      <x:top style="dotted">
        <x:color rgb="FF000000"/>
      </x:top>
    </x:border>
    <x:border>
      <x:right style="thin">
        <x:color rgb="FF000000"/>
      </x:right>
      <x:top style="dotted">
        <x:color rgb="FF000000"/>
      </x:top>
    </x:border>
    <x:border>
      <x:left style="dotted">
        <x:color rgb="FF000000"/>
      </x:left>
      <x:right style="dotted">
        <x:color rgb="FF000000"/>
      </x:right>
      <x:top style="dotted">
        <x:color rgb="FF000000"/>
      </x:top>
    </x:border>
    <x:border>
      <x:right style="dotted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bottom style="thin">
        <x:color rgb="FFD2D2D2"/>
      </x:bottom>
    </x:border>
    <x:border>
      <x:right style="dotted">
        <x:color rgb="FF000000"/>
      </x:right>
      <x:top style="thin">
        <x:color rgb="FF000000"/>
      </x:top>
    </x:border>
    <x:border>
      <x:left style="dotted">
        <x:color rgb="FF000000"/>
      </x:left>
      <x:right style="thin">
        <x:color rgb="FF000000"/>
      </x:right>
      <x:top style="thin">
        <x:color rgb="FF000000"/>
      </x:top>
    </x:border>
    <x:border>
      <x:right style="dotted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dotted">
        <x:color rgb="FF000000"/>
      </x:top>
    </x:border>
    <x:border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top style="dotted">
        <x:color rgb="FF000000"/>
      </x:top>
      <x:bottom style="double">
        <x:color rgb="FF000000"/>
      </x:bottom>
    </x:border>
    <x:border/>
    <x:border>
      <x:left style="dotted">
        <x:color rgb="FF000000"/>
      </x:left>
      <x:right style="dotted">
        <x:color rgb="FF000000"/>
      </x:right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tted">
        <x:color rgb="FF000000"/>
      </x:bottom>
    </x:border>
    <x:border>
      <x:right style="dotted">
        <x:color rgb="FF000000"/>
      </x:right>
      <x:bottom style="dotted">
        <x:color rgb="FF000000"/>
      </x:bottom>
    </x:border>
    <x:border>
      <x:left style="dotted">
        <x:color rgb="FF000000"/>
      </x:left>
      <x:right style="thin">
        <x:color rgb="FF000000"/>
      </x:right>
      <x:bottom style="dotted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thin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right style="dotted">
        <x:color rgb="FF000000"/>
      </x:right>
      <x:top style="dotted">
        <x:color rgb="FF000000"/>
      </x:top>
      <x:bottom style="dotted">
        <x:color rgb="FF000000"/>
      </x:bottom>
    </x:border>
    <x:border>
      <x:right style="dotted">
        <x:color rgb="FF000000"/>
      </x:right>
      <x:top style="dotted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</x:border>
    <x:border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right style="thin">
        <x:color rgb="FF000000"/>
      </x:right>
      <x:top style="dotted">
        <x:color rgb="FF000000"/>
      </x:top>
      <x:bottom style="double">
        <x:color rgb="FF000000"/>
      </x:bottom>
    </x:border>
    <x:border>
      <x:right style="thin">
        <x:color rgb="FF000000"/>
      </x:right>
      <x:top style="dotted">
        <x:color rgb="FF000000"/>
      </x:top>
      <x:bottom style="double">
        <x:color rgb="FF000000"/>
      </x:bottom>
    </x:border>
    <x:border>
      <x:right style="dotted">
        <x:color rgb="FF000000"/>
      </x:right>
    </x:border>
    <x:border>
      <x:left style="thin">
        <x:color rgb="FF000000"/>
      </x:left>
      <x:right style="dotted">
        <x:color rgb="FF000000"/>
      </x:right>
      <x:top style="dotted">
        <x:color rgb="FF000000"/>
      </x:top>
      <x:bottom style="double">
        <x:color rgb="FF000000"/>
      </x:bottom>
    </x:border>
    <x:border>
      <x:left style="thin">
        <x:color rgb="FF000000"/>
      </x:left>
      <x:top style="dotted">
        <x:color rgb="FF000000"/>
      </x:top>
      <x:bottom style="double">
        <x:color rgb="FF000000"/>
      </x:bottom>
    </x:border>
    <x:border>
      <x:right style="dotted">
        <x:color rgb="FF000000"/>
      </x:right>
      <x:top style="thin">
        <x:color rgb="FF000000"/>
      </x:top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thin">
        <x:color rgb="FF000000"/>
      </x:top>
    </x:border>
    <x:border>
      <x:left style="dotted">
        <x:color rgb="FF000000"/>
      </x:left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dotted">
        <x:color rgb="FF000000"/>
      </x:left>
      <x:right style="dotted">
        <x:color rgb="FF000000"/>
      </x:right>
      <x:top style="thin">
        <x:color rgb="FF000000"/>
      </x:top>
      <x:bottom style="dotted">
        <x:color rgb="FF000000"/>
      </x:bottom>
    </x:border>
    <x:border>
      <x:right style="dotted">
        <x:color rgb="FF000000"/>
      </x:right>
      <x:top style="dotted">
        <x:color rgb="FF000000"/>
      </x:top>
    </x:border>
    <x:border>
      <x:left style="dotted">
        <x:color rgb="FF000000"/>
      </x:left>
      <x:right style="thin">
        <x:color rgb="FF000000"/>
      </x:right>
      <x:top style="dotted">
        <x:color rgb="FF000000"/>
      </x:top>
    </x:border>
    <x:border>
      <x:right style="thin">
        <x:color rgb="FF000000"/>
      </x:right>
      <x:top style="dotted">
        <x:color rgb="FF000000"/>
      </x:top>
    </x:border>
    <x:border>
      <x:left style="dotted">
        <x:color rgb="FF000000"/>
      </x:left>
      <x:right style="dotted">
        <x:color rgb="FF000000"/>
      </x:right>
      <x:top style="dotted">
        <x:color rgb="FF000000"/>
      </x:top>
    </x:border>
    <x:border>
      <x:right style="dotted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dotted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dotted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bottom style="thin">
        <x:color rgb="FFD2D2D2"/>
      </x:bottom>
    </x:border>
    <x:border>
      <x:top style="thin">
        <x:color rgb="FF000000"/>
      </x:top>
      <x:bottom style="thin">
        <x:color rgb="FF000000"/>
      </x:bottom>
    </x:border>
    <x:border>
      <x:right style="dotted">
        <x:color rgb="FF000000"/>
      </x:right>
      <x:top style="thin">
        <x:color rgb="FF000000"/>
      </x:top>
    </x:border>
    <x:border>
      <x:left style="dotted">
        <x:color rgb="FF000000"/>
      </x:left>
      <x:right style="thin">
        <x:color rgb="FF000000"/>
      </x:right>
      <x:top style="thin">
        <x:color rgb="FF000000"/>
      </x:top>
    </x:border>
    <x:border>
      <x:right style="dotted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dotted">
        <x:color rgb="FF000000"/>
      </x:top>
    </x:border>
    <x:border>
      <x:top style="dotted">
        <x:color rgb="FF000000"/>
      </x:top>
      <x:bottom style="double">
        <x:color rgb="FF000000"/>
      </x:bottom>
    </x:border>
    <x:border>
      <x:left style="dotted">
        <x:color rgb="FF000000"/>
      </x:left>
      <x:top style="dotted">
        <x:color rgb="FF000000"/>
      </x:top>
      <x:bottom style="double">
        <x:color rgb="FF000000"/>
      </x:bottom>
    </x:border>
  </x:borders>
  <x:cellStyleXfs count="2">
    <x:xf numFmtId="0" fontId="0" fillId="0" borderId="0"/>
    <x:xf numFmtId="0" fontId="12" fillId="0" borderId="0" applyNumberFormat="0" applyFill="0" applyBorder="0" applyAlignment="0" applyProtection="0"/>
  </x:cellStyleXfs>
  <x:cellXfs count="601">
    <x:xf numFmtId="0" fontId="0" fillId="0" borderId="0" xfId="0"/>
    <x:xf numFmtId="0" fontId="3" fillId="0" borderId="0" xfId="0" applyFont="1"/>
    <x:xf numFmtId="176" fontId="3" fillId="0" borderId="0" xfId="0" applyNumberFormat="1" applyFont="1"/>
    <x:xf numFmtId="0" fontId="4" fillId="0" borderId="0" xfId="0" applyFont="1"/>
    <x:xf numFmtId="0" fontId="3" fillId="0" borderId="0" xfId="0" applyFont="1" applyAlignment="1">
      <x:alignment wrapText="1"/>
    </x:xf>
    <x:xf numFmtId="176" fontId="3" fillId="0" borderId="0" xfId="0" applyNumberFormat="1" applyFont="1" applyAlignment="1">
      <x:alignment horizontal="center"/>
    </x:xf>
    <x:xf numFmtId="0" fontId="3" fillId="0" borderId="0" xfId="0" applyFont="1" applyAlignment="1">
      <x:alignment horizontal="center"/>
    </x:xf>
    <x:xf numFmtId="0" fontId="3" fillId="0" borderId="2" xfId="0" applyFont="1" applyBorder="1"/>
    <x:xf numFmtId="0" fontId="3" fillId="2" borderId="2" xfId="0" applyFont="1" applyFill="1" applyBorder="1"/>
    <x:xf numFmtId="0" fontId="3" fillId="3" borderId="2" xfId="0" applyFont="1" applyFill="1" applyBorder="1"/>
    <x:xf numFmtId="0" fontId="3" fillId="0" borderId="4" xfId="0" applyFont="1" applyBorder="1"/>
    <x:xf numFmtId="0" fontId="3" fillId="2" borderId="4" xfId="0" applyFont="1" applyFill="1" applyBorder="1"/>
    <x:xf numFmtId="0" fontId="3" fillId="3" borderId="4" xfId="0" applyFont="1" applyFill="1" applyBorder="1"/>
    <x:xf numFmtId="176" fontId="3" fillId="0" borderId="2" xfId="0" applyNumberFormat="1" applyFont="1" applyBorder="1" applyAlignment="1">
      <x:alignment horizontal="center"/>
    </x:xf>
    <x:xf numFmtId="176" fontId="3" fillId="0" borderId="1" xfId="0" applyNumberFormat="1" applyFont="1" applyBorder="1" applyAlignment="1">
      <x:alignment horizontal="center"/>
    </x:xf>
    <x:xf numFmtId="176" fontId="3" fillId="2" borderId="2" xfId="0" applyNumberFormat="1" applyFont="1" applyFill="1" applyBorder="1" applyAlignment="1">
      <x:alignment horizontal="center"/>
    </x:xf>
    <x:xf numFmtId="176" fontId="3" fillId="3" borderId="2" xfId="0" applyNumberFormat="1" applyFont="1" applyFill="1" applyBorder="1" applyAlignment="1">
      <x:alignment horizontal="center"/>
    </x:xf>
    <x:xf numFmtId="0" fontId="3" fillId="0" borderId="7" xfId="0" applyFont="1" applyBorder="1"/>
    <x:xf numFmtId="0" fontId="3" fillId="0" borderId="8" xfId="0" applyFont="1" applyBorder="1"/>
    <x:xf numFmtId="0" fontId="3" fillId="0" borderId="10" xfId="0" applyFont="1" applyBorder="1"/>
    <x:xf numFmtId="0" fontId="3" fillId="2" borderId="10" xfId="0" applyFont="1" applyFill="1" applyBorder="1"/>
    <x:xf numFmtId="0" fontId="3" fillId="3" borderId="10" xfId="0" applyFont="1" applyFill="1" applyBorder="1"/>
    <x:xf numFmtId="0" fontId="3" fillId="0" borderId="11" xfId="0" applyFont="1" applyBorder="1"/>
    <x:xf numFmtId="0" fontId="3" fillId="0" borderId="12" xfId="0" applyFont="1" applyBorder="1"/>
    <x:xf numFmtId="0" fontId="3" fillId="0" borderId="12" xfId="0" applyFont="1" applyBorder="1" applyAlignment="1">
      <x:alignment wrapText="1"/>
    </x:xf>
    <x:xf numFmtId="0" fontId="3" fillId="0" borderId="13" xfId="0" applyFont="1" applyBorder="1"/>
    <x:xf numFmtId="0" fontId="3" fillId="0" borderId="14" xfId="0" applyFont="1" applyBorder="1"/>
    <x:xf numFmtId="0" fontId="3" fillId="0" borderId="15" xfId="0" applyFont="1" applyBorder="1"/>
    <x:xf numFmtId="0" fontId="3" fillId="0" borderId="16" xfId="0" applyFont="1" applyBorder="1"/>
    <x:xf numFmtId="0" fontId="3" fillId="0" borderId="17" xfId="0" applyFont="1" applyBorder="1"/>
    <x:xf numFmtId="0" fontId="3" fillId="0" borderId="1" xfId="0" applyFont="1" applyBorder="1"/>
    <x:xf numFmtId="0" fontId="3" fillId="0" borderId="3" xfId="0" applyFont="1" applyBorder="1"/>
    <x:xf numFmtId="0" fontId="3" fillId="0" borderId="9" xfId="0" applyFont="1" applyBorder="1"/>
    <x:xf numFmtId="0" fontId="3" fillId="0" borderId="18" xfId="0" applyFont="1" applyBorder="1"/>
    <x:xf numFmtId="0" fontId="8" fillId="0" borderId="8" xfId="0" applyFont="1" applyBorder="1"/>
    <x:xf numFmtId="176" fontId="3" fillId="0" borderId="3" xfId="0" applyNumberFormat="1" applyFont="1" applyBorder="1" applyAlignment="1">
      <x:alignment horizontal="center"/>
    </x:xf>
    <x:xf numFmtId="176" fontId="3" fillId="0" borderId="9" xfId="0" applyNumberFormat="1" applyFont="1" applyBorder="1" applyAlignment="1">
      <x:alignment horizontal="center"/>
    </x:xf>
    <x:xf numFmtId="176" fontId="3" fillId="0" borderId="7" xfId="0" applyNumberFormat="1" applyFont="1" applyBorder="1" applyAlignment="1">
      <x:alignment horizontal="center"/>
    </x:xf>
    <x:xf numFmtId="176" fontId="3" fillId="0" borderId="8" xfId="0" applyNumberFormat="1" applyFont="1" applyBorder="1" applyAlignment="1">
      <x:alignment horizontal="center"/>
    </x:xf>
    <x:xf numFmtId="176" fontId="3" fillId="0" borderId="11" xfId="0" applyNumberFormat="1" applyFont="1" applyBorder="1" applyAlignment="1">
      <x:alignment horizontal="center"/>
    </x:xf>
    <x:xf numFmtId="0" fontId="3" fillId="0" borderId="15" xfId="0" applyFont="1" applyBorder="1" applyAlignment="1">
      <x:alignment horizontal="center"/>
    </x:xf>
    <x:xf numFmtId="0" fontId="3" fillId="0" borderId="16" xfId="0" applyFont="1" applyBorder="1" applyAlignment="1">
      <x:alignment horizontal="center"/>
    </x:xf>
    <x:xf numFmtId="0" fontId="3" fillId="0" borderId="17" xfId="0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2" borderId="20" xfId="0" applyFont="1" applyFill="1" applyBorder="1" applyAlignment="1">
      <x:alignment horizontal="center"/>
    </x:xf>
    <x:xf numFmtId="0" fontId="3" fillId="3" borderId="20" xfId="0" applyFont="1" applyFill="1" applyBorder="1" applyAlignment="1">
      <x:alignment horizontal="center"/>
    </x:xf>
    <x:xf numFmtId="0" fontId="3" fillId="0" borderId="21" xfId="0" applyFont="1" applyBorder="1" applyAlignment="1">
      <x:alignment horizontal="center"/>
    </x:xf>
    <x:xf numFmtId="176" fontId="3" fillId="0" borderId="15" xfId="0" applyNumberFormat="1" applyFont="1" applyBorder="1" applyAlignment="1">
      <x:alignment horizontal="center"/>
    </x:xf>
    <x:xf numFmtId="0" fontId="3" fillId="0" borderId="25" xfId="0" applyFont="1" applyBorder="1" applyAlignment="1">
      <x:alignment horizontal="center"/>
    </x:xf>
    <x:xf numFmtId="176" fontId="3" fillId="2" borderId="1" xfId="0" applyNumberFormat="1" applyFont="1" applyFill="1" applyBorder="1" applyAlignment="1">
      <x:alignment horizontal="center"/>
    </x:xf>
    <x:xf numFmtId="0" fontId="3" fillId="2" borderId="19" xfId="0" applyFont="1" applyFill="1" applyBorder="1" applyAlignment="1">
      <x:alignment horizontal="center"/>
    </x:xf>
    <x:xf numFmtId="0" fontId="3" fillId="2" borderId="1" xfId="0" applyFont="1" applyFill="1" applyBorder="1"/>
    <x:xf numFmtId="0" fontId="3" fillId="2" borderId="3" xfId="0" applyFont="1" applyFill="1" applyBorder="1"/>
    <x:xf numFmtId="0" fontId="3" fillId="2" borderId="9" xfId="0" applyFont="1" applyFill="1" applyBorder="1"/>
    <x:xf numFmtId="176" fontId="8" fillId="0" borderId="2" xfId="0" applyNumberFormat="1" applyFont="1" applyBorder="1" applyAlignment="1">
      <x:alignment horizontal="center"/>
    </x:xf>
    <x:xf numFmtId="0" fontId="8" fillId="0" borderId="20" xfId="0" applyFont="1" applyBorder="1" applyAlignment="1">
      <x:alignment horizontal="center"/>
    </x:xf>
    <x:xf numFmtId="0" fontId="3" fillId="0" borderId="26" xfId="0" applyFont="1" applyBorder="1"/>
    <x:xf numFmtId="0" fontId="3" fillId="0" borderId="19" xfId="0" applyFont="1" applyBorder="1"/>
    <x:xf numFmtId="0" fontId="3" fillId="0" borderId="21" xfId="0" applyFont="1" applyBorder="1"/>
    <x:xf numFmtId="0" fontId="3" fillId="0" borderId="25" xfId="0" applyFont="1" applyBorder="1"/>
    <x:xf numFmtId="176" fontId="3" fillId="0" borderId="19" xfId="0" applyNumberFormat="1" applyFont="1" applyBorder="1"/>
    <x:xf numFmtId="176" fontId="3" fillId="0" borderId="21" xfId="0" applyNumberFormat="1" applyFont="1" applyBorder="1"/>
    <x:xf numFmtId="0" fontId="3" fillId="0" borderId="27" xfId="0" applyFont="1" applyBorder="1"/>
    <x:xf numFmtId="0" fontId="3" fillId="0" borderId="28" xfId="0" applyFont="1" applyBorder="1"/>
    <x:xf numFmtId="0" fontId="3" fillId="0" borderId="29" xfId="0" applyFont="1" applyBorder="1"/>
    <x:xf numFmtId="0" fontId="3" fillId="0" borderId="30" xfId="0" applyFont="1" applyBorder="1"/>
    <x:xf numFmtId="0" fontId="3" fillId="0" borderId="31" xfId="0" applyFont="1" applyBorder="1"/>
    <x:xf numFmtId="0" fontId="3" fillId="0" borderId="32" xfId="0" applyFont="1" applyBorder="1"/>
    <x:xf numFmtId="176" fontId="3" fillId="0" borderId="29" xfId="0" applyNumberFormat="1" applyFont="1" applyBorder="1" applyAlignment="1">
      <x:alignment horizontal="center"/>
    </x:xf>
    <x:xf numFmtId="176" fontId="3" fillId="0" borderId="31" xfId="0" applyNumberFormat="1" applyFont="1" applyBorder="1" applyAlignment="1">
      <x:alignment horizontal="center"/>
    </x:xf>
    <x:xf numFmtId="0" fontId="3" fillId="0" borderId="32" xfId="0" applyFont="1" applyBorder="1" applyAlignment="1">
      <x:alignment horizontal="center"/>
    </x:xf>
    <x:xf numFmtId="0" fontId="3" fillId="0" borderId="33" xfId="0" applyFont="1" applyBorder="1"/>
    <x:xf numFmtId="0" fontId="3" fillId="2" borderId="29" xfId="0" applyFont="1" applyFill="1" applyBorder="1"/>
    <x:xf numFmtId="0" fontId="3" fillId="3" borderId="33" xfId="0" applyFont="1" applyFill="1" applyBorder="1"/>
    <x:xf numFmtId="0" fontId="3" fillId="2" borderId="33" xfId="0" applyFont="1" applyFill="1" applyBorder="1"/>
    <x:xf numFmtId="0" fontId="3" fillId="0" borderId="34" xfId="0" applyFont="1" applyBorder="1"/>
    <x:xf numFmtId="0" fontId="3" fillId="0" borderId="35" xfId="0" applyFont="1" applyBorder="1"/>
    <x:xf numFmtId="0" fontId="3" fillId="0" borderId="36" xfId="0" applyFont="1" applyBorder="1"/>
    <x:xf numFmtId="176" fontId="3" fillId="0" borderId="34" xfId="0" applyNumberFormat="1" applyFont="1" applyBorder="1" applyAlignment="1">
      <x:alignment horizontal="center"/>
    </x:xf>
    <x:xf numFmtId="176" fontId="3" fillId="0" borderId="35" xfId="0" applyNumberFormat="1" applyFont="1" applyBorder="1" applyAlignment="1">
      <x:alignment horizontal="center"/>
    </x:xf>
    <x:xf numFmtId="0" fontId="3" fillId="0" borderId="36" xfId="0" applyFont="1" applyBorder="1" applyAlignment="1">
      <x:alignment horizontal="center"/>
    </x:xf>
    <x:xf numFmtId="0" fontId="3" fillId="0" borderId="37" xfId="0" applyFont="1" applyBorder="1"/>
    <x:xf numFmtId="0" fontId="3" fillId="2" borderId="34" xfId="0" applyFont="1" applyFill="1" applyBorder="1"/>
    <x:xf numFmtId="0" fontId="3" fillId="3" borderId="37" xfId="0" applyFont="1" applyFill="1" applyBorder="1"/>
    <x:xf numFmtId="0" fontId="3" fillId="2" borderId="37" xfId="0" applyFont="1" applyFill="1" applyBorder="1"/>
    <x:xf numFmtId="0" fontId="3" fillId="0" borderId="38" xfId="0" applyFont="1" applyBorder="1"/>
    <x:xf numFmtId="0" fontId="3" fillId="0" borderId="39" xfId="0" applyFont="1" applyBorder="1"/>
    <x:xf numFmtId="0" fontId="3" fillId="0" borderId="40" xfId="0" applyFont="1" applyBorder="1"/>
    <x:xf numFmtId="0" fontId="3" fillId="0" borderId="24" xfId="0" applyFont="1" applyBorder="1"/>
    <x:xf numFmtId="176" fontId="3" fillId="0" borderId="38" xfId="0" applyNumberFormat="1" applyFont="1" applyBorder="1" applyAlignment="1">
      <x:alignment horizontal="center"/>
    </x:xf>
    <x:xf numFmtId="176" fontId="3" fillId="0" borderId="40" xfId="0" applyNumberFormat="1" applyFont="1" applyBorder="1" applyAlignment="1">
      <x:alignment horizontal="center"/>
    </x:xf>
    <x:xf numFmtId="0" fontId="3" fillId="0" borderId="24" xfId="0" applyFont="1" applyBorder="1" applyAlignment="1">
      <x:alignment horizontal="center"/>
    </x:xf>
    <x:xf numFmtId="0" fontId="3" fillId="2" borderId="38" xfId="0" applyFont="1" applyFill="1" applyBorder="1"/>
    <x:xf numFmtId="0" fontId="3" fillId="3" borderId="39" xfId="0" applyFont="1" applyFill="1" applyBorder="1"/>
    <x:xf numFmtId="0" fontId="3" fillId="2" borderId="39" xfId="0" applyFont="1" applyFill="1" applyBorder="1"/>
    <x:xf numFmtId="0" fontId="3" fillId="0" borderId="41" xfId="0" applyFont="1" applyBorder="1"/>
    <x:xf numFmtId="0" fontId="3" fillId="0" borderId="42" xfId="0" applyFont="1" applyBorder="1"/>
    <x:xf numFmtId="176" fontId="3" fillId="0" borderId="26" xfId="0" applyNumberFormat="1" applyFont="1" applyBorder="1" applyAlignment="1">
      <x:alignment horizontal="center"/>
    </x:xf>
    <x:xf numFmtId="176" fontId="3" fillId="0" borderId="41" xfId="0" applyNumberFormat="1" applyFont="1" applyBorder="1" applyAlignment="1">
      <x:alignment horizontal="center"/>
    </x:xf>
    <x:xf numFmtId="0" fontId="3" fillId="0" borderId="42" xfId="0" applyFont="1" applyBorder="1" applyAlignment="1">
      <x:alignment horizontal="center"/>
    </x:xf>
    <x:xf numFmtId="0" fontId="3" fillId="2" borderId="26" xfId="0" applyFont="1" applyFill="1" applyBorder="1"/>
    <x:xf numFmtId="0" fontId="3" fillId="3" borderId="18" xfId="0" applyFont="1" applyFill="1" applyBorder="1"/>
    <x:xf numFmtId="0" fontId="3" fillId="2" borderId="18" xfId="0" applyFont="1" applyFill="1" applyBorder="1"/>
    <x:xf numFmtId="0" fontId="8" fillId="0" borderId="7" xfId="0" applyFont="1" applyBorder="1"/>
    <x:xf numFmtId="0" fontId="10" fillId="0" borderId="5" xfId="0" applyFont="1" applyBorder="1"/>
    <x:xf numFmtId="0" fontId="10" fillId="0" borderId="6" xfId="0" applyFont="1" applyBorder="1"/>
    <x:xf numFmtId="0" fontId="10" fillId="0" borderId="14" xfId="0" applyFont="1" applyBorder="1" applyAlignment="1">
      <x:alignment wrapText="1"/>
    </x:xf>
    <x:xf numFmtId="0" fontId="10" fillId="0" borderId="14" xfId="0" applyFont="1" applyBorder="1"/>
    <x:xf numFmtId="176" fontId="10" fillId="0" borderId="6" xfId="0" applyNumberFormat="1" applyFont="1" applyBorder="1"/>
    <x:xf numFmtId="176" fontId="10" fillId="0" borderId="14" xfId="0" applyNumberFormat="1" applyFont="1" applyBorder="1"/>
    <x:xf numFmtId="56" fontId="3" fillId="0" borderId="43" xfId="0" applyNumberFormat="1" applyFont="1" applyBorder="1"/>
    <x:xf numFmtId="0" fontId="3" fillId="0" borderId="43" xfId="0" applyFont="1" applyBorder="1"/>
    <x:xf numFmtId="56" fontId="3" fillId="0" borderId="0" xfId="0" applyNumberFormat="1" applyFont="1"/>
    <x:xf numFmtId="0" fontId="3" fillId="4" borderId="23" xfId="0" applyFont="1" applyFill="1" applyBorder="1"/>
    <x:xf numFmtId="0" fontId="9" fillId="4" borderId="23" xfId="0" applyFont="1" applyFill="1" applyBorder="1"/>
    <x:xf numFmtId="0" fontId="9" fillId="4" borderId="24" xfId="0" applyFont="1" applyFill="1" applyBorder="1"/>
    <x:xf numFmtId="0" fontId="11" fillId="0" borderId="0" xfId="0" applyFont="1"/>
    <x:xf numFmtId="0" fontId="3" fillId="0" borderId="44" xfId="0" applyFont="1" applyBorder="1"/>
    <x:xf numFmtId="0" fontId="3" fillId="0" borderId="45" xfId="0" applyFont="1" applyBorder="1"/>
    <x:xf numFmtId="176" fontId="3" fillId="0" borderId="44" xfId="0" applyNumberFormat="1" applyFont="1" applyBorder="1" applyAlignment="1">
      <x:alignment horizontal="center"/>
    </x:xf>
    <x:xf numFmtId="176" fontId="3" fillId="0" borderId="45" xfId="0" applyNumberFormat="1" applyFont="1" applyBorder="1" applyAlignment="1">
      <x:alignment horizontal="center"/>
    </x:xf>
    <x:xf numFmtId="0" fontId="3" fillId="0" borderId="14" xfId="0" applyFont="1" applyBorder="1" applyAlignment="1">
      <x:alignment horizontal="center"/>
    </x:xf>
    <x:xf numFmtId="0" fontId="3" fillId="2" borderId="44" xfId="0" applyFont="1" applyFill="1" applyBorder="1"/>
    <x:xf numFmtId="0" fontId="3" fillId="3" borderId="30" xfId="0" applyFont="1" applyFill="1" applyBorder="1"/>
    <x:xf numFmtId="0" fontId="3" fillId="2" borderId="30" xfId="0" applyFont="1" applyFill="1" applyBorder="1"/>
    <x:xf numFmtId="0" fontId="5" fillId="0" borderId="3" xfId="0" applyFont="1" applyBorder="1"/>
    <x:xf numFmtId="0" fontId="5" fillId="0" borderId="1" xfId="0" applyFont="1" applyBorder="1"/>
    <x:xf numFmtId="0" fontId="5" fillId="0" borderId="9" xfId="0" applyFont="1" applyBorder="1"/>
    <x:xf numFmtId="0" fontId="3" fillId="0" borderId="14" xfId="0" applyFont="1" applyBorder="1" applyAlignment="1">
      <x:alignment wrapText="1"/>
    </x:xf>
    <x:xf numFmtId="0" fontId="3" fillId="0" borderId="16" xfId="0" applyFont="1" applyBorder="1" applyAlignment="1">
      <x:alignment wrapText="1"/>
    </x:xf>
    <x:xf numFmtId="0" fontId="3" fillId="0" borderId="36" xfId="0" applyFont="1" applyBorder="1" applyAlignment="1">
      <x:alignment wrapText="1"/>
    </x:xf>
    <x:xf numFmtId="0" fontId="3" fillId="0" borderId="25" xfId="0" applyFont="1" applyBorder="1" applyAlignment="1">
      <x:alignment wrapText="1"/>
    </x:xf>
    <x:xf numFmtId="0" fontId="3" fillId="0" borderId="15" xfId="0" applyFont="1" applyBorder="1" applyAlignment="1">
      <x:alignment wrapText="1"/>
    </x:xf>
    <x:xf numFmtId="0" fontId="3" fillId="0" borderId="46" xfId="0" applyFont="1" applyBorder="1"/>
    <x:xf numFmtId="0" fontId="3" fillId="0" borderId="32" xfId="0" applyFont="1" applyBorder="1" applyAlignment="1">
      <x:alignment wrapText="1"/>
    </x:xf>
    <x:xf numFmtId="0" fontId="3" fillId="0" borderId="17" xfId="0" applyFont="1" applyBorder="1" applyAlignment="1">
      <x:alignment wrapText="1"/>
    </x:xf>
    <x:xf numFmtId="0" fontId="3" fillId="0" borderId="42" xfId="0" applyFont="1" applyBorder="1" applyAlignment="1">
      <x:alignment wrapText="1"/>
    </x:xf>
    <x:xf numFmtId="0" fontId="10" fillId="4" borderId="22" xfId="0" applyFont="1" applyFill="1" applyBorder="1"/>
    <x:xf numFmtId="0" fontId="10" fillId="4" borderId="23" xfId="0" applyFont="1" applyFill="1" applyBorder="1"/>
    <x:xf numFmtId="0" fontId="10" fillId="4" borderId="24" xfId="0" applyFont="1" applyFill="1" applyBorder="1"/>
    <x:xf numFmtId="0" fontId="12" fillId="0" borderId="32" xfId="1" applyBorder="1"/>
    <x:xf numFmtId="0" fontId="12" fillId="0" borderId="17" xfId="1" applyBorder="1"/>
    <x:xf numFmtId="0" fontId="3" fillId="0" borderId="1" xfId="0" applyFont="1" applyBorder="1" applyAlignment="1">
      <x:alignment horizontal="right" vertical="top"/>
    </x:xf>
    <x:xf numFmtId="0" fontId="3" fillId="0" borderId="34" xfId="0" applyFont="1" applyBorder="1" applyAlignment="1">
      <x:alignment horizontal="right" vertical="top"/>
    </x:xf>
    <x:xf numFmtId="0" fontId="3" fillId="0" borderId="29" xfId="0" applyFont="1" applyBorder="1" applyAlignment="1">
      <x:alignment horizontal="right" vertical="top"/>
    </x:xf>
    <x:xf numFmtId="0" fontId="3" fillId="0" borderId="9" xfId="0" applyFont="1" applyBorder="1" applyAlignment="1">
      <x:alignment horizontal="right" vertical="top"/>
    </x:xf>
    <x:xf numFmtId="0" fontId="3" fillId="0" borderId="26" xfId="0" applyFont="1" applyBorder="1" applyAlignment="1">
      <x:alignment horizontal="right" vertical="top"/>
    </x:xf>
    <x:xf numFmtId="0" fontId="3" fillId="0" borderId="44" xfId="0" applyFont="1" applyBorder="1" applyAlignment="1">
      <x:alignment horizontal="right" vertical="top"/>
    </x:xf>
    <x:xf numFmtId="0" fontId="3" fillId="0" borderId="3" xfId="0" applyFont="1" applyBorder="1" applyAlignment="1">
      <x:alignment horizontal="right" vertical="top"/>
    </x:xf>
    <x:xf numFmtId="0" fontId="3" fillId="0" borderId="0" xfId="0" applyFont="1" applyAlignment="1">
      <x:alignment horizontal="right" vertical="top"/>
    </x:xf>
    <x:xf numFmtId="0" fontId="10" fillId="0" borderId="47" xfId="0" applyFont="1" applyBorder="1"/>
    <x:xf numFmtId="0" fontId="3" fillId="2" borderId="0" xfId="0" applyFont="1" applyFill="1"/>
    <x:xf numFmtId="0" fontId="3" fillId="3" borderId="0" xfId="0" applyFont="1" applyFill="1"/>
    <x:xf numFmtId="0" fontId="12" fillId="0" borderId="0" xfId="1" applyBorder="1"/>
    <x:xf numFmtId="0" fontId="14" fillId="0" borderId="0" xfId="1" applyFont="1" applyBorder="1"/>
    <x:xf numFmtId="0" fontId="5" fillId="0" borderId="0" xfId="0" applyFont="1"/>
    <x:xf numFmtId="0" fontId="15" fillId="0" borderId="0" xfId="1" applyFont="1" applyBorder="1"/>
    <x:xf numFmtId="0" fontId="13" fillId="0" borderId="0" xfId="0" applyFont="1"/>
    <x:xf numFmtId="0" fontId="3" fillId="0" borderId="48" xfId="0" applyFont="1" applyBorder="1"/>
    <x:xf numFmtId="0" fontId="3" fillId="0" borderId="49" xfId="0" applyFont="1" applyBorder="1"/>
    <x:xf numFmtId="176" fontId="5" fillId="0" borderId="0" xfId="0" applyNumberFormat="1" applyFont="1" applyAlignment="1">
      <x:alignment horizontal="center"/>
    </x:xf>
    <x:xf numFmtId="176" fontId="5" fillId="2" borderId="0" xfId="0" applyNumberFormat="1" applyFont="1" applyFill="1" applyAlignment="1">
      <x:alignment horizontal="center"/>
    </x:xf>
    <x:xf numFmtId="176" fontId="5" fillId="3" borderId="0" xfId="0" applyNumberFormat="1" applyFont="1" applyFill="1" applyAlignment="1">
      <x:alignment horizontal="center"/>
    </x:xf>
    <x:xf numFmtId="0" fontId="5" fillId="0" borderId="0" xfId="0" applyFont="1" applyAlignment="1">
      <x:alignment horizontal="center"/>
    </x:xf>
    <x:xf numFmtId="0" fontId="10" fillId="0" borderId="0" xfId="0" applyFont="1"/>
    <x:xf numFmtId="0" fontId="9" fillId="0" borderId="0" xfId="0" applyFont="1"/>
    <x:xf numFmtId="0" fontId="3" fillId="0" borderId="21" xfId="0" applyFont="1" applyBorder="1" applyAlignment="1">
      <x:alignment wrapText="1"/>
    </x:xf>
    <x:xf numFmtId="0" fontId="3" fillId="0" borderId="50" xfId="0" applyFont="1" applyBorder="1"/>
    <x:xf numFmtId="176" fontId="10" fillId="0" borderId="5" xfId="0" applyNumberFormat="1" applyFont="1" applyBorder="1"/>
    <x:xf numFmtId="176" fontId="3" fillId="0" borderId="27" xfId="0" applyNumberFormat="1" applyFont="1" applyBorder="1"/>
    <x:xf numFmtId="0" fontId="0" fillId="0" borderId="51" xfId="0" applyNumberFormat="1" applyFont="1" applyFill="1" applyBorder="1"/>
    <x:xf numFmtId="0" fontId="3" fillId="0" borderId="51" xfId="0" applyNumberFormat="1" applyFont="1" applyFill="1" applyBorder="1"/>
    <x:xf numFmtId="176" fontId="3" fillId="0" borderId="51" xfId="0" applyNumberFormat="1" applyFont="1" applyFill="1" applyBorder="1"/>
    <x:xf numFmtId="0" fontId="4" fillId="0" borderId="51" xfId="0" applyNumberFormat="1" applyFont="1" applyFill="1" applyBorder="1"/>
    <x:xf numFmtId="0" fontId="3" fillId="0" borderId="51" xfId="0" applyNumberFormat="1" applyFont="1" applyFill="1" applyBorder="1" applyAlignment="1">
      <x:alignment wrapText="1"/>
    </x:xf>
    <x:xf numFmtId="176" fontId="3" fillId="0" borderId="51" xfId="0" applyNumberFormat="1" applyFont="1" applyFill="1" applyBorder="1" applyAlignment="1">
      <x:alignment horizontal="center"/>
    </x:xf>
    <x:xf numFmtId="0" fontId="3" fillId="0" borderId="51" xfId="0" applyNumberFormat="1" applyFont="1" applyFill="1" applyBorder="1" applyAlignment="1">
      <x:alignment horizontal="center"/>
    </x:xf>
    <x:xf numFmtId="0" fontId="3" fillId="0" borderId="52" xfId="0" applyNumberFormat="1" applyFont="1" applyFill="1" applyBorder="1"/>
    <x:xf numFmtId="0" fontId="3" fillId="2" borderId="52" xfId="0" applyNumberFormat="1" applyFont="1" applyFill="1" applyBorder="1"/>
    <x:xf numFmtId="0" fontId="3" fillId="3" borderId="52" xfId="0" applyNumberFormat="1" applyFont="1" applyFill="1" applyBorder="1"/>
    <x:xf numFmtId="0" fontId="3" fillId="0" borderId="53" xfId="0" applyNumberFormat="1" applyFont="1" applyFill="1" applyBorder="1"/>
    <x:xf numFmtId="0" fontId="3" fillId="2" borderId="53" xfId="0" applyNumberFormat="1" applyFont="1" applyFill="1" applyBorder="1"/>
    <x:xf numFmtId="0" fontId="3" fillId="3" borderId="53" xfId="0" applyNumberFormat="1" applyFont="1" applyFill="1" applyBorder="1"/>
    <x:xf numFmtId="176" fontId="3" fillId="0" borderId="52" xfId="0" applyNumberFormat="1" applyFont="1" applyFill="1" applyBorder="1" applyAlignment="1">
      <x:alignment horizontal="center"/>
    </x:xf>
    <x:xf numFmtId="176" fontId="3" fillId="0" borderId="54" xfId="0" applyNumberFormat="1" applyFont="1" applyFill="1" applyBorder="1" applyAlignment="1">
      <x:alignment horizontal="center"/>
    </x:xf>
    <x:xf numFmtId="176" fontId="3" fillId="2" borderId="52" xfId="0" applyNumberFormat="1" applyFont="1" applyFill="1" applyBorder="1" applyAlignment="1">
      <x:alignment horizontal="center"/>
    </x:xf>
    <x:xf numFmtId="176" fontId="3" fillId="3" borderId="52" xfId="0" applyNumberFormat="1" applyFont="1" applyFill="1" applyBorder="1" applyAlignment="1">
      <x:alignment horizontal="center"/>
    </x:xf>
    <x:xf numFmtId="0" fontId="3" fillId="0" borderId="55" xfId="0" applyNumberFormat="1" applyFont="1" applyFill="1" applyBorder="1"/>
    <x:xf numFmtId="0" fontId="3" fillId="0" borderId="56" xfId="0" applyNumberFormat="1" applyFont="1" applyFill="1" applyBorder="1"/>
    <x:xf numFmtId="0" fontId="3" fillId="0" borderId="57" xfId="0" applyNumberFormat="1" applyFont="1" applyFill="1" applyBorder="1"/>
    <x:xf numFmtId="0" fontId="3" fillId="2" borderId="57" xfId="0" applyNumberFormat="1" applyFont="1" applyFill="1" applyBorder="1"/>
    <x:xf numFmtId="0" fontId="3" fillId="3" borderId="57" xfId="0" applyNumberFormat="1" applyFont="1" applyFill="1" applyBorder="1"/>
    <x:xf numFmtId="0" fontId="3" fillId="0" borderId="58" xfId="0" applyNumberFormat="1" applyFont="1" applyFill="1" applyBorder="1"/>
    <x:xf numFmtId="0" fontId="3" fillId="0" borderId="59" xfId="0" applyNumberFormat="1" applyFont="1" applyFill="1" applyBorder="1"/>
    <x:xf numFmtId="0" fontId="3" fillId="0" borderId="59" xfId="0" applyNumberFormat="1" applyFont="1" applyFill="1" applyBorder="1" applyAlignment="1">
      <x:alignment wrapText="1"/>
    </x:xf>
    <x:xf numFmtId="0" fontId="3" fillId="0" borderId="60" xfId="0" applyNumberFormat="1" applyFont="1" applyFill="1" applyBorder="1"/>
    <x:xf numFmtId="0" fontId="3" fillId="0" borderId="61" xfId="0" applyNumberFormat="1" applyFont="1" applyFill="1" applyBorder="1"/>
    <x:xf numFmtId="0" fontId="3" fillId="0" borderId="62" xfId="0" applyNumberFormat="1" applyFont="1" applyFill="1" applyBorder="1"/>
    <x:xf numFmtId="0" fontId="3" fillId="0" borderId="63" xfId="0" applyNumberFormat="1" applyFont="1" applyFill="1" applyBorder="1"/>
    <x:xf numFmtId="0" fontId="3" fillId="0" borderId="64" xfId="0" applyNumberFormat="1" applyFont="1" applyFill="1" applyBorder="1"/>
    <x:xf numFmtId="0" fontId="3" fillId="0" borderId="54" xfId="0" applyNumberFormat="1" applyFont="1" applyFill="1" applyBorder="1"/>
    <x:xf numFmtId="0" fontId="3" fillId="0" borderId="65" xfId="0" applyNumberFormat="1" applyFont="1" applyFill="1" applyBorder="1"/>
    <x:xf numFmtId="0" fontId="3" fillId="0" borderId="66" xfId="0" applyNumberFormat="1" applyFont="1" applyFill="1" applyBorder="1"/>
    <x:xf numFmtId="0" fontId="3" fillId="0" borderId="67" xfId="0" applyNumberFormat="1" applyFont="1" applyFill="1" applyBorder="1"/>
    <x:xf numFmtId="0" fontId="8" fillId="0" borderId="56" xfId="0" applyNumberFormat="1" applyFont="1" applyFill="1" applyBorder="1"/>
    <x:xf numFmtId="176" fontId="3" fillId="0" borderId="65" xfId="0" applyNumberFormat="1" applyFont="1" applyFill="1" applyBorder="1" applyAlignment="1">
      <x:alignment horizontal="center"/>
    </x:xf>
    <x:xf numFmtId="176" fontId="3" fillId="0" borderId="66" xfId="0" applyNumberFormat="1" applyFont="1" applyFill="1" applyBorder="1" applyAlignment="1">
      <x:alignment horizontal="center"/>
    </x:xf>
    <x:xf numFmtId="176" fontId="3" fillId="0" borderId="55" xfId="0" applyNumberFormat="1" applyFont="1" applyFill="1" applyBorder="1" applyAlignment="1">
      <x:alignment horizontal="center"/>
    </x:xf>
    <x:xf numFmtId="176" fontId="3" fillId="0" borderId="56" xfId="0" applyNumberFormat="1" applyFont="1" applyFill="1" applyBorder="1" applyAlignment="1">
      <x:alignment horizontal="center"/>
    </x:xf>
    <x:xf numFmtId="176" fontId="3" fillId="0" borderId="58" xfId="0" applyNumberFormat="1" applyFont="1" applyFill="1" applyBorder="1" applyAlignment="1">
      <x:alignment horizontal="center"/>
    </x:xf>
    <x:xf numFmtId="0" fontId="3" fillId="0" borderId="62" xfId="0" applyNumberFormat="1" applyFont="1" applyFill="1" applyBorder="1" applyAlignment="1">
      <x:alignment horizontal="center"/>
    </x:xf>
    <x:xf numFmtId="0" fontId="3" fillId="0" borderId="63" xfId="0" applyNumberFormat="1" applyFont="1" applyFill="1" applyBorder="1" applyAlignment="1">
      <x:alignment horizontal="center"/>
    </x:xf>
    <x:xf numFmtId="0" fontId="3" fillId="0" borderId="64" xfId="0" applyNumberFormat="1" applyFont="1" applyFill="1" applyBorder="1" applyAlignment="1">
      <x:alignment horizontal="center"/>
    </x:xf>
    <x:xf numFmtId="0" fontId="3" fillId="0" borderId="68" xfId="0" applyNumberFormat="1" applyFont="1" applyFill="1" applyBorder="1" applyAlignment="1">
      <x:alignment horizontal="center"/>
    </x:xf>
    <x:xf numFmtId="0" fontId="3" fillId="0" borderId="69" xfId="0" applyNumberFormat="1" applyFont="1" applyFill="1" applyBorder="1" applyAlignment="1">
      <x:alignment horizontal="center"/>
    </x:xf>
    <x:xf numFmtId="0" fontId="3" fillId="2" borderId="69" xfId="0" applyNumberFormat="1" applyFont="1" applyFill="1" applyBorder="1" applyAlignment="1">
      <x:alignment horizontal="center"/>
    </x:xf>
    <x:xf numFmtId="0" fontId="3" fillId="3" borderId="69" xfId="0" applyNumberFormat="1" applyFont="1" applyFill="1" applyBorder="1" applyAlignment="1">
      <x:alignment horizontal="center"/>
    </x:xf>
    <x:xf numFmtId="0" fontId="3" fillId="0" borderId="70" xfId="0" applyNumberFormat="1" applyFont="1" applyFill="1" applyBorder="1" applyAlignment="1">
      <x:alignment horizontal="center"/>
    </x:xf>
    <x:xf numFmtId="176" fontId="3" fillId="0" borderId="62" xfId="0" applyNumberFormat="1" applyFont="1" applyFill="1" applyBorder="1" applyAlignment="1">
      <x:alignment horizontal="center"/>
    </x:xf>
    <x:xf numFmtId="0" fontId="3" fillId="0" borderId="71" xfId="0" applyNumberFormat="1" applyFont="1" applyFill="1" applyBorder="1" applyAlignment="1">
      <x:alignment horizontal="center"/>
    </x:xf>
    <x:xf numFmtId="176" fontId="3" fillId="2" borderId="54" xfId="0" applyNumberFormat="1" applyFont="1" applyFill="1" applyBorder="1" applyAlignment="1">
      <x:alignment horizontal="center"/>
    </x:xf>
    <x:xf numFmtId="0" fontId="3" fillId="2" borderId="68" xfId="0" applyNumberFormat="1" applyFont="1" applyFill="1" applyBorder="1" applyAlignment="1">
      <x:alignment horizontal="center"/>
    </x:xf>
    <x:xf numFmtId="0" fontId="3" fillId="2" borderId="54" xfId="0" applyNumberFormat="1" applyFont="1" applyFill="1" applyBorder="1"/>
    <x:xf numFmtId="0" fontId="3" fillId="2" borderId="65" xfId="0" applyNumberFormat="1" applyFont="1" applyFill="1" applyBorder="1"/>
    <x:xf numFmtId="0" fontId="3" fillId="2" borderId="66" xfId="0" applyNumberFormat="1" applyFont="1" applyFill="1" applyBorder="1"/>
    <x:xf numFmtId="176" fontId="8" fillId="0" borderId="52" xfId="0" applyNumberFormat="1" applyFont="1" applyFill="1" applyBorder="1" applyAlignment="1">
      <x:alignment horizontal="center"/>
    </x:xf>
    <x:xf numFmtId="0" fontId="8" fillId="0" borderId="69" xfId="0" applyNumberFormat="1" applyFont="1" applyFill="1" applyBorder="1" applyAlignment="1">
      <x:alignment horizontal="center"/>
    </x:xf>
    <x:xf numFmtId="0" fontId="3" fillId="0" borderId="72" xfId="0" applyNumberFormat="1" applyFont="1" applyFill="1" applyBorder="1"/>
    <x:xf numFmtId="0" fontId="3" fillId="0" borderId="68" xfId="0" applyNumberFormat="1" applyFont="1" applyFill="1" applyBorder="1"/>
    <x:xf numFmtId="0" fontId="3" fillId="0" borderId="70" xfId="0" applyNumberFormat="1" applyFont="1" applyFill="1" applyBorder="1"/>
    <x:xf numFmtId="0" fontId="3" fillId="0" borderId="71" xfId="0" applyNumberFormat="1" applyFont="1" applyFill="1" applyBorder="1"/>
    <x:xf numFmtId="176" fontId="3" fillId="0" borderId="68" xfId="0" applyNumberFormat="1" applyFont="1" applyFill="1" applyBorder="1"/>
    <x:xf numFmtId="176" fontId="3" fillId="0" borderId="70" xfId="0" applyNumberFormat="1" applyFont="1" applyFill="1" applyBorder="1"/>
    <x:xf numFmtId="0" fontId="3" fillId="0" borderId="73" xfId="0" applyNumberFormat="1" applyFont="1" applyFill="1" applyBorder="1"/>
    <x:xf numFmtId="0" fontId="3" fillId="0" borderId="74" xfId="0" applyNumberFormat="1" applyFont="1" applyFill="1" applyBorder="1"/>
    <x:xf numFmtId="0" fontId="3" fillId="0" borderId="75" xfId="0" applyNumberFormat="1" applyFont="1" applyFill="1" applyBorder="1"/>
    <x:xf numFmtId="0" fontId="3" fillId="0" borderId="76" xfId="0" applyNumberFormat="1" applyFont="1" applyFill="1" applyBorder="1"/>
    <x:xf numFmtId="0" fontId="3" fillId="0" borderId="77" xfId="0" applyNumberFormat="1" applyFont="1" applyFill="1" applyBorder="1"/>
    <x:xf numFmtId="0" fontId="3" fillId="0" borderId="78" xfId="0" applyNumberFormat="1" applyFont="1" applyFill="1" applyBorder="1"/>
    <x:xf numFmtId="176" fontId="3" fillId="0" borderId="75" xfId="0" applyNumberFormat="1" applyFont="1" applyFill="1" applyBorder="1" applyAlignment="1">
      <x:alignment horizontal="center"/>
    </x:xf>
    <x:xf numFmtId="176" fontId="3" fillId="0" borderId="77" xfId="0" applyNumberFormat="1" applyFont="1" applyFill="1" applyBorder="1" applyAlignment="1">
      <x:alignment horizontal="center"/>
    </x:xf>
    <x:xf numFmtId="0" fontId="3" fillId="0" borderId="78" xfId="0" applyNumberFormat="1" applyFont="1" applyFill="1" applyBorder="1" applyAlignment="1">
      <x:alignment horizontal="center"/>
    </x:xf>
    <x:xf numFmtId="0" fontId="3" fillId="0" borderId="79" xfId="0" applyNumberFormat="1" applyFont="1" applyFill="1" applyBorder="1"/>
    <x:xf numFmtId="0" fontId="3" fillId="2" borderId="75" xfId="0" applyNumberFormat="1" applyFont="1" applyFill="1" applyBorder="1"/>
    <x:xf numFmtId="0" fontId="3" fillId="3" borderId="79" xfId="0" applyNumberFormat="1" applyFont="1" applyFill="1" applyBorder="1"/>
    <x:xf numFmtId="0" fontId="3" fillId="2" borderId="79" xfId="0" applyNumberFormat="1" applyFont="1" applyFill="1" applyBorder="1"/>
    <x:xf numFmtId="0" fontId="3" fillId="0" borderId="80" xfId="0" applyNumberFormat="1" applyFont="1" applyFill="1" applyBorder="1"/>
    <x:xf numFmtId="0" fontId="3" fillId="0" borderId="81" xfId="0" applyNumberFormat="1" applyFont="1" applyFill="1" applyBorder="1"/>
    <x:xf numFmtId="0" fontId="3" fillId="0" borderId="82" xfId="0" applyNumberFormat="1" applyFont="1" applyFill="1" applyBorder="1"/>
    <x:xf numFmtId="176" fontId="3" fillId="0" borderId="80" xfId="0" applyNumberFormat="1" applyFont="1" applyFill="1" applyBorder="1" applyAlignment="1">
      <x:alignment horizontal="center"/>
    </x:xf>
    <x:xf numFmtId="176" fontId="3" fillId="0" borderId="81" xfId="0" applyNumberFormat="1" applyFont="1" applyFill="1" applyBorder="1" applyAlignment="1">
      <x:alignment horizontal="center"/>
    </x:xf>
    <x:xf numFmtId="0" fontId="3" fillId="0" borderId="82" xfId="0" applyNumberFormat="1" applyFont="1" applyFill="1" applyBorder="1" applyAlignment="1">
      <x:alignment horizontal="center"/>
    </x:xf>
    <x:xf numFmtId="0" fontId="3" fillId="0" borderId="83" xfId="0" applyNumberFormat="1" applyFont="1" applyFill="1" applyBorder="1"/>
    <x:xf numFmtId="0" fontId="3" fillId="2" borderId="80" xfId="0" applyNumberFormat="1" applyFont="1" applyFill="1" applyBorder="1"/>
    <x:xf numFmtId="0" fontId="3" fillId="3" borderId="83" xfId="0" applyNumberFormat="1" applyFont="1" applyFill="1" applyBorder="1"/>
    <x:xf numFmtId="0" fontId="3" fillId="2" borderId="83" xfId="0" applyNumberFormat="1" applyFont="1" applyFill="1" applyBorder="1"/>
    <x:xf numFmtId="0" fontId="3" fillId="0" borderId="84" xfId="0" applyNumberFormat="1" applyFont="1" applyFill="1" applyBorder="1"/>
    <x:xf numFmtId="0" fontId="3" fillId="0" borderId="85" xfId="0" applyNumberFormat="1" applyFont="1" applyFill="1" applyBorder="1"/>
    <x:xf numFmtId="0" fontId="3" fillId="0" borderId="86" xfId="0" applyNumberFormat="1" applyFont="1" applyFill="1" applyBorder="1"/>
    <x:xf numFmtId="0" fontId="3" fillId="0" borderId="87" xfId="0" applyNumberFormat="1" applyFont="1" applyFill="1" applyBorder="1"/>
    <x:xf numFmtId="176" fontId="3" fillId="0" borderId="84" xfId="0" applyNumberFormat="1" applyFont="1" applyFill="1" applyBorder="1" applyAlignment="1">
      <x:alignment horizontal="center"/>
    </x:xf>
    <x:xf numFmtId="176" fontId="3" fillId="0" borderId="86" xfId="0" applyNumberFormat="1" applyFont="1" applyFill="1" applyBorder="1" applyAlignment="1">
      <x:alignment horizontal="center"/>
    </x:xf>
    <x:xf numFmtId="0" fontId="3" fillId="0" borderId="87" xfId="0" applyNumberFormat="1" applyFont="1" applyFill="1" applyBorder="1" applyAlignment="1">
      <x:alignment horizontal="center"/>
    </x:xf>
    <x:xf numFmtId="0" fontId="3" fillId="2" borderId="84" xfId="0" applyNumberFormat="1" applyFont="1" applyFill="1" applyBorder="1"/>
    <x:xf numFmtId="0" fontId="3" fillId="3" borderId="85" xfId="0" applyNumberFormat="1" applyFont="1" applyFill="1" applyBorder="1"/>
    <x:xf numFmtId="0" fontId="3" fillId="2" borderId="85" xfId="0" applyNumberFormat="1" applyFont="1" applyFill="1" applyBorder="1"/>
    <x:xf numFmtId="0" fontId="3" fillId="0" borderId="88" xfId="0" applyNumberFormat="1" applyFont="1" applyFill="1" applyBorder="1"/>
    <x:xf numFmtId="0" fontId="3" fillId="0" borderId="89" xfId="0" applyNumberFormat="1" applyFont="1" applyFill="1" applyBorder="1"/>
    <x:xf numFmtId="176" fontId="3" fillId="0" borderId="72" xfId="0" applyNumberFormat="1" applyFont="1" applyFill="1" applyBorder="1" applyAlignment="1">
      <x:alignment horizontal="center"/>
    </x:xf>
    <x:xf numFmtId="176" fontId="3" fillId="0" borderId="88" xfId="0" applyNumberFormat="1" applyFont="1" applyFill="1" applyBorder="1" applyAlignment="1">
      <x:alignment horizontal="center"/>
    </x:xf>
    <x:xf numFmtId="0" fontId="3" fillId="0" borderId="89" xfId="0" applyNumberFormat="1" applyFont="1" applyFill="1" applyBorder="1" applyAlignment="1">
      <x:alignment horizontal="center"/>
    </x:xf>
    <x:xf numFmtId="0" fontId="3" fillId="2" borderId="72" xfId="0" applyNumberFormat="1" applyFont="1" applyFill="1" applyBorder="1"/>
    <x:xf numFmtId="0" fontId="3" fillId="3" borderId="67" xfId="0" applyNumberFormat="1" applyFont="1" applyFill="1" applyBorder="1"/>
    <x:xf numFmtId="0" fontId="3" fillId="2" borderId="67" xfId="0" applyNumberFormat="1" applyFont="1" applyFill="1" applyBorder="1"/>
    <x:xf numFmtId="0" fontId="8" fillId="0" borderId="55" xfId="0" applyNumberFormat="1" applyFont="1" applyFill="1" applyBorder="1"/>
    <x:xf numFmtId="0" fontId="10" fillId="0" borderId="90" xfId="0" applyNumberFormat="1" applyFont="1" applyFill="1" applyBorder="1"/>
    <x:xf numFmtId="0" fontId="10" fillId="0" borderId="91" xfId="0" applyNumberFormat="1" applyFont="1" applyFill="1" applyBorder="1"/>
    <x:xf numFmtId="0" fontId="10" fillId="0" borderId="61" xfId="0" applyNumberFormat="1" applyFont="1" applyFill="1" applyBorder="1" applyAlignment="1">
      <x:alignment wrapText="1"/>
    </x:xf>
    <x:xf numFmtId="0" fontId="10" fillId="0" borderId="61" xfId="0" applyNumberFormat="1" applyFont="1" applyFill="1" applyBorder="1"/>
    <x:xf numFmtId="176" fontId="10" fillId="0" borderId="91" xfId="0" applyNumberFormat="1" applyFont="1" applyFill="1" applyBorder="1"/>
    <x:xf numFmtId="176" fontId="10" fillId="0" borderId="61" xfId="0" applyNumberFormat="1" applyFont="1" applyFill="1" applyBorder="1"/>
    <x:xf numFmtId="56" fontId="3" fillId="0" borderId="92" xfId="0" applyNumberFormat="1" applyFont="1" applyFill="1" applyBorder="1"/>
    <x:xf numFmtId="0" fontId="3" fillId="0" borderId="92" xfId="0" applyNumberFormat="1" applyFont="1" applyFill="1" applyBorder="1"/>
    <x:xf numFmtId="56" fontId="3" fillId="0" borderId="51" xfId="0" applyNumberFormat="1" applyFont="1" applyFill="1" applyBorder="1"/>
    <x:xf numFmtId="0" fontId="3" fillId="4" borderId="93" xfId="0" applyNumberFormat="1" applyFont="1" applyFill="1" applyBorder="1"/>
    <x:xf numFmtId="0" fontId="9" fillId="4" borderId="93" xfId="0" applyNumberFormat="1" applyFont="1" applyFill="1" applyBorder="1"/>
    <x:xf numFmtId="0" fontId="9" fillId="4" borderId="87" xfId="0" applyNumberFormat="1" applyFont="1" applyFill="1" applyBorder="1"/>
    <x:xf numFmtId="0" fontId="11" fillId="0" borderId="51" xfId="0" applyNumberFormat="1" applyFont="1" applyFill="1" applyBorder="1"/>
    <x:xf numFmtId="0" fontId="3" fillId="0" borderId="94" xfId="0" applyNumberFormat="1" applyFont="1" applyFill="1" applyBorder="1"/>
    <x:xf numFmtId="0" fontId="3" fillId="0" borderId="95" xfId="0" applyNumberFormat="1" applyFont="1" applyFill="1" applyBorder="1"/>
    <x:xf numFmtId="176" fontId="3" fillId="0" borderId="94" xfId="0" applyNumberFormat="1" applyFont="1" applyFill="1" applyBorder="1" applyAlignment="1">
      <x:alignment horizontal="center"/>
    </x:xf>
    <x:xf numFmtId="176" fontId="3" fillId="0" borderId="95" xfId="0" applyNumberFormat="1" applyFont="1" applyFill="1" applyBorder="1" applyAlignment="1">
      <x:alignment horizontal="center"/>
    </x:xf>
    <x:xf numFmtId="0" fontId="3" fillId="0" borderId="61" xfId="0" applyNumberFormat="1" applyFont="1" applyFill="1" applyBorder="1" applyAlignment="1">
      <x:alignment horizontal="center"/>
    </x:xf>
    <x:xf numFmtId="0" fontId="3" fillId="2" borderId="94" xfId="0" applyNumberFormat="1" applyFont="1" applyFill="1" applyBorder="1"/>
    <x:xf numFmtId="0" fontId="3" fillId="3" borderId="76" xfId="0" applyNumberFormat="1" applyFont="1" applyFill="1" applyBorder="1"/>
    <x:xf numFmtId="0" fontId="3" fillId="2" borderId="76" xfId="0" applyNumberFormat="1" applyFont="1" applyFill="1" applyBorder="1"/>
    <x:xf numFmtId="0" fontId="5" fillId="0" borderId="65" xfId="0" applyNumberFormat="1" applyFont="1" applyFill="1" applyBorder="1"/>
    <x:xf numFmtId="0" fontId="5" fillId="0" borderId="54" xfId="0" applyNumberFormat="1" applyFont="1" applyFill="1" applyBorder="1"/>
    <x:xf numFmtId="0" fontId="5" fillId="0" borderId="66" xfId="0" applyNumberFormat="1" applyFont="1" applyFill="1" applyBorder="1"/>
    <x:xf numFmtId="0" fontId="3" fillId="0" borderId="61" xfId="0" applyNumberFormat="1" applyFont="1" applyFill="1" applyBorder="1" applyAlignment="1">
      <x:alignment wrapText="1"/>
    </x:xf>
    <x:xf numFmtId="0" fontId="3" fillId="0" borderId="63" xfId="0" applyNumberFormat="1" applyFont="1" applyFill="1" applyBorder="1" applyAlignment="1">
      <x:alignment wrapText="1"/>
    </x:xf>
    <x:xf numFmtId="0" fontId="3" fillId="0" borderId="82" xfId="0" applyNumberFormat="1" applyFont="1" applyFill="1" applyBorder="1" applyAlignment="1">
      <x:alignment wrapText="1"/>
    </x:xf>
    <x:xf numFmtId="0" fontId="3" fillId="0" borderId="71" xfId="0" applyNumberFormat="1" applyFont="1" applyFill="1" applyBorder="1" applyAlignment="1">
      <x:alignment wrapText="1"/>
    </x:xf>
    <x:xf numFmtId="0" fontId="3" fillId="0" borderId="62" xfId="0" applyNumberFormat="1" applyFont="1" applyFill="1" applyBorder="1" applyAlignment="1">
      <x:alignment wrapText="1"/>
    </x:xf>
    <x:xf numFmtId="0" fontId="3" fillId="0" borderId="96" xfId="0" applyNumberFormat="1" applyFont="1" applyFill="1" applyBorder="1"/>
    <x:xf numFmtId="0" fontId="3" fillId="0" borderId="78" xfId="0" applyNumberFormat="1" applyFont="1" applyFill="1" applyBorder="1" applyAlignment="1">
      <x:alignment wrapText="1"/>
    </x:xf>
    <x:xf numFmtId="0" fontId="3" fillId="0" borderId="64" xfId="0" applyNumberFormat="1" applyFont="1" applyFill="1" applyBorder="1" applyAlignment="1">
      <x:alignment wrapText="1"/>
    </x:xf>
    <x:xf numFmtId="0" fontId="3" fillId="0" borderId="89" xfId="0" applyNumberFormat="1" applyFont="1" applyFill="1" applyBorder="1" applyAlignment="1">
      <x:alignment wrapText="1"/>
    </x:xf>
    <x:xf numFmtId="0" fontId="10" fillId="4" borderId="97" xfId="0" applyNumberFormat="1" applyFont="1" applyFill="1" applyBorder="1"/>
    <x:xf numFmtId="0" fontId="10" fillId="4" borderId="93" xfId="0" applyNumberFormat="1" applyFont="1" applyFill="1" applyBorder="1"/>
    <x:xf numFmtId="0" fontId="10" fillId="4" borderId="87" xfId="0" applyNumberFormat="1" applyFont="1" applyFill="1" applyBorder="1"/>
    <x:xf numFmtId="0" fontId="12" fillId="0" borderId="78" xfId="0" applyNumberFormat="1" applyFont="1" applyFill="1" applyBorder="1"/>
    <x:xf numFmtId="0" fontId="12" fillId="0" borderId="64" xfId="0" applyNumberFormat="1" applyFont="1" applyFill="1" applyBorder="1"/>
    <x:xf numFmtId="0" fontId="3" fillId="0" borderId="54" xfId="0" applyNumberFormat="1" applyFont="1" applyFill="1" applyBorder="1" applyAlignment="1">
      <x:alignment horizontal="right" vertical="top"/>
    </x:xf>
    <x:xf numFmtId="0" fontId="3" fillId="0" borderId="80" xfId="0" applyNumberFormat="1" applyFont="1" applyFill="1" applyBorder="1" applyAlignment="1">
      <x:alignment horizontal="right" vertical="top"/>
    </x:xf>
    <x:xf numFmtId="0" fontId="3" fillId="0" borderId="75" xfId="0" applyNumberFormat="1" applyFont="1" applyFill="1" applyBorder="1" applyAlignment="1">
      <x:alignment horizontal="right" vertical="top"/>
    </x:xf>
    <x:xf numFmtId="0" fontId="3" fillId="0" borderId="66" xfId="0" applyNumberFormat="1" applyFont="1" applyFill="1" applyBorder="1" applyAlignment="1">
      <x:alignment horizontal="right" vertical="top"/>
    </x:xf>
    <x:xf numFmtId="0" fontId="3" fillId="0" borderId="72" xfId="0" applyNumberFormat="1" applyFont="1" applyFill="1" applyBorder="1" applyAlignment="1">
      <x:alignment horizontal="right" vertical="top"/>
    </x:xf>
    <x:xf numFmtId="0" fontId="3" fillId="0" borderId="94" xfId="0" applyNumberFormat="1" applyFont="1" applyFill="1" applyBorder="1" applyAlignment="1">
      <x:alignment horizontal="right" vertical="top"/>
    </x:xf>
    <x:xf numFmtId="0" fontId="3" fillId="0" borderId="65" xfId="0" applyNumberFormat="1" applyFont="1" applyFill="1" applyBorder="1" applyAlignment="1">
      <x:alignment horizontal="right" vertical="top"/>
    </x:xf>
    <x:xf numFmtId="0" fontId="3" fillId="0" borderId="51" xfId="0" applyNumberFormat="1" applyFont="1" applyFill="1" applyBorder="1" applyAlignment="1">
      <x:alignment horizontal="right" vertical="top"/>
    </x:xf>
    <x:xf numFmtId="0" fontId="10" fillId="0" borderId="98" xfId="0" applyNumberFormat="1" applyFont="1" applyFill="1" applyBorder="1"/>
    <x:xf numFmtId="0" fontId="3" fillId="2" borderId="51" xfId="0" applyNumberFormat="1" applyFont="1" applyFill="1" applyBorder="1"/>
    <x:xf numFmtId="0" fontId="3" fillId="3" borderId="51" xfId="0" applyNumberFormat="1" applyFont="1" applyFill="1" applyBorder="1"/>
    <x:xf numFmtId="0" fontId="12" fillId="0" borderId="51" xfId="0" applyNumberFormat="1" applyFont="1" applyFill="1" applyBorder="1"/>
    <x:xf numFmtId="0" fontId="14" fillId="0" borderId="51" xfId="0" applyNumberFormat="1" applyFont="1" applyFill="1" applyBorder="1"/>
    <x:xf numFmtId="0" fontId="5" fillId="0" borderId="51" xfId="0" applyNumberFormat="1" applyFont="1" applyFill="1" applyBorder="1"/>
    <x:xf numFmtId="0" fontId="13" fillId="0" borderId="51" xfId="0" applyNumberFormat="1" applyFont="1" applyFill="1" applyBorder="1"/>
    <x:xf numFmtId="0" fontId="3" fillId="0" borderId="99" xfId="0" applyNumberFormat="1" applyFont="1" applyFill="1" applyBorder="1"/>
    <x:xf numFmtId="0" fontId="3" fillId="0" borderId="100" xfId="0" applyNumberFormat="1" applyFont="1" applyFill="1" applyBorder="1"/>
    <x:xf numFmtId="176" fontId="5" fillId="0" borderId="51" xfId="0" applyNumberFormat="1" applyFont="1" applyFill="1" applyBorder="1" applyAlignment="1">
      <x:alignment horizontal="center"/>
    </x:xf>
    <x:xf numFmtId="176" fontId="5" fillId="2" borderId="51" xfId="0" applyNumberFormat="1" applyFont="1" applyFill="1" applyBorder="1" applyAlignment="1">
      <x:alignment horizontal="center"/>
    </x:xf>
    <x:xf numFmtId="176" fontId="5" fillId="3" borderId="51" xfId="0" applyNumberFormat="1" applyFont="1" applyFill="1" applyBorder="1" applyAlignment="1">
      <x:alignment horizontal="center"/>
    </x:xf>
    <x:xf numFmtId="0" fontId="5" fillId="0" borderId="51" xfId="0" applyNumberFormat="1" applyFont="1" applyFill="1" applyBorder="1" applyAlignment="1">
      <x:alignment horizontal="center"/>
    </x:xf>
    <x:xf numFmtId="0" fontId="10" fillId="0" borderId="51" xfId="0" applyNumberFormat="1" applyFont="1" applyFill="1" applyBorder="1"/>
    <x:xf numFmtId="0" fontId="9" fillId="0" borderId="51" xfId="0" applyNumberFormat="1" applyFont="1" applyFill="1" applyBorder="1"/>
    <x:xf numFmtId="0" fontId="3" fillId="0" borderId="70" xfId="0" applyNumberFormat="1" applyFont="1" applyFill="1" applyBorder="1" applyAlignment="1">
      <x:alignment wrapText="1"/>
    </x:xf>
    <x:xf numFmtId="0" fontId="3" fillId="0" borderId="101" xfId="0" applyNumberFormat="1" applyFont="1" applyFill="1" applyBorder="1"/>
    <x:xf numFmtId="176" fontId="10" fillId="0" borderId="90" xfId="0" applyNumberFormat="1" applyFont="1" applyFill="1" applyBorder="1"/>
    <x:xf numFmtId="176" fontId="3" fillId="0" borderId="73" xfId="0" applyNumberFormat="1" applyFont="1" applyFill="1" applyBorder="1"/>
    <x:xf numFmtId="200" fontId="5" fillId="0" borderId="0" xfId="0" applyNumberFormat="1" applyFont="1" applyFill="1" applyBorder="1" applyAlignment="1">
      <x:alignment horizontal="center"/>
    </x:xf>
    <x:xf numFmtId="200" fontId="5" fillId="2" borderId="0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/>
    </x:xf>
    <x:xf numFmtId="200" fontId="5" fillId="0" borderId="51" xfId="0" applyNumberFormat="1" applyFont="1" applyFill="1" applyBorder="1" applyAlignment="1">
      <x:alignment horizontal="center"/>
    </x:xf>
    <x:xf numFmtId="200" fontId="5" fillId="2" borderId="51" xfId="0" applyNumberFormat="1" applyFont="1" applyFill="1" applyBorder="1" applyAlignment="1">
      <x:alignment horizontal="center"/>
    </x:xf>
    <x:xf numFmtId="200" fontId="5" fillId="3" borderId="51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0" borderId="51" xfId="0" applyNumberFormat="1" applyFont="1" applyFill="1" applyBorder="1" applyAlignment="1">
      <x:alignment horizontal="center"/>
    </x:xf>
    <x:xf numFmtId="200" fontId="0" fillId="0" borderId="5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3" fillId="0" borderId="51" xfId="0" applyNumberFormat="1" applyFont="1" applyFill="1" applyBorder="1" applyAlignment="1">
      <x:alignment horizontal="right" vertical="top" wrapText="1"/>
    </x:xf>
    <x:xf numFmtId="0" fontId="0" fillId="0" borderId="51" xfId="0" applyNumberFormat="1" applyFont="1" applyFill="1" applyBorder="1" applyAlignment="1">
      <x:alignment wrapText="1"/>
    </x:xf>
    <x:xf numFmtId="200" fontId="3" fillId="0" borderId="51" xfId="0" applyNumberFormat="1" applyFont="1" applyFill="1" applyBorder="1" applyAlignment="1">
      <x:alignment horizontal="center" wrapText="1"/>
    </x:xf>
    <x:xf numFmtId="0" fontId="3" fillId="0" borderId="51" xfId="0" applyNumberFormat="1" applyFont="1" applyFill="1" applyBorder="1" applyAlignment="1">
      <x:alignment horizontal="center" wrapText="1"/>
    </x:xf>
    <x:xf numFmtId="0" fontId="12" fillId="0" borderId="51" xfId="0" applyNumberFormat="1" applyFont="1" applyFill="1" applyBorder="1" applyAlignment="1">
      <x:alignment wrapText="1"/>
    </x:xf>
    <x:xf numFmtId="0" fontId="14" fillId="0" borderId="51" xfId="0" applyNumberFormat="1" applyFont="1" applyFill="1" applyBorder="1" applyAlignment="1">
      <x:alignment wrapText="1"/>
    </x:xf>
    <x:xf numFmtId="0" fontId="5" fillId="0" borderId="51" xfId="0" applyNumberFormat="1" applyFont="1" applyFill="1" applyBorder="1" applyAlignment="1">
      <x:alignment wrapText="1"/>
    </x:xf>
    <x:xf numFmtId="200" fontId="0" fillId="0" borderId="51" xfId="0" applyNumberFormat="1" applyFont="1" applyFill="1" applyBorder="1" applyAlignment="1">
      <x:alignment wrapText="1"/>
    </x:xf>
    <x:xf numFmtId="0" fontId="13" fillId="0" borderId="5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3" fillId="0" borderId="51" xfId="0" applyNumberFormat="1" applyFont="1" applyFill="1" applyBorder="1" applyAlignment="1">
      <x:alignment vertical="center" wrapText="1"/>
    </x:xf>
    <x:xf numFmtId="0" fontId="3" fillId="0" borderId="51" xfId="0" applyNumberFormat="1" applyFont="1" applyFill="1" applyBorder="1" applyAlignment="1">
      <x:alignment horizontal="right" vertical="center" wrapText="1"/>
    </x:xf>
    <x:xf numFmtId="0" fontId="0" fillId="0" borderId="51" xfId="0" applyNumberFormat="1" applyFont="1" applyFill="1" applyBorder="1" applyAlignment="1">
      <x:alignment vertical="center" wrapText="1"/>
    </x:xf>
    <x:xf numFmtId="200" fontId="3" fillId="0" borderId="51" xfId="0" applyNumberFormat="1" applyFont="1" applyFill="1" applyBorder="1" applyAlignment="1">
      <x:alignment horizontal="center" vertical="center" wrapText="1"/>
    </x:xf>
    <x:xf numFmtId="0" fontId="3" fillId="0" borderId="51" xfId="0" applyNumberFormat="1" applyFont="1" applyFill="1" applyBorder="1" applyAlignment="1">
      <x:alignment horizontal="center" vertical="center" wrapText="1"/>
    </x:xf>
    <x:xf numFmtId="0" fontId="12" fillId="0" borderId="51" xfId="0" applyNumberFormat="1" applyFont="1" applyFill="1" applyBorder="1" applyAlignment="1">
      <x:alignment vertical="center" wrapText="1"/>
    </x:xf>
    <x:xf numFmtId="0" fontId="14" fillId="0" borderId="51" xfId="0" applyNumberFormat="1" applyFont="1" applyFill="1" applyBorder="1" applyAlignment="1">
      <x:alignment vertical="center" wrapText="1"/>
    </x:xf>
    <x:xf numFmtId="0" fontId="5" fillId="0" borderId="51" xfId="0" applyNumberFormat="1" applyFont="1" applyFill="1" applyBorder="1" applyAlignment="1">
      <x:alignment vertical="center" wrapText="1"/>
    </x:xf>
    <x:xf numFmtId="200" fontId="0" fillId="0" borderId="51" xfId="0" applyNumberFormat="1" applyFont="1" applyFill="1" applyBorder="1" applyAlignment="1">
      <x:alignment vertical="center" wrapText="1"/>
    </x:xf>
    <x:xf numFmtId="0" fontId="13" fillId="0" borderId="51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0" fontId="5" fillId="5" borderId="51" xfId="0" applyNumberFormat="1" applyFont="1" applyFill="1" applyBorder="1" applyAlignment="1">
      <x:alignment horizontal="center"/>
    </x:xf>
    <x:xf numFmtId="0" fontId="5" fillId="5" borderId="51" xfId="0" applyNumberFormat="1" applyFont="1" applyFill="1" applyBorder="1" applyAlignment="1">
      <x:alignment horizontal="center"/>
    </x:xf>
    <x:xf numFmtId="0" fontId="0" fillId="5" borderId="51" xfId="0" applyNumberFormat="1" applyFont="1" applyFill="1" applyBorder="1"/>
    <x:xf numFmtId="200" fontId="8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200" fontId="8" fillId="5" borderId="51" xfId="0" applyNumberFormat="1" applyFont="1" applyFill="1" applyBorder="1" applyAlignment="1">
      <x:alignment horizontal="center"/>
    </x:xf>
    <x:xf numFmtId="0" fontId="8" fillId="5" borderId="5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6" fillId="6" borderId="0" xfId="0" applyNumberFormat="1" applyFont="1" applyFill="1" applyBorder="1"/>
    <x:xf numFmtId="0" fontId="16" fillId="6" borderId="0" xfId="0" applyNumberFormat="1" applyFont="1" applyFill="1" applyBorder="1" applyAlignment="1">
      <x:alignment horizontal="center"/>
    </x:xf>
    <x:xf numFmtId="0" fontId="16" fillId="6" borderId="0" xfId="0" applyNumberFormat="1" applyFont="1" applyFill="1" applyBorder="1" applyAlignment="1">
      <x:alignment horizontal="center" vertical="center"/>
    </x:xf>
    <x:xf numFmtId="0" fontId="0" fillId="6" borderId="51" xfId="0" applyNumberFormat="1" applyFont="1" applyFill="1" applyBorder="1"/>
    <x:xf numFmtId="0" fontId="16" fillId="6" borderId="51" xfId="0" applyNumberFormat="1" applyFont="1" applyFill="1" applyBorder="1"/>
    <x:xf numFmtId="0" fontId="16" fillId="6" borderId="51" xfId="0" applyNumberFormat="1" applyFont="1" applyFill="1" applyBorder="1" applyAlignment="1">
      <x:alignment horizontal="center"/>
    </x:xf>
    <x:xf numFmtId="0" fontId="16" fillId="6" borderId="5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vertical="center" wrapText="1"/>
    </x:xf>
    <x:xf numFmtId="0" fontId="0" fillId="7" borderId="51" xfId="0" applyNumberFormat="1" applyFont="1" applyFill="1" applyBorder="1"/>
    <x:xf numFmtId="0" fontId="17" fillId="7" borderId="51" xfId="0" applyNumberFormat="1" applyFont="1" applyFill="1" applyBorder="1"/>
    <x:xf numFmtId="0" fontId="17" fillId="7" borderId="51" xfId="0" applyNumberFormat="1" applyFont="1" applyFill="1" applyBorder="1" applyAlignment="1">
      <x:alignment wrapText="1"/>
    </x:xf>
    <x:xf numFmtId="0" fontId="17" fillId="7" borderId="5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8" fillId="8" borderId="0" xfId="0" applyNumberFormat="1" applyFont="1" applyFill="1" applyBorder="1"/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horizontal="center" wrapText="1"/>
    </x:xf>
    <x:xf numFmtId="0" fontId="18" fillId="8" borderId="0" xfId="0" applyNumberFormat="1" applyFont="1" applyFill="1" applyBorder="1" applyAlignment="1">
      <x:alignment horizontal="center" vertical="center" wrapText="1"/>
    </x:xf>
    <x:xf numFmtId="0" fontId="0" fillId="8" borderId="51" xfId="0" applyNumberFormat="1" applyFont="1" applyFill="1" applyBorder="1"/>
    <x:xf numFmtId="0" fontId="18" fillId="8" borderId="51" xfId="0" applyNumberFormat="1" applyFont="1" applyFill="1" applyBorder="1"/>
    <x:xf numFmtId="0" fontId="18" fillId="8" borderId="51" xfId="0" applyNumberFormat="1" applyFont="1" applyFill="1" applyBorder="1" applyAlignment="1">
      <x:alignment wrapText="1"/>
    </x:xf>
    <x:xf numFmtId="0" fontId="18" fillId="8" borderId="51" xfId="0" applyNumberFormat="1" applyFont="1" applyFill="1" applyBorder="1" applyAlignment="1">
      <x:alignment horizontal="center" wrapText="1"/>
    </x:xf>
    <x:xf numFmtId="0" fontId="18" fillId="8" borderId="5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wrapText="1"/>
    </x:xf>
    <x:xf numFmtId="0" fontId="18" fillId="9" borderId="0" xfId="0" applyNumberFormat="1" applyFont="1" applyFill="1" applyBorder="1" applyAlignment="1">
      <x:alignment horizontal="center" wrapText="1"/>
    </x:xf>
    <x:xf numFmtId="0" fontId="18" fillId="9" borderId="0" xfId="0" applyNumberFormat="1" applyFont="1" applyFill="1" applyBorder="1" applyAlignment="1">
      <x:alignment horizontal="center" vertical="center" wrapText="1"/>
    </x:xf>
    <x:xf numFmtId="0" fontId="0" fillId="9" borderId="51" xfId="0" applyNumberFormat="1" applyFont="1" applyFill="1" applyBorder="1"/>
    <x:xf numFmtId="0" fontId="18" fillId="9" borderId="51" xfId="0" applyNumberFormat="1" applyFont="1" applyFill="1" applyBorder="1"/>
    <x:xf numFmtId="0" fontId="18" fillId="9" borderId="51" xfId="0" applyNumberFormat="1" applyFont="1" applyFill="1" applyBorder="1" applyAlignment="1">
      <x:alignment wrapText="1"/>
    </x:xf>
    <x:xf numFmtId="0" fontId="18" fillId="9" borderId="51" xfId="0" applyNumberFormat="1" applyFont="1" applyFill="1" applyBorder="1" applyAlignment="1">
      <x:alignment horizontal="center" wrapText="1"/>
    </x:xf>
    <x:xf numFmtId="0" fontId="18" fillId="9" borderId="5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wrapText="1"/>
    </x:xf>
    <x:xf numFmtId="0" fontId="18" fillId="10" borderId="0" xfId="0" applyNumberFormat="1" applyFont="1" applyFill="1" applyBorder="1" applyAlignment="1">
      <x:alignment horizontal="center" wrapText="1"/>
    </x:xf>
    <x:xf numFmtId="0" fontId="18" fillId="10" borderId="0" xfId="0" applyNumberFormat="1" applyFont="1" applyFill="1" applyBorder="1" applyAlignment="1">
      <x:alignment horizontal="center" vertical="center" wrapText="1"/>
    </x:xf>
    <x:xf numFmtId="0" fontId="0" fillId="10" borderId="51" xfId="0" applyNumberFormat="1" applyFont="1" applyFill="1" applyBorder="1"/>
    <x:xf numFmtId="0" fontId="18" fillId="10" borderId="51" xfId="0" applyNumberFormat="1" applyFont="1" applyFill="1" applyBorder="1"/>
    <x:xf numFmtId="0" fontId="18" fillId="10" borderId="51" xfId="0" applyNumberFormat="1" applyFont="1" applyFill="1" applyBorder="1" applyAlignment="1">
      <x:alignment wrapText="1"/>
    </x:xf>
    <x:xf numFmtId="0" fontId="18" fillId="10" borderId="51" xfId="0" applyNumberFormat="1" applyFont="1" applyFill="1" applyBorder="1" applyAlignment="1">
      <x:alignment horizontal="center" wrapText="1"/>
    </x:xf>
    <x:xf numFmtId="0" fontId="18" fillId="10" borderId="5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horizontal="center" wrapText="1"/>
    </x:xf>
    <x:xf numFmtId="0" fontId="18" fillId="11" borderId="0" xfId="0" applyNumberFormat="1" applyFont="1" applyFill="1" applyBorder="1" applyAlignment="1">
      <x:alignment horizontal="center" vertical="center" wrapText="1"/>
    </x:xf>
    <x:xf numFmtId="0" fontId="0" fillId="11" borderId="51" xfId="0" applyNumberFormat="1" applyFont="1" applyFill="1" applyBorder="1"/>
    <x:xf numFmtId="0" fontId="18" fillId="11" borderId="51" xfId="0" applyNumberFormat="1" applyFont="1" applyFill="1" applyBorder="1"/>
    <x:xf numFmtId="0" fontId="18" fillId="11" borderId="51" xfId="0" applyNumberFormat="1" applyFont="1" applyFill="1" applyBorder="1" applyAlignment="1">
      <x:alignment wrapText="1"/>
    </x:xf>
    <x:xf numFmtId="0" fontId="18" fillId="11" borderId="51" xfId="0" applyNumberFormat="1" applyFont="1" applyFill="1" applyBorder="1" applyAlignment="1">
      <x:alignment horizontal="center" wrapText="1"/>
    </x:xf>
    <x:xf numFmtId="0" fontId="18" fillId="11" borderId="5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wrapText="1"/>
    </x:xf>
    <x:xf numFmtId="0" fontId="18" fillId="12" borderId="0" xfId="0" applyNumberFormat="1" applyFont="1" applyFill="1" applyBorder="1" applyAlignment="1">
      <x:alignment horizontal="center" wrapText="1"/>
    </x:xf>
    <x:xf numFmtId="0" fontId="18" fillId="12" borderId="0" xfId="0" applyNumberFormat="1" applyFont="1" applyFill="1" applyBorder="1" applyAlignment="1">
      <x:alignment horizontal="center" vertical="center" wrapText="1"/>
    </x:xf>
    <x:xf numFmtId="0" fontId="0" fillId="12" borderId="51" xfId="0" applyNumberFormat="1" applyFont="1" applyFill="1" applyBorder="1"/>
    <x:xf numFmtId="0" fontId="18" fillId="12" borderId="51" xfId="0" applyNumberFormat="1" applyFont="1" applyFill="1" applyBorder="1"/>
    <x:xf numFmtId="0" fontId="18" fillId="12" borderId="51" xfId="0" applyNumberFormat="1" applyFont="1" applyFill="1" applyBorder="1" applyAlignment="1">
      <x:alignment wrapText="1"/>
    </x:xf>
    <x:xf numFmtId="0" fontId="18" fillId="12" borderId="51" xfId="0" applyNumberFormat="1" applyFont="1" applyFill="1" applyBorder="1" applyAlignment="1">
      <x:alignment horizontal="center" wrapText="1"/>
    </x:xf>
    <x:xf numFmtId="0" fontId="18" fillId="12" borderId="5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0" xfId="0" applyNumberFormat="1" applyFont="1" applyFill="1" applyBorder="1" applyAlignment="1">
      <x:alignment wrapText="1"/>
    </x:xf>
    <x:xf numFmtId="0" fontId="18" fillId="13" borderId="0" xfId="0" applyNumberFormat="1" applyFont="1" applyFill="1" applyBorder="1" applyAlignment="1">
      <x:alignment horizontal="center" wrapText="1"/>
    </x:xf>
    <x:xf numFmtId="0" fontId="18" fillId="13" borderId="0" xfId="0" applyNumberFormat="1" applyFont="1" applyFill="1" applyBorder="1" applyAlignment="1">
      <x:alignment horizontal="center" vertical="center" wrapText="1"/>
    </x:xf>
    <x:xf numFmtId="0" fontId="0" fillId="13" borderId="51" xfId="0" applyNumberFormat="1" applyFont="1" applyFill="1" applyBorder="1"/>
    <x:xf numFmtId="0" fontId="18" fillId="13" borderId="51" xfId="0" applyNumberFormat="1" applyFont="1" applyFill="1" applyBorder="1"/>
    <x:xf numFmtId="0" fontId="18" fillId="13" borderId="51" xfId="0" applyNumberFormat="1" applyFont="1" applyFill="1" applyBorder="1" applyAlignment="1">
      <x:alignment wrapText="1"/>
    </x:xf>
    <x:xf numFmtId="0" fontId="18" fillId="13" borderId="51" xfId="0" applyNumberFormat="1" applyFont="1" applyFill="1" applyBorder="1" applyAlignment="1">
      <x:alignment horizontal="center" wrapText="1"/>
    </x:xf>
    <x:xf numFmtId="0" fontId="18" fillId="13" borderId="5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8" fillId="14" borderId="0" xfId="0" applyNumberFormat="1" applyFont="1" applyFill="1" applyBorder="1"/>
    <x:xf numFmtId="0" fontId="18" fillId="14" borderId="0" xfId="0" applyNumberFormat="1" applyFont="1" applyFill="1" applyBorder="1" applyAlignment="1">
      <x:alignment wrapText="1"/>
    </x:xf>
    <x:xf numFmtId="0" fontId="18" fillId="14" borderId="0" xfId="0" applyNumberFormat="1" applyFont="1" applyFill="1" applyBorder="1" applyAlignment="1">
      <x:alignment horizontal="center" wrapText="1"/>
    </x:xf>
    <x:xf numFmtId="0" fontId="18" fillId="14" borderId="0" xfId="0" applyNumberFormat="1" applyFont="1" applyFill="1" applyBorder="1" applyAlignment="1">
      <x:alignment horizontal="center" vertical="center" wrapText="1"/>
    </x:xf>
    <x:xf numFmtId="0" fontId="0" fillId="14" borderId="51" xfId="0" applyNumberFormat="1" applyFont="1" applyFill="1" applyBorder="1"/>
    <x:xf numFmtId="0" fontId="18" fillId="14" borderId="51" xfId="0" applyNumberFormat="1" applyFont="1" applyFill="1" applyBorder="1"/>
    <x:xf numFmtId="0" fontId="18" fillId="14" borderId="51" xfId="0" applyNumberFormat="1" applyFont="1" applyFill="1" applyBorder="1" applyAlignment="1">
      <x:alignment wrapText="1"/>
    </x:xf>
    <x:xf numFmtId="0" fontId="18" fillId="14" borderId="51" xfId="0" applyNumberFormat="1" applyFont="1" applyFill="1" applyBorder="1" applyAlignment="1">
      <x:alignment horizontal="center" wrapText="1"/>
    </x:xf>
    <x:xf numFmtId="0" fontId="18" fillId="14" borderId="5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0" xfId="0" applyNumberFormat="1" applyFont="1" applyFill="1" applyBorder="1" applyAlignment="1">
      <x:alignment horizontal="center"/>
    </x:xf>
    <x:xf numFmtId="0" fontId="19" fillId="15" borderId="0" xfId="0" applyNumberFormat="1" applyFont="1" applyFill="1" applyBorder="1" applyAlignment="1">
      <x:alignment horizontal="center" vertical="center"/>
    </x:xf>
    <x:xf numFmtId="0" fontId="0" fillId="15" borderId="51" xfId="0" applyNumberFormat="1" applyFont="1" applyFill="1" applyBorder="1"/>
    <x:xf numFmtId="0" fontId="19" fillId="15" borderId="51" xfId="0" applyNumberFormat="1" applyFont="1" applyFill="1" applyBorder="1"/>
    <x:xf numFmtId="0" fontId="19" fillId="15" borderId="51" xfId="0" applyNumberFormat="1" applyFont="1" applyFill="1" applyBorder="1" applyAlignment="1">
      <x:alignment horizontal="center"/>
    </x:xf>
    <x:xf numFmtId="0" fontId="19" fillId="15" borderId="51" xfId="0" applyNumberFormat="1" applyFont="1" applyFill="1" applyBorder="1" applyAlignment="1">
      <x:alignment horizontal="center" vertical="center"/>
    </x:xf>
    <x:xf numFmtId="200" fontId="0" fillId="7" borderId="0" xfId="0" applyNumberFormat="1" applyFont="1" applyFill="1" applyBorder="1"/>
    <x:xf numFmtId="0" fontId="18" fillId="7" borderId="0" xfId="0" applyNumberFormat="1" applyFont="1" applyFill="1" applyBorder="1"/>
    <x:xf numFmtId="200" fontId="18" fillId="7" borderId="0" xfId="0" applyNumberFormat="1" applyFont="1" applyFill="1" applyBorder="1"/>
    <x:xf numFmtId="0" fontId="18" fillId="7" borderId="0" xfId="0" applyNumberFormat="1" applyFont="1" applyFill="1" applyBorder="1" applyAlignment="1">
      <x:alignment horizontal="center"/>
    </x:xf>
    <x:xf numFmtId="200" fontId="18" fillId="7" borderId="0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 vertical="center"/>
    </x:xf>
    <x:xf numFmtId="200" fontId="18" fillId="7" borderId="0" xfId="0" applyNumberFormat="1" applyFont="1" applyFill="1" applyBorder="1" applyAlignment="1">
      <x:alignment horizontal="center" vertical="center"/>
    </x:xf>
    <x:xf numFmtId="200" fontId="0" fillId="7" borderId="51" xfId="0" applyNumberFormat="1" applyFont="1" applyFill="1" applyBorder="1"/>
    <x:xf numFmtId="0" fontId="18" fillId="7" borderId="51" xfId="0" applyNumberFormat="1" applyFont="1" applyFill="1" applyBorder="1"/>
    <x:xf numFmtId="200" fontId="18" fillId="7" borderId="51" xfId="0" applyNumberFormat="1" applyFont="1" applyFill="1" applyBorder="1"/>
    <x:xf numFmtId="0" fontId="18" fillId="7" borderId="51" xfId="0" applyNumberFormat="1" applyFont="1" applyFill="1" applyBorder="1" applyAlignment="1">
      <x:alignment horizontal="center"/>
    </x:xf>
    <x:xf numFmtId="200" fontId="18" fillId="7" borderId="51" xfId="0" applyNumberFormat="1" applyFont="1" applyFill="1" applyBorder="1" applyAlignment="1">
      <x:alignment horizontal="center"/>
    </x:xf>
    <x:xf numFmtId="0" fontId="18" fillId="7" borderId="51" xfId="0" applyNumberFormat="1" applyFont="1" applyFill="1" applyBorder="1" applyAlignment="1">
      <x:alignment horizontal="center" vertical="center"/>
    </x:xf>
    <x:xf numFmtId="200" fontId="18" fillId="7" borderId="51" xfId="0" applyNumberFormat="1" applyFont="1" applyFill="1" applyBorder="1" applyAlignment="1">
      <x:alignment horizontal="center" vertical="center"/>
    </x:xf>
    <x:xf numFmtId="200" fontId="20" fillId="7" borderId="0" xfId="0" applyNumberFormat="1" applyFont="1" applyFill="1" applyBorder="1" applyAlignment="1">
      <x:alignment horizontal="center" vertical="center"/>
    </x:xf>
    <x:xf numFmtId="200" fontId="20" fillId="7" borderId="51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 applyAlignment="1">
      <x:alignment vertical="center" wrapText="1"/>
    </x:xf>
    <x:xf numFmtId="200" fontId="0" fillId="16" borderId="0" xfId="0" applyNumberFormat="1" applyFont="1" applyFill="1" applyBorder="1" applyAlignment="1">
      <x:alignment vertical="center" wrapText="1"/>
    </x:xf>
    <x:xf numFmtId="0" fontId="0" fillId="16" borderId="51" xfId="0" applyNumberFormat="1" applyFont="1" applyFill="1" applyBorder="1" applyAlignment="1">
      <x:alignment vertical="center" wrapText="1"/>
    </x:xf>
    <x:xf numFmtId="200" fontId="0" fillId="16" borderId="5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200" fontId="0" fillId="17" borderId="0" xfId="0" applyNumberFormat="1" applyFont="1" applyFill="1" applyBorder="1" applyAlignment="1">
      <x:alignment vertical="center" wrapText="1"/>
    </x:xf>
    <x:xf numFmtId="0" fontId="0" fillId="17" borderId="51" xfId="0" applyNumberFormat="1" applyFont="1" applyFill="1" applyBorder="1" applyAlignment="1">
      <x:alignment vertical="center" wrapText="1"/>
    </x:xf>
    <x:xf numFmtId="200" fontId="0" fillId="17" borderId="5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200" fontId="0" fillId="18" borderId="0" xfId="0" applyNumberFormat="1" applyFont="1" applyFill="1" applyBorder="1" applyAlignment="1">
      <x:alignment vertical="center" wrapText="1"/>
    </x:xf>
    <x:xf numFmtId="0" fontId="0" fillId="18" borderId="51" xfId="0" applyNumberFormat="1" applyFont="1" applyFill="1" applyBorder="1" applyAlignment="1">
      <x:alignment vertical="center" wrapText="1"/>
    </x:xf>
    <x:xf numFmtId="200" fontId="0" fillId="18" borderId="5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200" fontId="0" fillId="19" borderId="0" xfId="0" applyNumberFormat="1" applyFont="1" applyFill="1" applyBorder="1" applyAlignment="1">
      <x:alignment vertical="center" wrapText="1"/>
    </x:xf>
    <x:xf numFmtId="0" fontId="0" fillId="19" borderId="51" xfId="0" applyNumberFormat="1" applyFont="1" applyFill="1" applyBorder="1" applyAlignment="1">
      <x:alignment vertical="center" wrapText="1"/>
    </x:xf>
    <x:xf numFmtId="200" fontId="0" fillId="19" borderId="5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200" fontId="0" fillId="20" borderId="0" xfId="0" applyNumberFormat="1" applyFont="1" applyFill="1" applyBorder="1" applyAlignment="1">
      <x:alignment vertical="center" wrapText="1"/>
    </x:xf>
    <x:xf numFmtId="0" fontId="0" fillId="20" borderId="51" xfId="0" applyNumberFormat="1" applyFont="1" applyFill="1" applyBorder="1" applyAlignment="1">
      <x:alignment vertical="center" wrapText="1"/>
    </x:xf>
    <x:xf numFmtId="200" fontId="0" fillId="20" borderId="51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200" fontId="0" fillId="21" borderId="0" xfId="0" applyNumberFormat="1" applyFont="1" applyFill="1" applyBorder="1" applyAlignment="1">
      <x:alignment vertical="center" wrapText="1"/>
    </x:xf>
    <x:xf numFmtId="0" fontId="0" fillId="21" borderId="51" xfId="0" applyNumberFormat="1" applyFont="1" applyFill="1" applyBorder="1" applyAlignment="1">
      <x:alignment vertical="center" wrapText="1"/>
    </x:xf>
    <x:xf numFmtId="200" fontId="0" fillId="21" borderId="5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200" fontId="0" fillId="22" borderId="0" xfId="0" applyNumberFormat="1" applyFont="1" applyFill="1" applyBorder="1" applyAlignment="1">
      <x:alignment vertical="center" wrapText="1"/>
    </x:xf>
    <x:xf numFmtId="0" fontId="0" fillId="22" borderId="51" xfId="0" applyNumberFormat="1" applyFont="1" applyFill="1" applyBorder="1" applyAlignment="1">
      <x:alignment vertical="center" wrapText="1"/>
    </x:xf>
    <x:xf numFmtId="200" fontId="0" fillId="22" borderId="5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200" fontId="0" fillId="23" borderId="0" xfId="0" applyNumberFormat="1" applyFont="1" applyFill="1" applyBorder="1" applyAlignment="1">
      <x:alignment vertical="center" wrapText="1"/>
    </x:xf>
    <x:xf numFmtId="0" fontId="0" fillId="23" borderId="51" xfId="0" applyNumberFormat="1" applyFont="1" applyFill="1" applyBorder="1" applyAlignment="1">
      <x:alignment vertical="center" wrapText="1"/>
    </x:xf>
    <x:xf numFmtId="200" fontId="0" fillId="23" borderId="51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200" fontId="0" fillId="24" borderId="0" xfId="0" applyNumberFormat="1" applyFont="1" applyFill="1" applyBorder="1" applyAlignment="1">
      <x:alignment vertical="center" wrapText="1"/>
    </x:xf>
    <x:xf numFmtId="0" fontId="0" fillId="24" borderId="51" xfId="0" applyNumberFormat="1" applyFont="1" applyFill="1" applyBorder="1" applyAlignment="1">
      <x:alignment vertical="center" wrapText="1"/>
    </x:xf>
    <x:xf numFmtId="200" fontId="0" fillId="24" borderId="5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51" xfId="0" applyNumberFormat="1" applyFont="1" applyFill="1" applyBorder="1"/>
    <x:xf numFmtId="0" fontId="21" fillId="11" borderId="0" xfId="0" applyNumberFormat="1" applyFont="1" applyFill="1" applyBorder="1"/>
    <x:xf numFmtId="0" fontId="21" fillId="11" borderId="0" xfId="0" applyNumberFormat="1" applyFont="1" applyFill="1" applyBorder="1" applyAlignment="1">
      <x:alignment wrapText="1"/>
    </x:xf>
    <x:xf numFmtId="0" fontId="21" fillId="11" borderId="0" xfId="0" applyNumberFormat="1" applyFont="1" applyFill="1" applyBorder="1" applyAlignment="1">
      <x:alignment vertical="center" wrapText="1"/>
    </x:xf>
    <x:xf numFmtId="0" fontId="21" fillId="11" borderId="51" xfId="0" applyNumberFormat="1" applyFont="1" applyFill="1" applyBorder="1"/>
    <x:xf numFmtId="0" fontId="21" fillId="11" borderId="51" xfId="0" applyNumberFormat="1" applyFont="1" applyFill="1" applyBorder="1" applyAlignment="1">
      <x:alignment wrapText="1"/>
    </x:xf>
    <x:xf numFmtId="0" fontId="21" fillId="11" borderId="51" xfId="0" applyNumberFormat="1" applyFont="1" applyFill="1" applyBorder="1" applyAlignment="1">
      <x:alignment vertical="center" wrapText="1"/>
    </x:xf>
    <x:xf numFmtId="0" fontId="22" fillId="7" borderId="0" xfId="0" applyNumberFormat="1" applyFont="1" applyFill="1" applyBorder="1"/>
    <x:xf numFmtId="0" fontId="22" fillId="7" borderId="51" xfId="0" applyNumberFormat="1" applyFont="1" applyFill="1" applyBorder="1"/>
    <x:xf numFmtId="0" fontId="22" fillId="7" borderId="0" xfId="0" applyNumberFormat="1" applyFont="1" applyFill="1" applyBorder="1" applyAlignment="1">
      <x:alignment wrapText="1"/>
    </x:xf>
    <x:xf numFmtId="0" fontId="22" fillId="7" borderId="51" xfId="0" applyNumberFormat="1" applyFont="1" applyFill="1" applyBorder="1" applyAlignment="1">
      <x:alignment wrapText="1"/>
    </x:xf>
    <x:xf numFmtId="0" fontId="22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2" fillId="7" borderId="51" xfId="0" applyNumberFormat="1" applyFont="1" applyFill="1" applyBorder="1" applyAlignment="1">
      <x:alignment vertical="top" wrapText="1"/>
    </x:xf>
    <x:xf numFmtId="0" fontId="0" fillId="0" borderId="51" xfId="0" applyNumberFormat="1" applyFont="1" applyFill="1" applyBorder="1" applyAlignment="1">
      <x:alignment vertical="top" wrapText="1"/>
    </x:xf>
    <x:xf numFmtId="0" fontId="19" fillId="15" borderId="0" xfId="0" applyNumberFormat="1" applyFont="1" applyFill="1" applyBorder="1" applyAlignment="1">
      <x:alignment wrapText="1"/>
    </x:xf>
    <x:xf numFmtId="0" fontId="19" fillId="15" borderId="0" xfId="0" applyNumberFormat="1" applyFont="1" applyFill="1" applyBorder="1" applyAlignment="1">
      <x:alignment horizont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9" fillId="15" borderId="51" xfId="0" applyNumberFormat="1" applyFont="1" applyFill="1" applyBorder="1" applyAlignment="1">
      <x:alignment wrapText="1"/>
    </x:xf>
    <x:xf numFmtId="0" fontId="19" fillId="15" borderId="51" xfId="0" applyNumberFormat="1" applyFont="1" applyFill="1" applyBorder="1" applyAlignment="1">
      <x:alignment horizontal="center" wrapText="1"/>
    </x:xf>
    <x:xf numFmtId="0" fontId="19" fillId="15" borderId="51" xfId="0" applyNumberFormat="1" applyFont="1" applyFill="1" applyBorder="1" applyAlignment="1">
      <x:alignment horizontal="center" vertical="center" wrapText="1"/>
    </x:xf>
    <x:xf numFmtId="0" fontId="23" fillId="14" borderId="0" xfId="0" applyNumberFormat="1" applyFont="1" applyFill="1" applyBorder="1"/>
    <x:xf numFmtId="0" fontId="23" fillId="14" borderId="51" xfId="0" applyNumberFormat="1" applyFont="1" applyFill="1" applyBorder="1"/>
    <x:xf numFmtId="0" fontId="24" fillId="10" borderId="0" xfId="0" applyNumberFormat="1" applyFont="1" applyFill="1" applyBorder="1"/>
    <x:xf numFmtId="0" fontId="24" fillId="10" borderId="51" xfId="0" applyNumberFormat="1" applyFont="1" applyFill="1" applyBorder="1"/>
    <x:xf numFmtId="0" fontId="24" fillId="10" borderId="0" xfId="0" applyNumberFormat="1" applyFont="1" applyFill="1" applyBorder="1" applyAlignment="1">
      <x:alignment wrapText="1"/>
    </x:xf>
    <x:xf numFmtId="0" fontId="24" fillId="10" borderId="5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6" fillId="6" borderId="0" xfId="0" applyNumberFormat="1" applyFont="1" applyFill="1" applyBorder="1" applyAlignment="1">
      <x:alignment horizontal="center" vertical="top"/>
    </x:xf>
    <x:xf numFmtId="0" fontId="16" fillId="6" borderId="51" xfId="0" applyNumberFormat="1" applyFont="1" applyFill="1" applyBorder="1" applyAlignment="1">
      <x:alignment horizontal="center" vertical="top"/>
    </x:xf>
    <x:xf numFmtId="0" fontId="23" fillId="14" borderId="0" xfId="0" applyNumberFormat="1" applyFont="1" applyFill="1" applyBorder="1" applyAlignment="1">
      <x:alignment wrapText="1"/>
    </x:xf>
    <x:xf numFmtId="0" fontId="23" fillId="14" borderId="51" xfId="0" applyNumberFormat="1" applyFont="1" applyFill="1" applyBorder="1" applyAlignment="1">
      <x:alignment wrapText="1"/>
    </x:xf>
    <x:xf numFmtId="0" fontId="25" fillId="7" borderId="0" xfId="0" applyNumberFormat="1" applyFont="1" applyFill="1" applyBorder="1"/>
    <x:xf numFmtId="0" fontId="25" fillId="7" borderId="0" xfId="0" applyNumberFormat="1" applyFont="1" applyFill="1" applyBorder="1" applyAlignment="1">
      <x:alignment wrapText="1"/>
    </x:xf>
    <x:xf numFmtId="0" fontId="25" fillId="7" borderId="0" xfId="0" applyNumberFormat="1" applyFont="1" applyFill="1" applyBorder="1" applyAlignment="1">
      <x:alignment vertical="center" wrapText="1"/>
    </x:xf>
    <x:xf numFmtId="0" fontId="25" fillId="7" borderId="51" xfId="0" applyNumberFormat="1" applyFont="1" applyFill="1" applyBorder="1"/>
    <x:xf numFmtId="0" fontId="25" fillId="7" borderId="51" xfId="0" applyNumberFormat="1" applyFont="1" applyFill="1" applyBorder="1" applyAlignment="1">
      <x:alignment wrapText="1"/>
    </x:xf>
    <x:xf numFmtId="0" fontId="25" fillId="7" borderId="51" xfId="0" applyNumberFormat="1" applyFont="1" applyFill="1" applyBorder="1" applyAlignment="1">
      <x:alignment vertical="center" wrapText="1"/>
    </x:xf>
    <x:xf numFmtId="0" fontId="26" fillId="9" borderId="0" xfId="0" applyNumberFormat="1" applyFont="1" applyFill="1" applyBorder="1"/>
    <x:xf numFmtId="0" fontId="26" fillId="9" borderId="0" xfId="0" applyNumberFormat="1" applyFont="1" applyFill="1" applyBorder="1" applyAlignment="1">
      <x:alignment wrapText="1"/>
    </x:xf>
    <x:xf numFmtId="0" fontId="26" fillId="9" borderId="0" xfId="0" applyNumberFormat="1" applyFont="1" applyFill="1" applyBorder="1" applyAlignment="1">
      <x:alignment vertical="center" wrapText="1"/>
    </x:xf>
    <x:xf numFmtId="0" fontId="26" fillId="9" borderId="51" xfId="0" applyNumberFormat="1" applyFont="1" applyFill="1" applyBorder="1"/>
    <x:xf numFmtId="0" fontId="26" fillId="9" borderId="51" xfId="0" applyNumberFormat="1" applyFont="1" applyFill="1" applyBorder="1" applyAlignment="1">
      <x:alignment wrapText="1"/>
    </x:xf>
    <x:xf numFmtId="0" fontId="26" fillId="9" borderId="5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51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0" fillId="25" borderId="51" xfId="0" applyNumberFormat="1" applyFont="1" applyFill="1" applyBorder="1"/>
    <x:xf numFmtId="0" fontId="3" fillId="25" borderId="51" xfId="0" applyNumberFormat="1" applyFont="1" applyFill="1" applyBorder="1"/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0" fillId="26" borderId="51" xfId="0" applyNumberFormat="1" applyFont="1" applyFill="1" applyBorder="1"/>
    <x:xf numFmtId="0" fontId="3" fillId="26" borderId="51" xfId="0" applyNumberFormat="1" applyFont="1" applyFill="1" applyBorder="1"/>
  </x:cellXfs>
  <x:cellStyles count="2">
    <x:cellStyle name="Hyperlink" xfId="1"/>
    <x:cellStyle name="標準" xfId="0"/>
  </x:cellStyles>
  <x:dxfs count="60">
    <x:dxf>
      <x:font>
        <x:color theme="1"/>
      </x:font>
      <x:fill>
        <x:patternFill>
          <x:bgColor theme="0" tint="-0.04999"/>
        </x:patternFill>
      </x:fill>
    </x:dxf>
    <x:dxf>
      <x:font>
        <x:color rgb="FF002060"/>
      </x:font>
      <x:fill>
        <x:patternFill>
          <x:bgColor theme="8" tint="0.79998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2060"/>
      </x:font>
      <x:fill>
        <x:patternFill>
          <x:bgColor theme="8" tint="0.79998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ill>
        <x:patternFill>
          <x:bgColor theme="5" tint="0.79998"/>
        </x:patternFill>
      </x:fill>
    </x:dxf>
    <x:dxf>
      <x:font>
        <x:b/>
        <x:color rgb="FFC00000"/>
      </x:font>
      <x:fill>
        <x:patternFill>
          <x:bgColor theme="0"/>
        </x:patternFill>
      </x:fill>
    </x:dxf>
    <x:dxf>
      <x:font>
        <x:color theme="1"/>
      </x:font>
      <x:fill>
        <x:patternFill>
          <x:bgColor theme="7" tint="0.79998"/>
        </x:patternFill>
      </x:fill>
    </x:dxf>
    <x:dxf>
      <x:font>
        <x:color theme="1"/>
      </x:font>
      <x:fill>
        <x:patternFill>
          <x:bgColor theme="4" tint="0.79998"/>
        </x:patternFill>
      </x:fill>
    </x:dxf>
    <x:dxf>
      <x:font>
        <x:color theme="1"/>
      </x:font>
      <x:fill>
        <x:patternFill>
          <x:bgColor theme="0" tint="-0.15"/>
        </x:patternFill>
      </x:fill>
    </x:dxf>
    <x:dxf>
      <x:font>
        <x:color theme="1"/>
      </x:font>
      <x:fill>
        <x:patternFill>
          <x:bgColor theme="0" tint="-0.04999"/>
        </x:patternFill>
      </x:fill>
    </x:dxf>
    <x:dxf>
      <x:font>
        <x:color theme="0" tint="-0.34999"/>
      </x:font>
    </x:dxf>
    <x:dxf>
      <x:font>
        <x:color theme="1"/>
      </x:font>
      <x:fill>
        <x:patternFill>
          <x:bgColor theme="0" tint="-0.04999"/>
        </x:patternFill>
      </x:fill>
    </x:dxf>
    <x:dxf>
      <x:font>
        <x:color theme="1"/>
      </x:font>
      <x:fill>
        <x:patternFill>
          <x:bgColor theme="0" tint="-0.04999"/>
        </x:patternFill>
      </x:fill>
    </x:dxf>
    <x:dxf>
      <x:font>
        <x:b/>
      </x:font>
      <x:fill>
        <x:patternFill>
          <x:bgColor theme="4" tint="0.79998"/>
        </x:patternFill>
      </x:fill>
    </x:dxf>
    <x:dxf>
      <x:border>
        <x:bottom style="thin">
          <x:color rgb="FF000000"/>
        </x:bottom>
      </x:border>
    </x:dxf>
    <x:dxf>
      <x:border>
        <x:bottom style="thin">
          <x:color rgb="FF000000"/>
        </x:bottom>
      </x:border>
    </x:dxf>
    <x:dxf>
      <x:border>
        <x:right style="thin">
          <x:color rgb="FF000000"/>
        </x:right>
      </x:border>
    </x:dxf>
    <x:dxf>
      <x:border>
        <x:right style="thin">
          <x:color rgb="FF000000"/>
        </x:right>
      </x:border>
    </x:dxf>
    <x:dxf>
      <x:font>
        <x:b/>
        <x:color rgb="FF9C0006"/>
      </x:font>
    </x:dxf>
    <x:dxf>
      <x:border>
        <x:left style="thin">
          <x:color rgb="FF000000"/>
        </x:left>
      </x:border>
    </x:dxf>
    <x:dxf>
      <x:border>
        <x:left style="thin">
          <x:color rgb="FF000000"/>
        </x:left>
      </x:border>
    </x:dxf>
    <x:dxf>
      <x:border>
        <x:right style="dotted">
          <x:color rgb="FF000000"/>
        </x:right>
      </x:border>
    </x:dxf>
    <x:dxf>
      <x:border>
        <x:top style="thin">
          <x:color rgb="FF000000"/>
        </x:top>
      </x:border>
    </x:dxf>
    <x:dxf>
      <x:border>
        <x:top style="thin">
          <x:color rgb="FF000000"/>
        </x:top>
        <x:bottom style="dotted">
          <x:color rgb="FF000000"/>
        </x:bottom>
      </x:border>
    </x:dxf>
    <x:dxf>
      <x:border>
        <x:bottom style="thin">
          <x:color rgb="FF000000"/>
        </x:bottom>
      </x:border>
    </x:dxf>
    <x:dxf>
      <x:border>
        <x:bottom style="thin">
          <x:color rgb="FF000000"/>
        </x:bottom>
      </x:border>
    </x:dxf>
    <x:dxf>
      <x:border>
        <x:left style="thin">
          <x:color rgb="FF000000"/>
        </x:left>
      </x:border>
    </x:dxf>
    <x:dxf>
      <x:border>
        <x:left style="thin">
          <x:color rgb="FF000000"/>
        </x:left>
        <x:right style="dotted">
          <x:color rgb="FF000000"/>
        </x:right>
      </x:border>
    </x:dxf>
    <x:dxf>
      <x:border>
        <x:right style="thin">
          <x:color rgb="FF000000"/>
        </x:right>
      </x:border>
    </x:dxf>
    <x:dxf>
      <x:border>
        <x:right style="thin">
          <x:color rgb="FF000000"/>
        </x:right>
      </x:border>
    </x:dxf>
    <x:dxf>
      <x:border>
        <x:left style="thin">
          <x:color rgb="FF000000"/>
        </x:left>
      </x:border>
    </x:dxf>
    <x:dxf>
      <x:border>
        <x:left style="thin">
          <x:color rgb="FF000000"/>
        </x:left>
      </x:border>
    </x:dxf>
    <x:dxf>
      <x:border>
        <x:right style="thin">
          <x:color rgb="FF000000"/>
        </x:right>
      </x:border>
    </x:dxf>
    <x:dxf>
      <x:font>
        <x:color theme="1"/>
      </x:font>
      <x:fill>
        <x:patternFill>
          <x:bgColor theme="0"/>
        </x:patternFill>
      </x:fill>
      <x:border>
        <x:left style="dotted">
          <x:color rgb="FF000000"/>
        </x:left>
        <x:right style="dotted">
          <x:color rgb="FF000000"/>
        </x:right>
        <x:bottom style="dotted">
          <x:color rgb="FF000000"/>
        </x:bottom>
      </x:border>
    </x:dxf>
    <x:dxf>
      <x:font>
        <x:color theme="1"/>
      </x:font>
      <x:fill>
        <x:patternFill>
          <x:bgColor theme="0"/>
        </x:patternFill>
      </x:fill>
      <x:border>
        <x:left style="dotted">
          <x:color rgb="FF000000"/>
        </x:left>
        <x:right style="dotted">
          <x:color rgb="FF000000"/>
        </x:right>
        <x:bottom style="dotted">
          <x:color rgb="FF000000"/>
        </x:bottom>
      </x:border>
    </x:dxf>
    <x:dxf>
      <x:font>
        <x:color theme="1"/>
      </x:font>
      <x:fill>
        <x:patternFill>
          <x:bgColor theme="9" tint="0.79998"/>
        </x:patternFill>
      </x:fill>
    </x:dxf>
    <x:dxf>
      <x:font>
        <x:color theme="1"/>
      </x:font>
      <x:fill>
        <x:patternFill>
          <x:bgColor theme="5" tint="0.79998"/>
        </x:patternFill>
      </x:fill>
    </x:dxf>
    <x:dxf>
      <x:font>
        <x:color theme="1"/>
      </x:font>
      <x:fill>
        <x:patternFill>
          <x:bgColor theme="7" tint="0.79998"/>
        </x:patternFill>
      </x:fill>
    </x:dxf>
    <x:dxf>
      <x:font>
        <x:color theme="1"/>
      </x:font>
      <x:fill>
        <x:patternFill>
          <x:bgColor theme="0" tint="-0.15"/>
        </x:patternFill>
      </x:fill>
    </x:dxf>
    <x:dxf>
      <x:font>
        <x:color rgb="FF002060"/>
      </x:font>
      <x:fill>
        <x:patternFill>
          <x:bgColor theme="8" tint="0.79998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ill>
        <x:patternFill>
          <x:bgColor theme="5" tint="0.79998"/>
        </x:patternFill>
      </x:fill>
    </x:dxf>
    <x:dxf>
      <x:font>
        <x:b/>
        <x:color rgb="FFC00000"/>
      </x:font>
      <x:fill>
        <x:patternFill>
          <x:bgColor theme="0"/>
        </x:patternFill>
      </x:fill>
    </x:dxf>
    <x:dxf>
      <x:font>
        <x:color theme="1"/>
      </x:font>
      <x:fill>
        <x:patternFill>
          <x:bgColor theme="4" tint="0.79998"/>
        </x:patternFill>
      </x:fill>
    </x:dxf>
    <x:dxf>
      <x:font>
        <x:color theme="1"/>
      </x:font>
      <x:fill>
        <x:patternFill>
          <x:bgColor theme="0" tint="-0.15"/>
        </x:patternFill>
      </x:fill>
    </x:dxf>
    <x:dxf>
      <x:font>
        <x:color theme="1"/>
      </x:font>
      <x:fill>
        <x:patternFill>
          <x:bgColor theme="0" tint="-0.04999"/>
        </x:patternFill>
      </x:fill>
    </x:dxf>
    <x:dxf>
      <x:font>
        <x:color theme="0" tint="-0.34999"/>
      </x:font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9DC3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70AD47"/>
        </x:patternFill>
      </x:fill>
    </x:dxf>
    <x:dxf>
      <x:fill>
        <x:patternFill patternType="solid">
          <x:bgColor rgb="FF5B9BD5"/>
        </x:patternFill>
      </x:fill>
    </x:dxf>
    <x:dxf>
      <x:fill>
        <x:patternFill patternType="solid">
          <x:bgColor rgb="FFF4B183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9DC3E6"/>
        </x:patternFill>
      </x:fill>
    </x:dxf>
    <x:dxf>
      <x:fill>
        <x:patternFill patternType="solid"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bf098df8f431a" /><Relationship Type="http://schemas.openxmlformats.org/officeDocument/2006/relationships/theme" Target="/xl/theme/theme1.xml" Id="R4cb579a4b6bc4431" /><Relationship Type="http://schemas.openxmlformats.org/officeDocument/2006/relationships/sheetMetadata" Target="/xl/metadata1.xml" Id="Rce96d6dd61104864" /><Relationship Type="http://schemas.openxmlformats.org/officeDocument/2006/relationships/sharedStrings" Target="/xl/sharedStrings.xml" Id="Rad75246d29a149a4" /><Relationship Type="http://schemas.openxmlformats.org/officeDocument/2006/relationships/worksheet" Target="/xl/worksheets/sheet1.xml" Id="R87028c087a074ba6" /><Relationship Type="http://schemas.openxmlformats.org/officeDocument/2006/relationships/worksheet" Target="/xl/worksheets/sheet2.xml" Id="R167cf0d9d5ea41bb" /><Relationship Type="http://schemas.openxmlformats.org/officeDocument/2006/relationships/worksheet" Target="/xl/worksheets/sheet3.xml" Id="R874de5d3961e4be1" /><Relationship Type="http://schemas.openxmlformats.org/officeDocument/2006/relationships/worksheet" Target="/xl/worksheets/sheet4.xml" Id="R4167d66d849942a4" /><Relationship Type="http://schemas.openxmlformats.org/officeDocument/2006/relationships/worksheet" Target="/xl/worksheets/sheet5.xml" Id="Rbea6968b7c6b4337" /><Relationship Type="http://schemas.openxmlformats.org/officeDocument/2006/relationships/worksheet" Target="/xl/worksheets/sheet6.xml" Id="R58e49fdcb8154c2f" /><Relationship Type="http://schemas.openxmlformats.org/officeDocument/2006/relationships/worksheet" Target="/xl/worksheets/sheet7.xml" Id="R6a6c5a3cde1145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https://proever.app/projects/9929cdc5-3270-413b-8857-231754974640/tickets/b6f79b2a-c5d6-48ae-8f59-b0f39438d41e" TargetMode="External" Id="Raeedf49c03c0474d" /><Relationship Type="http://schemas.openxmlformats.org/officeDocument/2006/relationships/hyperlink" Target="https://proever.app/projects/9929cdc5-3270-413b-8857-231754974640/tickets/ece7fcff-7d48-4ca9-99b2-7fdd4dd4be4d" TargetMode="External" Id="R99e4a7c51c824ec9" /></Relationships>
</file>

<file path=xl/worksheets/sheet1.xml><?xml version="1.0" encoding="utf-8"?>
<x:worksheet xmlns:x="http://schemas.openxmlformats.org/spreadsheetml/2006/main">
  <x:sheetFormatPr defaultRowHeight="16.5"/>
  <x:cols>
    <x:col min="1" max="16384" width="9" style="1" customWidth="0"/>
  </x:cols>
  <x:sheetData>
    <x:row r="1">
      <x:c r="A1" s="1" t="s">
        <x:v>0</x:v>
      </x:c>
      <x:c r="B1" s="1" t="s">
        <x:v>1</x:v>
      </x:c>
    </x:row>
    <x:row r="2">
      <x:c r="A2" s="1" t="s">
        <x:v>2</x:v>
      </x:c>
      <x:c r="B2" s="1" t="s">
        <x:v>3</x:v>
      </x:c>
    </x:row>
    <x:row r="3">
      <x:c r="A3" s="1" t="s">
        <x:v>4</x:v>
      </x:c>
      <x:c r="B3" s="1" t="s">
        <x:v>5</x:v>
      </x:c>
    </x:row>
    <x:row r="4">
      <x:c r="A4" s="1" t="s">
        <x:v>6</x:v>
      </x:c>
      <x:c r="B4" s="1" t="s">
        <x:v>7</x:v>
      </x:c>
    </x:row>
    <x:row r="5">
      <x:c r="A5" s="1" t="s">
        <x:v>8</x:v>
      </x:c>
      <x:c r="B5" s="1" t="s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5"/>
  <x:cols>
    <x:col min="1" max="1" width="26" style="1" hidden="0" customWidth="1"/>
    <x:col min="2" max="2" width="24" style="1" hidden="0" customWidth="1"/>
    <x:col min="3" max="3" width="38" style="4" hidden="0" customWidth="1"/>
    <x:col min="4" max="4" width="28" style="1" hidden="0" customWidth="1"/>
    <x:col min="5" max="5" width="5.25" style="150" customWidth="1"/>
    <x:col min="6" max="6" width="24" style="1" hidden="0" customWidth="1"/>
    <x:col min="7" max="7" width="6" style="1" customWidth="1"/>
    <x:col min="8" max="8" width="38" style="4" hidden="0" customWidth="1"/>
    <x:col min="9" max="10" width="11.625" style="1" customWidth="1"/>
    <x:col min="11" max="11" width="12.875" style="1" customWidth="1"/>
    <x:col min="12" max="12" width="44" style="1" hidden="0" customWidth="1"/>
    <x:col min="13" max="14" width="6.375" style="5" customWidth="1"/>
    <x:col min="15" max="15" width="10" style="6" hidden="0" customWidth="1"/>
    <x:col min="16" max="100" width="4.375" style="1" customWidth="1"/>
    <x:col min="101" max="16384" width="9" style="1" customWidth="0"/>
    <x:col min="10" max="10" width="20" hidden="0" customWidth="1"/>
    <x:col min="13" max="13" width="10" hidden="0" customWidth="1"/>
    <x:col min="14" max="14" width="10" hidden="0" customWidth="1"/>
    <x:col min="9" max="9" width="15" hidden="0" customWidth="1"/>
  </x:cols>
  <x:sheetData>
    <x:row r="1">
      <x:c r="A1" s="1" t="s">
        <x:v>10</x:v>
      </x:c>
      <x:c r="D1" s="1" t="s">
        <x:v>11</x:v>
      </x:c>
      <x:c r="E1" s="1"/>
      <x:c r="M1" s="2"/>
      <x:c r="N1" s="2"/>
      <x:c r="O1" s="1"/>
    </x:row>
    <x:row r="2">
      <x:c r="E2" s="117"/>
      <x:c r="M2" s="2"/>
      <x:c r="N2" s="2"/>
      <x:c r="O2" s="1"/>
      <x:c r="P2" s="165" t="str">
        <x:v>Week1</x:v>
      </x:c>
      <x:c r="Q2" s="165"/>
      <x:c r="R2" s="165"/>
      <x:c r="S2" s="165"/>
      <x:c r="T2" s="165"/>
      <x:c r="U2" s="165"/>
      <x:c r="V2" s="165"/>
      <x:c r="W2" s="165" t="str">
        <x:v>Week2</x:v>
      </x:c>
      <x:c r="X2" s="165"/>
      <x:c r="Y2" s="165"/>
      <x:c r="Z2" s="165"/>
      <x:c r="AA2" s="165"/>
      <x:c r="AB2" s="165"/>
      <x:c r="AC2" s="165"/>
      <x:c r="AD2" s="165" t="str">
        <x:v>Week3</x:v>
      </x:c>
      <x:c r="AE2" s="165"/>
      <x:c r="AF2" s="165"/>
      <x:c r="AG2" s="165"/>
      <x:c r="AH2" s="165"/>
      <x:c r="AI2" s="165"/>
      <x:c r="AJ2" s="165"/>
      <x:c r="AK2" s="165" t="str">
        <x:v>Week4</x:v>
      </x:c>
      <x:c r="AL2" s="165"/>
      <x:c r="AM2" s="165"/>
      <x:c r="AN2" s="165"/>
      <x:c r="AO2" s="165"/>
      <x:c r="AP2" s="165"/>
      <x:c r="AQ2" s="165"/>
      <x:c r="AR2" s="165" t="str">
        <x:v>Week5</x:v>
      </x:c>
      <x:c r="AS2" s="165"/>
      <x:c r="AT2"/>
      <x:c r="AU2"/>
      <x:c r="AV2"/>
      <x:c r="AW2" s="166"/>
      <x:c r="AX2" s="166"/>
      <x:c r="AY2" s="166" t="str">
        <x:v>Week6</x:v>
      </x:c>
      <x:c r="AZ2" s="166"/>
      <x:c r="BA2" s="166"/>
      <x:c r="BB2" s="166"/>
      <x:c r="BC2" s="166"/>
      <x:c r="BD2" s="166"/>
      <x:c r="BE2" s="166"/>
      <x:c r="BF2" s="165" t="str">
        <x:v>Week7</x:v>
      </x:c>
      <x:c r="BG2" s="165"/>
      <x:c r="BH2" s="165"/>
      <x:c r="BI2" s="165"/>
      <x:c r="BJ2" s="165"/>
      <x:c r="BK2" s="165"/>
      <x:c r="BL2" s="165"/>
      <x:c r="BM2" s="165" t="str">
        <x:v>Week8</x:v>
      </x:c>
      <x:c r="BN2" s="165"/>
      <x:c r="BO2" s="165"/>
      <x:c r="BP2" s="165"/>
      <x:c r="BQ2" s="165"/>
      <x:c r="BR2" s="165"/>
      <x:c r="BS2" s="165"/>
      <x:c r="BT2" s="165" t="str">
        <x:v>Week9</x:v>
      </x:c>
      <x:c r="BU2" s="165"/>
      <x:c r="BV2" s="165"/>
      <x:c r="BW2" s="165"/>
      <x:c r="BX2" s="165"/>
      <x:c r="BY2" s="165"/>
      <x:c r="BZ2" s="165"/>
      <x:c r="CA2" s="165"/>
      <x:c r="CB2" s="165"/>
      <x:c r="CC2" s="165"/>
      <x:c r="CD2" s="165"/>
      <x:c r="CE2" s="165"/>
      <x:c r="CF2" s="165"/>
      <x:c r="CG2" s="165"/>
      <x:c r="CH2" s="165"/>
      <x:c r="CI2" s="165"/>
      <x:c r="CJ2" s="165"/>
      <x:c r="CK2" s="165"/>
      <x:c r="CL2" s="165"/>
      <x:c r="CM2" s="165"/>
      <x:c r="CN2" s="165"/>
      <x:c r="CO2" s="165"/>
      <x:c r="CP2" s="165"/>
      <x:c r="CQ2" s="165"/>
      <x:c r="CR2" s="165"/>
      <x:c r="CS2" s="165"/>
      <x:c r="CT2" s="165"/>
      <x:c r="CU2" s="165"/>
      <x:c r="CV2" s="165"/>
    </x:row>
    <x:row r="3">
      <x:c r="A3" s="1" t="s">
        <x:v>12</x:v>
      </x:c>
      <x:c r="B3" s="1" t="s">
        <x:v>13</x:v>
      </x:c>
      <x:c r="C3" s="4" t="s">
        <x:v>14</x:v>
      </x:c>
      <x:c r="D3" s="151" t="s">
        <x:v>15</x:v>
      </x:c>
      <x:c r="E3" s="106" t="s">
        <x:v>16</x:v>
      </x:c>
      <x:c r="F3" s="106"/>
      <x:c r="G3" s="106"/>
      <x:c r="H3" s="107"/>
      <x:c r="I3" s="106" t="s">
        <x:v>17</x:v>
      </x:c>
      <x:c r="J3" s="106"/>
      <x:c r="K3" s="105" t="s">
        <x:v>18</x:v>
      </x:c>
      <x:c r="L3" s="106"/>
      <x:c r="M3" s="169" t="s">
        <x:v>19</x:v>
      </x:c>
      <x:c r="N3" s="110"/>
      <x:c r="O3" s="106" t="s">
        <x:v>20</x:v>
      </x:c>
      <x:c r="P3" s="341" t="n">
        <x:v>46258</x:v>
      </x:c>
      <x:c r="Q3" s="341" t="n">
        <x:v>46259</x:v>
      </x:c>
      <x:c r="R3" s="341" t="n">
        <x:v>46260</x:v>
      </x:c>
      <x:c r="S3" s="341" t="n">
        <x:v>46261</x:v>
      </x:c>
      <x:c r="T3" s="341" t="n">
        <x:v>46262</x:v>
      </x:c>
      <x:c r="U3" s="390" t="n">
        <x:v>46263</x:v>
      </x:c>
      <x:c r="V3" s="390" t="n">
        <x:v>46264</x:v>
      </x:c>
      <x:c r="W3" s="341" t="n">
        <x:v>46265</x:v>
      </x:c>
      <x:c r="X3" s="341" t="n">
        <x:v>46266</x:v>
      </x:c>
      <x:c r="Y3" s="341" t="n">
        <x:v>46267</x:v>
      </x:c>
      <x:c r="Z3" s="341" t="n">
        <x:v>46268</x:v>
      </x:c>
      <x:c r="AA3" s="341" t="n">
        <x:v>46269</x:v>
      </x:c>
      <x:c r="AB3" s="390" t="n">
        <x:v>46270</x:v>
      </x:c>
      <x:c r="AC3" s="390" t="n">
        <x:v>46271</x:v>
      </x:c>
      <x:c r="AD3" s="342" t="n">
        <x:v>46272</x:v>
      </x:c>
      <x:c r="AE3" s="341" t="n">
        <x:v>46273</x:v>
      </x:c>
      <x:c r="AF3" s="341" t="n">
        <x:v>46274</x:v>
      </x:c>
      <x:c r="AG3" s="341" t="n">
        <x:v>46275</x:v>
      </x:c>
      <x:c r="AH3" s="341" t="n">
        <x:v>46276</x:v>
      </x:c>
      <x:c r="AI3" s="390" t="n">
        <x:v>46277</x:v>
      </x:c>
      <x:c r="AJ3" s="390" t="n">
        <x:v>46278</x:v>
      </x:c>
      <x:c r="AK3" s="341" t="n">
        <x:v>46279</x:v>
      </x:c>
      <x:c r="AL3" s="341" t="n">
        <x:v>46280</x:v>
      </x:c>
      <x:c r="AM3" s="341" t="n">
        <x:v>46281</x:v>
      </x:c>
      <x:c r="AN3" s="341" t="n">
        <x:v>46282</x:v>
      </x:c>
      <x:c r="AO3" s="341" t="n">
        <x:v>46283</x:v>
      </x:c>
      <x:c r="AP3" s="390" t="n">
        <x:v>46284</x:v>
      </x:c>
      <x:c r="AQ3" s="390" t="n">
        <x:v>46285</x:v>
      </x:c>
      <x:c r="AR3" s="396" t="n">
        <x:v>46286</x:v>
      </x:c>
      <x:c r="AS3" s="396" t="n">
        <x:v>46287</x:v>
      </x:c>
      <x:c r="AT3" s="396" t="n">
        <x:v>46288</x:v>
      </x:c>
      <x:c r="AU3" s="341" t="n">
        <x:v>46289</x:v>
      </x:c>
      <x:c r="AV3" s="341" t="n">
        <x:v>46290</x:v>
      </x:c>
      <x:c r="AW3" s="390" t="n">
        <x:v>46291</x:v>
      </x:c>
      <x:c r="AX3" s="390" t="n">
        <x:v>46292</x:v>
      </x:c>
      <x:c r="AY3" s="343" t="n">
        <x:v>46293</x:v>
      </x:c>
      <x:c r="AZ3" s="342" t="n">
        <x:v>46294</x:v>
      </x:c>
      <x:c r="BA3" s="343" t="n">
        <x:v>46295</x:v>
      </x:c>
      <x:c r="BB3" s="343" t="n">
        <x:v>46296</x:v>
      </x:c>
      <x:c r="BC3" s="343" t="n">
        <x:v>46297</x:v>
      </x:c>
      <x:c r="BD3" s="390" t="n">
        <x:v>46298</x:v>
      </x:c>
      <x:c r="BE3" s="390" t="n">
        <x:v>46299</x:v>
      </x:c>
      <x:c r="BF3" s="341" t="n">
        <x:v>46300</x:v>
      </x:c>
      <x:c r="BG3" s="341" t="n">
        <x:v>46301</x:v>
      </x:c>
      <x:c r="BH3" s="341" t="n">
        <x:v>46302</x:v>
      </x:c>
      <x:c r="BI3" s="341" t="n">
        <x:v>46303</x:v>
      </x:c>
      <x:c r="BJ3" s="341" t="n">
        <x:v>46304</x:v>
      </x:c>
      <x:c r="BK3" s="390" t="n">
        <x:v>46305</x:v>
      </x:c>
      <x:c r="BL3" s="390" t="n">
        <x:v>46306</x:v>
      </x:c>
      <x:c r="BM3" s="396" t="n">
        <x:v>46307</x:v>
      </x:c>
      <x:c r="BN3" s="341" t="n">
        <x:v>46308</x:v>
      </x:c>
      <x:c r="BO3" s="341" t="n">
        <x:v>46309</x:v>
      </x:c>
      <x:c r="BP3" s="341" t="n">
        <x:v>46310</x:v>
      </x:c>
      <x:c r="BQ3" s="341" t="n">
        <x:v>46311</x:v>
      </x:c>
      <x:c r="BR3" s="390" t="n">
        <x:v>46312</x:v>
      </x:c>
      <x:c r="BS3" s="390" t="n">
        <x:v>46313</x:v>
      </x:c>
      <x:c r="BT3" s="341" t="n">
        <x:v>46314</x:v>
      </x:c>
      <x:c r="BU3" s="161"/>
      <x:c r="BV3" s="161"/>
      <x:c r="BW3" s="161"/>
      <x:c r="BX3" s="161"/>
      <x:c r="BY3" s="161"/>
      <x:c r="BZ3" s="161"/>
      <x:c r="CA3" s="161"/>
      <x:c r="CB3" s="161"/>
      <x:c r="CC3" s="161"/>
      <x:c r="CD3" s="161"/>
      <x:c r="CE3" s="161"/>
      <x:c r="CF3" s="161"/>
      <x:c r="CG3" s="161"/>
      <x:c r="CH3" s="161"/>
      <x:c r="CI3" s="161"/>
      <x:c r="CJ3" s="161"/>
      <x:c r="CK3" s="161"/>
      <x:c r="CL3" s="161"/>
      <x:c r="CM3" s="161"/>
      <x:c r="CN3" s="161"/>
      <x:c r="CO3" s="161"/>
      <x:c r="CP3" s="161"/>
      <x:c r="CQ3" s="161"/>
      <x:c r="CR3" s="161"/>
      <x:c r="CS3" s="161"/>
      <x:c r="CT3" s="161"/>
      <x:c r="CU3" s="161"/>
      <x:c r="CV3" s="161"/>
      <x:c r="CW3" s="2"/>
    </x:row>
    <x:row r="4">
      <x:c r="B4" s="1" t="s">
        <x:v>21</x:v>
      </x:c>
      <x:c r="C4" s="4" t="s">
        <x:v>21</x:v>
      </x:c>
      <x:c r="D4" s="159" t="s">
        <x:v>12</x:v>
      </x:c>
      <x:c r="E4" s="58" t="s">
        <x:v>22</x:v>
      </x:c>
      <x:c r="F4" s="58" t="s">
        <x:v>13</x:v>
      </x:c>
      <x:c r="G4" s="160" t="s">
        <x:v>23</x:v>
      </x:c>
      <x:c r="H4" s="167" t="s">
        <x:v>14</x:v>
      </x:c>
      <x:c r="I4" s="58" t="s">
        <x:v>24</x:v>
      </x:c>
      <x:c r="J4" s="168" t="s">
        <x:v>25</x:v>
      </x:c>
      <x:c r="K4" s="63" t="s">
        <x:v>26</x:v>
      </x:c>
      <x:c r="L4" s="168" t="s">
        <x:v>27</x:v>
      </x:c>
      <x:c r="M4" s="170" t="s">
        <x:v>28</x:v>
      </x:c>
      <x:c r="N4" s="62" t="s">
        <x:v>29</x:v>
      </x:c>
      <x:c r="O4" s="160" t="s">
        <x:v>30</x:v>
      </x:c>
      <x:c r="P4" s="164" t="str">
        <x:f>IF(P3="","",TEXT(P3,"aaa"))</x:f>
        <x:v>aaa</x:v>
      </x:c>
      <x:c r="Q4" s="164" t="str">
        <x:f t="shared" ref="Q4:CB4" si="0">IF(Q3="","",TEXT(Q3,"aaa"))</x:f>
        <x:v>aaa</x:v>
      </x:c>
      <x:c r="R4" s="164" t="str">
        <x:f t="shared" si="0">IF(R3="","",TEXT(R3,"aaa"))</x:f>
        <x:v>aaa</x:v>
      </x:c>
      <x:c r="S4" s="164" t="str">
        <x:f t="shared" si="0">IF(S3="","",TEXT(S3,"aaa"))</x:f>
        <x:v>aaa</x:v>
      </x:c>
      <x:c r="T4" s="164" t="str">
        <x:f t="shared" si="0">IF(T3="","",TEXT(T3,"aaa"))</x:f>
        <x:v>aaa</x:v>
      </x:c>
      <x:c r="U4" s="391" t="str">
        <x:f t="shared" si="0">IF(U3="","",TEXT(U3,"aaa"))</x:f>
        <x:v>aaa</x:v>
      </x:c>
      <x:c r="V4" s="391" t="str">
        <x:f t="shared" si="0">IF(V3="","",TEXT(V3,"aaa"))</x:f>
        <x:v>aaa</x:v>
      </x:c>
      <x:c r="W4" s="164" t="str">
        <x:f t="shared" si="0">IF(W3="","",TEXT(W3,"aaa"))</x:f>
        <x:v>aaa</x:v>
      </x:c>
      <x:c r="X4" s="164" t="str">
        <x:f t="shared" si="0">IF(X3="","",TEXT(X3,"aaa"))</x:f>
        <x:v>aaa</x:v>
      </x:c>
      <x:c r="Y4" s="164" t="str">
        <x:f t="shared" si="0">IF(Y3="","",TEXT(Y3,"aaa"))</x:f>
        <x:v>aaa</x:v>
      </x:c>
      <x:c r="Z4" s="164" t="str">
        <x:f t="shared" si="0">IF(Z3="","",TEXT(Z3,"aaa"))</x:f>
        <x:v>aaa</x:v>
      </x:c>
      <x:c r="AA4" s="164" t="str">
        <x:f t="shared" si="0">IF(AA3="","",TEXT(AA3,"aaa"))</x:f>
        <x:v>aaa</x:v>
      </x:c>
      <x:c r="AB4" s="391" t="str">
        <x:f t="shared" si="0">IF(AB3="","",TEXT(AB3,"aaa"))</x:f>
        <x:v>aaa</x:v>
      </x:c>
      <x:c r="AC4" s="391" t="str">
        <x:f t="shared" si="0">IF(AC3="","",TEXT(AC3,"aaa"))</x:f>
        <x:v>aaa</x:v>
      </x:c>
      <x:c r="AD4" s="164" t="str">
        <x:f t="shared" si="0">IF(AD3="","",TEXT(AD3,"aaa"))</x:f>
        <x:v>aaa</x:v>
      </x:c>
      <x:c r="AE4" s="164" t="str">
        <x:f t="shared" si="0">IF(AE3="","",TEXT(AE3,"aaa"))</x:f>
        <x:v>aaa</x:v>
      </x:c>
      <x:c r="AF4" s="164" t="str">
        <x:f t="shared" si="0">IF(AF3="","",TEXT(AF3,"aaa"))</x:f>
        <x:v>aaa</x:v>
      </x:c>
      <x:c r="AG4" s="164" t="str">
        <x:f t="shared" si="0">IF(AG3="","",TEXT(AG3,"aaa"))</x:f>
        <x:v>aaa</x:v>
      </x:c>
      <x:c r="AH4" s="164" t="str">
        <x:f t="shared" si="0">IF(AH3="","",TEXT(AH3,"aaa"))</x:f>
        <x:v>aaa</x:v>
      </x:c>
      <x:c r="AI4" s="391" t="str">
        <x:f t="shared" si="0">IF(AI3="","",TEXT(AI3,"aaa"))</x:f>
        <x:v>aaa</x:v>
      </x:c>
      <x:c r="AJ4" s="391" t="str">
        <x:f t="shared" si="0">IF(AJ3="","",TEXT(AJ3,"aaa"))</x:f>
        <x:v>aaa</x:v>
      </x:c>
      <x:c r="AK4" s="164" t="str">
        <x:f t="shared" si="0">IF(AK3="","",TEXT(AK3,"aaa"))</x:f>
        <x:v>aaa</x:v>
      </x:c>
      <x:c r="AL4" s="164" t="str">
        <x:f t="shared" si="0">IF(AL3="","",TEXT(AL3,"aaa"))</x:f>
        <x:v>aaa</x:v>
      </x:c>
      <x:c r="AM4" s="164" t="str">
        <x:f t="shared" si="0">IF(AM3="","",TEXT(AM3,"aaa"))</x:f>
        <x:v>aaa</x:v>
      </x:c>
      <x:c r="AN4" s="164" t="str">
        <x:f t="shared" si="0">IF(AN3="","",TEXT(AN3,"aaa"))</x:f>
        <x:v>aaa</x:v>
      </x:c>
      <x:c r="AO4" s="164" t="str">
        <x:f t="shared" si="0">IF(AO3="","",TEXT(AO3,"aaa"))</x:f>
        <x:v>aaa</x:v>
      </x:c>
      <x:c r="AP4" s="391" t="str">
        <x:f t="shared" si="0">IF(AP3="","",TEXT(AP3,"aaa"))</x:f>
        <x:v>aaa</x:v>
      </x:c>
      <x:c r="AQ4" s="391" t="str">
        <x:f t="shared" si="0">IF(AQ3="","",TEXT(AQ3,"aaa"))</x:f>
        <x:v>aaa</x:v>
      </x:c>
      <x:c r="AR4" s="397" t="str">
        <x:f t="shared" si="0">IF(AR3="","",TEXT(AR3,"aaa"))</x:f>
        <x:v>aaa</x:v>
      </x:c>
      <x:c r="AS4" s="397" t="str">
        <x:f t="shared" si="0">IF(AS3="","",TEXT(AS3,"aaa"))</x:f>
        <x:v>aaa</x:v>
      </x:c>
      <x:c r="AT4" s="397" t="str">
        <x:f t="shared" si="0">IF(AT3="","",TEXT(AT3,"aaa"))</x:f>
        <x:v>aaa</x:v>
      </x:c>
      <x:c r="AU4" s="164" t="str">
        <x:f t="shared" si="0">IF(AU3="","",TEXT(AU3,"aaa"))</x:f>
        <x:v>aaa</x:v>
      </x:c>
      <x:c r="AV4" s="164" t="str">
        <x:f t="shared" si="0">IF(AV3="","",TEXT(AV3,"aaa"))</x:f>
        <x:v>aaa</x:v>
      </x:c>
      <x:c r="AW4" s="391" t="str">
        <x:f t="shared" si="0">IF(AW3="","",TEXT(AW3,"aaa"))</x:f>
        <x:v>aaa</x:v>
      </x:c>
      <x:c r="AX4" s="391" t="str">
        <x:f t="shared" si="0">IF(AX3="","",TEXT(AX3,"aaa"))</x:f>
        <x:v>aaa</x:v>
      </x:c>
      <x:c r="AY4" s="164" t="str">
        <x:f t="shared" si="0">IF(AY3="","",TEXT(AY3,"aaa"))</x:f>
        <x:v>aaa</x:v>
      </x:c>
      <x:c r="AZ4" s="164" t="str">
        <x:f t="shared" si="0">IF(AZ3="","",TEXT(AZ3,"aaa"))</x:f>
        <x:v>aaa</x:v>
      </x:c>
      <x:c r="BA4" s="164" t="str">
        <x:f t="shared" si="0">IF(BA3="","",TEXT(BA3,"aaa"))</x:f>
        <x:v>aaa</x:v>
      </x:c>
      <x:c r="BB4" s="164" t="str">
        <x:f t="shared" si="0">IF(BB3="","",TEXT(BB3,"aaa"))</x:f>
        <x:v>aaa</x:v>
      </x:c>
      <x:c r="BC4" s="164" t="str">
        <x:f t="shared" si="0">IF(BC3="","",TEXT(BC3,"aaa"))</x:f>
        <x:v>aaa</x:v>
      </x:c>
      <x:c r="BD4" s="391" t="str">
        <x:f t="shared" si="0">IF(BD3="","",TEXT(BD3,"aaa"))</x:f>
        <x:v>aaa</x:v>
      </x:c>
      <x:c r="BE4" s="391" t="str">
        <x:f t="shared" si="0">IF(BE3="","",TEXT(BE3,"aaa"))</x:f>
        <x:v>aaa</x:v>
      </x:c>
      <x:c r="BF4" s="164" t="str">
        <x:f t="shared" si="0">IF(BF3="","",TEXT(BF3,"aaa"))</x:f>
        <x:v>aaa</x:v>
      </x:c>
      <x:c r="BG4" s="164" t="str">
        <x:f t="shared" si="0">IF(BG3="","",TEXT(BG3,"aaa"))</x:f>
        <x:v>aaa</x:v>
      </x:c>
      <x:c r="BH4" s="164" t="str">
        <x:f t="shared" si="0">IF(BH3="","",TEXT(BH3,"aaa"))</x:f>
        <x:v>aaa</x:v>
      </x:c>
      <x:c r="BI4" s="164" t="str">
        <x:f t="shared" si="0">IF(BI3="","",TEXT(BI3,"aaa"))</x:f>
        <x:v>aaa</x:v>
      </x:c>
      <x:c r="BJ4" s="164" t="str">
        <x:f t="shared" si="0">IF(BJ3="","",TEXT(BJ3,"aaa"))</x:f>
        <x:v>aaa</x:v>
      </x:c>
      <x:c r="BK4" s="391" t="str">
        <x:f t="shared" si="0">IF(BK3="","",TEXT(BK3,"aaa"))</x:f>
        <x:v>aaa</x:v>
      </x:c>
      <x:c r="BL4" s="391" t="str">
        <x:f t="shared" si="0">IF(BL3="","",TEXT(BL3,"aaa"))</x:f>
        <x:v>aaa</x:v>
      </x:c>
      <x:c r="BM4" s="397" t="str">
        <x:f t="shared" si="0">IF(BM3="","",TEXT(BM3,"aaa"))</x:f>
        <x:v>aaa</x:v>
      </x:c>
      <x:c r="BN4" s="164" t="str">
        <x:f t="shared" si="0">IF(BN3="","",TEXT(BN3,"aaa"))</x:f>
        <x:v>aaa</x:v>
      </x:c>
      <x:c r="BO4" s="164" t="str">
        <x:f t="shared" si="0">IF(BO3="","",TEXT(BO3,"aaa"))</x:f>
        <x:v>aaa</x:v>
      </x:c>
      <x:c r="BP4" s="164" t="str">
        <x:f t="shared" si="0">IF(BP3="","",TEXT(BP3,"aaa"))</x:f>
        <x:v>aaa</x:v>
      </x:c>
      <x:c r="BQ4" s="164" t="str">
        <x:f t="shared" si="0">IF(BQ3="","",TEXT(BQ3,"aaa"))</x:f>
        <x:v>aaa</x:v>
      </x:c>
      <x:c r="BR4" s="391" t="str">
        <x:f t="shared" si="0">IF(BR3="","",TEXT(BR3,"aaa"))</x:f>
        <x:v>aaa</x:v>
      </x:c>
      <x:c r="BS4" s="391" t="str">
        <x:f t="shared" si="0">IF(BS3="","",TEXT(BS3,"aaa"))</x:f>
        <x:v>aaa</x:v>
      </x:c>
      <x:c r="BT4" s="164" t="str">
        <x:f t="shared" si="0">IF(BT3="","",TEXT(BT3,"aaa"))</x:f>
        <x:v>aaa</x:v>
      </x:c>
      <x:c r="BU4" s="164" t="str">
        <x:f t="shared" si="0"/>
      </x:c>
      <x:c r="BV4" s="164" t="str">
        <x:f t="shared" si="0"/>
      </x:c>
      <x:c r="BW4" s="164" t="str">
        <x:f t="shared" si="0"/>
      </x:c>
      <x:c r="BX4" s="164" t="str">
        <x:f t="shared" si="0"/>
      </x:c>
      <x:c r="BY4" s="164" t="str">
        <x:f t="shared" si="0"/>
      </x:c>
      <x:c r="BZ4" s="164" t="str">
        <x:f t="shared" si="0"/>
      </x:c>
      <x:c r="CA4" s="164" t="str">
        <x:f t="shared" si="0"/>
      </x:c>
      <x:c r="CB4" s="164" t="str">
        <x:f t="shared" si="0"/>
      </x:c>
      <x:c r="CC4" s="164" t="str">
        <x:f t="shared" ref="CC4:EN4" si="1">IF(CC3="","",TEXT(CC3,"aaa"))</x:f>
      </x:c>
      <x:c r="CD4" s="164" t="str">
        <x:f t="shared" si="1"/>
      </x:c>
      <x:c r="CE4" s="164" t="str">
        <x:f t="shared" si="1"/>
      </x:c>
      <x:c r="CF4" s="164" t="str">
        <x:f t="shared" si="1"/>
      </x:c>
      <x:c r="CG4" s="164" t="str">
        <x:f t="shared" si="1"/>
      </x:c>
      <x:c r="CH4" s="164" t="str">
        <x:f t="shared" si="1"/>
      </x:c>
      <x:c r="CI4" s="164" t="str">
        <x:f t="shared" si="1"/>
      </x:c>
      <x:c r="CJ4" s="164" t="str">
        <x:f t="shared" si="1"/>
      </x:c>
      <x:c r="CK4" s="164" t="str">
        <x:f t="shared" si="1"/>
      </x:c>
      <x:c r="CL4" s="164" t="str">
        <x:f t="shared" si="1"/>
      </x:c>
      <x:c r="CM4" s="164" t="str">
        <x:f t="shared" si="1"/>
      </x:c>
      <x:c r="CN4" s="164" t="str">
        <x:f t="shared" si="1"/>
      </x:c>
      <x:c r="CO4" s="164" t="str">
        <x:f t="shared" si="1"/>
      </x:c>
      <x:c r="CP4" s="164" t="str">
        <x:f t="shared" si="1"/>
      </x:c>
      <x:c r="CQ4" s="164" t="str">
        <x:f t="shared" si="1"/>
      </x:c>
      <x:c r="CR4" s="164" t="str">
        <x:f t="shared" si="1"/>
      </x:c>
      <x:c r="CS4" s="164" t="str">
        <x:f t="shared" si="1"/>
      </x:c>
      <x:c r="CT4" s="164" t="str">
        <x:f t="shared" si="1"/>
      </x:c>
      <x:c r="CU4" s="164" t="str">
        <x:f t="shared" si="1"/>
      </x:c>
      <x:c r="CV4" s="164" t="str">
        <x:f t="shared" si="1"/>
      </x:c>
      <x:c r="CW4" s="164" t="str">
        <x:f t="shared" si="1"/>
      </x:c>
      <x:c r="CX4" s="164" t="str">
        <x:f t="shared" si="1"/>
      </x:c>
      <x:c r="CY4" s="164" t="str">
        <x:f t="shared" si="1"/>
      </x:c>
      <x:c r="CZ4" s="164" t="str">
        <x:f t="shared" si="1"/>
      </x:c>
      <x:c r="DA4" s="164" t="str">
        <x:f t="shared" si="1"/>
      </x:c>
      <x:c r="DB4" s="164" t="str">
        <x:f t="shared" si="1"/>
      </x:c>
      <x:c r="DC4" s="164" t="str">
        <x:f t="shared" si="1"/>
      </x:c>
      <x:c r="DD4" s="164" t="str">
        <x:f t="shared" si="1"/>
      </x:c>
      <x:c r="DE4" s="164" t="str">
        <x:f t="shared" si="1"/>
      </x:c>
      <x:c r="DF4" s="164" t="str">
        <x:f t="shared" si="1"/>
      </x:c>
      <x:c r="DG4" s="164" t="str">
        <x:f t="shared" si="1"/>
      </x:c>
      <x:c r="DH4" s="164" t="str">
        <x:f t="shared" si="1"/>
      </x:c>
      <x:c r="DI4" s="164" t="str">
        <x:f t="shared" si="1"/>
      </x:c>
      <x:c r="DJ4" s="164" t="str">
        <x:f t="shared" si="1"/>
      </x:c>
      <x:c r="DK4" s="164" t="str">
        <x:f t="shared" si="1"/>
      </x:c>
      <x:c r="DL4" s="164" t="str">
        <x:f t="shared" si="1"/>
      </x:c>
      <x:c r="DM4" s="164" t="str">
        <x:f t="shared" si="1"/>
      </x:c>
      <x:c r="DN4" s="164" t="str">
        <x:f t="shared" si="1"/>
      </x:c>
      <x:c r="DO4" s="164" t="str">
        <x:f t="shared" si="1"/>
      </x:c>
      <x:c r="DP4" s="164" t="str">
        <x:f t="shared" si="1"/>
      </x:c>
      <x:c r="DQ4" s="164" t="str">
        <x:f t="shared" si="1"/>
      </x:c>
      <x:c r="DR4" s="164" t="str">
        <x:f t="shared" si="1"/>
      </x:c>
      <x:c r="DS4" s="164" t="str">
        <x:f t="shared" si="1"/>
      </x:c>
      <x:c r="DT4" s="164" t="str">
        <x:f t="shared" si="1"/>
      </x:c>
      <x:c r="DU4" s="164" t="str">
        <x:f t="shared" si="1"/>
      </x:c>
      <x:c r="DV4" s="164" t="str">
        <x:f t="shared" si="1"/>
      </x:c>
      <x:c r="DW4" s="164" t="str">
        <x:f t="shared" si="1"/>
      </x:c>
      <x:c r="DX4" s="164" t="str">
        <x:f t="shared" si="1"/>
      </x:c>
      <x:c r="DY4" s="164" t="str">
        <x:f t="shared" si="1"/>
      </x:c>
      <x:c r="DZ4" s="164" t="str">
        <x:f t="shared" si="1"/>
      </x:c>
      <x:c r="EA4" s="164" t="str">
        <x:f t="shared" si="1"/>
      </x:c>
      <x:c r="EB4" s="164" t="str">
        <x:f t="shared" si="1"/>
      </x:c>
      <x:c r="EC4" s="164" t="str">
        <x:f t="shared" si="1"/>
      </x:c>
      <x:c r="ED4" s="164" t="str">
        <x:f t="shared" si="1"/>
      </x:c>
      <x:c r="EE4" s="164" t="str">
        <x:f t="shared" si="1"/>
      </x:c>
      <x:c r="EF4" s="164" t="str">
        <x:f t="shared" si="1"/>
      </x:c>
      <x:c r="EG4" s="164" t="str">
        <x:f t="shared" si="1"/>
      </x:c>
      <x:c r="EH4" s="164" t="str">
        <x:f t="shared" si="1"/>
      </x:c>
      <x:c r="EI4" s="164" t="str">
        <x:f t="shared" si="1"/>
      </x:c>
      <x:c r="EJ4" s="164" t="str">
        <x:f t="shared" si="1"/>
      </x:c>
      <x:c r="EK4" s="164" t="str">
        <x:f t="shared" si="1"/>
      </x:c>
      <x:c r="EL4" s="164" t="str">
        <x:f t="shared" si="1"/>
      </x:c>
      <x:c r="EM4" s="164" t="str">
        <x:f t="shared" si="1"/>
      </x:c>
      <x:c r="EN4" s="164" t="str">
        <x:f t="shared" si="1"/>
      </x:c>
      <x:c r="EO4" s="164" t="str">
        <x:f t="shared" ref="EO4:GZ4" si="2">IF(EO3="","",TEXT(EO3,"aaa"))</x:f>
      </x:c>
      <x:c r="EP4" s="164" t="str">
        <x:f t="shared" si="2"/>
      </x:c>
      <x:c r="EQ4" s="164" t="str">
        <x:f t="shared" si="2"/>
      </x:c>
      <x:c r="ER4" s="164" t="str">
        <x:f t="shared" si="2"/>
      </x:c>
      <x:c r="ES4" s="164" t="str">
        <x:f t="shared" si="2"/>
      </x:c>
      <x:c r="ET4" s="164" t="str">
        <x:f t="shared" si="2"/>
      </x:c>
      <x:c r="EU4" s="164" t="str">
        <x:f t="shared" si="2"/>
      </x:c>
      <x:c r="EV4" s="164" t="str">
        <x:f t="shared" si="2"/>
      </x:c>
      <x:c r="EW4" s="164" t="str">
        <x:f t="shared" si="2"/>
      </x:c>
      <x:c r="EX4" s="164" t="str">
        <x:f t="shared" si="2"/>
      </x:c>
      <x:c r="EY4" s="164" t="str">
        <x:f t="shared" si="2"/>
      </x:c>
      <x:c r="EZ4" s="164" t="str">
        <x:f t="shared" si="2"/>
      </x:c>
      <x:c r="FA4" s="164" t="str">
        <x:f t="shared" si="2"/>
      </x:c>
      <x:c r="FB4" s="164" t="str">
        <x:f t="shared" si="2"/>
      </x:c>
      <x:c r="FC4" s="164" t="str">
        <x:f t="shared" si="2"/>
      </x:c>
      <x:c r="FD4" s="164" t="str">
        <x:f t="shared" si="2"/>
      </x:c>
      <x:c r="FE4" s="164" t="str">
        <x:f t="shared" si="2"/>
      </x:c>
      <x:c r="FF4" s="164" t="str">
        <x:f t="shared" si="2"/>
      </x:c>
      <x:c r="FG4" s="164" t="str">
        <x:f t="shared" si="2"/>
      </x:c>
      <x:c r="FH4" s="164" t="str">
        <x:f t="shared" si="2"/>
      </x:c>
      <x:c r="FI4" s="164" t="str">
        <x:f t="shared" si="2"/>
      </x:c>
      <x:c r="FJ4" s="164" t="str">
        <x:f t="shared" si="2"/>
      </x:c>
      <x:c r="FK4" s="164" t="str">
        <x:f t="shared" si="2"/>
      </x:c>
      <x:c r="FL4" s="164" t="str">
        <x:f t="shared" si="2"/>
      </x:c>
      <x:c r="FM4" s="164" t="str">
        <x:f t="shared" si="2"/>
      </x:c>
      <x:c r="FN4" s="164" t="str">
        <x:f t="shared" si="2"/>
      </x:c>
      <x:c r="FO4" s="164" t="str">
        <x:f t="shared" si="2"/>
      </x:c>
      <x:c r="FP4" s="164" t="str">
        <x:f t="shared" si="2"/>
      </x:c>
      <x:c r="FQ4" s="164" t="str">
        <x:f t="shared" si="2"/>
      </x:c>
      <x:c r="FR4" s="164" t="str">
        <x:f t="shared" si="2"/>
      </x:c>
      <x:c r="FS4" s="164" t="str">
        <x:f t="shared" si="2"/>
      </x:c>
      <x:c r="FT4" s="164" t="str">
        <x:f t="shared" si="2"/>
      </x:c>
      <x:c r="FU4" s="164" t="str">
        <x:f t="shared" si="2"/>
      </x:c>
      <x:c r="FV4" s="164" t="str">
        <x:f t="shared" si="2"/>
      </x:c>
      <x:c r="FW4" s="164" t="str">
        <x:f t="shared" si="2"/>
      </x:c>
      <x:c r="FX4" s="164" t="str">
        <x:f t="shared" si="2"/>
      </x:c>
      <x:c r="FY4" s="164" t="str">
        <x:f t="shared" si="2"/>
      </x:c>
      <x:c r="FZ4" s="164" t="str">
        <x:f t="shared" si="2"/>
      </x:c>
      <x:c r="GA4" s="164" t="str">
        <x:f t="shared" si="2"/>
      </x:c>
      <x:c r="GB4" s="164" t="str">
        <x:f t="shared" si="2"/>
      </x:c>
      <x:c r="GC4" s="164" t="str">
        <x:f t="shared" si="2"/>
      </x:c>
      <x:c r="GD4" s="164" t="str">
        <x:f t="shared" si="2"/>
      </x:c>
      <x:c r="GE4" s="164" t="str">
        <x:f t="shared" si="2"/>
      </x:c>
      <x:c r="GF4" s="164" t="str">
        <x:f t="shared" si="2"/>
      </x:c>
      <x:c r="GG4" s="164" t="str">
        <x:f t="shared" si="2"/>
      </x:c>
      <x:c r="GH4" s="164" t="str">
        <x:f t="shared" si="2"/>
      </x:c>
      <x:c r="GI4" s="164" t="str">
        <x:f t="shared" si="2"/>
      </x:c>
      <x:c r="GJ4" s="164" t="str">
        <x:f t="shared" si="2"/>
      </x:c>
      <x:c r="GK4" s="164" t="str">
        <x:f t="shared" si="2"/>
      </x:c>
      <x:c r="GL4" s="164" t="str">
        <x:f t="shared" si="2"/>
      </x:c>
      <x:c r="GM4" s="164" t="str">
        <x:f t="shared" si="2"/>
      </x:c>
      <x:c r="GN4" s="164" t="str">
        <x:f t="shared" si="2"/>
      </x:c>
      <x:c r="GO4" s="164" t="str">
        <x:f t="shared" si="2"/>
      </x:c>
      <x:c r="GP4" s="164" t="str">
        <x:f t="shared" si="2"/>
      </x:c>
      <x:c r="GQ4" s="164" t="str">
        <x:f t="shared" si="2"/>
      </x:c>
      <x:c r="GR4" s="164" t="str">
        <x:f t="shared" si="2"/>
      </x:c>
      <x:c r="GS4" s="164" t="str">
        <x:f t="shared" si="2"/>
      </x:c>
      <x:c r="GT4" s="164" t="str">
        <x:f t="shared" si="2"/>
      </x:c>
      <x:c r="GU4" s="164" t="str">
        <x:f t="shared" si="2"/>
      </x:c>
      <x:c r="GV4" s="164" t="str">
        <x:f t="shared" si="2"/>
      </x:c>
      <x:c r="GW4" s="164" t="str">
        <x:f t="shared" si="2"/>
      </x:c>
      <x:c r="GX4" s="164" t="str">
        <x:f t="shared" si="2"/>
      </x:c>
      <x:c r="GY4" s="164" t="str">
        <x:f t="shared" si="2"/>
      </x:c>
      <x:c r="GZ4" s="164" t="str">
        <x:f t="shared" si="2"/>
      </x:c>
      <x:c r="HA4" s="164" t="str">
        <x:f t="shared" ref="HA4:JL4" si="3">IF(HA3="","",TEXT(HA3,"aaa"))</x:f>
      </x:c>
      <x:c r="HB4" s="164" t="str">
        <x:f t="shared" si="3"/>
      </x:c>
      <x:c r="HC4" s="164" t="str">
        <x:f t="shared" si="3"/>
      </x:c>
      <x:c r="HD4" s="164" t="str">
        <x:f t="shared" si="3"/>
      </x:c>
      <x:c r="HE4" s="164" t="str">
        <x:f t="shared" si="3"/>
      </x:c>
      <x:c r="HF4" s="164" t="str">
        <x:f t="shared" si="3"/>
      </x:c>
      <x:c r="HG4" s="164" t="str">
        <x:f t="shared" si="3"/>
      </x:c>
      <x:c r="HH4" s="164" t="str">
        <x:f t="shared" si="3"/>
      </x:c>
      <x:c r="HI4" s="164" t="str">
        <x:f t="shared" si="3"/>
      </x:c>
      <x:c r="HJ4" s="164" t="str">
        <x:f t="shared" si="3"/>
      </x:c>
      <x:c r="HK4" s="164" t="str">
        <x:f t="shared" si="3"/>
      </x:c>
      <x:c r="HL4" s="164" t="str">
        <x:f t="shared" si="3"/>
      </x:c>
      <x:c r="HM4" s="164" t="str">
        <x:f t="shared" si="3"/>
      </x:c>
      <x:c r="HN4" s="164" t="str">
        <x:f t="shared" si="3"/>
      </x:c>
      <x:c r="HO4" s="164" t="str">
        <x:f t="shared" si="3"/>
      </x:c>
      <x:c r="HP4" s="164" t="str">
        <x:f t="shared" si="3"/>
      </x:c>
      <x:c r="HQ4" s="164" t="str">
        <x:f t="shared" si="3"/>
      </x:c>
      <x:c r="HR4" s="164" t="str">
        <x:f t="shared" si="3"/>
      </x:c>
      <x:c r="HS4" s="164" t="str">
        <x:f t="shared" si="3"/>
      </x:c>
      <x:c r="HT4" s="164" t="str">
        <x:f t="shared" si="3"/>
      </x:c>
      <x:c r="HU4" s="164" t="str">
        <x:f t="shared" si="3"/>
      </x:c>
      <x:c r="HV4" s="164" t="str">
        <x:f t="shared" si="3"/>
      </x:c>
      <x:c r="HW4" s="164" t="str">
        <x:f t="shared" si="3"/>
      </x:c>
      <x:c r="HX4" s="164" t="str">
        <x:f t="shared" si="3"/>
      </x:c>
      <x:c r="HY4" s="164" t="str">
        <x:f t="shared" si="3"/>
      </x:c>
      <x:c r="HZ4" s="164" t="str">
        <x:f t="shared" si="3"/>
      </x:c>
      <x:c r="IA4" s="164" t="str">
        <x:f t="shared" si="3"/>
      </x:c>
      <x:c r="IB4" s="164" t="str">
        <x:f t="shared" si="3"/>
      </x:c>
      <x:c r="IC4" s="164" t="str">
        <x:f t="shared" si="3"/>
      </x:c>
      <x:c r="ID4" s="164" t="str">
        <x:f t="shared" si="3"/>
      </x:c>
      <x:c r="IE4" s="164" t="str">
        <x:f t="shared" si="3"/>
      </x:c>
      <x:c r="IF4" s="164" t="str">
        <x:f t="shared" si="3"/>
      </x:c>
      <x:c r="IG4" s="164" t="str">
        <x:f t="shared" si="3"/>
      </x:c>
      <x:c r="IH4" s="164" t="str">
        <x:f t="shared" si="3"/>
      </x:c>
      <x:c r="II4" s="164" t="str">
        <x:f t="shared" si="3"/>
      </x:c>
      <x:c r="IJ4" s="164" t="str">
        <x:f t="shared" si="3"/>
      </x:c>
      <x:c r="IK4" s="164" t="str">
        <x:f t="shared" si="3"/>
      </x:c>
      <x:c r="IL4" s="164" t="str">
        <x:f t="shared" si="3"/>
      </x:c>
      <x:c r="IM4" s="164" t="str">
        <x:f t="shared" si="3"/>
      </x:c>
      <x:c r="IN4" s="164" t="str">
        <x:f t="shared" si="3"/>
      </x:c>
      <x:c r="IO4" s="164" t="str">
        <x:f t="shared" si="3"/>
      </x:c>
      <x:c r="IP4" s="164" t="str">
        <x:f t="shared" si="3"/>
      </x:c>
      <x:c r="IQ4" s="164" t="str">
        <x:f t="shared" si="3"/>
      </x:c>
      <x:c r="IR4" s="164" t="str">
        <x:f t="shared" si="3"/>
      </x:c>
      <x:c r="IS4" s="164" t="str">
        <x:f t="shared" si="3"/>
      </x:c>
      <x:c r="IT4" s="164" t="str">
        <x:f t="shared" si="3"/>
      </x:c>
      <x:c r="IU4" s="164" t="str">
        <x:f t="shared" si="3"/>
      </x:c>
      <x:c r="IV4" s="164" t="str">
        <x:f t="shared" si="3"/>
      </x:c>
      <x:c r="IW4" s="164" t="str">
        <x:f t="shared" si="3"/>
      </x:c>
      <x:c r="IX4" s="164" t="str">
        <x:f t="shared" si="3"/>
      </x:c>
      <x:c r="IY4" s="164" t="str">
        <x:f t="shared" si="3"/>
      </x:c>
      <x:c r="IZ4" s="164" t="str">
        <x:f t="shared" si="3"/>
      </x:c>
      <x:c r="JA4" s="164" t="str">
        <x:f t="shared" si="3"/>
      </x:c>
      <x:c r="JB4" s="164" t="str">
        <x:f t="shared" si="3"/>
      </x:c>
      <x:c r="JC4" s="164" t="str">
        <x:f t="shared" si="3"/>
      </x:c>
      <x:c r="JD4" s="164" t="str">
        <x:f t="shared" si="3"/>
      </x:c>
      <x:c r="JE4" s="164" t="str">
        <x:f t="shared" si="3"/>
      </x:c>
      <x:c r="JF4" s="164" t="str">
        <x:f t="shared" si="3"/>
      </x:c>
      <x:c r="JG4" s="164" t="str">
        <x:f t="shared" si="3"/>
      </x:c>
      <x:c r="JH4" s="164" t="str">
        <x:f t="shared" si="3"/>
      </x:c>
      <x:c r="JI4" s="164" t="str">
        <x:f t="shared" si="3"/>
      </x:c>
      <x:c r="JJ4" s="164" t="str">
        <x:f t="shared" si="3"/>
      </x:c>
      <x:c r="JK4" s="164" t="str">
        <x:f t="shared" si="3"/>
      </x:c>
      <x:c r="JL4" s="164" t="str">
        <x:f t="shared" si="3"/>
      </x:c>
      <x:c r="JM4" s="164" t="str">
        <x:f t="shared" ref="JM4:LX4" si="4">IF(JM3="","",TEXT(JM3,"aaa"))</x:f>
      </x:c>
      <x:c r="JN4" s="164" t="str">
        <x:f t="shared" si="4"/>
      </x:c>
      <x:c r="JO4" s="164" t="str">
        <x:f t="shared" si="4"/>
      </x:c>
      <x:c r="JP4" s="164" t="str">
        <x:f t="shared" si="4"/>
      </x:c>
      <x:c r="JQ4" s="164" t="str">
        <x:f t="shared" si="4"/>
      </x:c>
      <x:c r="JR4" s="164" t="str">
        <x:f t="shared" si="4"/>
      </x:c>
      <x:c r="JS4" s="164" t="str">
        <x:f t="shared" si="4"/>
      </x:c>
      <x:c r="JT4" s="164" t="str">
        <x:f t="shared" si="4"/>
      </x:c>
      <x:c r="JU4" s="164" t="str">
        <x:f t="shared" si="4"/>
      </x:c>
      <x:c r="JV4" s="164" t="str">
        <x:f t="shared" si="4"/>
      </x:c>
      <x:c r="JW4" s="164" t="str">
        <x:f t="shared" si="4"/>
      </x:c>
      <x:c r="JX4" s="164" t="str">
        <x:f t="shared" si="4"/>
      </x:c>
      <x:c r="JY4" s="164" t="str">
        <x:f t="shared" si="4"/>
      </x:c>
      <x:c r="JZ4" s="164" t="str">
        <x:f t="shared" si="4"/>
      </x:c>
      <x:c r="KA4" s="164" t="str">
        <x:f t="shared" si="4"/>
      </x:c>
      <x:c r="KB4" s="164" t="str">
        <x:f t="shared" si="4"/>
      </x:c>
      <x:c r="KC4" s="164" t="str">
        <x:f t="shared" si="4"/>
      </x:c>
      <x:c r="KD4" s="164" t="str">
        <x:f t="shared" si="4"/>
      </x:c>
      <x:c r="KE4" s="164" t="str">
        <x:f t="shared" si="4"/>
      </x:c>
      <x:c r="KF4" s="164" t="str">
        <x:f t="shared" si="4"/>
      </x:c>
      <x:c r="KG4" s="164" t="str">
        <x:f t="shared" si="4"/>
      </x:c>
      <x:c r="KH4" s="164" t="str">
        <x:f t="shared" si="4"/>
      </x:c>
      <x:c r="KI4" s="164" t="str">
        <x:f t="shared" si="4"/>
      </x:c>
      <x:c r="KJ4" s="164" t="str">
        <x:f t="shared" si="4"/>
      </x:c>
      <x:c r="KK4" s="164" t="str">
        <x:f t="shared" si="4"/>
      </x:c>
      <x:c r="KL4" s="164" t="str">
        <x:f t="shared" si="4"/>
      </x:c>
      <x:c r="KM4" s="164" t="str">
        <x:f t="shared" si="4"/>
      </x:c>
      <x:c r="KN4" s="164" t="str">
        <x:f t="shared" si="4"/>
      </x:c>
      <x:c r="KO4" s="164" t="str">
        <x:f t="shared" si="4"/>
      </x:c>
      <x:c r="KP4" s="164" t="str">
        <x:f t="shared" si="4"/>
      </x:c>
      <x:c r="KQ4" s="164" t="str">
        <x:f t="shared" si="4"/>
      </x:c>
      <x:c r="KR4" s="164" t="str">
        <x:f t="shared" si="4"/>
      </x:c>
      <x:c r="KS4" s="164" t="str">
        <x:f t="shared" si="4"/>
      </x:c>
      <x:c r="KT4" s="164" t="str">
        <x:f t="shared" si="4"/>
      </x:c>
      <x:c r="KU4" s="164" t="str">
        <x:f t="shared" si="4"/>
      </x:c>
      <x:c r="KV4" s="164" t="str">
        <x:f t="shared" si="4"/>
      </x:c>
      <x:c r="KW4" s="164" t="str">
        <x:f t="shared" si="4"/>
      </x:c>
      <x:c r="KX4" s="164" t="str">
        <x:f t="shared" si="4"/>
      </x:c>
      <x:c r="KY4" s="164" t="str">
        <x:f t="shared" si="4"/>
      </x:c>
      <x:c r="KZ4" s="164" t="str">
        <x:f t="shared" si="4"/>
      </x:c>
      <x:c r="LA4" s="164" t="str">
        <x:f t="shared" si="4"/>
      </x:c>
      <x:c r="LB4" s="164" t="str">
        <x:f t="shared" si="4"/>
      </x:c>
      <x:c r="LC4" s="164" t="str">
        <x:f t="shared" si="4"/>
      </x:c>
      <x:c r="LD4" s="164" t="str">
        <x:f t="shared" si="4"/>
      </x:c>
      <x:c r="LE4" s="164" t="str">
        <x:f t="shared" si="4"/>
      </x:c>
      <x:c r="LF4" s="164" t="str">
        <x:f t="shared" si="4"/>
      </x:c>
      <x:c r="LG4" s="164" t="str">
        <x:f t="shared" si="4"/>
      </x:c>
      <x:c r="LH4" s="164" t="str">
        <x:f t="shared" si="4"/>
      </x:c>
      <x:c r="LI4" s="164" t="str">
        <x:f t="shared" si="4"/>
      </x:c>
      <x:c r="LJ4" s="164" t="str">
        <x:f t="shared" si="4"/>
      </x:c>
      <x:c r="LK4" s="164" t="str">
        <x:f t="shared" si="4"/>
      </x:c>
      <x:c r="LL4" s="164" t="str">
        <x:f t="shared" si="4"/>
      </x:c>
      <x:c r="LM4" s="164" t="str">
        <x:f t="shared" si="4"/>
      </x:c>
      <x:c r="LN4" s="164" t="str">
        <x:f t="shared" si="4"/>
      </x:c>
      <x:c r="LO4" s="164" t="str">
        <x:f t="shared" si="4"/>
      </x:c>
      <x:c r="LP4" s="164" t="str">
        <x:f t="shared" si="4"/>
      </x:c>
      <x:c r="LQ4" s="164" t="str">
        <x:f t="shared" si="4"/>
      </x:c>
      <x:c r="LR4" s="164" t="str">
        <x:f t="shared" si="4"/>
      </x:c>
      <x:c r="LS4" s="164" t="str">
        <x:f t="shared" si="4"/>
      </x:c>
      <x:c r="LT4" s="164" t="str">
        <x:f t="shared" si="4"/>
      </x:c>
      <x:c r="LU4" s="164" t="str">
        <x:f t="shared" si="4"/>
      </x:c>
      <x:c r="LV4" s="164" t="str">
        <x:f t="shared" si="4"/>
      </x:c>
      <x:c r="LW4" s="164" t="str">
        <x:f t="shared" si="4"/>
      </x:c>
      <x:c r="LX4" s="164" t="str">
        <x:f t="shared" si="4"/>
      </x:c>
      <x:c r="LY4" s="164" t="str">
        <x:f t="shared" ref="LY4:OJ4" si="5">IF(LY3="","",TEXT(LY3,"aaa"))</x:f>
      </x:c>
      <x:c r="LZ4" s="164" t="str">
        <x:f t="shared" si="5"/>
      </x:c>
      <x:c r="MA4" s="164" t="str">
        <x:f t="shared" si="5"/>
      </x:c>
      <x:c r="MB4" s="164" t="str">
        <x:f t="shared" si="5"/>
      </x:c>
      <x:c r="MC4" s="164" t="str">
        <x:f t="shared" si="5"/>
      </x:c>
      <x:c r="MD4" s="164" t="str">
        <x:f t="shared" si="5"/>
      </x:c>
      <x:c r="ME4" s="164" t="str">
        <x:f t="shared" si="5"/>
      </x:c>
      <x:c r="MF4" s="164" t="str">
        <x:f t="shared" si="5"/>
      </x:c>
      <x:c r="MG4" s="164" t="str">
        <x:f t="shared" si="5"/>
      </x:c>
      <x:c r="MH4" s="164" t="str">
        <x:f t="shared" si="5"/>
      </x:c>
      <x:c r="MI4" s="164" t="str">
        <x:f t="shared" si="5"/>
      </x:c>
      <x:c r="MJ4" s="164" t="str">
        <x:f t="shared" si="5"/>
      </x:c>
      <x:c r="MK4" s="164" t="str">
        <x:f t="shared" si="5"/>
      </x:c>
      <x:c r="ML4" s="164" t="str">
        <x:f t="shared" si="5"/>
      </x:c>
      <x:c r="MM4" s="164" t="str">
        <x:f t="shared" si="5"/>
      </x:c>
      <x:c r="MN4" s="164" t="str">
        <x:f t="shared" si="5"/>
      </x:c>
      <x:c r="MO4" s="164" t="str">
        <x:f t="shared" si="5"/>
      </x:c>
      <x:c r="MP4" s="164" t="str">
        <x:f t="shared" si="5"/>
      </x:c>
      <x:c r="MQ4" s="164" t="str">
        <x:f t="shared" si="5"/>
      </x:c>
      <x:c r="MR4" s="164" t="str">
        <x:f t="shared" si="5"/>
      </x:c>
      <x:c r="MS4" s="164" t="str">
        <x:f t="shared" si="5"/>
      </x:c>
      <x:c r="MT4" s="164" t="str">
        <x:f t="shared" si="5"/>
      </x:c>
      <x:c r="MU4" s="164" t="str">
        <x:f t="shared" si="5"/>
      </x:c>
      <x:c r="MV4" s="164" t="str">
        <x:f t="shared" si="5"/>
      </x:c>
      <x:c r="MW4" s="164" t="str">
        <x:f t="shared" si="5"/>
      </x:c>
      <x:c r="MX4" s="164" t="str">
        <x:f t="shared" si="5"/>
      </x:c>
      <x:c r="MY4" s="164" t="str">
        <x:f t="shared" si="5"/>
      </x:c>
      <x:c r="MZ4" s="164" t="str">
        <x:f t="shared" si="5"/>
      </x:c>
      <x:c r="NA4" s="164" t="str">
        <x:f t="shared" si="5"/>
      </x:c>
      <x:c r="NB4" s="164" t="str">
        <x:f t="shared" si="5"/>
      </x:c>
      <x:c r="NC4" s="164" t="str">
        <x:f t="shared" si="5"/>
      </x:c>
      <x:c r="ND4" s="164" t="str">
        <x:f t="shared" si="5"/>
      </x:c>
      <x:c r="NE4" s="164" t="str">
        <x:f t="shared" si="5"/>
      </x:c>
      <x:c r="NF4" s="164" t="str">
        <x:f t="shared" si="5"/>
      </x:c>
      <x:c r="NG4" s="164" t="str">
        <x:f t="shared" si="5"/>
      </x:c>
      <x:c r="NH4" s="164" t="str">
        <x:f t="shared" si="5"/>
      </x:c>
      <x:c r="NI4" s="164" t="str">
        <x:f t="shared" si="5"/>
      </x:c>
      <x:c r="NJ4" s="164" t="str">
        <x:f t="shared" si="5"/>
      </x:c>
      <x:c r="NK4" s="164" t="str">
        <x:f t="shared" si="5"/>
      </x:c>
      <x:c r="NL4" s="164" t="str">
        <x:f t="shared" si="5"/>
      </x:c>
      <x:c r="NM4" s="164" t="str">
        <x:f t="shared" si="5"/>
      </x:c>
      <x:c r="NN4" s="164" t="str">
        <x:f t="shared" si="5"/>
      </x:c>
      <x:c r="NO4" s="164" t="str">
        <x:f t="shared" si="5"/>
      </x:c>
      <x:c r="NP4" s="164" t="str">
        <x:f t="shared" si="5"/>
      </x:c>
      <x:c r="NQ4" s="164" t="str">
        <x:f t="shared" si="5"/>
      </x:c>
      <x:c r="NR4" s="164" t="str">
        <x:f t="shared" si="5"/>
      </x:c>
      <x:c r="NS4" s="164" t="str">
        <x:f t="shared" si="5"/>
      </x:c>
      <x:c r="NT4" s="164" t="str">
        <x:f t="shared" si="5"/>
      </x:c>
      <x:c r="NU4" s="164" t="str">
        <x:f t="shared" si="5"/>
      </x:c>
      <x:c r="NV4" s="164" t="str">
        <x:f t="shared" si="5"/>
      </x:c>
      <x:c r="NW4" s="164" t="str">
        <x:f t="shared" si="5"/>
      </x:c>
      <x:c r="NX4" s="164" t="str">
        <x:f t="shared" si="5"/>
      </x:c>
      <x:c r="NY4" s="164" t="str">
        <x:f t="shared" si="5"/>
      </x:c>
      <x:c r="NZ4" s="164" t="str">
        <x:f t="shared" si="5"/>
      </x:c>
      <x:c r="OA4" s="164" t="str">
        <x:f t="shared" si="5"/>
      </x:c>
      <x:c r="OB4" s="164" t="str">
        <x:f t="shared" si="5"/>
      </x:c>
      <x:c r="OC4" s="164" t="str">
        <x:f t="shared" si="5"/>
      </x:c>
      <x:c r="OD4" s="164" t="str">
        <x:f t="shared" si="5"/>
      </x:c>
      <x:c r="OE4" s="164" t="str">
        <x:f t="shared" si="5"/>
      </x:c>
      <x:c r="OF4" s="164" t="str">
        <x:f t="shared" si="5"/>
      </x:c>
      <x:c r="OG4" s="164" t="str">
        <x:f t="shared" si="5"/>
      </x:c>
      <x:c r="OH4" s="164" t="str">
        <x:f t="shared" si="5"/>
      </x:c>
      <x:c r="OI4" s="164" t="str">
        <x:f t="shared" si="5"/>
      </x:c>
      <x:c r="OJ4" s="164" t="str">
        <x:f t="shared" si="5"/>
      </x:c>
      <x:c r="OK4" s="164" t="str">
        <x:f t="shared" ref="OK4:QV4" si="6">IF(OK3="","",TEXT(OK3,"aaa"))</x:f>
      </x:c>
      <x:c r="OL4" s="164" t="str">
        <x:f t="shared" si="6"/>
      </x:c>
      <x:c r="OM4" s="164" t="str">
        <x:f t="shared" si="6"/>
      </x:c>
      <x:c r="ON4" s="164" t="str">
        <x:f t="shared" si="6"/>
      </x:c>
      <x:c r="OO4" s="164" t="str">
        <x:f t="shared" si="6"/>
      </x:c>
      <x:c r="OP4" s="164" t="str">
        <x:f t="shared" si="6"/>
      </x:c>
      <x:c r="OQ4" s="164" t="str">
        <x:f t="shared" si="6"/>
      </x:c>
      <x:c r="OR4" s="164" t="str">
        <x:f t="shared" si="6"/>
      </x:c>
      <x:c r="OS4" s="164" t="str">
        <x:f t="shared" si="6"/>
      </x:c>
      <x:c r="OT4" s="164" t="str">
        <x:f t="shared" si="6"/>
      </x:c>
      <x:c r="OU4" s="164" t="str">
        <x:f t="shared" si="6"/>
      </x:c>
      <x:c r="OV4" s="164" t="str">
        <x:f t="shared" si="6"/>
      </x:c>
      <x:c r="OW4" s="164" t="str">
        <x:f t="shared" si="6"/>
      </x:c>
      <x:c r="OX4" s="164" t="str">
        <x:f t="shared" si="6"/>
      </x:c>
      <x:c r="OY4" s="164" t="str">
        <x:f t="shared" si="6"/>
      </x:c>
      <x:c r="OZ4" s="164" t="str">
        <x:f t="shared" si="6"/>
      </x:c>
      <x:c r="PA4" s="164" t="str">
        <x:f t="shared" si="6"/>
      </x:c>
      <x:c r="PB4" s="164" t="str">
        <x:f t="shared" si="6"/>
      </x:c>
      <x:c r="PC4" s="164" t="str">
        <x:f t="shared" si="6"/>
      </x:c>
      <x:c r="PD4" s="164" t="str">
        <x:f t="shared" si="6"/>
      </x:c>
      <x:c r="PE4" s="164" t="str">
        <x:f t="shared" si="6"/>
      </x:c>
      <x:c r="PF4" s="164" t="str">
        <x:f t="shared" si="6"/>
      </x:c>
      <x:c r="PG4" s="164" t="str">
        <x:f t="shared" si="6"/>
      </x:c>
      <x:c r="PH4" s="164" t="str">
        <x:f t="shared" si="6"/>
      </x:c>
      <x:c r="PI4" s="164" t="str">
        <x:f t="shared" si="6"/>
      </x:c>
      <x:c r="PJ4" s="164" t="str">
        <x:f t="shared" si="6"/>
      </x:c>
      <x:c r="PK4" s="164" t="str">
        <x:f t="shared" si="6"/>
      </x:c>
      <x:c r="PL4" s="164" t="str">
        <x:f t="shared" si="6"/>
      </x:c>
      <x:c r="PM4" s="164" t="str">
        <x:f t="shared" si="6"/>
      </x:c>
      <x:c r="PN4" s="164" t="str">
        <x:f t="shared" si="6"/>
      </x:c>
      <x:c r="PO4" s="164" t="str">
        <x:f t="shared" si="6"/>
      </x:c>
      <x:c r="PP4" s="164" t="str">
        <x:f t="shared" si="6"/>
      </x:c>
      <x:c r="PQ4" s="164" t="str">
        <x:f t="shared" si="6"/>
      </x:c>
      <x:c r="PR4" s="164" t="str">
        <x:f t="shared" si="6"/>
      </x:c>
      <x:c r="PS4" s="164" t="str">
        <x:f t="shared" si="6"/>
      </x:c>
      <x:c r="PT4" s="164" t="str">
        <x:f t="shared" si="6"/>
      </x:c>
      <x:c r="PU4" s="164" t="str">
        <x:f t="shared" si="6"/>
      </x:c>
      <x:c r="PV4" s="164" t="str">
        <x:f t="shared" si="6"/>
      </x:c>
      <x:c r="PW4" s="164" t="str">
        <x:f t="shared" si="6"/>
      </x:c>
      <x:c r="PX4" s="164" t="str">
        <x:f t="shared" si="6"/>
      </x:c>
      <x:c r="PY4" s="164" t="str">
        <x:f t="shared" si="6"/>
      </x:c>
      <x:c r="PZ4" s="164" t="str">
        <x:f t="shared" si="6"/>
      </x:c>
      <x:c r="QA4" s="164" t="str">
        <x:f t="shared" si="6"/>
      </x:c>
      <x:c r="QB4" s="164" t="str">
        <x:f t="shared" si="6"/>
      </x:c>
      <x:c r="QC4" s="164" t="str">
        <x:f t="shared" si="6"/>
      </x:c>
      <x:c r="QD4" s="164" t="str">
        <x:f t="shared" si="6"/>
      </x:c>
      <x:c r="QE4" s="164" t="str">
        <x:f t="shared" si="6"/>
      </x:c>
      <x:c r="QF4" s="164" t="str">
        <x:f t="shared" si="6"/>
      </x:c>
      <x:c r="QG4" s="164" t="str">
        <x:f t="shared" si="6"/>
      </x:c>
      <x:c r="QH4" s="164" t="str">
        <x:f t="shared" si="6"/>
      </x:c>
      <x:c r="QI4" s="164" t="str">
        <x:f t="shared" si="6"/>
      </x:c>
      <x:c r="QJ4" s="164" t="str">
        <x:f t="shared" si="6"/>
      </x:c>
      <x:c r="QK4" s="164" t="str">
        <x:f t="shared" si="6"/>
      </x:c>
      <x:c r="QL4" s="164" t="str">
        <x:f t="shared" si="6"/>
      </x:c>
      <x:c r="QM4" s="164" t="str">
        <x:f t="shared" si="6"/>
      </x:c>
      <x:c r="QN4" s="164" t="str">
        <x:f t="shared" si="6"/>
      </x:c>
      <x:c r="QO4" s="164" t="str">
        <x:f t="shared" si="6"/>
      </x:c>
      <x:c r="QP4" s="164" t="str">
        <x:f t="shared" si="6"/>
      </x:c>
      <x:c r="QQ4" s="164" t="str">
        <x:f t="shared" si="6"/>
      </x:c>
      <x:c r="QR4" s="164" t="str">
        <x:f t="shared" si="6"/>
      </x:c>
      <x:c r="QS4" s="164" t="str">
        <x:f t="shared" si="6"/>
      </x:c>
      <x:c r="QT4" s="164" t="str">
        <x:f t="shared" si="6"/>
      </x:c>
      <x:c r="QU4" s="164" t="str">
        <x:f t="shared" si="6"/>
      </x:c>
      <x:c r="QV4" s="164" t="str">
        <x:f t="shared" si="6"/>
      </x:c>
      <x:c r="QW4" s="164" t="str">
        <x:f t="shared" ref="QW4:TH4" si="7">IF(QW3="","",TEXT(QW3,"aaa"))</x:f>
      </x:c>
      <x:c r="QX4" s="164" t="str">
        <x:f t="shared" si="7"/>
      </x:c>
      <x:c r="QY4" s="164" t="str">
        <x:f t="shared" si="7"/>
      </x:c>
      <x:c r="QZ4" s="164" t="str">
        <x:f t="shared" si="7"/>
      </x:c>
      <x:c r="RA4" s="164" t="str">
        <x:f t="shared" si="7"/>
      </x:c>
      <x:c r="RB4" s="164" t="str">
        <x:f t="shared" si="7"/>
      </x:c>
      <x:c r="RC4" s="164" t="str">
        <x:f t="shared" si="7"/>
      </x:c>
      <x:c r="RD4" s="164" t="str">
        <x:f t="shared" si="7"/>
      </x:c>
      <x:c r="RE4" s="164" t="str">
        <x:f t="shared" si="7"/>
      </x:c>
      <x:c r="RF4" s="164" t="str">
        <x:f t="shared" si="7"/>
      </x:c>
      <x:c r="RG4" s="164" t="str">
        <x:f t="shared" si="7"/>
      </x:c>
      <x:c r="RH4" s="164" t="str">
        <x:f t="shared" si="7"/>
      </x:c>
      <x:c r="RI4" s="164" t="str">
        <x:f t="shared" si="7"/>
      </x:c>
      <x:c r="RJ4" s="164" t="str">
        <x:f t="shared" si="7"/>
      </x:c>
      <x:c r="RK4" s="164" t="str">
        <x:f t="shared" si="7"/>
      </x:c>
      <x:c r="RL4" s="164" t="str">
        <x:f t="shared" si="7"/>
      </x:c>
      <x:c r="RM4" s="164" t="str">
        <x:f t="shared" si="7"/>
      </x:c>
      <x:c r="RN4" s="164" t="str">
        <x:f t="shared" si="7"/>
      </x:c>
      <x:c r="RO4" s="164" t="str">
        <x:f t="shared" si="7"/>
      </x:c>
      <x:c r="RP4" s="164" t="str">
        <x:f t="shared" si="7"/>
      </x:c>
      <x:c r="RQ4" s="164" t="str">
        <x:f t="shared" si="7"/>
      </x:c>
      <x:c r="RR4" s="164" t="str">
        <x:f t="shared" si="7"/>
      </x:c>
      <x:c r="RS4" s="164" t="str">
        <x:f t="shared" si="7"/>
      </x:c>
      <x:c r="RT4" s="164" t="str">
        <x:f t="shared" si="7"/>
      </x:c>
      <x:c r="RU4" s="164" t="str">
        <x:f t="shared" si="7"/>
      </x:c>
      <x:c r="RV4" s="164" t="str">
        <x:f t="shared" si="7"/>
      </x:c>
      <x:c r="RW4" s="164" t="str">
        <x:f t="shared" si="7"/>
      </x:c>
      <x:c r="RX4" s="164" t="str">
        <x:f t="shared" si="7"/>
      </x:c>
      <x:c r="RY4" s="164" t="str">
        <x:f t="shared" si="7"/>
      </x:c>
      <x:c r="RZ4" s="164" t="str">
        <x:f t="shared" si="7"/>
      </x:c>
      <x:c r="SA4" s="164" t="str">
        <x:f t="shared" si="7"/>
      </x:c>
      <x:c r="SB4" s="164" t="str">
        <x:f t="shared" si="7"/>
      </x:c>
      <x:c r="SC4" s="164" t="str">
        <x:f t="shared" si="7"/>
      </x:c>
      <x:c r="SD4" s="164" t="str">
        <x:f t="shared" si="7"/>
      </x:c>
      <x:c r="SE4" s="164" t="str">
        <x:f t="shared" si="7"/>
      </x:c>
      <x:c r="SF4" s="164" t="str">
        <x:f t="shared" si="7"/>
      </x:c>
      <x:c r="SG4" s="164" t="str">
        <x:f t="shared" si="7"/>
      </x:c>
      <x:c r="SH4" s="164" t="str">
        <x:f t="shared" si="7"/>
      </x:c>
      <x:c r="SI4" s="164" t="str">
        <x:f t="shared" si="7"/>
      </x:c>
      <x:c r="SJ4" s="164" t="str">
        <x:f t="shared" si="7"/>
      </x:c>
      <x:c r="SK4" s="164" t="str">
        <x:f t="shared" si="7"/>
      </x:c>
      <x:c r="SL4" s="164" t="str">
        <x:f t="shared" si="7"/>
      </x:c>
      <x:c r="SM4" s="164" t="str">
        <x:f t="shared" si="7"/>
      </x:c>
      <x:c r="SN4" s="164" t="str">
        <x:f t="shared" si="7"/>
      </x:c>
      <x:c r="SO4" s="164" t="str">
        <x:f t="shared" si="7"/>
      </x:c>
      <x:c r="SP4" s="164" t="str">
        <x:f t="shared" si="7"/>
      </x:c>
      <x:c r="SQ4" s="164" t="str">
        <x:f t="shared" si="7"/>
      </x:c>
      <x:c r="SR4" s="164" t="str">
        <x:f t="shared" si="7"/>
      </x:c>
      <x:c r="SS4" s="164" t="str">
        <x:f t="shared" si="7"/>
      </x:c>
      <x:c r="ST4" s="164" t="str">
        <x:f t="shared" si="7"/>
      </x:c>
      <x:c r="SU4" s="164" t="str">
        <x:f t="shared" si="7"/>
      </x:c>
      <x:c r="SV4" s="164" t="str">
        <x:f t="shared" si="7"/>
      </x:c>
      <x:c r="SW4" s="164" t="str">
        <x:f t="shared" si="7"/>
      </x:c>
      <x:c r="SX4" s="164" t="str">
        <x:f t="shared" si="7"/>
      </x:c>
      <x:c r="SY4" s="164" t="str">
        <x:f t="shared" si="7"/>
      </x:c>
      <x:c r="SZ4" s="164" t="str">
        <x:f t="shared" si="7"/>
      </x:c>
      <x:c r="TA4" s="164" t="str">
        <x:f t="shared" si="7"/>
      </x:c>
      <x:c r="TB4" s="164" t="str">
        <x:f t="shared" si="7"/>
      </x:c>
      <x:c r="TC4" s="164" t="str">
        <x:f t="shared" si="7"/>
      </x:c>
      <x:c r="TD4" s="164" t="str">
        <x:f t="shared" si="7"/>
      </x:c>
      <x:c r="TE4" s="164" t="str">
        <x:f t="shared" si="7"/>
      </x:c>
      <x:c r="TF4" s="164" t="str">
        <x:f t="shared" si="7"/>
      </x:c>
      <x:c r="TG4" s="164" t="str">
        <x:f t="shared" si="7"/>
      </x:c>
      <x:c r="TH4" s="164" t="str">
        <x:f t="shared" si="7"/>
      </x:c>
      <x:c r="TI4" s="164" t="str">
        <x:f t="shared" ref="TI4:VT4" si="8">IF(TI3="","",TEXT(TI3,"aaa"))</x:f>
      </x:c>
      <x:c r="TJ4" s="164" t="str">
        <x:f t="shared" si="8"/>
      </x:c>
      <x:c r="TK4" s="164" t="str">
        <x:f t="shared" si="8"/>
      </x:c>
      <x:c r="TL4" s="164" t="str">
        <x:f t="shared" si="8"/>
      </x:c>
      <x:c r="TM4" s="164" t="str">
        <x:f t="shared" si="8"/>
      </x:c>
      <x:c r="TN4" s="164" t="str">
        <x:f t="shared" si="8"/>
      </x:c>
      <x:c r="TO4" s="164" t="str">
        <x:f t="shared" si="8"/>
      </x:c>
      <x:c r="TP4" s="164" t="str">
        <x:f t="shared" si="8"/>
      </x:c>
      <x:c r="TQ4" s="164" t="str">
        <x:f t="shared" si="8"/>
      </x:c>
      <x:c r="TR4" s="164" t="str">
        <x:f t="shared" si="8"/>
      </x:c>
      <x:c r="TS4" s="164" t="str">
        <x:f t="shared" si="8"/>
      </x:c>
      <x:c r="TT4" s="164" t="str">
        <x:f t="shared" si="8"/>
      </x:c>
      <x:c r="TU4" s="164" t="str">
        <x:f t="shared" si="8"/>
      </x:c>
      <x:c r="TV4" s="164" t="str">
        <x:f t="shared" si="8"/>
      </x:c>
      <x:c r="TW4" s="164" t="str">
        <x:f t="shared" si="8"/>
      </x:c>
      <x:c r="TX4" s="164" t="str">
        <x:f t="shared" si="8"/>
      </x:c>
      <x:c r="TY4" s="164" t="str">
        <x:f t="shared" si="8"/>
      </x:c>
      <x:c r="TZ4" s="164" t="str">
        <x:f t="shared" si="8"/>
      </x:c>
      <x:c r="UA4" s="164" t="str">
        <x:f t="shared" si="8"/>
      </x:c>
      <x:c r="UB4" s="164" t="str">
        <x:f t="shared" si="8"/>
      </x:c>
      <x:c r="UC4" s="164" t="str">
        <x:f t="shared" si="8"/>
      </x:c>
      <x:c r="UD4" s="164" t="str">
        <x:f t="shared" si="8"/>
      </x:c>
      <x:c r="UE4" s="164" t="str">
        <x:f t="shared" si="8"/>
      </x:c>
      <x:c r="UF4" s="164" t="str">
        <x:f t="shared" si="8"/>
      </x:c>
      <x:c r="UG4" s="164" t="str">
        <x:f t="shared" si="8"/>
      </x:c>
      <x:c r="UH4" s="164" t="str">
        <x:f t="shared" si="8"/>
      </x:c>
      <x:c r="UI4" s="164" t="str">
        <x:f t="shared" si="8"/>
      </x:c>
      <x:c r="UJ4" s="164" t="str">
        <x:f t="shared" si="8"/>
      </x:c>
      <x:c r="UK4" s="164" t="str">
        <x:f t="shared" si="8"/>
      </x:c>
      <x:c r="UL4" s="164" t="str">
        <x:f t="shared" si="8"/>
      </x:c>
      <x:c r="UM4" s="164" t="str">
        <x:f t="shared" si="8"/>
      </x:c>
      <x:c r="UN4" s="164" t="str">
        <x:f t="shared" si="8"/>
      </x:c>
      <x:c r="UO4" s="164" t="str">
        <x:f t="shared" si="8"/>
      </x:c>
      <x:c r="UP4" s="164" t="str">
        <x:f t="shared" si="8"/>
      </x:c>
      <x:c r="UQ4" s="164" t="str">
        <x:f t="shared" si="8"/>
      </x:c>
      <x:c r="UR4" s="164" t="str">
        <x:f t="shared" si="8"/>
      </x:c>
      <x:c r="US4" s="164" t="str">
        <x:f t="shared" si="8"/>
      </x:c>
      <x:c r="UT4" s="164" t="str">
        <x:f t="shared" si="8"/>
      </x:c>
      <x:c r="UU4" s="164" t="str">
        <x:f t="shared" si="8"/>
      </x:c>
      <x:c r="UV4" s="164" t="str">
        <x:f t="shared" si="8"/>
      </x:c>
      <x:c r="UW4" s="164" t="str">
        <x:f t="shared" si="8"/>
      </x:c>
      <x:c r="UX4" s="164" t="str">
        <x:f t="shared" si="8"/>
      </x:c>
      <x:c r="UY4" s="164" t="str">
        <x:f t="shared" si="8"/>
      </x:c>
      <x:c r="UZ4" s="164" t="str">
        <x:f t="shared" si="8"/>
      </x:c>
      <x:c r="VA4" s="164" t="str">
        <x:f t="shared" si="8"/>
      </x:c>
      <x:c r="VB4" s="164" t="str">
        <x:f t="shared" si="8"/>
      </x:c>
      <x:c r="VC4" s="164" t="str">
        <x:f t="shared" si="8"/>
      </x:c>
      <x:c r="VD4" s="164" t="str">
        <x:f t="shared" si="8"/>
      </x:c>
      <x:c r="VE4" s="164" t="str">
        <x:f t="shared" si="8"/>
      </x:c>
      <x:c r="VF4" s="164" t="str">
        <x:f t="shared" si="8"/>
      </x:c>
      <x:c r="VG4" s="164" t="str">
        <x:f t="shared" si="8"/>
      </x:c>
      <x:c r="VH4" s="164" t="str">
        <x:f t="shared" si="8"/>
      </x:c>
      <x:c r="VI4" s="164" t="str">
        <x:f t="shared" si="8"/>
      </x:c>
      <x:c r="VJ4" s="164" t="str">
        <x:f t="shared" si="8"/>
      </x:c>
      <x:c r="VK4" s="164" t="str">
        <x:f t="shared" si="8"/>
      </x:c>
      <x:c r="VL4" s="164" t="str">
        <x:f t="shared" si="8"/>
      </x:c>
      <x:c r="VM4" s="164" t="str">
        <x:f t="shared" si="8"/>
      </x:c>
      <x:c r="VN4" s="164" t="str">
        <x:f t="shared" si="8"/>
      </x:c>
      <x:c r="VO4" s="164" t="str">
        <x:f t="shared" si="8"/>
      </x:c>
      <x:c r="VP4" s="164" t="str">
        <x:f t="shared" si="8"/>
      </x:c>
      <x:c r="VQ4" s="164" t="str">
        <x:f t="shared" si="8"/>
      </x:c>
      <x:c r="VR4" s="164" t="str">
        <x:f t="shared" si="8"/>
      </x:c>
      <x:c r="VS4" s="164" t="str">
        <x:f t="shared" si="8"/>
      </x:c>
      <x:c r="VT4" s="164" t="str">
        <x:f t="shared" si="8"/>
      </x:c>
      <x:c r="VU4" s="164" t="str">
        <x:f t="shared" ref="VU4:YF4" si="9">IF(VU3="","",TEXT(VU3,"aaa"))</x:f>
      </x:c>
      <x:c r="VV4" s="164" t="str">
        <x:f t="shared" si="9"/>
      </x:c>
      <x:c r="VW4" s="164" t="str">
        <x:f t="shared" si="9"/>
      </x:c>
      <x:c r="VX4" s="164" t="str">
        <x:f t="shared" si="9"/>
      </x:c>
      <x:c r="VY4" s="164" t="str">
        <x:f t="shared" si="9"/>
      </x:c>
      <x:c r="VZ4" s="164" t="str">
        <x:f t="shared" si="9"/>
      </x:c>
      <x:c r="WA4" s="164" t="str">
        <x:f t="shared" si="9"/>
      </x:c>
      <x:c r="WB4" s="164" t="str">
        <x:f t="shared" si="9"/>
      </x:c>
      <x:c r="WC4" s="164" t="str">
        <x:f t="shared" si="9"/>
      </x:c>
      <x:c r="WD4" s="164" t="str">
        <x:f t="shared" si="9"/>
      </x:c>
      <x:c r="WE4" s="164" t="str">
        <x:f t="shared" si="9"/>
      </x:c>
      <x:c r="WF4" s="164" t="str">
        <x:f t="shared" si="9"/>
      </x:c>
      <x:c r="WG4" s="164" t="str">
        <x:f t="shared" si="9"/>
      </x:c>
      <x:c r="WH4" s="164" t="str">
        <x:f t="shared" si="9"/>
      </x:c>
      <x:c r="WI4" s="164" t="str">
        <x:f t="shared" si="9"/>
      </x:c>
      <x:c r="WJ4" s="164" t="str">
        <x:f t="shared" si="9"/>
      </x:c>
      <x:c r="WK4" s="164" t="str">
        <x:f t="shared" si="9"/>
      </x:c>
      <x:c r="WL4" s="164" t="str">
        <x:f t="shared" si="9"/>
      </x:c>
      <x:c r="WM4" s="164" t="str">
        <x:f t="shared" si="9"/>
      </x:c>
      <x:c r="WN4" s="164" t="str">
        <x:f t="shared" si="9"/>
      </x:c>
      <x:c r="WO4" s="164" t="str">
        <x:f t="shared" si="9"/>
      </x:c>
      <x:c r="WP4" s="164" t="str">
        <x:f t="shared" si="9"/>
      </x:c>
      <x:c r="WQ4" s="164" t="str">
        <x:f t="shared" si="9"/>
      </x:c>
      <x:c r="WR4" s="164" t="str">
        <x:f t="shared" si="9"/>
      </x:c>
      <x:c r="WS4" s="164" t="str">
        <x:f t="shared" si="9"/>
      </x:c>
      <x:c r="WT4" s="164" t="str">
        <x:f t="shared" si="9"/>
      </x:c>
      <x:c r="WU4" s="164" t="str">
        <x:f t="shared" si="9"/>
      </x:c>
      <x:c r="WV4" s="164" t="str">
        <x:f t="shared" si="9"/>
      </x:c>
      <x:c r="WW4" s="164" t="str">
        <x:f t="shared" si="9"/>
      </x:c>
      <x:c r="WX4" s="164" t="str">
        <x:f t="shared" si="9"/>
      </x:c>
      <x:c r="WY4" s="164" t="str">
        <x:f t="shared" si="9"/>
      </x:c>
      <x:c r="WZ4" s="164" t="str">
        <x:f t="shared" si="9"/>
      </x:c>
      <x:c r="XA4" s="164" t="str">
        <x:f t="shared" si="9"/>
      </x:c>
      <x:c r="XB4" s="164" t="str">
        <x:f t="shared" si="9"/>
      </x:c>
      <x:c r="XC4" s="164" t="str">
        <x:f t="shared" si="9"/>
      </x:c>
      <x:c r="XD4" s="164" t="str">
        <x:f t="shared" si="9"/>
      </x:c>
      <x:c r="XE4" s="164" t="str">
        <x:f t="shared" si="9"/>
      </x:c>
      <x:c r="XF4" s="164" t="str">
        <x:f t="shared" si="9"/>
      </x:c>
      <x:c r="XG4" s="164" t="str">
        <x:f t="shared" si="9"/>
      </x:c>
      <x:c r="XH4" s="164" t="str">
        <x:f t="shared" si="9"/>
      </x:c>
      <x:c r="XI4" s="164" t="str">
        <x:f t="shared" si="9"/>
      </x:c>
      <x:c r="XJ4" s="164" t="str">
        <x:f t="shared" si="9"/>
      </x:c>
      <x:c r="XK4" s="164" t="str">
        <x:f t="shared" si="9"/>
      </x:c>
      <x:c r="XL4" s="164" t="str">
        <x:f t="shared" si="9"/>
      </x:c>
      <x:c r="XM4" s="164" t="str">
        <x:f t="shared" si="9"/>
      </x:c>
      <x:c r="XN4" s="164" t="str">
        <x:f t="shared" si="9"/>
      </x:c>
      <x:c r="XO4" s="164" t="str">
        <x:f t="shared" si="9"/>
      </x:c>
      <x:c r="XP4" s="164" t="str">
        <x:f t="shared" si="9"/>
      </x:c>
      <x:c r="XQ4" s="164" t="str">
        <x:f t="shared" si="9"/>
      </x:c>
      <x:c r="XR4" s="164" t="str">
        <x:f t="shared" si="9"/>
      </x:c>
      <x:c r="XS4" s="164" t="str">
        <x:f t="shared" si="9"/>
      </x:c>
      <x:c r="XT4" s="164" t="str">
        <x:f t="shared" si="9"/>
      </x:c>
      <x:c r="XU4" s="164" t="str">
        <x:f t="shared" si="9"/>
      </x:c>
      <x:c r="XV4" s="164" t="str">
        <x:f t="shared" si="9"/>
      </x:c>
      <x:c r="XW4" s="164" t="str">
        <x:f t="shared" si="9"/>
      </x:c>
      <x:c r="XX4" s="164" t="str">
        <x:f t="shared" si="9"/>
      </x:c>
      <x:c r="XY4" s="164" t="str">
        <x:f t="shared" si="9"/>
      </x:c>
      <x:c r="XZ4" s="164" t="str">
        <x:f t="shared" si="9"/>
      </x:c>
      <x:c r="YA4" s="164" t="str">
        <x:f t="shared" si="9"/>
      </x:c>
      <x:c r="YB4" s="164" t="str">
        <x:f t="shared" si="9"/>
      </x:c>
      <x:c r="YC4" s="164" t="str">
        <x:f t="shared" si="9"/>
      </x:c>
      <x:c r="YD4" s="164" t="str">
        <x:f t="shared" si="9"/>
      </x:c>
      <x:c r="YE4" s="164" t="str">
        <x:f t="shared" si="9"/>
      </x:c>
      <x:c r="YF4" s="164" t="str">
        <x:f t="shared" si="9"/>
      </x:c>
      <x:c r="YG4" s="164" t="str">
        <x:f t="shared" ref="YG4:ZZ4" si="10">IF(YG3="","",TEXT(YG3,"aaa"))</x:f>
      </x:c>
      <x:c r="YH4" s="164" t="str">
        <x:f t="shared" si="10"/>
      </x:c>
      <x:c r="YI4" s="164" t="str">
        <x:f t="shared" si="10"/>
      </x:c>
      <x:c r="YJ4" s="164" t="str">
        <x:f t="shared" si="10"/>
      </x:c>
      <x:c r="YK4" s="164" t="str">
        <x:f t="shared" si="10"/>
      </x:c>
      <x:c r="YL4" s="164" t="str">
        <x:f t="shared" si="10"/>
      </x:c>
      <x:c r="YM4" s="164" t="str">
        <x:f t="shared" si="10"/>
      </x:c>
      <x:c r="YN4" s="164" t="str">
        <x:f t="shared" si="10"/>
      </x:c>
      <x:c r="YO4" s="164" t="str">
        <x:f t="shared" si="10"/>
      </x:c>
      <x:c r="YP4" s="164" t="str">
        <x:f t="shared" si="10"/>
      </x:c>
      <x:c r="YQ4" s="164" t="str">
        <x:f t="shared" si="10"/>
      </x:c>
      <x:c r="YR4" s="164" t="str">
        <x:f t="shared" si="10"/>
      </x:c>
      <x:c r="YS4" s="164" t="str">
        <x:f t="shared" si="10"/>
      </x:c>
      <x:c r="YT4" s="164" t="str">
        <x:f t="shared" si="10"/>
      </x:c>
      <x:c r="YU4" s="164" t="str">
        <x:f t="shared" si="10"/>
      </x:c>
      <x:c r="YV4" s="164" t="str">
        <x:f t="shared" si="10"/>
      </x:c>
      <x:c r="YW4" s="164" t="str">
        <x:f t="shared" si="10"/>
      </x:c>
      <x:c r="YX4" s="164" t="str">
        <x:f t="shared" si="10"/>
      </x:c>
      <x:c r="YY4" s="164" t="str">
        <x:f t="shared" si="10"/>
      </x:c>
      <x:c r="YZ4" s="164" t="str">
        <x:f t="shared" si="10"/>
      </x:c>
      <x:c r="ZA4" s="164" t="str">
        <x:f t="shared" si="10"/>
      </x:c>
      <x:c r="ZB4" s="164" t="str">
        <x:f t="shared" si="10"/>
      </x:c>
      <x:c r="ZC4" s="164" t="str">
        <x:f t="shared" si="10"/>
      </x:c>
      <x:c r="ZD4" s="164" t="str">
        <x:f t="shared" si="10"/>
      </x:c>
      <x:c r="ZE4" s="164" t="str">
        <x:f t="shared" si="10"/>
      </x:c>
      <x:c r="ZF4" s="164" t="str">
        <x:f t="shared" si="10"/>
      </x:c>
      <x:c r="ZG4" s="164" t="str">
        <x:f t="shared" si="10"/>
      </x:c>
      <x:c r="ZH4" s="164" t="str">
        <x:f t="shared" si="10"/>
      </x:c>
      <x:c r="ZI4" s="164" t="str">
        <x:f t="shared" si="10"/>
      </x:c>
      <x:c r="ZJ4" s="164" t="str">
        <x:f t="shared" si="10"/>
      </x:c>
      <x:c r="ZK4" s="164" t="str">
        <x:f t="shared" si="10"/>
      </x:c>
      <x:c r="ZL4" s="164" t="str">
        <x:f t="shared" si="10"/>
      </x:c>
      <x:c r="ZM4" s="164" t="str">
        <x:f t="shared" si="10"/>
      </x:c>
      <x:c r="ZN4" s="164" t="str">
        <x:f t="shared" si="10"/>
      </x:c>
      <x:c r="ZO4" s="164" t="str">
        <x:f t="shared" si="10"/>
      </x:c>
      <x:c r="ZP4" s="164" t="str">
        <x:f t="shared" si="10"/>
      </x:c>
      <x:c r="ZQ4" s="164" t="str">
        <x:f t="shared" si="10"/>
      </x:c>
      <x:c r="ZR4" s="164" t="str">
        <x:f t="shared" si="10"/>
      </x:c>
      <x:c r="ZS4" s="164" t="str">
        <x:f t="shared" si="10"/>
      </x:c>
      <x:c r="ZT4" s="164" t="str">
        <x:f t="shared" si="10"/>
      </x:c>
      <x:c r="ZU4" s="164" t="str">
        <x:f t="shared" si="10"/>
      </x:c>
      <x:c r="ZV4" s="164" t="str">
        <x:f t="shared" si="10"/>
      </x:c>
      <x:c r="ZW4" s="164" t="str">
        <x:f t="shared" si="10"/>
      </x:c>
      <x:c r="ZX4" s="164" t="str">
        <x:f t="shared" si="10"/>
      </x:c>
      <x:c r="ZY4" s="164" t="str">
        <x:f t="shared" si="10"/>
      </x:c>
      <x:c r="ZZ4" s="164" t="str">
        <x:f t="shared" si="10"/>
      </x:c>
    </x:row>
    <x:row r="5" ht="24" customHeight="1">
      <x:c r="A5" s="370" t="str">
        <x:v>次期J Salesforce→Cloudera 恒久対応PoC</x:v>
      </x:c>
      <x:c r="B5" s="370" t="str">
        <x:v>プロジェクト管理</x:v>
      </x:c>
      <x:c r="C5" s="370" t="str">
        <x:v>WBS・大日程の作成／更新</x:v>
      </x:c>
      <x:c r="D5" s="370" t="str">
        <x:f>IF(A5&lt;&gt;"", IF(A5=A4, "", A5), "")</x:f>
        <x:v>次期J Salesforce→Cloudera 恒久対応PoC</x:v>
      </x:c>
      <x:c r="E5" s="371" t="n" cm="1">
        <x:f t="array" ref="E5">IF(B5="","",IF(B5&lt;&gt;B4,SUMPRODUCT(($B$5:B5&lt;&gt;$B$4:B4)*($B$5:B5&lt;&gt;"")),""))</x:f>
        <x:v>1</x:v>
      </x:c>
      <x:c r="F5" s="370" t="str">
        <x:f>IF(B5&lt;&gt;"", IF(B5=B4, "", B5), "")</x:f>
        <x:v>プロジェクト管理</x:v>
      </x:c>
      <x:c r="G5" s="370" t="n">
        <x:f>IF(C5="","",COUNTIF($B$5:B5,B5))</x:f>
        <x:v>1</x:v>
      </x:c>
      <x:c r="H5" s="370" t="str">
        <x:f>IF(AND(C5&lt;&gt;"",OR(C5&lt;&gt;C4,B5&lt;&gt;B4)),C5,"")</x:f>
        <x:v>WBS・大日程の作成／更新</x:v>
      </x:c>
      <x:c r="I5" s="370" t="str">
        <x:v>データ基盤</x:v>
      </x:c>
      <x:c r="J5" s="370" t="str">
        <x:v>ワタル</x:v>
      </x:c>
      <x:c r="K5" s="372"/>
      <x:c r="L5" s="370" t="str">
        <x:f>IF(C5="","","【"&amp;A5&amp;"】"&amp;MAX($E$5:E5)&amp;"-"&amp;G5&amp;"_"&amp;B5&amp;"_"&amp;C5)</x:f>
        <x:v>【次期J Salesforce→Cloudera 恒久対応PoC】1-1_プロジェクト管理_WBS・大日程の作成／更新</x:v>
      </x:c>
      <x:c r="M5" s="373" t="n">
        <x:v>46259</x:v>
      </x:c>
      <x:c r="N5" s="373" t="n">
        <x:v>46295</x:v>
      </x:c>
      <x:c r="O5" s="374" t="str">
        <x:v>進行中</x:v>
      </x:c>
      <x:c r="P5" s="593"/>
      <x:c r="Q5" s="597"/>
      <x:c r="R5" s="597"/>
      <x:c r="S5" s="597"/>
      <x:c r="T5" s="597"/>
      <x:c r="U5" s="597"/>
      <x:c r="V5" s="597"/>
      <x:c r="W5" s="597"/>
      <x:c r="X5" s="597"/>
      <x:c r="Y5" s="597"/>
      <x:c r="Z5" s="597"/>
      <x:c r="AA5" s="597"/>
      <x:c r="AB5" s="597"/>
      <x:c r="AC5" s="597"/>
      <x:c r="AD5" s="598"/>
      <x:c r="AE5" s="597"/>
      <x:c r="AF5" s="597"/>
      <x:c r="AG5" s="597"/>
      <x:c r="AH5" s="597"/>
      <x:c r="AI5" s="597"/>
      <x:c r="AJ5" s="597"/>
      <x:c r="AK5" s="597"/>
      <x:c r="AL5" s="597"/>
      <x:c r="AM5" s="597"/>
      <x:c r="AN5" s="597"/>
      <x:c r="AO5" s="597"/>
      <x:c r="AP5" s="597"/>
      <x:c r="AQ5" s="597"/>
      <x:c r="AR5" s="597"/>
      <x:c r="AS5" s="597"/>
      <x:c r="AT5" s="597"/>
      <x:c r="AU5" s="597"/>
      <x:c r="AV5" s="597"/>
      <x:c r="AW5" s="597"/>
      <x:c r="AX5" s="597"/>
      <x:c r="AY5" s="598"/>
      <x:c r="AZ5" s="598"/>
      <x:c r="BA5" s="598"/>
      <x:c r="BB5" s="594"/>
      <x:c r="BC5" s="594"/>
      <x:c r="BD5" s="392"/>
      <x:c r="BE5" s="392"/>
      <x:c r="BF5" s="593"/>
      <x:c r="BG5" s="593"/>
      <x:c r="BH5" s="593"/>
      <x:c r="BI5" s="593"/>
      <x:c r="BJ5" s="593"/>
      <x:c r="BK5" s="392"/>
      <x:c r="BL5" s="392"/>
      <x:c r="BM5" s="392"/>
      <x:c r="BN5" s="593"/>
      <x:c r="BO5" s="593"/>
      <x:c r="BP5" s="593"/>
      <x:c r="BQ5" s="593"/>
      <x:c r="BR5" s="392"/>
      <x:c r="BS5" s="392"/>
      <x:c r="BT5" s="593"/>
    </x:row>
    <x:row r="6" ht="24" customHeight="1">
      <x:c r="A6" s="370" t="str">
        <x:v>次期J Salesforce→Cloudera 恒久対応PoC</x:v>
      </x:c>
      <x:c r="B6" s="370" t="str">
        <x:v>プロジェクト管理</x:v>
      </x:c>
      <x:c r="C6" s="370" t="str">
        <x:v>進捗・課題・リスク管理</x:v>
      </x:c>
      <x:c r="D6" s="370" t="str">
        <x:f t="shared" ref="D6:D69" si="11">IF(A6&lt;&gt;"", IF(A6=A5, "", A6), "")</x:f>
      </x:c>
      <x:c r="E6" s="371" t="str" cm="1">
        <x:f t="array" ref="E6">IF(B6="","",IF(B6&lt;&gt;B5,SUMPRODUCT(($B$5:B6&lt;&gt;$B$4:B5)*($B$5:B6&lt;&gt;"")),""))</x:f>
      </x:c>
      <x:c r="F6" s="370" t="str">
        <x:f t="shared" ref="F6:F69" si="12">IF(B6&lt;&gt;"", IF(B6=B5, "", B6), "")</x:f>
      </x:c>
      <x:c r="G6" s="370" t="n">
        <x:f>IF(C6="","",COUNTIF($B$5:B6,B6))</x:f>
        <x:v>2</x:v>
      </x:c>
      <x:c r="H6" s="370" t="str">
        <x:f t="shared" ref="H6:H69" si="13">IF(AND(C6&lt;&gt;"",OR(C6&lt;&gt;C5,B6&lt;&gt;B5)),C6,"")</x:f>
        <x:v>進捗・課題・リスク管理</x:v>
      </x:c>
      <x:c r="I6" s="370" t="str">
        <x:v>データ基盤</x:v>
      </x:c>
      <x:c r="J6" s="370" t="str">
        <x:v>ワタル</x:v>
      </x:c>
      <x:c r="K6" s="375"/>
      <x:c r="L6" s="370" t="str">
        <x:f>IF(C6="","","【"&amp;A6&amp;"】"&amp;MAX($E$5:E6)&amp;"-"&amp;G6&amp;"_"&amp;B6&amp;"_"&amp;C6)</x:f>
        <x:v>【次期J Salesforce→Cloudera 恒久対応PoC】1-2_プロジェクト管理_進捗・課題・リスク管理</x:v>
      </x:c>
      <x:c r="M6" s="373" t="n">
        <x:v>46259</x:v>
      </x:c>
      <x:c r="N6" s="373" t="n">
        <x:v>46295</x:v>
      </x:c>
      <x:c r="O6" s="374" t="str">
        <x:v>準備中</x:v>
      </x:c>
      <x:c r="P6" s="593"/>
      <x:c r="Q6" s="476"/>
      <x:c r="R6" s="476"/>
      <x:c r="S6" s="476"/>
      <x:c r="T6" s="476"/>
      <x:c r="U6" s="476"/>
      <x:c r="V6" s="476"/>
      <x:c r="W6" s="476"/>
      <x:c r="X6" s="476"/>
      <x:c r="Y6" s="476"/>
      <x:c r="Z6" s="476"/>
      <x:c r="AA6" s="476"/>
      <x:c r="AB6" s="476"/>
      <x:c r="AC6" s="476"/>
      <x:c r="AD6" s="476"/>
      <x:c r="AE6" s="476"/>
      <x:c r="AF6" s="476"/>
      <x:c r="AG6" s="476"/>
      <x:c r="AH6" s="476"/>
      <x:c r="AI6" s="476"/>
      <x:c r="AJ6" s="476"/>
      <x:c r="AK6" s="476"/>
      <x:c r="AL6" s="476"/>
      <x:c r="AM6" s="476"/>
      <x:c r="AN6" s="476"/>
      <x:c r="AO6" s="476"/>
      <x:c r="AP6" s="476"/>
      <x:c r="AQ6" s="476"/>
      <x:c r="AR6" s="476"/>
      <x:c r="AS6" s="476"/>
      <x:c r="AT6" s="476"/>
      <x:c r="AU6" s="476"/>
      <x:c r="AV6" s="476"/>
      <x:c r="AW6" s="476"/>
      <x:c r="AX6" s="476"/>
      <x:c r="AY6" s="476"/>
      <x:c r="AZ6" s="476"/>
      <x:c r="BA6" s="476"/>
      <x:c r="BB6" s="593"/>
      <x:c r="BC6" s="593"/>
      <x:c r="BD6" s="392"/>
      <x:c r="BE6" s="392"/>
      <x:c r="BF6" s="593"/>
      <x:c r="BG6" s="593"/>
      <x:c r="BH6" s="593"/>
      <x:c r="BI6" s="593"/>
      <x:c r="BJ6" s="593"/>
      <x:c r="BK6" s="392"/>
      <x:c r="BL6" s="392"/>
      <x:c r="BM6" s="392"/>
      <x:c r="BN6" s="593"/>
      <x:c r="BO6" s="593"/>
      <x:c r="BP6" s="593"/>
      <x:c r="BQ6" s="593"/>
      <x:c r="BR6" s="392"/>
      <x:c r="BS6" s="392"/>
      <x:c r="BT6" s="593"/>
    </x:row>
    <x:row r="7" ht="24" customHeight="1">
      <x:c r="A7" s="370" t="str">
        <x:v>次期J Salesforce→Cloudera 恒久対応PoC</x:v>
      </x:c>
      <x:c r="B7" s="370" t="str">
        <x:v>プロジェクト管理</x:v>
      </x:c>
      <x:c r="C7" s="370" t="str">
        <x:v>Salesforce・Azure・Cloudera関係者調整</x:v>
      </x:c>
      <x:c r="D7" s="370" t="str">
        <x:f t="shared" si="11">IF(A7&lt;&gt;"", IF(A7=A6, "", A7), "")</x:f>
      </x:c>
      <x:c r="E7" s="371" t="str" cm="1">
        <x:f t="array" ref="E7">IF(B7="","",IF(B7&lt;&gt;B6,SUMPRODUCT(($B$5:B7&lt;&gt;$B$4:B6)*($B$5:B7&lt;&gt;"")),""))</x:f>
      </x:c>
      <x:c r="F7" s="370" t="str">
        <x:f t="shared" si="12">IF(B7&lt;&gt;"", IF(B7=B6, "", B7), "")</x:f>
      </x:c>
      <x:c r="G7" s="370" t="n">
        <x:f>IF(C7="","",COUNTIF($B$5:B7,B7))</x:f>
        <x:v>3</x:v>
      </x:c>
      <x:c r="H7" s="370" t="str">
        <x:f t="shared" si="13">IF(AND(C7&lt;&gt;"",OR(C7&lt;&gt;C6,B7&lt;&gt;B6)),C7,"")</x:f>
        <x:v>Salesforce・Azure・Cloudera関係者調整</x:v>
      </x:c>
      <x:c r="I7" s="370" t="str">
        <x:v>データ基盤</x:v>
      </x:c>
      <x:c r="J7" s="370" t="str">
        <x:v>ワタル</x:v>
      </x:c>
      <x:c r="K7" s="376"/>
      <x:c r="L7" s="370" t="str">
        <x:f>IF(C7="","","【"&amp;A7&amp;"】"&amp;MAX($E$5:E7)&amp;"-"&amp;G7&amp;"_"&amp;B7&amp;"_"&amp;C7)</x:f>
        <x:v>【次期J Salesforce→Cloudera 恒久対応PoC】1-3_プロジェクト管理_Salesforce・Azure・Cloudera関係者調整</x:v>
      </x:c>
      <x:c r="M7" s="373" t="n">
        <x:v>46259</x:v>
      </x:c>
      <x:c r="N7" s="373" t="n">
        <x:v>46295</x:v>
      </x:c>
      <x:c r="O7" s="374" t="str">
        <x:v>準備中</x:v>
      </x:c>
      <x:c r="P7" s="593"/>
      <x:c r="Q7" s="476"/>
      <x:c r="R7" s="476"/>
      <x:c r="S7" s="476"/>
      <x:c r="T7" s="476"/>
      <x:c r="U7" s="476"/>
      <x:c r="V7" s="476"/>
      <x:c r="W7" s="476"/>
      <x:c r="X7" s="476"/>
      <x:c r="Y7" s="476"/>
      <x:c r="Z7" s="476"/>
      <x:c r="AA7" s="476"/>
      <x:c r="AB7" s="476"/>
      <x:c r="AC7" s="476"/>
      <x:c r="AD7" s="476"/>
      <x:c r="AE7" s="476"/>
      <x:c r="AF7" s="476"/>
      <x:c r="AG7" s="476"/>
      <x:c r="AH7" s="476"/>
      <x:c r="AI7" s="476"/>
      <x:c r="AJ7" s="476"/>
      <x:c r="AK7" s="476"/>
      <x:c r="AL7" s="476"/>
      <x:c r="AM7" s="476"/>
      <x:c r="AN7" s="476"/>
      <x:c r="AO7" s="476"/>
      <x:c r="AP7" s="476"/>
      <x:c r="AQ7" s="476"/>
      <x:c r="AR7" s="476"/>
      <x:c r="AS7" s="476"/>
      <x:c r="AT7" s="476"/>
      <x:c r="AU7" s="476"/>
      <x:c r="AV7" s="476"/>
      <x:c r="AW7" s="476"/>
      <x:c r="AX7" s="476"/>
      <x:c r="AY7" s="476"/>
      <x:c r="AZ7" s="476"/>
      <x:c r="BA7" s="476"/>
      <x:c r="BB7" s="593"/>
      <x:c r="BC7" s="593"/>
      <x:c r="BD7" s="392"/>
      <x:c r="BE7" s="392"/>
      <x:c r="BF7" s="593"/>
      <x:c r="BG7" s="593"/>
      <x:c r="BH7" s="593"/>
      <x:c r="BI7" s="593"/>
      <x:c r="BJ7" s="593"/>
      <x:c r="BK7" s="392"/>
      <x:c r="BL7" s="392"/>
      <x:c r="BM7" s="392"/>
      <x:c r="BN7" s="593"/>
      <x:c r="BO7" s="593"/>
      <x:c r="BP7" s="593"/>
      <x:c r="BQ7" s="593"/>
      <x:c r="BR7" s="392"/>
      <x:c r="BS7" s="392"/>
      <x:c r="BT7" s="593"/>
    </x:row>
    <x:row r="8" ht="24" customHeight="1">
      <x:c r="A8" s="370" t="str">
        <x:v>次期J Salesforce→Cloudera 恒久対応PoC</x:v>
      </x:c>
      <x:c r="B8" s="370" t="str">
        <x:v>プロジェクト管理</x:v>
      </x:c>
      <x:c r="C8" s="370" t="str">
        <x:v>成果物・設計レビュー管理</x:v>
      </x:c>
      <x:c r="D8" s="370" t="str">
        <x:f t="shared" si="11">IF(A8&lt;&gt;"", IF(A8=A7, "", A8), "")</x:f>
      </x:c>
      <x:c r="E8" s="371" t="str" cm="1">
        <x:f t="array" ref="E8">IF(B8="","",IF(B8&lt;&gt;B7,SUMPRODUCT(($B$5:B8&lt;&gt;$B$4:B7)*($B$5:B8&lt;&gt;"")),""))</x:f>
      </x:c>
      <x:c r="F8" s="370" t="str">
        <x:f t="shared" si="12">IF(B8&lt;&gt;"", IF(B8=B7, "", B8), "")</x:f>
      </x:c>
      <x:c r="G8" s="370" t="n">
        <x:f>IF(C8="","",COUNTIF($B$5:B8,B8))</x:f>
        <x:v>4</x:v>
      </x:c>
      <x:c r="H8" s="370" t="str">
        <x:f t="shared" si="13">IF(AND(C8&lt;&gt;"",OR(C8&lt;&gt;C7,B8&lt;&gt;B7)),C8,"")</x:f>
        <x:v>成果物・設計レビュー管理</x:v>
      </x:c>
      <x:c r="I8" s="370" t="str">
        <x:v>データ基盤</x:v>
      </x:c>
      <x:c r="J8" s="372" t="str">
        <x:v>ワタル</x:v>
      </x:c>
      <x:c r="K8" s="375"/>
      <x:c r="L8" s="370" t="str">
        <x:f>IF(C8="","","【"&amp;A8&amp;"】"&amp;MAX($E$5:E8)&amp;"-"&amp;G8&amp;"_"&amp;B8&amp;"_"&amp;C8)</x:f>
        <x:v>【次期J Salesforce→Cloudera 恒久対応PoC】1-4_プロジェクト管理_成果物・設計レビュー管理</x:v>
      </x:c>
      <x:c r="M8" s="373" t="n">
        <x:v>46265</x:v>
      </x:c>
      <x:c r="N8" s="373" t="n">
        <x:v>46294</x:v>
      </x:c>
      <x:c r="O8" s="374" t="str">
        <x:v>準備中</x:v>
      </x:c>
      <x:c r="P8" s="593"/>
      <x:c r="Q8" s="593"/>
      <x:c r="R8" s="593"/>
      <x:c r="S8" s="593"/>
      <x:c r="T8" s="593"/>
      <x:c r="U8" s="392"/>
      <x:c r="V8" s="392"/>
      <x:c r="W8" s="476"/>
      <x:c r="X8" s="476"/>
      <x:c r="Y8" s="476"/>
      <x:c r="Z8" s="476"/>
      <x:c r="AA8" s="476"/>
      <x:c r="AB8" s="476"/>
      <x:c r="AC8" s="476"/>
      <x:c r="AD8" s="476"/>
      <x:c r="AE8" s="476"/>
      <x:c r="AF8" s="476"/>
      <x:c r="AG8" s="476"/>
      <x:c r="AH8" s="476"/>
      <x:c r="AI8" s="476"/>
      <x:c r="AJ8" s="476"/>
      <x:c r="AK8" s="476"/>
      <x:c r="AL8" s="476"/>
      <x:c r="AM8" s="476"/>
      <x:c r="AN8" s="476"/>
      <x:c r="AO8" s="476"/>
      <x:c r="AP8" s="476"/>
      <x:c r="AQ8" s="476"/>
      <x:c r="AR8" s="476"/>
      <x:c r="AS8" s="476"/>
      <x:c r="AT8" s="476"/>
      <x:c r="AU8" s="476"/>
      <x:c r="AV8" s="476"/>
      <x:c r="AW8" s="476"/>
      <x:c r="AX8" s="476"/>
      <x:c r="AY8" s="476"/>
      <x:c r="AZ8" s="476"/>
      <x:c r="BA8" s="593"/>
      <x:c r="BB8" s="593"/>
      <x:c r="BC8" s="593"/>
      <x:c r="BD8" s="392"/>
      <x:c r="BE8" s="392"/>
      <x:c r="BF8" s="593"/>
      <x:c r="BG8" s="593"/>
      <x:c r="BH8" s="593"/>
      <x:c r="BI8" s="593"/>
      <x:c r="BJ8" s="593"/>
      <x:c r="BK8" s="392"/>
      <x:c r="BL8" s="392"/>
      <x:c r="BM8" s="392"/>
      <x:c r="BN8" s="593"/>
      <x:c r="BO8" s="593"/>
      <x:c r="BP8" s="593"/>
      <x:c r="BQ8" s="593"/>
      <x:c r="BR8" s="392"/>
      <x:c r="BS8" s="392"/>
      <x:c r="BT8" s="593"/>
    </x:row>
    <x:row r="9" ht="24" customHeight="1">
      <x:c r="A9" s="370" t="str">
        <x:v>次期J Salesforce→Cloudera 恒久対応PoC</x:v>
      </x:c>
      <x:c r="B9" s="370" t="str">
        <x:v>プロジェクト管理</x:v>
      </x:c>
      <x:c r="C9" s="370" t="str">
        <x:v>PoC完了判定・Go／No-Go管理</x:v>
      </x:c>
      <x:c r="D9" s="370" t="str">
        <x:f t="shared" si="11">IF(A9&lt;&gt;"", IF(A9=A8, "", A9), "")</x:f>
      </x:c>
      <x:c r="E9" s="371" t="str" cm="1">
        <x:f t="array" ref="E9">IF(B9="","",IF(B9&lt;&gt;B8,SUMPRODUCT(($B$5:B9&lt;&gt;$B$4:B8)*($B$5:B9&lt;&gt;"")),""))</x:f>
      </x:c>
      <x:c r="F9" s="370" t="str">
        <x:f t="shared" si="12">IF(B9&lt;&gt;"", IF(B9=B8, "", B9), "")</x:f>
      </x:c>
      <x:c r="G9" s="370" t="n">
        <x:f>IF(C9="","",COUNTIF($B$5:B9,B9))</x:f>
        <x:v>5</x:v>
      </x:c>
      <x:c r="H9" s="370" t="str">
        <x:f t="shared" si="13">IF(AND(C9&lt;&gt;"",OR(C9&lt;&gt;C8,B9&lt;&gt;B8)),C9,"")</x:f>
        <x:v>PoC完了判定・Go／No-Go管理</x:v>
      </x:c>
      <x:c r="I9" s="370" t="str">
        <x:v>データ基盤</x:v>
      </x:c>
      <x:c r="J9" s="370" t="str">
        <x:v>ワタル</x:v>
      </x:c>
      <x:c r="K9" s="375"/>
      <x:c r="L9" s="370" t="str">
        <x:f>IF(C9="","","【"&amp;A9&amp;"】"&amp;MAX($E$5:E9)&amp;"-"&amp;G9&amp;"_"&amp;B9&amp;"_"&amp;C9)</x:f>
        <x:v>【次期J Salesforce→Cloudera 恒久対応PoC】1-5_プロジェクト管理_PoC完了判定・Go／No-Go管理</x:v>
      </x:c>
      <x:c r="M9" s="373" t="n">
        <x:v>46289</x:v>
      </x:c>
      <x:c r="N9" s="373" t="n">
        <x:v>46295</x:v>
      </x:c>
      <x:c r="O9" s="374" t="str">
        <x:v>準備中</x:v>
      </x:c>
      <x:c r="P9" s="593"/>
      <x:c r="Q9" s="593"/>
      <x:c r="R9" s="593"/>
      <x:c r="S9" s="593"/>
      <x:c r="T9" s="593"/>
      <x:c r="U9" s="392"/>
      <x:c r="V9" s="392"/>
      <x:c r="W9" s="593"/>
      <x:c r="X9" s="593"/>
      <x:c r="Y9" s="593"/>
      <x:c r="Z9" s="593"/>
      <x:c r="AA9" s="593"/>
      <x:c r="AB9" s="392"/>
      <x:c r="AC9" s="392"/>
      <x:c r="AD9" s="593"/>
      <x:c r="AE9" s="593"/>
      <x:c r="AF9" s="593"/>
      <x:c r="AG9" s="593"/>
      <x:c r="AH9" s="593"/>
      <x:c r="AI9" s="392"/>
      <x:c r="AJ9" s="392"/>
      <x:c r="AK9" s="593"/>
      <x:c r="AL9" s="593"/>
      <x:c r="AM9" s="593"/>
      <x:c r="AN9" s="593"/>
      <x:c r="AO9" s="593"/>
      <x:c r="AP9" s="392"/>
      <x:c r="AQ9" s="392"/>
      <x:c r="AR9" s="392"/>
      <x:c r="AS9" s="392"/>
      <x:c r="AT9" s="392"/>
      <x:c r="AU9" s="476"/>
      <x:c r="AV9" s="476"/>
      <x:c r="AW9" s="476"/>
      <x:c r="AX9" s="476"/>
      <x:c r="AY9" s="476"/>
      <x:c r="AZ9" s="476"/>
      <x:c r="BA9" s="476"/>
      <x:c r="BB9" s="593"/>
      <x:c r="BC9" s="593"/>
      <x:c r="BD9" s="392"/>
      <x:c r="BE9" s="392"/>
      <x:c r="BF9" s="593"/>
      <x:c r="BG9" s="593"/>
      <x:c r="BH9" s="593"/>
      <x:c r="BI9" s="593"/>
      <x:c r="BJ9" s="593"/>
      <x:c r="BK9" s="392"/>
      <x:c r="BL9" s="392"/>
      <x:c r="BM9" s="392"/>
      <x:c r="BN9" s="593"/>
      <x:c r="BO9" s="593"/>
      <x:c r="BP9" s="593"/>
      <x:c r="BQ9" s="593"/>
      <x:c r="BR9" s="392"/>
      <x:c r="BS9" s="392"/>
      <x:c r="BT9" s="593"/>
    </x:row>
    <x:row r="10" ht="24" customHeight="1">
      <x:c r="A10" s="370" t="str">
        <x:v>次期J Salesforce→Cloudera 恒久対応PoC</x:v>
      </x:c>
      <x:c r="B10" s="370" t="str">
        <x:v>前提・業務要件</x:v>
      </x:c>
      <x:c r="C10" s="370" t="str">
        <x:v>TMT先行PoCの目的・スコープ確定</x:v>
      </x:c>
      <x:c r="D10" s="370" t="str">
        <x:f t="shared" si="11">IF(A10&lt;&gt;"", IF(A10=A9, "", A10), "")</x:f>
      </x:c>
      <x:c r="E10" s="371" t="n" cm="1">
        <x:f t="array" ref="E10">IF(B10="","",IF(B10&lt;&gt;B9,SUMPRODUCT(($B$5:B10&lt;&gt;$B$4:B9)*($B$5:B10&lt;&gt;"")),""))</x:f>
        <x:v>2</x:v>
      </x:c>
      <x:c r="F10" s="370" t="str">
        <x:f t="shared" si="12">IF(B10&lt;&gt;"", IF(B10=B9, "", B10), "")</x:f>
        <x:v>前提・業務要件</x:v>
      </x:c>
      <x:c r="G10" s="370" t="n">
        <x:f>IF(C10="","",COUNTIF($B$5:B10,B10))</x:f>
        <x:v>1</x:v>
      </x:c>
      <x:c r="H10" s="370" t="str">
        <x:f t="shared" si="13">IF(AND(C10&lt;&gt;"",OR(C10&lt;&gt;C9,B10&lt;&gt;B9)),C10,"")</x:f>
        <x:v>TMT先行PoCの目的・スコープ確定</x:v>
      </x:c>
      <x:c r="I10" s="370" t="str">
        <x:v>データ基盤</x:v>
      </x:c>
      <x:c r="J10" s="370" t="str">
        <x:v>ワタル</x:v>
      </x:c>
      <x:c r="K10" s="372"/>
      <x:c r="L10" s="370" t="str">
        <x:f>IF(C10="","","【"&amp;A10&amp;"】"&amp;MAX($E$5:E10)&amp;"-"&amp;G10&amp;"_"&amp;B10&amp;"_"&amp;C10)</x:f>
        <x:v>【次期J Salesforce→Cloudera 恒久対応PoC】2-1_前提・業務要件_TMT先行PoCの目的・スコープ確定</x:v>
      </x:c>
      <x:c r="M10" s="373" t="n">
        <x:v>46259</x:v>
      </x:c>
      <x:c r="N10" s="373" t="n">
        <x:v>46261</x:v>
      </x:c>
      <x:c r="O10" s="374" t="str">
        <x:v>進行中</x:v>
      </x:c>
      <x:c r="P10" s="593"/>
      <x:c r="Q10" s="597"/>
      <x:c r="R10" s="597"/>
      <x:c r="S10" s="597"/>
      <x:c r="T10" s="593"/>
      <x:c r="U10" s="392"/>
      <x:c r="V10" s="392"/>
      <x:c r="W10" s="593"/>
      <x:c r="X10" s="593"/>
      <x:c r="Y10" s="593"/>
      <x:c r="Z10" s="593"/>
      <x:c r="AA10" s="593"/>
      <x:c r="AB10" s="392"/>
      <x:c r="AC10" s="392"/>
      <x:c r="AD10" s="593"/>
      <x:c r="AE10" s="593"/>
      <x:c r="AF10" s="593"/>
      <x:c r="AG10" s="593"/>
      <x:c r="AH10" s="593"/>
      <x:c r="AI10" s="392"/>
      <x:c r="AJ10" s="392"/>
      <x:c r="AK10" s="593"/>
      <x:c r="AL10" s="593"/>
      <x:c r="AM10" s="593"/>
      <x:c r="AN10" s="593"/>
      <x:c r="AO10" s="593"/>
      <x:c r="AP10" s="392"/>
      <x:c r="AQ10" s="392"/>
      <x:c r="AR10" s="392"/>
      <x:c r="AS10" s="392"/>
      <x:c r="AT10" s="392"/>
      <x:c r="AU10" s="593"/>
      <x:c r="AV10" s="593"/>
      <x:c r="AW10" s="392"/>
      <x:c r="AX10" s="392"/>
      <x:c r="AY10" s="593"/>
      <x:c r="AZ10" s="593"/>
      <x:c r="BA10" s="593"/>
      <x:c r="BB10" s="593"/>
      <x:c r="BC10" s="593"/>
      <x:c r="BD10" s="392"/>
      <x:c r="BE10" s="392"/>
      <x:c r="BF10" s="593"/>
      <x:c r="BG10" s="593"/>
      <x:c r="BH10" s="593"/>
      <x:c r="BI10" s="593"/>
      <x:c r="BJ10" s="593"/>
      <x:c r="BK10" s="392"/>
      <x:c r="BL10" s="392"/>
      <x:c r="BM10" s="392"/>
      <x:c r="BN10" s="593"/>
      <x:c r="BO10" s="593"/>
      <x:c r="BP10" s="593"/>
      <x:c r="BQ10" s="593"/>
      <x:c r="BR10" s="392"/>
      <x:c r="BS10" s="392"/>
      <x:c r="BT10" s="593"/>
    </x:row>
    <x:row r="11" ht="24" customHeight="1">
      <x:c r="A11" s="370" t="str">
        <x:v>次期J Salesforce→Cloudera 恒久対応PoC</x:v>
      </x:c>
      <x:c r="B11" s="370" t="str">
        <x:v>前提・業務要件</x:v>
      </x:c>
      <x:c r="C11" s="370" t="str">
        <x:v>PoC開始点・終了点の確定</x:v>
      </x:c>
      <x:c r="D11" s="370" t="str">
        <x:f t="shared" si="11">IF(A11&lt;&gt;"", IF(A11=A10, "", A11), "")</x:f>
      </x:c>
      <x:c r="E11" s="371" t="str" cm="1">
        <x:f t="array" ref="E11">IF(B11="","",IF(B11&lt;&gt;B10,SUMPRODUCT(($B$5:B11&lt;&gt;$B$4:B10)*($B$5:B11&lt;&gt;"")),""))</x:f>
      </x:c>
      <x:c r="F11" s="370" t="str">
        <x:f t="shared" si="12">IF(B11&lt;&gt;"", IF(B11=B10, "", B11), "")</x:f>
      </x:c>
      <x:c r="G11" s="370" t="n">
        <x:f>IF(C11="","",COUNTIF($B$5:B11,B11))</x:f>
        <x:v>2</x:v>
      </x:c>
      <x:c r="H11" s="370" t="str">
        <x:f t="shared" si="13">IF(AND(C11&lt;&gt;"",OR(C11&lt;&gt;C10,B11&lt;&gt;B10)),C11,"")</x:f>
        <x:v>PoC開始点・終了点の確定</x:v>
      </x:c>
      <x:c r="I11" s="370" t="str">
        <x:v>データ基盤</x:v>
      </x:c>
      <x:c r="J11" s="370" t="str">
        <x:v>ワタル</x:v>
      </x:c>
      <x:c r="K11" s="375"/>
      <x:c r="L11" s="370" t="str">
        <x:f>IF(C11="","","【"&amp;A11&amp;"】"&amp;MAX($E$5:E11)&amp;"-"&amp;G11&amp;"_"&amp;B11&amp;"_"&amp;C11)</x:f>
        <x:v>【次期J Salesforce→Cloudera 恒久対応PoC】2-2_前提・業務要件_PoC開始点・終了点の確定</x:v>
      </x:c>
      <x:c r="M11" s="373" t="n">
        <x:v>46259</x:v>
      </x:c>
      <x:c r="N11" s="373" t="n">
        <x:v>46261</x:v>
      </x:c>
      <x:c r="O11" s="374" t="str">
        <x:v>進行中</x:v>
      </x:c>
      <x:c r="P11" s="593"/>
      <x:c r="Q11" s="597"/>
      <x:c r="R11" s="597"/>
      <x:c r="S11" s="597"/>
      <x:c r="T11" s="593"/>
      <x:c r="U11" s="392"/>
      <x:c r="V11" s="392"/>
      <x:c r="W11" s="593"/>
      <x:c r="X11" s="593"/>
      <x:c r="Y11" s="593"/>
      <x:c r="Z11" s="593"/>
      <x:c r="AA11" s="593"/>
      <x:c r="AB11" s="392"/>
      <x:c r="AC11" s="392"/>
      <x:c r="AD11" s="593"/>
      <x:c r="AE11" s="593"/>
      <x:c r="AF11" s="593"/>
      <x:c r="AG11" s="593"/>
      <x:c r="AH11" s="593"/>
      <x:c r="AI11" s="392"/>
      <x:c r="AJ11" s="392"/>
      <x:c r="AK11" s="593"/>
      <x:c r="AL11" s="593"/>
      <x:c r="AM11" s="593"/>
      <x:c r="AN11" s="593"/>
      <x:c r="AO11" s="593"/>
      <x:c r="AP11" s="392"/>
      <x:c r="AQ11" s="392"/>
      <x:c r="AR11" s="392"/>
      <x:c r="AS11" s="392"/>
      <x:c r="AT11" s="392"/>
      <x:c r="AU11" s="593"/>
      <x:c r="AV11" s="593"/>
      <x:c r="AW11" s="392"/>
      <x:c r="AX11" s="392"/>
      <x:c r="AY11" s="593"/>
      <x:c r="AZ11" s="593"/>
      <x:c r="BA11" s="593"/>
      <x:c r="BB11" s="593"/>
      <x:c r="BC11" s="593"/>
      <x:c r="BD11" s="392"/>
      <x:c r="BE11" s="392"/>
      <x:c r="BF11" s="593"/>
      <x:c r="BG11" s="593"/>
      <x:c r="BH11" s="593"/>
      <x:c r="BI11" s="593"/>
      <x:c r="BJ11" s="593"/>
      <x:c r="BK11" s="392"/>
      <x:c r="BL11" s="392"/>
      <x:c r="BM11" s="392"/>
      <x:c r="BN11" s="593"/>
      <x:c r="BO11" s="593"/>
      <x:c r="BP11" s="593"/>
      <x:c r="BQ11" s="593"/>
      <x:c r="BR11" s="392"/>
      <x:c r="BS11" s="392"/>
      <x:c r="BT11" s="593"/>
    </x:row>
    <x:row r="12" ht="24" customHeight="1">
      <x:c r="A12" s="370" t="str">
        <x:v>次期J Salesforce→Cloudera 恒久対応PoC</x:v>
      </x:c>
      <x:c r="B12" s="370" t="str">
        <x:v>前提・業務要件</x:v>
      </x:c>
      <x:c r="C12" s="370" t="str">
        <x:v>ポイント施策の業務目的・利用データ粒度確認</x:v>
      </x:c>
      <x:c r="D12" s="370" t="str">
        <x:f t="shared" si="11">IF(A12&lt;&gt;"", IF(A12=A11, "", A12), "")</x:f>
      </x:c>
      <x:c r="E12" s="371" t="str" cm="1">
        <x:f t="array" ref="E12">IF(B12="","",IF(B12&lt;&gt;B11,SUMPRODUCT(($B$5:B12&lt;&gt;$B$4:B11)*($B$5:B12&lt;&gt;"")),""))</x:f>
      </x:c>
      <x:c r="F12" s="370" t="str">
        <x:f t="shared" si="12">IF(B12&lt;&gt;"", IF(B12=B11, "", B12), "")</x:f>
      </x:c>
      <x:c r="G12" s="370" t="n">
        <x:f>IF(C12="","",COUNTIF($B$5:B12,B12))</x:f>
        <x:v>3</x:v>
      </x:c>
      <x:c r="H12" s="370" t="str">
        <x:f t="shared" si="13">IF(AND(C12&lt;&gt;"",OR(C12&lt;&gt;C11,B12&lt;&gt;B11)),C12,"")</x:f>
        <x:v>ポイント施策の業務目的・利用データ粒度確認</x:v>
      </x:c>
      <x:c r="I12" s="370" t="str">
        <x:v>データ基盤</x:v>
      </x:c>
      <x:c r="J12" s="370" t="str">
        <x:v>ワタル</x:v>
      </x:c>
      <x:c r="K12" s="375"/>
      <x:c r="L12" s="370" t="str">
        <x:f>IF(C12="","","【"&amp;A12&amp;"】"&amp;MAX($E$5:E12)&amp;"-"&amp;G12&amp;"_"&amp;B12&amp;"_"&amp;C12)</x:f>
        <x:v>【次期J Salesforce→Cloudera 恒久対応PoC】2-3_前提・業務要件_ポイント施策の業務目的・利用データ粒度確認</x:v>
      </x:c>
      <x:c r="M12" s="373" t="n">
        <x:v>46259</x:v>
      </x:c>
      <x:c r="N12" s="373" t="n">
        <x:v>46265</x:v>
      </x:c>
      <x:c r="O12" s="374" t="str">
        <x:v>準備中</x:v>
      </x:c>
      <x:c r="P12" s="593"/>
      <x:c r="Q12" s="476"/>
      <x:c r="R12" s="476"/>
      <x:c r="S12" s="476"/>
      <x:c r="T12" s="476"/>
      <x:c r="U12" s="476"/>
      <x:c r="V12" s="476"/>
      <x:c r="W12" s="476"/>
      <x:c r="X12" s="593"/>
      <x:c r="Y12" s="593"/>
      <x:c r="Z12" s="593"/>
      <x:c r="AA12" s="593"/>
      <x:c r="AB12" s="392"/>
      <x:c r="AC12" s="392"/>
      <x:c r="AD12" s="593"/>
      <x:c r="AE12" s="593"/>
      <x:c r="AF12" s="593"/>
      <x:c r="AG12" s="593"/>
      <x:c r="AH12" s="593"/>
      <x:c r="AI12" s="392"/>
      <x:c r="AJ12" s="392"/>
      <x:c r="AK12" s="593"/>
      <x:c r="AL12" s="593"/>
      <x:c r="AM12" s="593"/>
      <x:c r="AN12" s="593"/>
      <x:c r="AO12" s="593"/>
      <x:c r="AP12" s="392"/>
      <x:c r="AQ12" s="392"/>
      <x:c r="AR12" s="392"/>
      <x:c r="AS12" s="392"/>
      <x:c r="AT12" s="392"/>
      <x:c r="AU12" s="593"/>
      <x:c r="AV12" s="593"/>
      <x:c r="AW12" s="392"/>
      <x:c r="AX12" s="392"/>
      <x:c r="AY12" s="593"/>
      <x:c r="AZ12" s="593"/>
      <x:c r="BA12" s="593"/>
      <x:c r="BB12" s="593"/>
      <x:c r="BC12" s="593"/>
      <x:c r="BD12" s="392"/>
      <x:c r="BE12" s="392"/>
      <x:c r="BF12" s="593"/>
      <x:c r="BG12" s="593"/>
      <x:c r="BH12" s="593"/>
      <x:c r="BI12" s="593"/>
      <x:c r="BJ12" s="593"/>
      <x:c r="BK12" s="392"/>
      <x:c r="BL12" s="392"/>
      <x:c r="BM12" s="392"/>
      <x:c r="BN12" s="593"/>
      <x:c r="BO12" s="593"/>
      <x:c r="BP12" s="593"/>
      <x:c r="BQ12" s="593"/>
      <x:c r="BR12" s="392"/>
      <x:c r="BS12" s="392"/>
      <x:c r="BT12" s="593"/>
    </x:row>
    <x:row r="13" ht="24" customHeight="1">
      <x:c r="A13" s="370" t="str">
        <x:v>次期J Salesforce→Cloudera 恒久対応PoC</x:v>
      </x:c>
      <x:c r="B13" s="370" t="str">
        <x:v>前提・業務要件</x:v>
      </x:c>
      <x:c r="C13" s="370" t="str">
        <x:v>ニアリアルタイムの許容遅延確認</x:v>
      </x:c>
      <x:c r="D13" s="370" t="str">
        <x:f t="shared" si="11">IF(A13&lt;&gt;"", IF(A13=A12, "", A13), "")</x:f>
      </x:c>
      <x:c r="E13" s="371" t="str" cm="1">
        <x:f t="array" ref="E13">IF(B13="","",IF(B13&lt;&gt;B12,SUMPRODUCT(($B$5:B13&lt;&gt;$B$4:B12)*($B$5:B13&lt;&gt;"")),""))</x:f>
      </x:c>
      <x:c r="F13" s="370" t="str">
        <x:f t="shared" si="12">IF(B13&lt;&gt;"", IF(B13=B12, "", B13), "")</x:f>
      </x:c>
      <x:c r="G13" s="370" t="n">
        <x:f>IF(C13="","",COUNTIF($B$5:B13,B13))</x:f>
        <x:v>4</x:v>
      </x:c>
      <x:c r="H13" s="370" t="str">
        <x:f t="shared" si="13">IF(AND(C13&lt;&gt;"",OR(C13&lt;&gt;C12,B13&lt;&gt;B12)),C13,"")</x:f>
        <x:v>ニアリアルタイムの許容遅延確認</x:v>
      </x:c>
      <x:c r="I13" s="370" t="str">
        <x:v>データ基盤</x:v>
      </x:c>
      <x:c r="J13" s="370" t="str">
        <x:v>ワタル</x:v>
      </x:c>
      <x:c r="K13" s="375"/>
      <x:c r="L13" s="370" t="str">
        <x:f>IF(C13="","","【"&amp;A13&amp;"】"&amp;MAX($E$5:E13)&amp;"-"&amp;G13&amp;"_"&amp;B13&amp;"_"&amp;C13)</x:f>
        <x:v>【次期J Salesforce→Cloudera 恒久対応PoC】2-4_前提・業務要件_ニアリアルタイムの許容遅延確認</x:v>
      </x:c>
      <x:c r="M13" s="373" t="n">
        <x:v>46260</x:v>
      </x:c>
      <x:c r="N13" s="373" t="n">
        <x:v>46266</x:v>
      </x:c>
      <x:c r="O13" s="374" t="str">
        <x:v>準備中</x:v>
      </x:c>
      <x:c r="P13" s="593"/>
      <x:c r="Q13" s="593"/>
      <x:c r="R13" s="476"/>
      <x:c r="S13" s="476"/>
      <x:c r="T13" s="476"/>
      <x:c r="U13" s="476"/>
      <x:c r="V13" s="476"/>
      <x:c r="W13" s="476"/>
      <x:c r="X13" s="476"/>
      <x:c r="Y13" s="593"/>
      <x:c r="Z13" s="593"/>
      <x:c r="AA13" s="593"/>
      <x:c r="AB13" s="392"/>
      <x:c r="AC13" s="392"/>
      <x:c r="AD13" s="593"/>
      <x:c r="AE13" s="593"/>
      <x:c r="AF13" s="593"/>
      <x:c r="AG13" s="593"/>
      <x:c r="AH13" s="593"/>
      <x:c r="AI13" s="392"/>
      <x:c r="AJ13" s="392"/>
      <x:c r="AK13" s="593"/>
      <x:c r="AL13" s="593"/>
      <x:c r="AM13" s="593"/>
      <x:c r="AN13" s="593"/>
      <x:c r="AO13" s="593"/>
      <x:c r="AP13" s="392"/>
      <x:c r="AQ13" s="392"/>
      <x:c r="AR13" s="392"/>
      <x:c r="AS13" s="392"/>
      <x:c r="AT13" s="392"/>
      <x:c r="AU13" s="593"/>
      <x:c r="AV13" s="593"/>
      <x:c r="AW13" s="392"/>
      <x:c r="AX13" s="392"/>
      <x:c r="AY13" s="593"/>
      <x:c r="AZ13" s="593"/>
      <x:c r="BA13" s="593"/>
      <x:c r="BB13" s="593"/>
      <x:c r="BC13" s="593"/>
      <x:c r="BD13" s="392"/>
      <x:c r="BE13" s="392"/>
      <x:c r="BF13" s="593"/>
      <x:c r="BG13" s="593"/>
      <x:c r="BH13" s="593"/>
      <x:c r="BI13" s="593"/>
      <x:c r="BJ13" s="593"/>
      <x:c r="BK13" s="392"/>
      <x:c r="BL13" s="392"/>
      <x:c r="BM13" s="392"/>
      <x:c r="BN13" s="593"/>
      <x:c r="BO13" s="593"/>
      <x:c r="BP13" s="593"/>
      <x:c r="BQ13" s="593"/>
      <x:c r="BR13" s="392"/>
      <x:c r="BS13" s="392"/>
      <x:c r="BT13" s="593"/>
    </x:row>
    <x:row r="14" ht="24" customHeight="1">
      <x:c r="A14" s="370" t="str">
        <x:v>次期J Salesforce→Cloudera 恒久対応PoC</x:v>
      </x:c>
      <x:c r="B14" s="370" t="str">
        <x:v>前提・業務要件</x:v>
      </x:c>
      <x:c r="C14" s="370" t="str">
        <x:v>対象顧客範囲・未取引客の扱い確認</x:v>
      </x:c>
      <x:c r="D14" s="370" t="str">
        <x:f t="shared" si="11">IF(A14&lt;&gt;"", IF(A14=A13, "", A14), "")</x:f>
      </x:c>
      <x:c r="E14" s="371" t="str" cm="1">
        <x:f t="array" ref="E14">IF(B14="","",IF(B14&lt;&gt;B13,SUMPRODUCT(($B$5:B14&lt;&gt;$B$4:B13)*($B$5:B14&lt;&gt;"")),""))</x:f>
      </x:c>
      <x:c r="F14" s="370" t="str">
        <x:f t="shared" si="12">IF(B14&lt;&gt;"", IF(B14=B13, "", B14), "")</x:f>
      </x:c>
      <x:c r="G14" s="370" t="n">
        <x:f>IF(C14="","",COUNTIF($B$5:B14,B14))</x:f>
        <x:v>5</x:v>
      </x:c>
      <x:c r="H14" s="370" t="str">
        <x:f t="shared" si="13">IF(AND(C14&lt;&gt;"",OR(C14&lt;&gt;C13,B14&lt;&gt;B13)),C14,"")</x:f>
        <x:v>対象顧客範囲・未取引客の扱い確認</x:v>
      </x:c>
      <x:c r="I14" s="370" t="str">
        <x:v>データ基盤</x:v>
      </x:c>
      <x:c r="J14" s="370" t="str">
        <x:v>ワタル</x:v>
      </x:c>
      <x:c r="K14" s="375"/>
      <x:c r="L14" s="370" t="str">
        <x:f>IF(C14="","","【"&amp;A14&amp;"】"&amp;MAX($E$5:E14)&amp;"-"&amp;G14&amp;"_"&amp;B14&amp;"_"&amp;C14)</x:f>
        <x:v>【次期J Salesforce→Cloudera 恒久対応PoC】2-5_前提・業務要件_対象顧客範囲・未取引客の扱い確認</x:v>
      </x:c>
      <x:c r="M14" s="373" t="n">
        <x:v>46260</x:v>
      </x:c>
      <x:c r="N14" s="373" t="n">
        <x:v>46266</x:v>
      </x:c>
      <x:c r="O14" s="374" t="str">
        <x:v>準備中</x:v>
      </x:c>
      <x:c r="P14" s="593"/>
      <x:c r="Q14" s="593"/>
      <x:c r="R14" s="476"/>
      <x:c r="S14" s="476"/>
      <x:c r="T14" s="476"/>
      <x:c r="U14" s="476"/>
      <x:c r="V14" s="476"/>
      <x:c r="W14" s="476"/>
      <x:c r="X14" s="476"/>
      <x:c r="Y14" s="593"/>
      <x:c r="Z14" s="593"/>
      <x:c r="AA14" s="593"/>
      <x:c r="AB14" s="392"/>
      <x:c r="AC14" s="392"/>
      <x:c r="AD14" s="593"/>
      <x:c r="AE14" s="593"/>
      <x:c r="AF14" s="593"/>
      <x:c r="AG14" s="593"/>
      <x:c r="AH14" s="593"/>
      <x:c r="AI14" s="392"/>
      <x:c r="AJ14" s="392"/>
      <x:c r="AK14" s="593"/>
      <x:c r="AL14" s="593"/>
      <x:c r="AM14" s="593"/>
      <x:c r="AN14" s="593"/>
      <x:c r="AO14" s="593"/>
      <x:c r="AP14" s="392"/>
      <x:c r="AQ14" s="392"/>
      <x:c r="AR14" s="392"/>
      <x:c r="AS14" s="392"/>
      <x:c r="AT14" s="392"/>
      <x:c r="AU14" s="593"/>
      <x:c r="AV14" s="593"/>
      <x:c r="AW14" s="392"/>
      <x:c r="AX14" s="392"/>
      <x:c r="AY14" s="593"/>
      <x:c r="AZ14" s="593"/>
      <x:c r="BA14" s="593"/>
      <x:c r="BB14" s="593"/>
      <x:c r="BC14" s="593"/>
      <x:c r="BD14" s="392"/>
      <x:c r="BE14" s="392"/>
      <x:c r="BF14" s="593"/>
      <x:c r="BG14" s="593"/>
      <x:c r="BH14" s="593"/>
      <x:c r="BI14" s="593"/>
      <x:c r="BJ14" s="593"/>
      <x:c r="BK14" s="392"/>
      <x:c r="BL14" s="392"/>
      <x:c r="BM14" s="392"/>
      <x:c r="BN14" s="593"/>
      <x:c r="BO14" s="593"/>
      <x:c r="BP14" s="593"/>
      <x:c r="BQ14" s="593"/>
      <x:c r="BR14" s="392"/>
      <x:c r="BS14" s="392"/>
      <x:c r="BT14" s="593"/>
    </x:row>
    <x:row r="15" ht="24" customHeight="1">
      <x:c r="A15" s="370" t="str">
        <x:v>次期J Salesforce→Cloudera 恒久対応PoC</x:v>
      </x:c>
      <x:c r="B15" s="370" t="str">
        <x:v>前提・業務要件</x:v>
      </x:c>
      <x:c r="C15" s="370" t="str">
        <x:v>対象変更種別（作成・更新・削除等）確認</x:v>
      </x:c>
      <x:c r="D15" s="370" t="str">
        <x:f t="shared" si="11">IF(A15&lt;&gt;"", IF(A15=A14, "", A15), "")</x:f>
      </x:c>
      <x:c r="E15" s="371" t="str" cm="1">
        <x:f t="array" ref="E15">IF(B15="","",IF(B15&lt;&gt;B14,SUMPRODUCT(($B$5:B15&lt;&gt;$B$4:B14)*($B$5:B15&lt;&gt;"")),""))</x:f>
      </x:c>
      <x:c r="F15" s="370" t="str">
        <x:f t="shared" si="12">IF(B15&lt;&gt;"", IF(B15=B14, "", B15), "")</x:f>
      </x:c>
      <x:c r="G15" s="370" t="n">
        <x:f>IF(C15="","",COUNTIF($B$5:B15,B15))</x:f>
        <x:v>6</x:v>
      </x:c>
      <x:c r="H15" s="370" t="str">
        <x:f t="shared" si="13">IF(AND(C15&lt;&gt;"",OR(C15&lt;&gt;C14,B15&lt;&gt;B14)),C15,"")</x:f>
        <x:v>対象変更種別（作成・更新・削除等）確認</x:v>
      </x:c>
      <x:c r="I15" s="372" t="str">
        <x:v>データ基盤</x:v>
      </x:c>
      <x:c r="J15" s="377" t="str">
        <x:v>ワタル</x:v>
      </x:c>
      <x:c r="K15" s="375"/>
      <x:c r="L15" s="370" t="str">
        <x:f>IF(C15="","","【"&amp;A15&amp;"】"&amp;MAX($E$5:E15)&amp;"-"&amp;G15&amp;"_"&amp;B15&amp;"_"&amp;C15)</x:f>
        <x:v>【次期J Salesforce→Cloudera 恒久対応PoC】2-6_前提・業務要件_対象変更種別（作成・更新・削除等）確認</x:v>
      </x:c>
      <x:c r="M15" s="378" t="n">
        <x:v>46260</x:v>
      </x:c>
      <x:c r="N15" s="378" t="n">
        <x:v>46266</x:v>
      </x:c>
      <x:c r="O15" s="372" t="str">
        <x:v>準備中</x:v>
      </x:c>
      <x:c r="P15" s="593"/>
      <x:c r="Q15" s="593"/>
      <x:c r="R15" s="476"/>
      <x:c r="S15" s="476"/>
      <x:c r="T15" s="476"/>
      <x:c r="U15" s="476"/>
      <x:c r="V15" s="476"/>
      <x:c r="W15" s="476"/>
      <x:c r="X15" s="476"/>
      <x:c r="Y15" s="593"/>
      <x:c r="Z15" s="593"/>
      <x:c r="AA15" s="593"/>
      <x:c r="AB15" s="392"/>
      <x:c r="AC15" s="392"/>
      <x:c r="AD15" s="593"/>
      <x:c r="AE15" s="593"/>
      <x:c r="AF15" s="593"/>
      <x:c r="AG15" s="593"/>
      <x:c r="AH15" s="593"/>
      <x:c r="AI15" s="392"/>
      <x:c r="AJ15" s="392"/>
      <x:c r="AK15" s="593"/>
      <x:c r="AL15" s="593"/>
      <x:c r="AM15" s="593"/>
      <x:c r="AN15" s="593"/>
      <x:c r="AO15" s="593"/>
      <x:c r="AP15" s="392"/>
      <x:c r="AQ15" s="392"/>
      <x:c r="AR15" s="392"/>
      <x:c r="AS15" s="392"/>
      <x:c r="AT15" s="392"/>
      <x:c r="AU15" s="593"/>
      <x:c r="AV15" s="593"/>
      <x:c r="AW15" s="392"/>
      <x:c r="AX15" s="392"/>
      <x:c r="AY15" s="593"/>
      <x:c r="AZ15" s="593"/>
      <x:c r="BA15" s="593"/>
      <x:c r="BB15" s="593"/>
      <x:c r="BC15" s="593"/>
      <x:c r="BD15" s="392"/>
      <x:c r="BE15" s="392"/>
      <x:c r="BF15" s="593"/>
      <x:c r="BG15" s="593"/>
      <x:c r="BH15" s="593"/>
      <x:c r="BI15" s="593"/>
      <x:c r="BJ15" s="593"/>
      <x:c r="BK15" s="392"/>
      <x:c r="BL15" s="392"/>
      <x:c r="BM15" s="392"/>
      <x:c r="BN15" s="593"/>
      <x:c r="BO15" s="593"/>
      <x:c r="BP15" s="593"/>
      <x:c r="BQ15" s="593"/>
      <x:c r="BR15" s="392"/>
      <x:c r="BS15" s="392"/>
      <x:c r="BT15" s="593"/>
    </x:row>
    <x:row r="16" ht="24" customHeight="1">
      <x:c r="A16" s="372" t="str">
        <x:v>次期J Salesforce→Cloudera 恒久対応PoC</x:v>
      </x:c>
      <x:c r="B16" s="372" t="str">
        <x:v>前提・業務要件</x:v>
      </x:c>
      <x:c r="C16" s="372" t="str">
        <x:v>PoC成功条件・証跡要件の合意</x:v>
      </x:c>
      <x:c r="D16" s="370" t="str">
        <x:f t="shared" si="11">IF(A16&lt;&gt;"", IF(A16=A15, "", A16), "")</x:f>
      </x:c>
      <x:c r="E16" s="371" t="str" cm="1">
        <x:f t="array" ref="E16">IF(B16="","",IF(B16&lt;&gt;B15,SUMPRODUCT(($B$5:B16&lt;&gt;$B$4:B15)*($B$5:B16&lt;&gt;"")),""))</x:f>
      </x:c>
      <x:c r="F16" s="370" t="str">
        <x:f t="shared" si="12">IF(B16&lt;&gt;"", IF(B16=B15, "", B16), "")</x:f>
      </x:c>
      <x:c r="G16" s="370" t="n">
        <x:f>IF(C16="","",COUNTIF($B$5:B16,B16))</x:f>
        <x:v>7</x:v>
      </x:c>
      <x:c r="H16" s="370" t="str">
        <x:f t="shared" si="13">IF(AND(C16&lt;&gt;"",OR(C16&lt;&gt;C15,B16&lt;&gt;B15)),C16,"")</x:f>
        <x:v>PoC成功条件・証跡要件の合意</x:v>
      </x:c>
      <x:c r="I16" s="372" t="str">
        <x:v>データ基盤</x:v>
      </x:c>
      <x:c r="J16" s="372" t="str">
        <x:v>ワタル</x:v>
      </x:c>
      <x:c r="K16" s="375"/>
      <x:c r="L16" s="370" t="str">
        <x:f>IF(C16="","","【"&amp;A16&amp;"】"&amp;MAX($E$5:E16)&amp;"-"&amp;G16&amp;"_"&amp;B16&amp;"_"&amp;C16)</x:f>
        <x:v>【次期J Salesforce→Cloudera 恒久対応PoC】2-7_前提・業務要件_PoC成功条件・証跡要件の合意</x:v>
      </x:c>
      <x:c r="M16" s="378" t="n">
        <x:v>46265</x:v>
      </x:c>
      <x:c r="N16" s="378" t="n">
        <x:v>46268</x:v>
      </x:c>
      <x:c r="O16" s="372" t="str">
        <x:v>準備中</x:v>
      </x:c>
      <x:c r="P16" s="593"/>
      <x:c r="Q16" s="593"/>
      <x:c r="R16" s="593"/>
      <x:c r="S16" s="593"/>
      <x:c r="T16" s="593"/>
      <x:c r="U16" s="392"/>
      <x:c r="V16" s="392"/>
      <x:c r="W16" s="476"/>
      <x:c r="X16" s="476"/>
      <x:c r="Y16" s="476"/>
      <x:c r="Z16" s="476"/>
      <x:c r="AA16" s="593"/>
      <x:c r="AB16" s="392"/>
      <x:c r="AC16" s="392"/>
      <x:c r="AD16" s="593"/>
      <x:c r="AE16" s="593"/>
      <x:c r="AF16" s="593"/>
      <x:c r="AG16" s="593"/>
      <x:c r="AH16" s="593"/>
      <x:c r="AI16" s="392"/>
      <x:c r="AJ16" s="392"/>
      <x:c r="AK16" s="593"/>
      <x:c r="AL16" s="593"/>
      <x:c r="AM16" s="593"/>
      <x:c r="AN16" s="593"/>
      <x:c r="AO16" s="593"/>
      <x:c r="AP16" s="392"/>
      <x:c r="AQ16" s="392"/>
      <x:c r="AR16" s="392"/>
      <x:c r="AS16" s="392"/>
      <x:c r="AT16" s="392"/>
      <x:c r="AU16" s="593"/>
      <x:c r="AV16" s="593"/>
      <x:c r="AW16" s="392"/>
      <x:c r="AX16" s="392"/>
      <x:c r="AY16" s="593"/>
      <x:c r="AZ16" s="593"/>
      <x:c r="BA16" s="593"/>
      <x:c r="BB16" s="593"/>
      <x:c r="BC16" s="593"/>
      <x:c r="BD16" s="392"/>
      <x:c r="BE16" s="392"/>
      <x:c r="BF16" s="593"/>
      <x:c r="BG16" s="593"/>
      <x:c r="BH16" s="593"/>
      <x:c r="BI16" s="593"/>
      <x:c r="BJ16" s="593"/>
      <x:c r="BK16" s="392"/>
      <x:c r="BL16" s="392"/>
      <x:c r="BM16" s="392"/>
      <x:c r="BN16" s="593"/>
      <x:c r="BO16" s="593"/>
      <x:c r="BP16" s="593"/>
      <x:c r="BQ16" s="593"/>
      <x:c r="BR16" s="392"/>
      <x:c r="BS16" s="392"/>
      <x:c r="BT16" s="593"/>
    </x:row>
    <x:row r="17" ht="24" customHeight="1">
      <x:c r="A17" s="372" t="str">
        <x:v>次期J Salesforce→Cloudera 恒久対応PoC</x:v>
      </x:c>
      <x:c r="B17" s="372" t="str">
        <x:v>前提・業務要件</x:v>
      </x:c>
      <x:c r="C17" s="372" t="str">
        <x:v>業務要件・PoC前提一覧の文書化</x:v>
      </x:c>
      <x:c r="D17" s="370" t="str">
        <x:f t="shared" si="11">IF(A17&lt;&gt;"", IF(A17=A16, "", A17), "")</x:f>
      </x:c>
      <x:c r="E17" s="371" t="str" cm="1">
        <x:f t="array" ref="E17">IF(B17="","",IF(B17&lt;&gt;B16,SUMPRODUCT(($B$5:B17&lt;&gt;$B$4:B16)*($B$5:B17&lt;&gt;"")),""))</x:f>
      </x:c>
      <x:c r="F17" s="370" t="str">
        <x:f t="shared" si="12">IF(B17&lt;&gt;"", IF(B17=B16, "", B17), "")</x:f>
      </x:c>
      <x:c r="G17" s="370" t="n">
        <x:f>IF(C17="","",COUNTIF($B$5:B17,B17))</x:f>
        <x:v>8</x:v>
      </x:c>
      <x:c r="H17" s="370" t="str">
        <x:f t="shared" si="13">IF(AND(C17&lt;&gt;"",OR(C17&lt;&gt;C16,B17&lt;&gt;B16)),C17,"")</x:f>
        <x:v>業務要件・PoC前提一覧の文書化</x:v>
      </x:c>
      <x:c r="I17" s="372" t="str">
        <x:v>データ基盤</x:v>
      </x:c>
      <x:c r="J17" s="372" t="str">
        <x:v>ワタル</x:v>
      </x:c>
      <x:c r="K17" s="372"/>
      <x:c r="L17" s="370" t="str">
        <x:f>IF(C17="","","【"&amp;A17&amp;"】"&amp;MAX($E$5:E17)&amp;"-"&amp;G17&amp;"_"&amp;B17&amp;"_"&amp;C17)</x:f>
        <x:v>【次期J Salesforce→Cloudera 恒久対応PoC】2-8_前提・業務要件_業務要件・PoC前提一覧の文書化</x:v>
      </x:c>
      <x:c r="M17" s="378" t="n">
        <x:v>46266</x:v>
      </x:c>
      <x:c r="N17" s="378" t="n">
        <x:v>46269</x:v>
      </x:c>
      <x:c r="O17" s="372" t="str">
        <x:v>準備中</x:v>
      </x:c>
      <x:c r="P17" s="593"/>
      <x:c r="Q17" s="593"/>
      <x:c r="R17" s="593"/>
      <x:c r="S17" s="593"/>
      <x:c r="T17" s="593"/>
      <x:c r="U17" s="392"/>
      <x:c r="V17" s="392"/>
      <x:c r="W17" s="593"/>
      <x:c r="X17" s="476"/>
      <x:c r="Y17" s="476"/>
      <x:c r="Z17" s="476"/>
      <x:c r="AA17" s="476"/>
      <x:c r="AB17" s="392"/>
      <x:c r="AC17" s="392"/>
      <x:c r="AD17" s="593"/>
      <x:c r="AE17" s="593"/>
      <x:c r="AF17" s="593"/>
      <x:c r="AG17" s="593"/>
      <x:c r="AH17" s="593"/>
      <x:c r="AI17" s="392"/>
      <x:c r="AJ17" s="392"/>
      <x:c r="AK17" s="593"/>
      <x:c r="AL17" s="593"/>
      <x:c r="AM17" s="593"/>
      <x:c r="AN17" s="593"/>
      <x:c r="AO17" s="593"/>
      <x:c r="AP17" s="392"/>
      <x:c r="AQ17" s="392"/>
      <x:c r="AR17" s="392"/>
      <x:c r="AS17" s="392"/>
      <x:c r="AT17" s="392"/>
      <x:c r="AU17" s="593"/>
      <x:c r="AV17" s="593"/>
      <x:c r="AW17" s="392"/>
      <x:c r="AX17" s="392"/>
      <x:c r="AY17" s="593"/>
      <x:c r="AZ17" s="593"/>
      <x:c r="BA17" s="593"/>
      <x:c r="BB17" s="593"/>
      <x:c r="BC17" s="593"/>
      <x:c r="BD17" s="392"/>
      <x:c r="BE17" s="392"/>
      <x:c r="BF17" s="593"/>
      <x:c r="BG17" s="593"/>
      <x:c r="BH17" s="593"/>
      <x:c r="BI17" s="593"/>
      <x:c r="BJ17" s="593"/>
      <x:c r="BK17" s="392"/>
      <x:c r="BL17" s="392"/>
      <x:c r="BM17" s="392"/>
      <x:c r="BN17" s="593"/>
      <x:c r="BO17" s="593"/>
      <x:c r="BP17" s="593"/>
      <x:c r="BQ17" s="593"/>
      <x:c r="BR17" s="392"/>
      <x:c r="BS17" s="392"/>
      <x:c r="BT17" s="593"/>
    </x:row>
    <x:row r="18" ht="24" customHeight="1">
      <x:c r="A18" s="372" t="str">
        <x:v>次期J Salesforce→Cloudera 恒久対応PoC</x:v>
      </x:c>
      <x:c r="B18" s="372" t="str">
        <x:v>Salesforce前提・データ調査</x:v>
      </x:c>
      <x:c r="C18" s="372" t="str">
        <x:v>TMT Salesforce Org・Edition・契約条件確認</x:v>
      </x:c>
      <x:c r="D18" s="370" t="str">
        <x:f t="shared" si="11">IF(A18&lt;&gt;"", IF(A18=A17, "", A18), "")</x:f>
      </x:c>
      <x:c r="E18" s="371" t="n" cm="1">
        <x:f t="array" ref="E18">IF(B18="","",IF(B18&lt;&gt;B17,SUMPRODUCT(($B$5:B18&lt;&gt;$B$4:B17)*($B$5:B18&lt;&gt;"")),""))</x:f>
        <x:v>3</x:v>
      </x:c>
      <x:c r="F18" s="370" t="str">
        <x:f t="shared" si="12">IF(B18&lt;&gt;"", IF(B18=B17, "", B18), "")</x:f>
        <x:v>Salesforce前提・データ調査</x:v>
      </x:c>
      <x:c r="G18" s="370" t="n">
        <x:f>IF(C18="","",COUNTIF($B$5:B18,B18))</x:f>
        <x:v>1</x:v>
      </x:c>
      <x:c r="H18" s="370" t="str">
        <x:f t="shared" si="13">IF(AND(C18&lt;&gt;"",OR(C18&lt;&gt;C17,B18&lt;&gt;B17)),C18,"")</x:f>
        <x:v>TMT Salesforce Org・Edition・契約条件確認</x:v>
      </x:c>
      <x:c r="I18" s="372" t="str">
        <x:v>データ基盤</x:v>
      </x:c>
      <x:c r="J18" s="372" t="str">
        <x:v>要確認（Salesforce側）</x:v>
      </x:c>
      <x:c r="K18" s="372"/>
      <x:c r="L18" s="370" t="str">
        <x:f>IF(C18="","","【"&amp;A18&amp;"】"&amp;MAX($E$5:E18)&amp;"-"&amp;G18&amp;"_"&amp;B18&amp;"_"&amp;C18)</x:f>
        <x:v>【次期J Salesforce→Cloudera 恒久対応PoC】3-1_Salesforce前提・データ調査_TMT Salesforce Org・Edition・契約条件確認</x:v>
      </x:c>
      <x:c r="M18" s="378" t="n">
        <x:v>46259</x:v>
      </x:c>
      <x:c r="N18" s="378" t="n">
        <x:v>46265</x:v>
      </x:c>
      <x:c r="O18" s="372" t="str">
        <x:v>準備中</x:v>
      </x:c>
      <x:c r="P18" s="593"/>
      <x:c r="Q18" s="476"/>
      <x:c r="R18" s="476"/>
      <x:c r="S18" s="476"/>
      <x:c r="T18" s="476"/>
      <x:c r="U18" s="476"/>
      <x:c r="V18" s="476"/>
      <x:c r="W18" s="476"/>
      <x:c r="X18" s="593"/>
      <x:c r="Y18" s="593"/>
      <x:c r="Z18" s="593"/>
      <x:c r="AA18" s="593"/>
      <x:c r="AB18" s="392"/>
      <x:c r="AC18" s="392"/>
      <x:c r="AD18" s="593"/>
      <x:c r="AE18" s="593"/>
      <x:c r="AF18" s="593"/>
      <x:c r="AG18" s="593"/>
      <x:c r="AH18" s="593"/>
      <x:c r="AI18" s="392"/>
      <x:c r="AJ18" s="392"/>
      <x:c r="AK18" s="593"/>
      <x:c r="AL18" s="593"/>
      <x:c r="AM18" s="593"/>
      <x:c r="AN18" s="593"/>
      <x:c r="AO18" s="593"/>
      <x:c r="AP18" s="392"/>
      <x:c r="AQ18" s="392"/>
      <x:c r="AR18" s="392"/>
      <x:c r="AS18" s="392"/>
      <x:c r="AT18" s="392"/>
      <x:c r="AU18" s="593"/>
      <x:c r="AV18" s="593"/>
      <x:c r="AW18" s="392"/>
      <x:c r="AX18" s="392"/>
      <x:c r="AY18" s="593"/>
      <x:c r="AZ18" s="593"/>
      <x:c r="BA18" s="593"/>
      <x:c r="BB18" s="593"/>
      <x:c r="BC18" s="593"/>
      <x:c r="BD18" s="392"/>
      <x:c r="BE18" s="392"/>
      <x:c r="BF18" s="593"/>
      <x:c r="BG18" s="593"/>
      <x:c r="BH18" s="593"/>
      <x:c r="BI18" s="593"/>
      <x:c r="BJ18" s="593"/>
      <x:c r="BK18" s="392"/>
      <x:c r="BL18" s="392"/>
      <x:c r="BM18" s="392"/>
      <x:c r="BN18" s="593"/>
      <x:c r="BO18" s="593"/>
      <x:c r="BP18" s="593"/>
      <x:c r="BQ18" s="593"/>
      <x:c r="BR18" s="392"/>
      <x:c r="BS18" s="392"/>
      <x:c r="BT18" s="593"/>
    </x:row>
    <x:row r="19" ht="24" customHeight="1">
      <x:c r="A19" s="372" t="str">
        <x:v>次期J Salesforce→Cloudera 恒久対応PoC</x:v>
      </x:c>
      <x:c r="B19" s="372" t="str">
        <x:v>Salesforce前提・データ調査</x:v>
      </x:c>
      <x:c r="C19" s="372" t="str">
        <x:v>既存CDC利用オブジェクトの確認</x:v>
      </x:c>
      <x:c r="D19" s="370" t="str">
        <x:f t="shared" si="11">IF(A19&lt;&gt;"", IF(A19=A18, "", A19), "")</x:f>
      </x:c>
      <x:c r="E19" s="371" t="str" cm="1">
        <x:f t="array" ref="E19">IF(B19="","",IF(B19&lt;&gt;B18,SUMPRODUCT(($B$5:B19&lt;&gt;$B$4:B18)*($B$5:B19&lt;&gt;"")),""))</x:f>
      </x:c>
      <x:c r="F19" s="370" t="str">
        <x:f t="shared" si="12">IF(B19&lt;&gt;"", IF(B19=B18, "", B19), "")</x:f>
      </x:c>
      <x:c r="G19" s="370" t="n">
        <x:f>IF(C19="","",COUNTIF($B$5:B19,B19))</x:f>
        <x:v>2</x:v>
      </x:c>
      <x:c r="H19" s="370" t="str">
        <x:f t="shared" si="13">IF(AND(C19&lt;&gt;"",OR(C19&lt;&gt;C18,B19&lt;&gt;B18)),C19,"")</x:f>
        <x:v>既存CDC利用オブジェクトの確認</x:v>
      </x:c>
      <x:c r="I19" s="372" t="str">
        <x:v>データ基盤</x:v>
      </x:c>
      <x:c r="J19" s="372" t="str">
        <x:v>要確認（Salesforce側）</x:v>
      </x:c>
      <x:c r="K19" s="372"/>
      <x:c r="L19" s="370" t="str">
        <x:f>IF(C19="","","【"&amp;A19&amp;"】"&amp;MAX($E$5:E19)&amp;"-"&amp;G19&amp;"_"&amp;B19&amp;"_"&amp;C19)</x:f>
        <x:v>【次期J Salesforce→Cloudera 恒久対応PoC】3-2_Salesforce前提・データ調査_既存CDC利用オブジェクトの確認</x:v>
      </x:c>
      <x:c r="M19" s="378" t="n">
        <x:v>46259</x:v>
      </x:c>
      <x:c r="N19" s="378" t="n">
        <x:v>46265</x:v>
      </x:c>
      <x:c r="O19" s="372" t="str">
        <x:v>準備中</x:v>
      </x:c>
      <x:c r="P19" s="593"/>
      <x:c r="Q19" s="476"/>
      <x:c r="R19" s="476"/>
      <x:c r="S19" s="476"/>
      <x:c r="T19" s="476"/>
      <x:c r="U19" s="476"/>
      <x:c r="V19" s="476"/>
      <x:c r="W19" s="476"/>
      <x:c r="X19" s="593"/>
      <x:c r="Y19" s="593"/>
      <x:c r="Z19" s="593"/>
      <x:c r="AA19" s="593"/>
      <x:c r="AB19" s="392"/>
      <x:c r="AC19" s="392"/>
      <x:c r="AD19" s="593"/>
      <x:c r="AE19" s="593"/>
      <x:c r="AF19" s="593"/>
      <x:c r="AG19" s="593"/>
      <x:c r="AH19" s="593"/>
      <x:c r="AI19" s="392"/>
      <x:c r="AJ19" s="392"/>
      <x:c r="AK19" s="593"/>
      <x:c r="AL19" s="593"/>
      <x:c r="AM19" s="593"/>
      <x:c r="AN19" s="593"/>
      <x:c r="AO19" s="593"/>
      <x:c r="AP19" s="392"/>
      <x:c r="AQ19" s="392"/>
      <x:c r="AR19" s="392"/>
      <x:c r="AS19" s="392"/>
      <x:c r="AT19" s="392"/>
      <x:c r="AU19" s="593"/>
      <x:c r="AV19" s="593"/>
      <x:c r="AW19" s="392"/>
      <x:c r="AX19" s="392"/>
      <x:c r="AY19" s="593"/>
      <x:c r="AZ19" s="593"/>
      <x:c r="BA19" s="593"/>
      <x:c r="BB19" s="593"/>
      <x:c r="BC19" s="593"/>
      <x:c r="BD19" s="392"/>
      <x:c r="BE19" s="392"/>
      <x:c r="BF19" s="593"/>
      <x:c r="BG19" s="593"/>
      <x:c r="BH19" s="593"/>
      <x:c r="BI19" s="593"/>
      <x:c r="BJ19" s="593"/>
      <x:c r="BK19" s="392"/>
      <x:c r="BL19" s="392"/>
      <x:c r="BM19" s="392"/>
      <x:c r="BN19" s="593"/>
      <x:c r="BO19" s="593"/>
      <x:c r="BP19" s="593"/>
      <x:c r="BQ19" s="593"/>
      <x:c r="BR19" s="392"/>
      <x:c r="BS19" s="392"/>
      <x:c r="BT19" s="593"/>
    </x:row>
    <x:row r="20" ht="24" customHeight="1">
      <x:c r="A20" s="372" t="str">
        <x:v>次期J Salesforce→Cloudera 恒久対応PoC</x:v>
      </x:c>
      <x:c r="B20" s="372" t="str">
        <x:v>Salesforce前提・データ調査</x:v>
      </x:c>
      <x:c r="C20" s="372" t="str">
        <x:v>PoC対象Objectの確定</x:v>
      </x:c>
      <x:c r="D20" s="370" t="str">
        <x:f t="shared" si="11">IF(A20&lt;&gt;"", IF(A20=A19, "", A20), "")</x:f>
      </x:c>
      <x:c r="E20" s="371" t="str" cm="1">
        <x:f t="array" ref="E20">IF(B20="","",IF(B20&lt;&gt;B19,SUMPRODUCT(($B$5:B20&lt;&gt;$B$4:B19)*($B$5:B20&lt;&gt;"")),""))</x:f>
      </x:c>
      <x:c r="F20" s="370" t="str">
        <x:f t="shared" si="12">IF(B20&lt;&gt;"", IF(B20=B19, "", B20), "")</x:f>
      </x:c>
      <x:c r="G20" s="370" t="n">
        <x:f>IF(C20="","",COUNTIF($B$5:B20,B20))</x:f>
        <x:v>3</x:v>
      </x:c>
      <x:c r="H20" s="370" t="str">
        <x:f t="shared" si="13">IF(AND(C20&lt;&gt;"",OR(C20&lt;&gt;C19,B20&lt;&gt;B19)),C20,"")</x:f>
        <x:v>PoC対象Objectの確定</x:v>
      </x:c>
      <x:c r="I20" s="372" t="str">
        <x:v>データ基盤</x:v>
      </x:c>
      <x:c r="J20" s="372" t="str">
        <x:v>要確認（業務／Salesforce側）</x:v>
      </x:c>
      <x:c r="K20" s="375"/>
      <x:c r="L20" s="370" t="str">
        <x:f>IF(C20="","","【"&amp;A20&amp;"】"&amp;MAX($E$5:E20)&amp;"-"&amp;G20&amp;"_"&amp;B20&amp;"_"&amp;C20)</x:f>
        <x:v>【次期J Salesforce→Cloudera 恒久対応PoC】3-3_Salesforce前提・データ調査_PoC対象Objectの確定</x:v>
      </x:c>
      <x:c r="M20" s="378" t="n">
        <x:v>46259</x:v>
      </x:c>
      <x:c r="N20" s="378" t="n">
        <x:v>46266</x:v>
      </x:c>
      <x:c r="O20" s="372" t="str">
        <x:v>準備中</x:v>
      </x:c>
      <x:c r="P20" s="593"/>
      <x:c r="Q20" s="476"/>
      <x:c r="R20" s="476"/>
      <x:c r="S20" s="476"/>
      <x:c r="T20" s="476"/>
      <x:c r="U20" s="476"/>
      <x:c r="V20" s="476"/>
      <x:c r="W20" s="476"/>
      <x:c r="X20" s="476"/>
      <x:c r="Y20" s="593"/>
      <x:c r="Z20" s="593"/>
      <x:c r="AA20" s="593"/>
      <x:c r="AB20" s="392"/>
      <x:c r="AC20" s="392"/>
      <x:c r="AD20" s="593"/>
      <x:c r="AE20" s="593"/>
      <x:c r="AF20" s="593"/>
      <x:c r="AG20" s="593"/>
      <x:c r="AH20" s="593"/>
      <x:c r="AI20" s="392"/>
      <x:c r="AJ20" s="392"/>
      <x:c r="AK20" s="593"/>
      <x:c r="AL20" s="593"/>
      <x:c r="AM20" s="593"/>
      <x:c r="AN20" s="593"/>
      <x:c r="AO20" s="593"/>
      <x:c r="AP20" s="392"/>
      <x:c r="AQ20" s="392"/>
      <x:c r="AR20" s="392"/>
      <x:c r="AS20" s="392"/>
      <x:c r="AT20" s="392"/>
      <x:c r="AU20" s="593"/>
      <x:c r="AV20" s="593"/>
      <x:c r="AW20" s="392"/>
      <x:c r="AX20" s="392"/>
      <x:c r="AY20" s="593"/>
      <x:c r="AZ20" s="593"/>
      <x:c r="BA20" s="593"/>
      <x:c r="BB20" s="593"/>
      <x:c r="BC20" s="593"/>
      <x:c r="BD20" s="392"/>
      <x:c r="BE20" s="392"/>
      <x:c r="BF20" s="593"/>
      <x:c r="BG20" s="593"/>
      <x:c r="BH20" s="593"/>
      <x:c r="BI20" s="593"/>
      <x:c r="BJ20" s="593"/>
      <x:c r="BK20" s="392"/>
      <x:c r="BL20" s="392"/>
      <x:c r="BM20" s="392"/>
      <x:c r="BN20" s="593"/>
      <x:c r="BO20" s="593"/>
      <x:c r="BP20" s="593"/>
      <x:c r="BQ20" s="593"/>
      <x:c r="BR20" s="392"/>
      <x:c r="BS20" s="392"/>
      <x:c r="BT20" s="593"/>
    </x:row>
    <x:row r="21" ht="24" customHeight="1">
      <x:c r="A21" s="372" t="str">
        <x:v>次期J Salesforce→Cloudera 恒久対応PoC</x:v>
      </x:c>
      <x:c r="B21" s="372" t="str">
        <x:v>Salesforce前提・データ調査</x:v>
      </x:c>
      <x:c r="C21" s="372" t="str">
        <x:v>PoC対象Fieldの確定</x:v>
      </x:c>
      <x:c r="D21" s="370" t="str">
        <x:f t="shared" si="11">IF(A21&lt;&gt;"", IF(A21=A20, "", A21), "")</x:f>
      </x:c>
      <x:c r="E21" s="371" t="str" cm="1">
        <x:f t="array" ref="E21">IF(B21="","",IF(B21&lt;&gt;B20,SUMPRODUCT(($B$5:B21&lt;&gt;$B$4:B20)*($B$5:B21&lt;&gt;"")),""))</x:f>
      </x:c>
      <x:c r="F21" s="370" t="str">
        <x:f t="shared" si="12">IF(B21&lt;&gt;"", IF(B21=B20, "", B21), "")</x:f>
      </x:c>
      <x:c r="G21" s="370" t="n">
        <x:f>IF(C21="","",COUNTIF($B$5:B21,B21))</x:f>
        <x:v>4</x:v>
      </x:c>
      <x:c r="H21" s="370" t="str">
        <x:f t="shared" si="13">IF(AND(C21&lt;&gt;"",OR(C21&lt;&gt;C20,B21&lt;&gt;B20)),C21,"")</x:f>
        <x:v>PoC対象Fieldの確定</x:v>
      </x:c>
      <x:c r="I21" s="372" t="str">
        <x:v>データ基盤</x:v>
      </x:c>
      <x:c r="J21" s="372" t="str">
        <x:v>要確認（業務／Salesforce側）</x:v>
      </x:c>
      <x:c r="K21" s="375"/>
      <x:c r="L21" s="370" t="str">
        <x:f>IF(C21="","","【"&amp;A21&amp;"】"&amp;MAX($E$5:E21)&amp;"-"&amp;G21&amp;"_"&amp;B21&amp;"_"&amp;C21)</x:f>
        <x:v>【次期J Salesforce→Cloudera 恒久対応PoC】3-4_Salesforce前提・データ調査_PoC対象Fieldの確定</x:v>
      </x:c>
      <x:c r="M21" s="378" t="n">
        <x:v>46260</x:v>
      </x:c>
      <x:c r="N21" s="378" t="n">
        <x:v>46267</x:v>
      </x:c>
      <x:c r="O21" s="372" t="str">
        <x:v>準備中</x:v>
      </x:c>
      <x:c r="P21" s="593"/>
      <x:c r="Q21" s="593"/>
      <x:c r="R21" s="476"/>
      <x:c r="S21" s="476"/>
      <x:c r="T21" s="476"/>
      <x:c r="U21" s="476"/>
      <x:c r="V21" s="476"/>
      <x:c r="W21" s="476"/>
      <x:c r="X21" s="476"/>
      <x:c r="Y21" s="476"/>
      <x:c r="Z21" s="593"/>
      <x:c r="AA21" s="593"/>
      <x:c r="AB21" s="392"/>
      <x:c r="AC21" s="392"/>
      <x:c r="AD21" s="593"/>
      <x:c r="AE21" s="593"/>
      <x:c r="AF21" s="593"/>
      <x:c r="AG21" s="593"/>
      <x:c r="AH21" s="593"/>
      <x:c r="AI21" s="392"/>
      <x:c r="AJ21" s="392"/>
      <x:c r="AK21" s="593"/>
      <x:c r="AL21" s="593"/>
      <x:c r="AM21" s="593"/>
      <x:c r="AN21" s="593"/>
      <x:c r="AO21" s="593"/>
      <x:c r="AP21" s="392"/>
      <x:c r="AQ21" s="392"/>
      <x:c r="AR21" s="392"/>
      <x:c r="AS21" s="392"/>
      <x:c r="AT21" s="392"/>
      <x:c r="AU21" s="593"/>
      <x:c r="AV21" s="593"/>
      <x:c r="AW21" s="392"/>
      <x:c r="AX21" s="392"/>
      <x:c r="AY21" s="593"/>
      <x:c r="AZ21" s="593"/>
      <x:c r="BA21" s="593"/>
      <x:c r="BB21" s="593"/>
      <x:c r="BC21" s="593"/>
      <x:c r="BD21" s="392"/>
      <x:c r="BE21" s="392"/>
      <x:c r="BF21" s="593"/>
      <x:c r="BG21" s="593"/>
      <x:c r="BH21" s="593"/>
      <x:c r="BI21" s="593"/>
      <x:c r="BJ21" s="593"/>
      <x:c r="BK21" s="392"/>
      <x:c r="BL21" s="392"/>
      <x:c r="BM21" s="392"/>
      <x:c r="BN21" s="593"/>
      <x:c r="BO21" s="593"/>
      <x:c r="BP21" s="593"/>
      <x:c r="BQ21" s="593"/>
      <x:c r="BR21" s="392"/>
      <x:c r="BS21" s="392"/>
      <x:c r="BT21" s="593"/>
    </x:row>
    <x:row r="22" ht="24" customHeight="1">
      <x:c r="A22" s="372" t="str">
        <x:v>次期J Salesforce→Cloudera 恒久対応PoC</x:v>
      </x:c>
      <x:c r="B22" s="372" t="str">
        <x:v>Salesforce前提・データ調査</x:v>
      </x:c>
      <x:c r="C22" s="372" t="str">
        <x:v>対象Object間の参照関係・識別キー確認</x:v>
      </x:c>
      <x:c r="D22" s="370" t="str">
        <x:f t="shared" si="11">IF(A22&lt;&gt;"", IF(A22=A21, "", A22), "")</x:f>
      </x:c>
      <x:c r="E22" s="371" t="str" cm="1">
        <x:f t="array" ref="E22">IF(B22="","",IF(B22&lt;&gt;B21,SUMPRODUCT(($B$5:B22&lt;&gt;$B$4:B21)*($B$5:B22&lt;&gt;"")),""))</x:f>
      </x:c>
      <x:c r="F22" s="370" t="str">
        <x:f t="shared" si="12">IF(B22&lt;&gt;"", IF(B22=B21, "", B22), "")</x:f>
      </x:c>
      <x:c r="G22" s="370" t="n">
        <x:f>IF(C22="","",COUNTIF($B$5:B22,B22))</x:f>
        <x:v>5</x:v>
      </x:c>
      <x:c r="H22" s="370" t="str">
        <x:f t="shared" si="13">IF(AND(C22&lt;&gt;"",OR(C22&lt;&gt;C21,B22&lt;&gt;B21)),C22,"")</x:f>
        <x:v>対象Object間の参照関係・識別キー確認</x:v>
      </x:c>
      <x:c r="I22" s="372" t="str">
        <x:v>データ基盤</x:v>
      </x:c>
      <x:c r="J22" s="372" t="str">
        <x:v>要確認（Salesforce側）</x:v>
      </x:c>
      <x:c r="K22" s="372"/>
      <x:c r="L22" s="370" t="str">
        <x:f>IF(C22="","","【"&amp;A22&amp;"】"&amp;MAX($E$5:E22)&amp;"-"&amp;G22&amp;"_"&amp;B22&amp;"_"&amp;C22)</x:f>
        <x:v>【次期J Salesforce→Cloudera 恒久対応PoC】3-5_Salesforce前提・データ調査_対象Object間の参照関係・識別キー確認</x:v>
      </x:c>
      <x:c r="M22" s="378" t="n">
        <x:v>46260</x:v>
      </x:c>
      <x:c r="N22" s="378" t="n">
        <x:v>46267</x:v>
      </x:c>
      <x:c r="O22" s="372" t="str">
        <x:v>準備中</x:v>
      </x:c>
      <x:c r="P22" s="593"/>
      <x:c r="Q22" s="593"/>
      <x:c r="R22" s="476"/>
      <x:c r="S22" s="476"/>
      <x:c r="T22" s="476"/>
      <x:c r="U22" s="476"/>
      <x:c r="V22" s="476"/>
      <x:c r="W22" s="476"/>
      <x:c r="X22" s="476"/>
      <x:c r="Y22" s="476"/>
      <x:c r="Z22" s="593"/>
      <x:c r="AA22" s="593"/>
      <x:c r="AB22" s="392"/>
      <x:c r="AC22" s="392"/>
      <x:c r="AD22" s="593"/>
      <x:c r="AE22" s="593"/>
      <x:c r="AF22" s="593"/>
      <x:c r="AG22" s="593"/>
      <x:c r="AH22" s="593"/>
      <x:c r="AI22" s="392"/>
      <x:c r="AJ22" s="392"/>
      <x:c r="AK22" s="593"/>
      <x:c r="AL22" s="593"/>
      <x:c r="AM22" s="593"/>
      <x:c r="AN22" s="593"/>
      <x:c r="AO22" s="593"/>
      <x:c r="AP22" s="392"/>
      <x:c r="AQ22" s="392"/>
      <x:c r="AR22" s="392"/>
      <x:c r="AS22" s="392"/>
      <x:c r="AT22" s="392"/>
      <x:c r="AU22" s="593"/>
      <x:c r="AV22" s="593"/>
      <x:c r="AW22" s="392"/>
      <x:c r="AX22" s="392"/>
      <x:c r="AY22" s="593"/>
      <x:c r="AZ22" s="593"/>
      <x:c r="BA22" s="593"/>
      <x:c r="BB22" s="593"/>
      <x:c r="BC22" s="593"/>
      <x:c r="BD22" s="392"/>
      <x:c r="BE22" s="392"/>
      <x:c r="BF22" s="593"/>
      <x:c r="BG22" s="593"/>
      <x:c r="BH22" s="593"/>
      <x:c r="BI22" s="593"/>
      <x:c r="BJ22" s="593"/>
      <x:c r="BK22" s="392"/>
      <x:c r="BL22" s="392"/>
      <x:c r="BM22" s="392"/>
      <x:c r="BN22" s="593"/>
      <x:c r="BO22" s="593"/>
      <x:c r="BP22" s="593"/>
      <x:c r="BQ22" s="593"/>
      <x:c r="BR22" s="392"/>
      <x:c r="BS22" s="392"/>
      <x:c r="BT22" s="593"/>
    </x:row>
    <x:row r="23" ht="24" customHeight="1">
      <x:c r="A23" s="372" t="str">
        <x:v>次期J Salesforce→Cloudera 恒久対応PoC</x:v>
      </x:c>
      <x:c r="B23" s="372" t="str">
        <x:v>Salesforce前提・データ調査</x:v>
      </x:c>
      <x:c r="C23" s="372" t="str">
        <x:v>通常日・最大日・ピーク時の更新件数調査</x:v>
      </x:c>
      <x:c r="D23" s="370" t="str">
        <x:f t="shared" si="11">IF(A23&lt;&gt;"", IF(A23=A22, "", A23), "")</x:f>
      </x:c>
      <x:c r="E23" s="371" t="str" cm="1">
        <x:f t="array" ref="E23">IF(B23="","",IF(B23&lt;&gt;B22,SUMPRODUCT(($B$5:B23&lt;&gt;$B$4:B22)*($B$5:B23&lt;&gt;"")),""))</x:f>
      </x:c>
      <x:c r="F23" s="370" t="str">
        <x:f t="shared" si="12">IF(B23&lt;&gt;"", IF(B23=B22, "", B23), "")</x:f>
      </x:c>
      <x:c r="G23" s="370" t="n">
        <x:f>IF(C23="","",COUNTIF($B$5:B23,B23))</x:f>
        <x:v>6</x:v>
      </x:c>
      <x:c r="H23" s="370" t="str">
        <x:f t="shared" si="13">IF(AND(C23&lt;&gt;"",OR(C23&lt;&gt;C22,B23&lt;&gt;B22)),C23,"")</x:f>
        <x:v>通常日・最大日・ピーク時の更新件数調査</x:v>
      </x:c>
      <x:c r="I23" s="372" t="str">
        <x:v>データ基盤</x:v>
      </x:c>
      <x:c r="J23" s="372" t="str">
        <x:v>要確認（Salesforce側）</x:v>
      </x:c>
      <x:c r="K23" s="375"/>
      <x:c r="L23" s="370" t="str">
        <x:f>IF(C23="","","【"&amp;A23&amp;"】"&amp;MAX($E$5:E23)&amp;"-"&amp;G23&amp;"_"&amp;B23&amp;"_"&amp;C23)</x:f>
        <x:v>【次期J Salesforce→Cloudera 恒久対応PoC】3-6_Salesforce前提・データ調査_通常日・最大日・ピーク時の更新件数調査</x:v>
      </x:c>
      <x:c r="M23" s="378" t="n">
        <x:v>46260</x:v>
      </x:c>
      <x:c r="N23" s="378" t="n">
        <x:v>46268</x:v>
      </x:c>
      <x:c r="O23" s="372" t="str">
        <x:v>準備中</x:v>
      </x:c>
      <x:c r="P23" s="593"/>
      <x:c r="Q23" s="593"/>
      <x:c r="R23" s="476"/>
      <x:c r="S23" s="476"/>
      <x:c r="T23" s="476"/>
      <x:c r="U23" s="476"/>
      <x:c r="V23" s="476"/>
      <x:c r="W23" s="476"/>
      <x:c r="X23" s="476"/>
      <x:c r="Y23" s="476"/>
      <x:c r="Z23" s="476"/>
      <x:c r="AA23" s="593"/>
      <x:c r="AB23" s="392"/>
      <x:c r="AC23" s="392"/>
      <x:c r="AD23" s="593"/>
      <x:c r="AE23" s="593"/>
      <x:c r="AF23" s="593"/>
      <x:c r="AG23" s="593"/>
      <x:c r="AH23" s="593"/>
      <x:c r="AI23" s="392"/>
      <x:c r="AJ23" s="392"/>
      <x:c r="AK23" s="593"/>
      <x:c r="AL23" s="593"/>
      <x:c r="AM23" s="593"/>
      <x:c r="AN23" s="593"/>
      <x:c r="AO23" s="593"/>
      <x:c r="AP23" s="392"/>
      <x:c r="AQ23" s="392"/>
      <x:c r="AR23" s="392"/>
      <x:c r="AS23" s="392"/>
      <x:c r="AT23" s="392"/>
      <x:c r="AU23" s="593"/>
      <x:c r="AV23" s="593"/>
      <x:c r="AW23" s="392"/>
      <x:c r="AX23" s="392"/>
      <x:c r="AY23" s="593"/>
      <x:c r="AZ23" s="593"/>
      <x:c r="BA23" s="593"/>
      <x:c r="BB23" s="593"/>
      <x:c r="BC23" s="593"/>
      <x:c r="BD23" s="392"/>
      <x:c r="BE23" s="392"/>
      <x:c r="BF23" s="593"/>
      <x:c r="BG23" s="593"/>
      <x:c r="BH23" s="593"/>
      <x:c r="BI23" s="593"/>
      <x:c r="BJ23" s="593"/>
      <x:c r="BK23" s="392"/>
      <x:c r="BL23" s="392"/>
      <x:c r="BM23" s="392"/>
      <x:c r="BN23" s="593"/>
      <x:c r="BO23" s="593"/>
      <x:c r="BP23" s="593"/>
      <x:c r="BQ23" s="593"/>
      <x:c r="BR23" s="392"/>
      <x:c r="BS23" s="392"/>
      <x:c r="BT23" s="593"/>
    </x:row>
    <x:row r="24" ht="24" customHeight="1">
      <x:c r="A24" s="372" t="str">
        <x:v>次期J Salesforce→Cloudera 恒久対応PoC</x:v>
      </x:c>
      <x:c r="B24" s="372" t="str">
        <x:v>Salesforce前提・データ調査</x:v>
      </x:c>
      <x:c r="C24" s="372" t="str">
        <x:v>イベント配信数・公開数の契約上限確認</x:v>
      </x:c>
      <x:c r="D24" s="370" t="str">
        <x:f t="shared" si="11">IF(A24&lt;&gt;"", IF(A24=A23, "", A24), "")</x:f>
      </x:c>
      <x:c r="E24" s="371" t="str" cm="1">
        <x:f t="array" ref="E24">IF(B24="","",IF(B24&lt;&gt;B23,SUMPRODUCT(($B$5:B24&lt;&gt;$B$4:B23)*($B$5:B24&lt;&gt;"")),""))</x:f>
      </x:c>
      <x:c r="F24" s="370" t="str">
        <x:f t="shared" si="12">IF(B24&lt;&gt;"", IF(B24=B23, "", B24), "")</x:f>
      </x:c>
      <x:c r="G24" s="370" t="n">
        <x:f>IF(C24="","",COUNTIF($B$5:B24,B24))</x:f>
        <x:v>7</x:v>
      </x:c>
      <x:c r="H24" s="370" t="str">
        <x:f t="shared" si="13">IF(AND(C24&lt;&gt;"",OR(C24&lt;&gt;C23,B24&lt;&gt;B23)),C24,"")</x:f>
        <x:v>イベント配信数・公開数の契約上限確認</x:v>
      </x:c>
      <x:c r="I24" s="372" t="str">
        <x:v>データ基盤</x:v>
      </x:c>
      <x:c r="J24" s="372" t="str">
        <x:v>要確認（Salesforce側）</x:v>
      </x:c>
      <x:c r="K24" s="372"/>
      <x:c r="L24" s="370" t="str">
        <x:f>IF(C24="","","【"&amp;A24&amp;"】"&amp;MAX($E$5:E24)&amp;"-"&amp;G24&amp;"_"&amp;B24&amp;"_"&amp;C24)</x:f>
        <x:v>【次期J Salesforce→Cloudera 恒久対応PoC】3-7_Salesforce前提・データ調査_イベント配信数・公開数の契約上限確認</x:v>
      </x:c>
      <x:c r="M24" s="378" t="n">
        <x:v>46265</x:v>
      </x:c>
      <x:c r="N24" s="378" t="n">
        <x:v>46268</x:v>
      </x:c>
      <x:c r="O24" s="372" t="str">
        <x:v>準備中</x:v>
      </x:c>
      <x:c r="P24" s="593"/>
      <x:c r="Q24" s="593"/>
      <x:c r="R24" s="593"/>
      <x:c r="S24" s="593"/>
      <x:c r="T24" s="593"/>
      <x:c r="U24" s="392"/>
      <x:c r="V24" s="392"/>
      <x:c r="W24" s="476"/>
      <x:c r="X24" s="476"/>
      <x:c r="Y24" s="476"/>
      <x:c r="Z24" s="476"/>
      <x:c r="AA24" s="593"/>
      <x:c r="AB24" s="392"/>
      <x:c r="AC24" s="392"/>
      <x:c r="AD24" s="593"/>
      <x:c r="AE24" s="593"/>
      <x:c r="AF24" s="593"/>
      <x:c r="AG24" s="593"/>
      <x:c r="AH24" s="593"/>
      <x:c r="AI24" s="392"/>
      <x:c r="AJ24" s="392"/>
      <x:c r="AK24" s="593"/>
      <x:c r="AL24" s="593"/>
      <x:c r="AM24" s="593"/>
      <x:c r="AN24" s="593"/>
      <x:c r="AO24" s="593"/>
      <x:c r="AP24" s="392"/>
      <x:c r="AQ24" s="392"/>
      <x:c r="AR24" s="392"/>
      <x:c r="AS24" s="392"/>
      <x:c r="AT24" s="392"/>
      <x:c r="AU24" s="593"/>
      <x:c r="AV24" s="593"/>
      <x:c r="AW24" s="392"/>
      <x:c r="AX24" s="392"/>
      <x:c r="AY24" s="593"/>
      <x:c r="AZ24" s="593"/>
      <x:c r="BA24" s="593"/>
      <x:c r="BB24" s="593"/>
      <x:c r="BC24" s="593"/>
      <x:c r="BD24" s="392"/>
      <x:c r="BE24" s="392"/>
      <x:c r="BF24" s="593"/>
      <x:c r="BG24" s="593"/>
      <x:c r="BH24" s="593"/>
      <x:c r="BI24" s="593"/>
      <x:c r="BJ24" s="593"/>
      <x:c r="BK24" s="392"/>
      <x:c r="BL24" s="392"/>
      <x:c r="BM24" s="392"/>
      <x:c r="BN24" s="593"/>
      <x:c r="BO24" s="593"/>
      <x:c r="BP24" s="593"/>
      <x:c r="BQ24" s="593"/>
      <x:c r="BR24" s="392"/>
      <x:c r="BS24" s="392"/>
      <x:c r="BT24" s="593"/>
    </x:row>
    <x:row r="25" ht="24" customHeight="1">
      <x:c r="A25" s="372" t="str">
        <x:v>次期J Salesforce→Cloudera 恒久対応PoC</x:v>
      </x:c>
      <x:c r="B25" s="372" t="str">
        <x:v>Salesforce前提・データ調査</x:v>
      </x:c>
      <x:c r="C25" s="372" t="str">
        <x:v>追加ライセンス要否・適用条件確認</x:v>
      </x:c>
      <x:c r="D25" s="370" t="str">
        <x:f t="shared" si="11">IF(A25&lt;&gt;"", IF(A25=A24, "", A25), "")</x:f>
      </x:c>
      <x:c r="E25" s="371" t="str" cm="1">
        <x:f t="array" ref="E25">IF(B25="","",IF(B25&lt;&gt;B24,SUMPRODUCT(($B$5:B25&lt;&gt;$B$4:B24)*($B$5:B25&lt;&gt;"")),""))</x:f>
      </x:c>
      <x:c r="F25" s="370" t="str">
        <x:f t="shared" si="12">IF(B25&lt;&gt;"", IF(B25=B24, "", B25), "")</x:f>
      </x:c>
      <x:c r="G25" s="370" t="n">
        <x:f>IF(C25="","",COUNTIF($B$5:B25,B25))</x:f>
        <x:v>8</x:v>
      </x:c>
      <x:c r="H25" s="370" t="str">
        <x:f t="shared" si="13">IF(AND(C25&lt;&gt;"",OR(C25&lt;&gt;C24,B25&lt;&gt;B24)),C25,"")</x:f>
        <x:v>追加ライセンス要否・適用条件確認</x:v>
      </x:c>
      <x:c r="I25" s="372" t="str">
        <x:v>データ基盤</x:v>
      </x:c>
      <x:c r="J25" s="377" t="str">
        <x:v>要確認（Salesforce側）</x:v>
      </x:c>
      <x:c r="K25" s="375"/>
      <x:c r="L25" s="370" t="str">
        <x:f>IF(C25="","","【"&amp;A25&amp;"】"&amp;MAX($E$5:E25)&amp;"-"&amp;G25&amp;"_"&amp;B25&amp;"_"&amp;C25)</x:f>
        <x:v>【次期J Salesforce→Cloudera 恒久対応PoC】3-8_Salesforce前提・データ調査_追加ライセンス要否・適用条件確認</x:v>
      </x:c>
      <x:c r="M25" s="378" t="n">
        <x:v>46266</x:v>
      </x:c>
      <x:c r="N25" s="378" t="n">
        <x:v>46269</x:v>
      </x:c>
      <x:c r="O25" s="372" t="str">
        <x:v>準備中</x:v>
      </x:c>
      <x:c r="P25" s="593"/>
      <x:c r="Q25" s="593"/>
      <x:c r="R25" s="593"/>
      <x:c r="S25" s="593"/>
      <x:c r="T25" s="593"/>
      <x:c r="U25" s="392"/>
      <x:c r="V25" s="392"/>
      <x:c r="W25" s="593"/>
      <x:c r="X25" s="476"/>
      <x:c r="Y25" s="476"/>
      <x:c r="Z25" s="476"/>
      <x:c r="AA25" s="476"/>
      <x:c r="AB25" s="392"/>
      <x:c r="AC25" s="392"/>
      <x:c r="AD25" s="593"/>
      <x:c r="AE25" s="593"/>
      <x:c r="AF25" s="593"/>
      <x:c r="AG25" s="593"/>
      <x:c r="AH25" s="593"/>
      <x:c r="AI25" s="392"/>
      <x:c r="AJ25" s="392"/>
      <x:c r="AK25" s="593"/>
      <x:c r="AL25" s="593"/>
      <x:c r="AM25" s="593"/>
      <x:c r="AN25" s="593"/>
      <x:c r="AO25" s="593"/>
      <x:c r="AP25" s="392"/>
      <x:c r="AQ25" s="392"/>
      <x:c r="AR25" s="392"/>
      <x:c r="AS25" s="392"/>
      <x:c r="AT25" s="392"/>
      <x:c r="AU25" s="593"/>
      <x:c r="AV25" s="593"/>
      <x:c r="AW25" s="392"/>
      <x:c r="AX25" s="392"/>
      <x:c r="AY25" s="593"/>
      <x:c r="AZ25" s="593"/>
      <x:c r="BA25" s="593"/>
      <x:c r="BB25" s="593"/>
      <x:c r="BC25" s="593"/>
      <x:c r="BD25" s="392"/>
      <x:c r="BE25" s="392"/>
      <x:c r="BF25" s="593"/>
      <x:c r="BG25" s="593"/>
      <x:c r="BH25" s="593"/>
      <x:c r="BI25" s="593"/>
      <x:c r="BJ25" s="593"/>
      <x:c r="BK25" s="392"/>
      <x:c r="BL25" s="392"/>
      <x:c r="BM25" s="392"/>
      <x:c r="BN25" s="593"/>
      <x:c r="BO25" s="593"/>
      <x:c r="BP25" s="593"/>
      <x:c r="BQ25" s="593"/>
      <x:c r="BR25" s="392"/>
      <x:c r="BS25" s="392"/>
      <x:c r="BT25" s="593"/>
    </x:row>
    <x:row r="26" ht="24" customHeight="1">
      <x:c r="A26" s="372" t="str">
        <x:v>次期J Salesforce→Cloudera 恒久対応PoC</x:v>
      </x:c>
      <x:c r="B26" s="372" t="str">
        <x:v>Salesforce前提・データ調査</x:v>
      </x:c>
      <x:c r="C26" s="372" t="str">
        <x:v>周辺Object・追加項目の補足調査</x:v>
      </x:c>
      <x:c r="D26" s="370" t="str">
        <x:f t="shared" si="11">IF(A26&lt;&gt;"", IF(A26=A25, "", A26), "")</x:f>
      </x:c>
      <x:c r="E26" s="371" t="str" cm="1">
        <x:f t="array" ref="E26">IF(B26="","",IF(B26&lt;&gt;B25,SUMPRODUCT(($B$5:B26&lt;&gt;$B$4:B25)*($B$5:B26&lt;&gt;"")),""))</x:f>
      </x:c>
      <x:c r="F26" s="370" t="str">
        <x:f t="shared" si="12">IF(B26&lt;&gt;"", IF(B26=B25, "", B26), "")</x:f>
      </x:c>
      <x:c r="G26" s="370" t="n">
        <x:f>IF(C26="","",COUNTIF($B$5:B26,B26))</x:f>
        <x:v>9</x:v>
      </x:c>
      <x:c r="H26" s="370" t="str">
        <x:f t="shared" si="13">IF(AND(C26&lt;&gt;"",OR(C26&lt;&gt;C25,B26&lt;&gt;B25)),C26,"")</x:f>
        <x:v>周辺Object・追加項目の補足調査</x:v>
      </x:c>
      <x:c r="I26" s="372" t="str">
        <x:v>データ基盤</x:v>
      </x:c>
      <x:c r="J26" s="372" t="str">
        <x:v>要確認</x:v>
      </x:c>
      <x:c r="K26" s="372"/>
      <x:c r="L26" s="370" t="str">
        <x:f>IF(C26="","","【"&amp;A26&amp;"】"&amp;MAX($E$5:E26)&amp;"-"&amp;G26&amp;"_"&amp;B26&amp;"_"&amp;C26)</x:f>
        <x:v>【次期J Salesforce→Cloudera 恒久対応PoC】3-9_Salesforce前提・データ調査_周辺Object・追加項目の補足調査</x:v>
      </x:c>
      <x:c r="M26" s="378" t="n">
        <x:v>46267</x:v>
      </x:c>
      <x:c r="N26" s="378" t="n">
        <x:v>46269</x:v>
      </x:c>
      <x:c r="O26" s="372" t="str">
        <x:v>準備中</x:v>
      </x:c>
      <x:c r="P26" s="593"/>
      <x:c r="Q26" s="593"/>
      <x:c r="R26" s="593"/>
      <x:c r="S26" s="593"/>
      <x:c r="T26" s="593"/>
      <x:c r="U26" s="392"/>
      <x:c r="V26" s="392"/>
      <x:c r="W26" s="593"/>
      <x:c r="X26" s="593"/>
      <x:c r="Y26" s="476"/>
      <x:c r="Z26" s="476"/>
      <x:c r="AA26" s="476"/>
      <x:c r="AB26" s="392"/>
      <x:c r="AC26" s="392"/>
      <x:c r="AD26" s="593"/>
      <x:c r="AE26" s="593"/>
      <x:c r="AF26" s="593"/>
      <x:c r="AG26" s="593"/>
      <x:c r="AH26" s="593"/>
      <x:c r="AI26" s="392"/>
      <x:c r="AJ26" s="392"/>
      <x:c r="AK26" s="593"/>
      <x:c r="AL26" s="593"/>
      <x:c r="AM26" s="593"/>
      <x:c r="AN26" s="593"/>
      <x:c r="AO26" s="593"/>
      <x:c r="AP26" s="392"/>
      <x:c r="AQ26" s="392"/>
      <x:c r="AR26" s="392"/>
      <x:c r="AS26" s="392"/>
      <x:c r="AT26" s="392"/>
      <x:c r="AU26" s="593"/>
      <x:c r="AV26" s="593"/>
      <x:c r="AW26" s="392"/>
      <x:c r="AX26" s="392"/>
      <x:c r="AY26" s="593"/>
      <x:c r="AZ26" s="593"/>
      <x:c r="BA26" s="593"/>
      <x:c r="BB26" s="593"/>
      <x:c r="BC26" s="593"/>
      <x:c r="BD26" s="392"/>
      <x:c r="BE26" s="392"/>
      <x:c r="BF26" s="593"/>
      <x:c r="BG26" s="593"/>
      <x:c r="BH26" s="593"/>
      <x:c r="BI26" s="593"/>
      <x:c r="BJ26" s="593"/>
      <x:c r="BK26" s="392"/>
      <x:c r="BL26" s="392"/>
      <x:c r="BM26" s="392"/>
      <x:c r="BN26" s="593"/>
      <x:c r="BO26" s="593"/>
      <x:c r="BP26" s="593"/>
      <x:c r="BQ26" s="593"/>
      <x:c r="BR26" s="392"/>
      <x:c r="BS26" s="392"/>
      <x:c r="BT26" s="593"/>
    </x:row>
    <x:row r="27" ht="24" customHeight="1">
      <x:c r="A27" s="372" t="str">
        <x:v>次期J Salesforce→Cloudera 恒久対応PoC</x:v>
      </x:c>
      <x:c r="B27" s="372" t="str">
        <x:v>技術方式・アーキテクチャ</x:v>
      </x:c>
      <x:c r="C27" s="372" t="str">
        <x:v>CDCとPlatform Eventの使い分け確認</x:v>
      </x:c>
      <x:c r="D27" s="370" t="str">
        <x:f t="shared" si="11">IF(A27&lt;&gt;"", IF(A27=A26, "", A27), "")</x:f>
      </x:c>
      <x:c r="E27" s="371" t="n" cm="1">
        <x:f t="array" ref="E27">IF(B27="","",IF(B27&lt;&gt;B26,SUMPRODUCT(($B$5:B27&lt;&gt;$B$4:B26)*($B$5:B27&lt;&gt;"")),""))</x:f>
        <x:v>4</x:v>
      </x:c>
      <x:c r="F27" s="370" t="str">
        <x:f t="shared" si="12">IF(B27&lt;&gt;"", IF(B27=B26, "", B27), "")</x:f>
        <x:v>技術方式・アーキテクチャ</x:v>
      </x:c>
      <x:c r="G27" s="370" t="n">
        <x:f>IF(C27="","",COUNTIF($B$5:B27,B27))</x:f>
        <x:v>1</x:v>
      </x:c>
      <x:c r="H27" s="370" t="str">
        <x:f t="shared" si="13">IF(AND(C27&lt;&gt;"",OR(C27&lt;&gt;C26,B27&lt;&gt;B26)),C27,"")</x:f>
        <x:v>CDCとPlatform Eventの使い分け確認</x:v>
      </x:c>
      <x:c r="I27" s="372" t="str">
        <x:v>データ基盤</x:v>
      </x:c>
      <x:c r="J27" s="372" t="str">
        <x:v>ワタル／要確認</x:v>
      </x:c>
      <x:c r="K27" s="372"/>
      <x:c r="L27" s="370" t="str">
        <x:f>IF(C27="","","【"&amp;A27&amp;"】"&amp;MAX($E$5:E27)&amp;"-"&amp;G27&amp;"_"&amp;B27&amp;"_"&amp;C27)</x:f>
        <x:v>【次期J Salesforce→Cloudera 恒久対応PoC】4-1_技術方式・アーキテクチャ_CDCとPlatform Eventの使い分け確認</x:v>
      </x:c>
      <x:c r="M27" s="378" t="n">
        <x:v>46265</x:v>
      </x:c>
      <x:c r="N27" s="378" t="n">
        <x:v>46268</x:v>
      </x:c>
      <x:c r="O27" s="372" t="str">
        <x:v>準備中</x:v>
      </x:c>
      <x:c r="P27" s="593"/>
      <x:c r="Q27" s="593"/>
      <x:c r="R27" s="593"/>
      <x:c r="S27" s="593"/>
      <x:c r="T27" s="593"/>
      <x:c r="U27" s="392"/>
      <x:c r="V27" s="392"/>
      <x:c r="W27" s="476"/>
      <x:c r="X27" s="476"/>
      <x:c r="Y27" s="476"/>
      <x:c r="Z27" s="476"/>
      <x:c r="AA27" s="593"/>
      <x:c r="AB27" s="392"/>
      <x:c r="AC27" s="392"/>
      <x:c r="AD27" s="593"/>
      <x:c r="AE27" s="593"/>
      <x:c r="AF27" s="593"/>
      <x:c r="AG27" s="593"/>
      <x:c r="AH27" s="593"/>
      <x:c r="AI27" s="392"/>
      <x:c r="AJ27" s="392"/>
      <x:c r="AK27" s="593"/>
      <x:c r="AL27" s="593"/>
      <x:c r="AM27" s="593"/>
      <x:c r="AN27" s="593"/>
      <x:c r="AO27" s="593"/>
      <x:c r="AP27" s="392"/>
      <x:c r="AQ27" s="392"/>
      <x:c r="AR27" s="392"/>
      <x:c r="AS27" s="392"/>
      <x:c r="AT27" s="392"/>
      <x:c r="AU27" s="593"/>
      <x:c r="AV27" s="593"/>
      <x:c r="AW27" s="392"/>
      <x:c r="AX27" s="392"/>
      <x:c r="AY27" s="593"/>
      <x:c r="AZ27" s="593"/>
      <x:c r="BA27" s="593"/>
      <x:c r="BB27" s="593"/>
      <x:c r="BC27" s="593"/>
      <x:c r="BD27" s="392"/>
      <x:c r="BE27" s="392"/>
      <x:c r="BF27" s="593"/>
      <x:c r="BG27" s="593"/>
      <x:c r="BH27" s="593"/>
      <x:c r="BI27" s="593"/>
      <x:c r="BJ27" s="593"/>
      <x:c r="BK27" s="392"/>
      <x:c r="BL27" s="392"/>
      <x:c r="BM27" s="392"/>
      <x:c r="BN27" s="593"/>
      <x:c r="BO27" s="593"/>
      <x:c r="BP27" s="593"/>
      <x:c r="BQ27" s="593"/>
      <x:c r="BR27" s="392"/>
      <x:c r="BS27" s="392"/>
      <x:c r="BT27" s="593"/>
    </x:row>
    <x:row r="28" ht="24" customHeight="1">
      <x:c r="A28" s="372" t="str">
        <x:v>次期J Salesforce→Cloudera 恒久対応PoC</x:v>
      </x:c>
      <x:c r="B28" s="372" t="str">
        <x:v>技術方式・アーキテクチャ</x:v>
      </x:c>
      <x:c r="C28" s="372" t="str">
        <x:v>Subscribe方式候補比較（Pub/Sub API等）</x:v>
      </x:c>
      <x:c r="D28" s="370" t="str">
        <x:f t="shared" si="11">IF(A28&lt;&gt;"", IF(A28=A27, "", A28), "")</x:f>
      </x:c>
      <x:c r="E28" s="371" t="str" cm="1">
        <x:f t="array" ref="E28">IF(B28="","",IF(B28&lt;&gt;B27,SUMPRODUCT(($B$5:B28&lt;&gt;$B$4:B27)*($B$5:B28&lt;&gt;"")),""))</x:f>
      </x:c>
      <x:c r="F28" s="370" t="str">
        <x:f t="shared" si="12">IF(B28&lt;&gt;"", IF(B28=B27, "", B28), "")</x:f>
      </x:c>
      <x:c r="G28" s="370" t="n">
        <x:f>IF(C28="","",COUNTIF($B$5:B28,B28))</x:f>
        <x:v>2</x:v>
      </x:c>
      <x:c r="H28" s="370" t="str">
        <x:f t="shared" si="13">IF(AND(C28&lt;&gt;"",OR(C28&lt;&gt;C27,B28&lt;&gt;B27)),C28,"")</x:f>
        <x:v>Subscribe方式候補比較（Pub/Sub API等）</x:v>
      </x:c>
      <x:c r="I28" s="372" t="str">
        <x:v>データ基盤</x:v>
      </x:c>
      <x:c r="J28" s="372" t="str">
        <x:v>ワタル／要確認</x:v>
      </x:c>
      <x:c r="K28" s="372"/>
      <x:c r="L28" s="370" t="str">
        <x:f>IF(C28="","","【"&amp;A28&amp;"】"&amp;MAX($E$5:E28)&amp;"-"&amp;G28&amp;"_"&amp;B28&amp;"_"&amp;C28)</x:f>
        <x:v>【次期J Salesforce→Cloudera 恒久対応PoC】4-2_技術方式・アーキテクチャ_Subscribe方式候補比較（Pub/Sub API等）</x:v>
      </x:c>
      <x:c r="M28" s="378" t="n">
        <x:v>46265</x:v>
      </x:c>
      <x:c r="N28" s="378" t="n">
        <x:v>46269</x:v>
      </x:c>
      <x:c r="O28" s="372" t="str">
        <x:v>準備中</x:v>
      </x:c>
      <x:c r="P28" s="593"/>
      <x:c r="Q28" s="593"/>
      <x:c r="R28" s="593"/>
      <x:c r="S28" s="593"/>
      <x:c r="T28" s="593"/>
      <x:c r="U28" s="392"/>
      <x:c r="V28" s="392"/>
      <x:c r="W28" s="476"/>
      <x:c r="X28" s="476"/>
      <x:c r="Y28" s="476"/>
      <x:c r="Z28" s="476"/>
      <x:c r="AA28" s="476"/>
      <x:c r="AB28" s="392"/>
      <x:c r="AC28" s="392"/>
      <x:c r="AD28" s="593"/>
      <x:c r="AE28" s="593"/>
      <x:c r="AF28" s="593"/>
      <x:c r="AG28" s="593"/>
      <x:c r="AH28" s="593"/>
      <x:c r="AI28" s="392"/>
      <x:c r="AJ28" s="392"/>
      <x:c r="AK28" s="593"/>
      <x:c r="AL28" s="593"/>
      <x:c r="AM28" s="593"/>
      <x:c r="AN28" s="593"/>
      <x:c r="AO28" s="593"/>
      <x:c r="AP28" s="392"/>
      <x:c r="AQ28" s="392"/>
      <x:c r="AR28" s="392"/>
      <x:c r="AS28" s="392"/>
      <x:c r="AT28" s="392"/>
      <x:c r="AU28" s="593"/>
      <x:c r="AV28" s="593"/>
      <x:c r="AW28" s="392"/>
      <x:c r="AX28" s="392"/>
      <x:c r="AY28" s="593"/>
      <x:c r="AZ28" s="593"/>
      <x:c r="BA28" s="593"/>
      <x:c r="BB28" s="593"/>
      <x:c r="BC28" s="593"/>
      <x:c r="BD28" s="392"/>
      <x:c r="BE28" s="392"/>
      <x:c r="BF28" s="593"/>
      <x:c r="BG28" s="593"/>
      <x:c r="BH28" s="593"/>
      <x:c r="BI28" s="593"/>
      <x:c r="BJ28" s="593"/>
      <x:c r="BK28" s="392"/>
      <x:c r="BL28" s="392"/>
      <x:c r="BM28" s="392"/>
      <x:c r="BN28" s="593"/>
      <x:c r="BO28" s="593"/>
      <x:c r="BP28" s="593"/>
      <x:c r="BQ28" s="593"/>
      <x:c r="BR28" s="392"/>
      <x:c r="BS28" s="392"/>
      <x:c r="BT28" s="593"/>
    </x:row>
    <x:row r="29" ht="24" customHeight="1">
      <x:c r="A29" s="372" t="str">
        <x:v>次期J Salesforce→Cloudera 恒久対応PoC</x:v>
      </x:c>
      <x:c r="B29" s="372" t="str">
        <x:v>技術方式・アーキテクチャ</x:v>
      </x:c>
      <x:c r="C29" s="372" t="str">
        <x:v>Salesforce→Azure認証方式の決定</x:v>
      </x:c>
      <x:c r="D29" s="370" t="str">
        <x:f t="shared" si="11">IF(A29&lt;&gt;"", IF(A29=A28, "", A29), "")</x:f>
      </x:c>
      <x:c r="E29" s="371" t="str" cm="1">
        <x:f t="array" ref="E29">IF(B29="","",IF(B29&lt;&gt;B28,SUMPRODUCT(($B$5:B29&lt;&gt;$B$4:B28)*($B$5:B29&lt;&gt;"")),""))</x:f>
      </x:c>
      <x:c r="F29" s="370" t="str">
        <x:f t="shared" si="12">IF(B29&lt;&gt;"", IF(B29=B28, "", B29), "")</x:f>
      </x:c>
      <x:c r="G29" s="370" t="n">
        <x:f>IF(C29="","",COUNTIF($B$5:B29,B29))</x:f>
        <x:v>3</x:v>
      </x:c>
      <x:c r="H29" s="370" t="str">
        <x:f t="shared" si="13">IF(AND(C29&lt;&gt;"",OR(C29&lt;&gt;C28,B29&lt;&gt;B28)),C29,"")</x:f>
        <x:v>Salesforce→Azure認証方式の決定</x:v>
      </x:c>
      <x:c r="I29" s="372" t="str">
        <x:v>インフラ</x:v>
      </x:c>
      <x:c r="J29" s="372" t="str">
        <x:v>要確認</x:v>
      </x:c>
      <x:c r="K29" s="372"/>
      <x:c r="L29" s="370" t="str">
        <x:f>IF(C29="","","【"&amp;A29&amp;"】"&amp;MAX($E$5:E29)&amp;"-"&amp;G29&amp;"_"&amp;B29&amp;"_"&amp;C29)</x:f>
        <x:v>【次期J Salesforce→Cloudera 恒久対応PoC】4-3_技術方式・アーキテクチャ_Salesforce→Azure認証方式の決定</x:v>
      </x:c>
      <x:c r="M29" s="378" t="n">
        <x:v>46266</x:v>
      </x:c>
      <x:c r="N29" s="378" t="n">
        <x:v>46269</x:v>
      </x:c>
      <x:c r="O29" s="372" t="str">
        <x:v>準備中</x:v>
      </x:c>
      <x:c r="P29" s="593"/>
      <x:c r="Q29" s="593"/>
      <x:c r="R29" s="593"/>
      <x:c r="S29" s="593"/>
      <x:c r="T29" s="593"/>
      <x:c r="U29" s="392"/>
      <x:c r="V29" s="392"/>
      <x:c r="W29" s="593"/>
      <x:c r="X29" s="476"/>
      <x:c r="Y29" s="476"/>
      <x:c r="Z29" s="476"/>
      <x:c r="AA29" s="476"/>
      <x:c r="AB29" s="392"/>
      <x:c r="AC29" s="392"/>
      <x:c r="AD29" s="593"/>
      <x:c r="AE29" s="593"/>
      <x:c r="AF29" s="593"/>
      <x:c r="AG29" s="593"/>
      <x:c r="AH29" s="593"/>
      <x:c r="AI29" s="392"/>
      <x:c r="AJ29" s="392"/>
      <x:c r="AK29" s="593"/>
      <x:c r="AL29" s="593"/>
      <x:c r="AM29" s="593"/>
      <x:c r="AN29" s="593"/>
      <x:c r="AO29" s="593"/>
      <x:c r="AP29" s="392"/>
      <x:c r="AQ29" s="392"/>
      <x:c r="AR29" s="392"/>
      <x:c r="AS29" s="392"/>
      <x:c r="AT29" s="392"/>
      <x:c r="AU29" s="593"/>
      <x:c r="AV29" s="593"/>
      <x:c r="AW29" s="392"/>
      <x:c r="AX29" s="392"/>
      <x:c r="AY29" s="593"/>
      <x:c r="AZ29" s="593"/>
      <x:c r="BA29" s="593"/>
      <x:c r="BB29" s="593"/>
      <x:c r="BC29" s="593"/>
      <x:c r="BD29" s="392"/>
      <x:c r="BE29" s="392"/>
      <x:c r="BF29" s="593"/>
      <x:c r="BG29" s="593"/>
      <x:c r="BH29" s="593"/>
      <x:c r="BI29" s="593"/>
      <x:c r="BJ29" s="593"/>
      <x:c r="BK29" s="392"/>
      <x:c r="BL29" s="392"/>
      <x:c r="BM29" s="392"/>
      <x:c r="BN29" s="593"/>
      <x:c r="BO29" s="593"/>
      <x:c r="BP29" s="593"/>
      <x:c r="BQ29" s="593"/>
      <x:c r="BR29" s="392"/>
      <x:c r="BS29" s="392"/>
      <x:c r="BT29" s="593"/>
    </x:row>
    <x:row r="30" ht="24" customHeight="1">
      <x:c r="A30" s="372" t="str">
        <x:v>次期J Salesforce→Cloudera 恒久対応PoC</x:v>
      </x:c>
      <x:c r="B30" s="372" t="str">
        <x:v>技術方式・アーキテクチャ</x:v>
      </x:c>
      <x:c r="C30" s="372" t="str">
        <x:v>Azure Event Consumer方式の決定</x:v>
      </x:c>
      <x:c r="D30" s="370" t="str">
        <x:f t="shared" si="11">IF(A30&lt;&gt;"", IF(A30=A29, "", A30), "")</x:f>
      </x:c>
      <x:c r="E30" s="371" t="str" cm="1">
        <x:f t="array" ref="E30">IF(B30="","",IF(B30&lt;&gt;B29,SUMPRODUCT(($B$5:B30&lt;&gt;$B$4:B29)*($B$5:B30&lt;&gt;"")),""))</x:f>
      </x:c>
      <x:c r="F30" s="370" t="str">
        <x:f t="shared" si="12">IF(B30&lt;&gt;"", IF(B30=B29, "", B30), "")</x:f>
      </x:c>
      <x:c r="G30" s="370" t="n">
        <x:f>IF(C30="","",COUNTIF($B$5:B30,B30))</x:f>
        <x:v>4</x:v>
      </x:c>
      <x:c r="H30" s="370" t="str">
        <x:f t="shared" si="13">IF(AND(C30&lt;&gt;"",OR(C30&lt;&gt;C29,B30&lt;&gt;B29)),C30,"")</x:f>
        <x:v>Azure Event Consumer方式の決定</x:v>
      </x:c>
      <x:c r="I30" s="372" t="str">
        <x:v>データ基盤</x:v>
      </x:c>
      <x:c r="J30" s="379" t="str">
        <x:v>要確認</x:v>
      </x:c>
      <x:c r="K30" s="372"/>
      <x:c r="L30" s="370" t="str">
        <x:f>IF(C30="","","【"&amp;A30&amp;"】"&amp;MAX($E$5:E30)&amp;"-"&amp;G30&amp;"_"&amp;B30&amp;"_"&amp;C30)</x:f>
        <x:v>【次期J Salesforce→Cloudera 恒久対応PoC】4-4_技術方式・アーキテクチャ_Azure Event Consumer方式の決定</x:v>
      </x:c>
      <x:c r="M30" s="378" t="n">
        <x:v>46266</x:v>
      </x:c>
      <x:c r="N30" s="378" t="n">
        <x:v>46272</x:v>
      </x:c>
      <x:c r="O30" s="372" t="str">
        <x:v>準備中</x:v>
      </x:c>
      <x:c r="P30" s="593"/>
      <x:c r="Q30" s="593"/>
      <x:c r="R30" s="593"/>
      <x:c r="S30" s="593"/>
      <x:c r="T30" s="593"/>
      <x:c r="U30" s="392"/>
      <x:c r="V30" s="392"/>
      <x:c r="W30" s="593"/>
      <x:c r="X30" s="476"/>
      <x:c r="Y30" s="476"/>
      <x:c r="Z30" s="476"/>
      <x:c r="AA30" s="476"/>
      <x:c r="AB30" s="476"/>
      <x:c r="AC30" s="476"/>
      <x:c r="AD30" s="476"/>
      <x:c r="AE30" s="593"/>
      <x:c r="AF30" s="593"/>
      <x:c r="AG30" s="593"/>
      <x:c r="AH30" s="593"/>
      <x:c r="AI30" s="392"/>
      <x:c r="AJ30" s="392"/>
      <x:c r="AK30" s="593"/>
      <x:c r="AL30" s="593"/>
      <x:c r="AM30" s="593"/>
      <x:c r="AN30" s="593"/>
      <x:c r="AO30" s="593"/>
      <x:c r="AP30" s="392"/>
      <x:c r="AQ30" s="392"/>
      <x:c r="AR30" s="392"/>
      <x:c r="AS30" s="392"/>
      <x:c r="AT30" s="392"/>
      <x:c r="AU30" s="593"/>
      <x:c r="AV30" s="593"/>
      <x:c r="AW30" s="392"/>
      <x:c r="AX30" s="392"/>
      <x:c r="AY30" s="593"/>
      <x:c r="AZ30" s="593"/>
      <x:c r="BA30" s="593"/>
      <x:c r="BB30" s="593"/>
      <x:c r="BC30" s="593"/>
      <x:c r="BD30" s="392"/>
      <x:c r="BE30" s="392"/>
      <x:c r="BF30" s="593"/>
      <x:c r="BG30" s="593"/>
      <x:c r="BH30" s="593"/>
      <x:c r="BI30" s="593"/>
      <x:c r="BJ30" s="593"/>
      <x:c r="BK30" s="392"/>
      <x:c r="BL30" s="392"/>
      <x:c r="BM30" s="392"/>
      <x:c r="BN30" s="593"/>
      <x:c r="BO30" s="593"/>
      <x:c r="BP30" s="593"/>
      <x:c r="BQ30" s="593"/>
      <x:c r="BR30" s="392"/>
      <x:c r="BS30" s="392"/>
      <x:c r="BT30" s="593"/>
    </x:row>
    <x:row r="31" ht="24" customHeight="1">
      <x:c r="A31" s="372" t="str">
        <x:v>次期J Salesforce→Cloudera 恒久対応PoC</x:v>
      </x:c>
      <x:c r="B31" s="372" t="str">
        <x:v>技術方式・アーキテクチャ</x:v>
      </x:c>
      <x:c r="C31" s="372" t="str">
        <x:v>Azure→Cloudera連携方式の決定</x:v>
      </x:c>
      <x:c r="D31" s="370" t="str">
        <x:f t="shared" si="11">IF(A31&lt;&gt;"", IF(A31=A30, "", A31), "")</x:f>
      </x:c>
      <x:c r="E31" s="371" t="str" cm="1">
        <x:f t="array" ref="E31">IF(B31="","",IF(B31&lt;&gt;B30,SUMPRODUCT(($B$5:B31&lt;&gt;$B$4:B30)*($B$5:B31&lt;&gt;"")),""))</x:f>
      </x:c>
      <x:c r="F31" s="370" t="str">
        <x:f t="shared" si="12">IF(B31&lt;&gt;"", IF(B31=B30, "", B31), "")</x:f>
      </x:c>
      <x:c r="G31" s="370" t="n">
        <x:f>IF(C31="","",COUNTIF($B$5:B31,B31))</x:f>
        <x:v>5</x:v>
      </x:c>
      <x:c r="H31" s="370" t="str">
        <x:f t="shared" si="13">IF(AND(C31&lt;&gt;"",OR(C31&lt;&gt;C30,B31&lt;&gt;B30)),C31,"")</x:f>
        <x:v>Azure→Cloudera連携方式の決定</x:v>
      </x:c>
      <x:c r="I31" s="372" t="str">
        <x:v>Cloudera</x:v>
      </x:c>
      <x:c r="J31" s="372" t="str">
        <x:v>要確認</x:v>
      </x:c>
      <x:c r="K31" s="372"/>
      <x:c r="L31" s="370" t="str">
        <x:f>IF(C31="","","【"&amp;A31&amp;"】"&amp;MAX($E$5:E31)&amp;"-"&amp;G31&amp;"_"&amp;B31&amp;"_"&amp;C31)</x:f>
        <x:v>【次期J Salesforce→Cloudera 恒久対応PoC】4-5_技術方式・アーキテクチャ_Azure→Cloudera連携方式の決定</x:v>
      </x:c>
      <x:c r="M31" s="378" t="n">
        <x:v>46266</x:v>
      </x:c>
      <x:c r="N31" s="378" t="n">
        <x:v>46272</x:v>
      </x:c>
      <x:c r="O31" s="372" t="str">
        <x:v>準備中</x:v>
      </x:c>
      <x:c r="P31" s="593"/>
      <x:c r="Q31" s="593"/>
      <x:c r="R31" s="593"/>
      <x:c r="S31" s="593"/>
      <x:c r="T31" s="593"/>
      <x:c r="U31" s="392"/>
      <x:c r="V31" s="392"/>
      <x:c r="W31" s="593"/>
      <x:c r="X31" s="476"/>
      <x:c r="Y31" s="476"/>
      <x:c r="Z31" s="476"/>
      <x:c r="AA31" s="476"/>
      <x:c r="AB31" s="476"/>
      <x:c r="AC31" s="476"/>
      <x:c r="AD31" s="476"/>
      <x:c r="AE31" s="593"/>
      <x:c r="AF31" s="593"/>
      <x:c r="AG31" s="593"/>
      <x:c r="AH31" s="593"/>
      <x:c r="AI31" s="392"/>
      <x:c r="AJ31" s="392"/>
      <x:c r="AK31" s="593"/>
      <x:c r="AL31" s="593"/>
      <x:c r="AM31" s="593"/>
      <x:c r="AN31" s="593"/>
      <x:c r="AO31" s="593"/>
      <x:c r="AP31" s="392"/>
      <x:c r="AQ31" s="392"/>
      <x:c r="AR31" s="392"/>
      <x:c r="AS31" s="392"/>
      <x:c r="AT31" s="392"/>
      <x:c r="AU31" s="593"/>
      <x:c r="AV31" s="593"/>
      <x:c r="AW31" s="392"/>
      <x:c r="AX31" s="392"/>
      <x:c r="AY31" s="593"/>
      <x:c r="AZ31" s="593"/>
      <x:c r="BA31" s="593"/>
      <x:c r="BB31" s="593"/>
      <x:c r="BC31" s="593"/>
      <x:c r="BD31" s="392"/>
      <x:c r="BE31" s="392"/>
      <x:c r="BF31" s="593"/>
      <x:c r="BG31" s="593"/>
      <x:c r="BH31" s="593"/>
      <x:c r="BI31" s="593"/>
      <x:c r="BJ31" s="593"/>
      <x:c r="BK31" s="392"/>
      <x:c r="BL31" s="392"/>
      <x:c r="BM31" s="392"/>
      <x:c r="BN31" s="593"/>
      <x:c r="BO31" s="593"/>
      <x:c r="BP31" s="593"/>
      <x:c r="BQ31" s="593"/>
      <x:c r="BR31" s="392"/>
      <x:c r="BS31" s="392"/>
      <x:c r="BT31" s="593"/>
    </x:row>
    <x:row r="32" ht="24" customHeight="1">
      <x:c r="A32" s="372" t="str">
        <x:v>次期J Salesforce→Cloudera 恒久対応PoC</x:v>
      </x:c>
      <x:c r="B32" s="372" t="str">
        <x:v>技術方式・アーキテクチャ</x:v>
      </x:c>
      <x:c r="C32" s="372" t="str">
        <x:v>E2E構成図・責務分界の作成</x:v>
      </x:c>
      <x:c r="D32" s="370" t="str">
        <x:f t="shared" si="11">IF(A32&lt;&gt;"", IF(A32=A31, "", A32), "")</x:f>
      </x:c>
      <x:c r="E32" s="371" t="str" cm="1">
        <x:f t="array" ref="E32">IF(B32="","",IF(B32&lt;&gt;B31,SUMPRODUCT(($B$5:B32&lt;&gt;$B$4:B31)*($B$5:B32&lt;&gt;"")),""))</x:f>
      </x:c>
      <x:c r="F32" s="370" t="str">
        <x:f t="shared" si="12">IF(B32&lt;&gt;"", IF(B32=B31, "", B32), "")</x:f>
      </x:c>
      <x:c r="G32" s="370" t="n">
        <x:f>IF(C32="","",COUNTIF($B$5:B32,B32))</x:f>
        <x:v>6</x:v>
      </x:c>
      <x:c r="H32" s="370" t="str">
        <x:f t="shared" si="13">IF(AND(C32&lt;&gt;"",OR(C32&lt;&gt;C31,B32&lt;&gt;B31)),C32,"")</x:f>
        <x:v>E2E構成図・責務分界の作成</x:v>
      </x:c>
      <x:c r="I32" s="372" t="str">
        <x:v>データ基盤</x:v>
      </x:c>
      <x:c r="J32" s="372" t="str">
        <x:v>ワタル／要確認</x:v>
      </x:c>
      <x:c r="K32" s="372"/>
      <x:c r="L32" s="370" t="str">
        <x:f>IF(C32="","","【"&amp;A32&amp;"】"&amp;MAX($E$5:E32)&amp;"-"&amp;G32&amp;"_"&amp;B32&amp;"_"&amp;C32)</x:f>
        <x:v>【次期J Salesforce→Cloudera 恒久対応PoC】4-6_技術方式・アーキテクチャ_E2E構成図・責務分界の作成</x:v>
      </x:c>
      <x:c r="M32" s="378" t="n">
        <x:v>46268</x:v>
      </x:c>
      <x:c r="N32" s="378" t="n">
        <x:v>46273</x:v>
      </x:c>
      <x:c r="O32" s="372" t="str">
        <x:v>準備中</x:v>
      </x:c>
      <x:c r="P32" s="593"/>
      <x:c r="Q32" s="593"/>
      <x:c r="R32" s="593"/>
      <x:c r="S32" s="593"/>
      <x:c r="T32" s="593"/>
      <x:c r="U32" s="392"/>
      <x:c r="V32" s="392"/>
      <x:c r="W32" s="593"/>
      <x:c r="X32" s="593"/>
      <x:c r="Y32" s="593"/>
      <x:c r="Z32" s="476"/>
      <x:c r="AA32" s="476"/>
      <x:c r="AB32" s="476"/>
      <x:c r="AC32" s="476"/>
      <x:c r="AD32" s="476"/>
      <x:c r="AE32" s="476"/>
      <x:c r="AF32" s="593"/>
      <x:c r="AG32" s="593"/>
      <x:c r="AH32" s="593"/>
      <x:c r="AI32" s="392"/>
      <x:c r="AJ32" s="392"/>
      <x:c r="AK32" s="593"/>
      <x:c r="AL32" s="593"/>
      <x:c r="AM32" s="593"/>
      <x:c r="AN32" s="593"/>
      <x:c r="AO32" s="593"/>
      <x:c r="AP32" s="392"/>
      <x:c r="AQ32" s="392"/>
      <x:c r="AR32" s="392"/>
      <x:c r="AS32" s="392"/>
      <x:c r="AT32" s="392"/>
      <x:c r="AU32" s="593"/>
      <x:c r="AV32" s="593"/>
      <x:c r="AW32" s="392"/>
      <x:c r="AX32" s="392"/>
      <x:c r="AY32" s="593"/>
      <x:c r="AZ32" s="593"/>
      <x:c r="BA32" s="593"/>
      <x:c r="BB32" s="593"/>
      <x:c r="BC32" s="593"/>
      <x:c r="BD32" s="392"/>
      <x:c r="BE32" s="392"/>
      <x:c r="BF32" s="593"/>
      <x:c r="BG32" s="593"/>
      <x:c r="BH32" s="593"/>
      <x:c r="BI32" s="593"/>
      <x:c r="BJ32" s="593"/>
      <x:c r="BK32" s="392"/>
      <x:c r="BL32" s="392"/>
      <x:c r="BM32" s="392"/>
      <x:c r="BN32" s="593"/>
      <x:c r="BO32" s="593"/>
      <x:c r="BP32" s="593"/>
      <x:c r="BQ32" s="593"/>
      <x:c r="BR32" s="392"/>
      <x:c r="BS32" s="392"/>
      <x:c r="BT32" s="593"/>
    </x:row>
    <x:row r="33" ht="24" customHeight="1">
      <x:c r="A33" s="372" t="str">
        <x:v>次期J Salesforce→Cloudera 恒久対応PoC</x:v>
      </x:c>
      <x:c r="B33" s="372" t="str">
        <x:v>技術方式・アーキテクチャ</x:v>
      </x:c>
      <x:c r="C33" s="372" t="str">
        <x:v>データ形式・識別情報・マッピング方針整理</x:v>
      </x:c>
      <x:c r="D33" s="370" t="str">
        <x:f t="shared" si="11">IF(A33&lt;&gt;"", IF(A33=A32, "", A33), "")</x:f>
      </x:c>
      <x:c r="E33" s="371" t="str" cm="1">
        <x:f t="array" ref="E33">IF(B33="","",IF(B33&lt;&gt;B32,SUMPRODUCT(($B$5:B33&lt;&gt;$B$4:B32)*($B$5:B33&lt;&gt;"")),""))</x:f>
      </x:c>
      <x:c r="F33" s="370" t="str">
        <x:f t="shared" si="12">IF(B33&lt;&gt;"", IF(B33=B32, "", B33), "")</x:f>
      </x:c>
      <x:c r="G33" s="370" t="n">
        <x:f>IF(C33="","",COUNTIF($B$5:B33,B33))</x:f>
        <x:v>7</x:v>
      </x:c>
      <x:c r="H33" s="370" t="str">
        <x:f t="shared" si="13">IF(AND(C33&lt;&gt;"",OR(C33&lt;&gt;C32,B33&lt;&gt;B32)),C33,"")</x:f>
        <x:v>データ形式・識別情報・マッピング方針整理</x:v>
      </x:c>
      <x:c r="I33" s="372" t="str">
        <x:v>データ基盤</x:v>
      </x:c>
      <x:c r="J33" s="372" t="str">
        <x:v>要確認</x:v>
      </x:c>
      <x:c r="K33" s="372"/>
      <x:c r="L33" s="370" t="str">
        <x:f>IF(C33="","","【"&amp;A33&amp;"】"&amp;MAX($E$5:E33)&amp;"-"&amp;G33&amp;"_"&amp;B33&amp;"_"&amp;C33)</x:f>
        <x:v>【次期J Salesforce→Cloudera 恒久対応PoC】4-7_技術方式・アーキテクチャ_データ形式・識別情報・マッピング方針整理</x:v>
      </x:c>
      <x:c r="M33" s="378" t="n">
        <x:v>46268</x:v>
      </x:c>
      <x:c r="N33" s="378" t="n">
        <x:v>46273</x:v>
      </x:c>
      <x:c r="O33" s="372" t="str">
        <x:v>準備中</x:v>
      </x:c>
      <x:c r="P33" s="593"/>
      <x:c r="Q33" s="593"/>
      <x:c r="R33" s="593"/>
      <x:c r="S33" s="593"/>
      <x:c r="T33" s="593"/>
      <x:c r="U33" s="392"/>
      <x:c r="V33" s="392"/>
      <x:c r="W33" s="593"/>
      <x:c r="X33" s="593"/>
      <x:c r="Y33" s="593"/>
      <x:c r="Z33" s="476"/>
      <x:c r="AA33" s="476"/>
      <x:c r="AB33" s="476"/>
      <x:c r="AC33" s="476"/>
      <x:c r="AD33" s="476"/>
      <x:c r="AE33" s="476"/>
      <x:c r="AF33" s="593"/>
      <x:c r="AG33" s="593"/>
      <x:c r="AH33" s="593"/>
      <x:c r="AI33" s="392"/>
      <x:c r="AJ33" s="392"/>
      <x:c r="AK33" s="593"/>
      <x:c r="AL33" s="593"/>
      <x:c r="AM33" s="593"/>
      <x:c r="AN33" s="593"/>
      <x:c r="AO33" s="593"/>
      <x:c r="AP33" s="392"/>
      <x:c r="AQ33" s="392"/>
      <x:c r="AR33" s="392"/>
      <x:c r="AS33" s="392"/>
      <x:c r="AT33" s="392"/>
      <x:c r="AU33" s="593"/>
      <x:c r="AV33" s="593"/>
      <x:c r="AW33" s="392"/>
      <x:c r="AX33" s="392"/>
      <x:c r="AY33" s="593"/>
      <x:c r="AZ33" s="593"/>
      <x:c r="BA33" s="593"/>
      <x:c r="BB33" s="593"/>
      <x:c r="BC33" s="593"/>
      <x:c r="BD33" s="392"/>
      <x:c r="BE33" s="392"/>
      <x:c r="BF33" s="593"/>
      <x:c r="BG33" s="593"/>
      <x:c r="BH33" s="593"/>
      <x:c r="BI33" s="593"/>
      <x:c r="BJ33" s="593"/>
      <x:c r="BK33" s="392"/>
      <x:c r="BL33" s="392"/>
      <x:c r="BM33" s="392"/>
      <x:c r="BN33" s="593"/>
      <x:c r="BO33" s="593"/>
      <x:c r="BP33" s="593"/>
      <x:c r="BQ33" s="593"/>
      <x:c r="BR33" s="392"/>
      <x:c r="BS33" s="392"/>
      <x:c r="BT33" s="593"/>
    </x:row>
    <x:row r="34" ht="24" customHeight="1">
      <x:c r="A34" s="372" t="str">
        <x:v>次期J Salesforce→Cloudera 恒久対応PoC</x:v>
      </x:c>
      <x:c r="B34" s="372" t="str">
        <x:v>技術方式・アーキテクチャ</x:v>
      </x:c>
      <x:c r="C34" s="372" t="str">
        <x:v>監視・ログ・処理履歴のPoC方針整理</x:v>
      </x:c>
      <x:c r="D34" s="370" t="str">
        <x:f t="shared" si="11">IF(A34&lt;&gt;"", IF(A34=A33, "", A34), "")</x:f>
      </x:c>
      <x:c r="E34" s="371" t="str" cm="1">
        <x:f t="array" ref="E34">IF(B34="","",IF(B34&lt;&gt;B33,SUMPRODUCT(($B$5:B34&lt;&gt;$B$4:B33)*($B$5:B34&lt;&gt;"")),""))</x:f>
      </x:c>
      <x:c r="F34" s="370" t="str">
        <x:f t="shared" si="12">IF(B34&lt;&gt;"", IF(B34=B33, "", B34), "")</x:f>
      </x:c>
      <x:c r="G34" s="370" t="n">
        <x:f>IF(C34="","",COUNTIF($B$5:B34,B34))</x:f>
        <x:v>8</x:v>
      </x:c>
      <x:c r="H34" s="370" t="str">
        <x:f t="shared" si="13">IF(AND(C34&lt;&gt;"",OR(C34&lt;&gt;C33,B34&lt;&gt;B33)),C34,"")</x:f>
        <x:v>監視・ログ・処理履歴のPoC方針整理</x:v>
      </x:c>
      <x:c r="I34" s="372" t="str">
        <x:v>データ基盤</x:v>
      </x:c>
      <x:c r="J34" s="372" t="str">
        <x:v>ワタル／要確認</x:v>
      </x:c>
      <x:c r="K34" s="372"/>
      <x:c r="L34" s="370" t="str">
        <x:f>IF(C34="","","【"&amp;A34&amp;"】"&amp;MAX($E$5:E34)&amp;"-"&amp;G34&amp;"_"&amp;B34&amp;"_"&amp;C34)</x:f>
        <x:v>【次期J Salesforce→Cloudera 恒久対応PoC】4-8_技術方式・アーキテクチャ_監視・ログ・処理履歴のPoC方針整理</x:v>
      </x:c>
      <x:c r="M34" s="378" t="n">
        <x:v>46269</x:v>
      </x:c>
      <x:c r="N34" s="378" t="n">
        <x:v>46273</x:v>
      </x:c>
      <x:c r="O34" s="372" t="str">
        <x:v>準備中</x:v>
      </x:c>
      <x:c r="P34" s="593"/>
      <x:c r="Q34" s="593"/>
      <x:c r="R34" s="593"/>
      <x:c r="S34" s="593"/>
      <x:c r="T34" s="593"/>
      <x:c r="U34" s="392"/>
      <x:c r="V34" s="392"/>
      <x:c r="W34" s="593"/>
      <x:c r="X34" s="593"/>
      <x:c r="Y34" s="593"/>
      <x:c r="Z34" s="593"/>
      <x:c r="AA34" s="476"/>
      <x:c r="AB34" s="476"/>
      <x:c r="AC34" s="476"/>
      <x:c r="AD34" s="476"/>
      <x:c r="AE34" s="476"/>
      <x:c r="AF34" s="593"/>
      <x:c r="AG34" s="593"/>
      <x:c r="AH34" s="593"/>
      <x:c r="AI34" s="392"/>
      <x:c r="AJ34" s="392"/>
      <x:c r="AK34" s="593"/>
      <x:c r="AL34" s="593"/>
      <x:c r="AM34" s="593"/>
      <x:c r="AN34" s="593"/>
      <x:c r="AO34" s="593"/>
      <x:c r="AP34" s="392"/>
      <x:c r="AQ34" s="392"/>
      <x:c r="AR34" s="392"/>
      <x:c r="AS34" s="392"/>
      <x:c r="AT34" s="392"/>
      <x:c r="AU34" s="593"/>
      <x:c r="AV34" s="593"/>
      <x:c r="AW34" s="392"/>
      <x:c r="AX34" s="392"/>
      <x:c r="AY34" s="593"/>
      <x:c r="AZ34" s="593"/>
      <x:c r="BA34" s="593"/>
      <x:c r="BB34" s="593"/>
      <x:c r="BC34" s="593"/>
      <x:c r="BD34" s="392"/>
      <x:c r="BE34" s="392"/>
      <x:c r="BF34" s="593"/>
      <x:c r="BG34" s="593"/>
      <x:c r="BH34" s="593"/>
      <x:c r="BI34" s="593"/>
      <x:c r="BJ34" s="593"/>
      <x:c r="BK34" s="392"/>
      <x:c r="BL34" s="392"/>
      <x:c r="BM34" s="392"/>
      <x:c r="BN34" s="593"/>
      <x:c r="BO34" s="593"/>
      <x:c r="BP34" s="593"/>
      <x:c r="BQ34" s="593"/>
      <x:c r="BR34" s="392"/>
      <x:c r="BS34" s="392"/>
      <x:c r="BT34" s="593"/>
    </x:row>
    <x:row r="35" ht="24" customHeight="1">
      <x:c r="A35" s="372" t="str">
        <x:v>次期J Salesforce→Cloudera 恒久対応PoC</x:v>
      </x:c>
      <x:c r="B35" s="372" t="str">
        <x:v>Security・NW・環境準備</x:v>
      </x:c>
      <x:c r="C35" s="372" t="str">
        <x:v>Salesforce側PoC権限・認証情報の準備</x:v>
      </x:c>
      <x:c r="D35" s="370" t="str">
        <x:f t="shared" si="11">IF(A35&lt;&gt;"", IF(A35=A34, "", A35), "")</x:f>
      </x:c>
      <x:c r="E35" s="371" t="n" cm="1">
        <x:f t="array" ref="E35">IF(B35="","",IF(B35&lt;&gt;B34,SUMPRODUCT(($B$5:B35&lt;&gt;$B$4:B34)*($B$5:B35&lt;&gt;"")),""))</x:f>
        <x:v>5</x:v>
      </x:c>
      <x:c r="F35" s="370" t="str">
        <x:f t="shared" si="12">IF(B35&lt;&gt;"", IF(B35=B34, "", B35), "")</x:f>
        <x:v>Security・NW・環境準備</x:v>
      </x:c>
      <x:c r="G35" s="370" t="n">
        <x:f>IF(C35="","",COUNTIF($B$5:B35,B35))</x:f>
        <x:v>1</x:v>
      </x:c>
      <x:c r="H35" s="370" t="str">
        <x:f t="shared" si="13">IF(AND(C35&lt;&gt;"",OR(C35&lt;&gt;C34,B35&lt;&gt;B34)),C35,"")</x:f>
        <x:v>Salesforce側PoC権限・認証情報の準備</x:v>
      </x:c>
      <x:c r="I35" s="372" t="str">
        <x:v>インフラ</x:v>
      </x:c>
      <x:c r="J35" s="372" t="str">
        <x:v>要確認</x:v>
      </x:c>
      <x:c r="K35" s="372"/>
      <x:c r="L35" s="370" t="str">
        <x:f>IF(C35="","","【"&amp;A35&amp;"】"&amp;MAX($E$5:E35)&amp;"-"&amp;G35&amp;"_"&amp;B35&amp;"_"&amp;C35)</x:f>
        <x:v>【次期J Salesforce→Cloudera 恒久対応PoC】5-1_Security・NW・環境準備_Salesforce側PoC権限・認証情報の準備</x:v>
      </x:c>
      <x:c r="M35" s="378" t="n">
        <x:v>46265</x:v>
      </x:c>
      <x:c r="N35" s="378" t="n">
        <x:v>46269</x:v>
      </x:c>
      <x:c r="O35" s="372" t="str">
        <x:v>準備中</x:v>
      </x:c>
      <x:c r="P35" s="593"/>
      <x:c r="Q35" s="593"/>
      <x:c r="R35" s="593"/>
      <x:c r="S35" s="593"/>
      <x:c r="T35" s="593"/>
      <x:c r="U35" s="392"/>
      <x:c r="V35" s="392"/>
      <x:c r="W35" s="476"/>
      <x:c r="X35" s="476"/>
      <x:c r="Y35" s="476"/>
      <x:c r="Z35" s="476"/>
      <x:c r="AA35" s="476"/>
      <x:c r="AB35" s="392"/>
      <x:c r="AC35" s="392"/>
      <x:c r="AD35" s="593"/>
      <x:c r="AE35" s="593"/>
      <x:c r="AF35" s="593"/>
      <x:c r="AG35" s="593"/>
      <x:c r="AH35" s="593"/>
      <x:c r="AI35" s="392"/>
      <x:c r="AJ35" s="392"/>
      <x:c r="AK35" s="593"/>
      <x:c r="AL35" s="593"/>
      <x:c r="AM35" s="593"/>
      <x:c r="AN35" s="593"/>
      <x:c r="AO35" s="593"/>
      <x:c r="AP35" s="392"/>
      <x:c r="AQ35" s="392"/>
      <x:c r="AR35" s="392"/>
      <x:c r="AS35" s="392"/>
      <x:c r="AT35" s="392"/>
      <x:c r="AU35" s="593"/>
      <x:c r="AV35" s="593"/>
      <x:c r="AW35" s="392"/>
      <x:c r="AX35" s="392"/>
      <x:c r="AY35" s="593"/>
      <x:c r="AZ35" s="593"/>
      <x:c r="BA35" s="593"/>
      <x:c r="BB35" s="593"/>
      <x:c r="BC35" s="593"/>
      <x:c r="BD35" s="392"/>
      <x:c r="BE35" s="392"/>
      <x:c r="BF35" s="593"/>
      <x:c r="BG35" s="593"/>
      <x:c r="BH35" s="593"/>
      <x:c r="BI35" s="593"/>
      <x:c r="BJ35" s="593"/>
      <x:c r="BK35" s="392"/>
      <x:c r="BL35" s="392"/>
      <x:c r="BM35" s="392"/>
      <x:c r="BN35" s="593"/>
      <x:c r="BO35" s="593"/>
      <x:c r="BP35" s="593"/>
      <x:c r="BQ35" s="593"/>
      <x:c r="BR35" s="392"/>
      <x:c r="BS35" s="392"/>
      <x:c r="BT35" s="593"/>
    </x:row>
    <x:row r="36" ht="24" customHeight="1">
      <x:c r="A36" s="372" t="str">
        <x:v>次期J Salesforce→Cloudera 恒久対応PoC</x:v>
      </x:c>
      <x:c r="B36" s="372" t="str">
        <x:v>Security・NW・環境準備</x:v>
      </x:c>
      <x:c r="C36" s="372" t="str">
        <x:v>Salesforce→Azureネットワーク制約確認</x:v>
      </x:c>
      <x:c r="D36" s="370" t="str">
        <x:f t="shared" si="11">IF(A36&lt;&gt;"", IF(A36=A35, "", A36), "")</x:f>
      </x:c>
      <x:c r="E36" s="371" t="str" cm="1">
        <x:f t="array" ref="E36">IF(B36="","",IF(B36&lt;&gt;B35,SUMPRODUCT(($B$5:B36&lt;&gt;$B$4:B35)*($B$5:B36&lt;&gt;"")),""))</x:f>
      </x:c>
      <x:c r="F36" s="370" t="str">
        <x:f t="shared" si="12">IF(B36&lt;&gt;"", IF(B36=B35, "", B36), "")</x:f>
      </x:c>
      <x:c r="G36" s="370" t="n">
        <x:f>IF(C36="","",COUNTIF($B$5:B36,B36))</x:f>
        <x:v>2</x:v>
      </x:c>
      <x:c r="H36" s="370" t="str">
        <x:f t="shared" si="13">IF(AND(C36&lt;&gt;"",OR(C36&lt;&gt;C35,B36&lt;&gt;B35)),C36,"")</x:f>
        <x:v>Salesforce→Azureネットワーク制約確認</x:v>
      </x:c>
      <x:c r="I36" s="372" t="str">
        <x:v>インフラ</x:v>
      </x:c>
      <x:c r="J36" s="372" t="str">
        <x:v>要確認</x:v>
      </x:c>
      <x:c r="K36" s="372"/>
      <x:c r="L36" s="370" t="str">
        <x:f>IF(C36="","","【"&amp;A36&amp;"】"&amp;MAX($E$5:E36)&amp;"-"&amp;G36&amp;"_"&amp;B36&amp;"_"&amp;C36)</x:f>
        <x:v>【次期J Salesforce→Cloudera 恒久対応PoC】5-2_Security・NW・環境準備_Salesforce→Azureネットワーク制約確認</x:v>
      </x:c>
      <x:c r="M36" s="378" t="n">
        <x:v>46265</x:v>
      </x:c>
      <x:c r="N36" s="378" t="n">
        <x:v>46269</x:v>
      </x:c>
      <x:c r="O36" s="372" t="str">
        <x:v>準備中</x:v>
      </x:c>
      <x:c r="P36" s="593"/>
      <x:c r="Q36" s="593"/>
      <x:c r="R36" s="593"/>
      <x:c r="S36" s="593"/>
      <x:c r="T36" s="593"/>
      <x:c r="U36" s="392"/>
      <x:c r="V36" s="392"/>
      <x:c r="W36" s="476"/>
      <x:c r="X36" s="476"/>
      <x:c r="Y36" s="476"/>
      <x:c r="Z36" s="476"/>
      <x:c r="AA36" s="476"/>
      <x:c r="AB36" s="392"/>
      <x:c r="AC36" s="392"/>
      <x:c r="AD36" s="593"/>
      <x:c r="AE36" s="593"/>
      <x:c r="AF36" s="593"/>
      <x:c r="AG36" s="593"/>
      <x:c r="AH36" s="593"/>
      <x:c r="AI36" s="392"/>
      <x:c r="AJ36" s="392"/>
      <x:c r="AK36" s="593"/>
      <x:c r="AL36" s="593"/>
      <x:c r="AM36" s="593"/>
      <x:c r="AN36" s="593"/>
      <x:c r="AO36" s="593"/>
      <x:c r="AP36" s="392"/>
      <x:c r="AQ36" s="392"/>
      <x:c r="AR36" s="392"/>
      <x:c r="AS36" s="392"/>
      <x:c r="AT36" s="392"/>
      <x:c r="AU36" s="593"/>
      <x:c r="AV36" s="593"/>
      <x:c r="AW36" s="392"/>
      <x:c r="AX36" s="392"/>
      <x:c r="AY36" s="593"/>
      <x:c r="AZ36" s="593"/>
      <x:c r="BA36" s="593"/>
      <x:c r="BB36" s="593"/>
      <x:c r="BC36" s="593"/>
      <x:c r="BD36" s="392"/>
      <x:c r="BE36" s="392"/>
      <x:c r="BF36" s="593"/>
      <x:c r="BG36" s="593"/>
      <x:c r="BH36" s="593"/>
      <x:c r="BI36" s="593"/>
      <x:c r="BJ36" s="593"/>
      <x:c r="BK36" s="392"/>
      <x:c r="BL36" s="392"/>
      <x:c r="BM36" s="392"/>
      <x:c r="BN36" s="593"/>
      <x:c r="BO36" s="593"/>
      <x:c r="BP36" s="593"/>
      <x:c r="BQ36" s="593"/>
      <x:c r="BR36" s="392"/>
      <x:c r="BS36" s="392"/>
      <x:c r="BT36" s="593"/>
    </x:row>
    <x:row r="37" ht="24" customHeight="1">
      <x:c r="A37" s="372" t="str">
        <x:v>次期J Salesforce→Cloudera 恒久対応PoC</x:v>
      </x:c>
      <x:c r="B37" s="372" t="str">
        <x:v>Security・NW・環境準備</x:v>
      </x:c>
      <x:c r="C37" s="372" t="str">
        <x:v>Azure側受信環境の準備</x:v>
      </x:c>
      <x:c r="D37" s="370" t="str">
        <x:f t="shared" si="11">IF(A37&lt;&gt;"", IF(A37=A36, "", A37), "")</x:f>
      </x:c>
      <x:c r="E37" s="371" t="str" cm="1">
        <x:f t="array" ref="E37">IF(B37="","",IF(B37&lt;&gt;B36,SUMPRODUCT(($B$5:B37&lt;&gt;$B$4:B36)*($B$5:B37&lt;&gt;"")),""))</x:f>
      </x:c>
      <x:c r="F37" s="370" t="str">
        <x:f t="shared" si="12">IF(B37&lt;&gt;"", IF(B37=B36, "", B37), "")</x:f>
      </x:c>
      <x:c r="G37" s="370" t="n">
        <x:f>IF(C37="","",COUNTIF($B$5:B37,B37))</x:f>
        <x:v>3</x:v>
      </x:c>
      <x:c r="H37" s="370" t="str">
        <x:f t="shared" si="13">IF(AND(C37&lt;&gt;"",OR(C37&lt;&gt;C36,B37&lt;&gt;B36)),C37,"")</x:f>
        <x:v>Azure側受信環境の準備</x:v>
      </x:c>
      <x:c r="I37" s="372" t="str">
        <x:v>インフラ</x:v>
      </x:c>
      <x:c r="J37" s="372" t="str">
        <x:v>要確認</x:v>
      </x:c>
      <x:c r="K37" s="372"/>
      <x:c r="L37" s="370" t="str">
        <x:f>IF(C37="","","【"&amp;A37&amp;"】"&amp;MAX($E$5:E37)&amp;"-"&amp;G37&amp;"_"&amp;B37&amp;"_"&amp;C37)</x:f>
        <x:v>【次期J Salesforce→Cloudera 恒久対応PoC】5-3_Security・NW・環境準備_Azure側受信環境の準備</x:v>
      </x:c>
      <x:c r="M37" s="378" t="n">
        <x:v>46268</x:v>
      </x:c>
      <x:c r="N37" s="378" t="n">
        <x:v>46273</x:v>
      </x:c>
      <x:c r="O37" s="372" t="str">
        <x:v>準備中</x:v>
      </x:c>
      <x:c r="P37" s="593"/>
      <x:c r="Q37" s="593"/>
      <x:c r="R37" s="593"/>
      <x:c r="S37" s="593"/>
      <x:c r="T37" s="593"/>
      <x:c r="U37" s="392"/>
      <x:c r="V37" s="392"/>
      <x:c r="W37" s="593"/>
      <x:c r="X37" s="593"/>
      <x:c r="Y37" s="593"/>
      <x:c r="Z37" s="476"/>
      <x:c r="AA37" s="476"/>
      <x:c r="AB37" s="476"/>
      <x:c r="AC37" s="476"/>
      <x:c r="AD37" s="476"/>
      <x:c r="AE37" s="476"/>
      <x:c r="AF37" s="593"/>
      <x:c r="AG37" s="593"/>
      <x:c r="AH37" s="593"/>
      <x:c r="AI37" s="392"/>
      <x:c r="AJ37" s="392"/>
      <x:c r="AK37" s="593"/>
      <x:c r="AL37" s="593"/>
      <x:c r="AM37" s="593"/>
      <x:c r="AN37" s="593"/>
      <x:c r="AO37" s="593"/>
      <x:c r="AP37" s="392"/>
      <x:c r="AQ37" s="392"/>
      <x:c r="AR37" s="392"/>
      <x:c r="AS37" s="392"/>
      <x:c r="AT37" s="392"/>
      <x:c r="AU37" s="593"/>
      <x:c r="AV37" s="593"/>
      <x:c r="AW37" s="392"/>
      <x:c r="AX37" s="392"/>
      <x:c r="AY37" s="593"/>
      <x:c r="AZ37" s="593"/>
      <x:c r="BA37" s="593"/>
      <x:c r="BB37" s="593"/>
      <x:c r="BC37" s="593"/>
      <x:c r="BD37" s="392"/>
      <x:c r="BE37" s="392"/>
      <x:c r="BF37" s="593"/>
      <x:c r="BG37" s="593"/>
      <x:c r="BH37" s="593"/>
      <x:c r="BI37" s="593"/>
      <x:c r="BJ37" s="593"/>
      <x:c r="BK37" s="392"/>
      <x:c r="BL37" s="392"/>
      <x:c r="BM37" s="392"/>
      <x:c r="BN37" s="593"/>
      <x:c r="BO37" s="593"/>
      <x:c r="BP37" s="593"/>
      <x:c r="BQ37" s="593"/>
      <x:c r="BR37" s="392"/>
      <x:c r="BS37" s="392"/>
      <x:c r="BT37" s="593"/>
    </x:row>
    <x:row r="38" ht="24" customHeight="1">
      <x:c r="A38" s="372" t="str">
        <x:v>次期J Salesforce→Cloudera 恒久対応PoC</x:v>
      </x:c>
      <x:c r="B38" s="372" t="str">
        <x:v>Security・NW・環境準備</x:v>
      </x:c>
      <x:c r="C38" s="372" t="str">
        <x:v>Cloudera側PoC受入環境・接続先の準備</x:v>
      </x:c>
      <x:c r="D38" s="370" t="str">
        <x:f t="shared" si="11">IF(A38&lt;&gt;"", IF(A38=A37, "", A38), "")</x:f>
      </x:c>
      <x:c r="E38" s="371" t="str" cm="1">
        <x:f t="array" ref="E38">IF(B38="","",IF(B38&lt;&gt;B37,SUMPRODUCT(($B$5:B38&lt;&gt;$B$4:B37)*($B$5:B38&lt;&gt;"")),""))</x:f>
      </x:c>
      <x:c r="F38" s="370" t="str">
        <x:f t="shared" si="12">IF(B38&lt;&gt;"", IF(B38=B37, "", B38), "")</x:f>
      </x:c>
      <x:c r="G38" s="370" t="n">
        <x:f>IF(C38="","",COUNTIF($B$5:B38,B38))</x:f>
        <x:v>4</x:v>
      </x:c>
      <x:c r="H38" s="370" t="str">
        <x:f t="shared" si="13">IF(AND(C38&lt;&gt;"",OR(C38&lt;&gt;C37,B38&lt;&gt;B37)),C38,"")</x:f>
        <x:v>Cloudera側PoC受入環境・接続先の準備</x:v>
      </x:c>
      <x:c r="I38" s="372" t="str">
        <x:v>Cloudera</x:v>
      </x:c>
      <x:c r="J38" s="372" t="str">
        <x:v>要確認</x:v>
      </x:c>
      <x:c r="K38" s="372"/>
      <x:c r="L38" s="370" t="str">
        <x:f>IF(C38="","","【"&amp;A38&amp;"】"&amp;MAX($E$5:E38)&amp;"-"&amp;G38&amp;"_"&amp;B38&amp;"_"&amp;C38)</x:f>
        <x:v>【次期J Salesforce→Cloudera 恒久対応PoC】5-4_Security・NW・環境準備_Cloudera側PoC受入環境・接続先の準備</x:v>
      </x:c>
      <x:c r="M38" s="378" t="n">
        <x:v>46268</x:v>
      </x:c>
      <x:c r="N38" s="378" t="n">
        <x:v>46273</x:v>
      </x:c>
      <x:c r="O38" s="372" t="str">
        <x:v>準備中</x:v>
      </x:c>
      <x:c r="P38" s="593"/>
      <x:c r="Q38" s="593"/>
      <x:c r="R38" s="593"/>
      <x:c r="S38" s="593"/>
      <x:c r="T38" s="593"/>
      <x:c r="U38" s="392"/>
      <x:c r="V38" s="392"/>
      <x:c r="W38" s="593"/>
      <x:c r="X38" s="593"/>
      <x:c r="Y38" s="593"/>
      <x:c r="Z38" s="476"/>
      <x:c r="AA38" s="476"/>
      <x:c r="AB38" s="476"/>
      <x:c r="AC38" s="476"/>
      <x:c r="AD38" s="476"/>
      <x:c r="AE38" s="476"/>
      <x:c r="AF38" s="593"/>
      <x:c r="AG38" s="593"/>
      <x:c r="AH38" s="593"/>
      <x:c r="AI38" s="392"/>
      <x:c r="AJ38" s="392"/>
      <x:c r="AK38" s="593"/>
      <x:c r="AL38" s="593"/>
      <x:c r="AM38" s="593"/>
      <x:c r="AN38" s="593"/>
      <x:c r="AO38" s="593"/>
      <x:c r="AP38" s="392"/>
      <x:c r="AQ38" s="392"/>
      <x:c r="AR38" s="392"/>
      <x:c r="AS38" s="392"/>
      <x:c r="AT38" s="392"/>
      <x:c r="AU38" s="593"/>
      <x:c r="AV38" s="593"/>
      <x:c r="AW38" s="392"/>
      <x:c r="AX38" s="392"/>
      <x:c r="AY38" s="593"/>
      <x:c r="AZ38" s="593"/>
      <x:c r="BA38" s="593"/>
      <x:c r="BB38" s="593"/>
      <x:c r="BC38" s="593"/>
      <x:c r="BD38" s="392"/>
      <x:c r="BE38" s="392"/>
      <x:c r="BF38" s="593"/>
      <x:c r="BG38" s="593"/>
      <x:c r="BH38" s="593"/>
      <x:c r="BI38" s="593"/>
      <x:c r="BJ38" s="593"/>
      <x:c r="BK38" s="392"/>
      <x:c r="BL38" s="392"/>
      <x:c r="BM38" s="392"/>
      <x:c r="BN38" s="593"/>
      <x:c r="BO38" s="593"/>
      <x:c r="BP38" s="593"/>
      <x:c r="BQ38" s="593"/>
      <x:c r="BR38" s="392"/>
      <x:c r="BS38" s="392"/>
      <x:c r="BT38" s="593"/>
    </x:row>
    <x:row r="39" ht="24" customHeight="1">
      <x:c r="A39" s="372" t="str">
        <x:v>次期J Salesforce→Cloudera 恒久対応PoC</x:v>
      </x:c>
      <x:c r="B39" s="372" t="str">
        <x:v>Security・NW・環境準備</x:v>
      </x:c>
      <x:c r="C39" s="372" t="str">
        <x:v>Secret・Credential管理方法の設定</x:v>
      </x:c>
      <x:c r="D39" s="370" t="str">
        <x:f t="shared" si="11">IF(A39&lt;&gt;"", IF(A39=A38, "", A39), "")</x:f>
      </x:c>
      <x:c r="E39" s="371" t="str" cm="1">
        <x:f t="array" ref="E39">IF(B39="","",IF(B39&lt;&gt;B38,SUMPRODUCT(($B$5:B39&lt;&gt;$B$4:B38)*($B$5:B39&lt;&gt;"")),""))</x:f>
      </x:c>
      <x:c r="F39" s="370" t="str">
        <x:f t="shared" si="12">IF(B39&lt;&gt;"", IF(B39=B38, "", B39), "")</x:f>
      </x:c>
      <x:c r="G39" s="370" t="n">
        <x:f>IF(C39="","",COUNTIF($B$5:B39,B39))</x:f>
        <x:v>5</x:v>
      </x:c>
      <x:c r="H39" s="370" t="str">
        <x:f t="shared" si="13">IF(AND(C39&lt;&gt;"",OR(C39&lt;&gt;C38,B39&lt;&gt;B38)),C39,"")</x:f>
        <x:v>Secret・Credential管理方法の設定</x:v>
      </x:c>
      <x:c r="I39" s="372" t="str">
        <x:v>インフラ</x:v>
      </x:c>
      <x:c r="J39" s="372" t="str">
        <x:v>要確認</x:v>
      </x:c>
      <x:c r="K39" s="372"/>
      <x:c r="L39" s="370" t="str">
        <x:f>IF(C39="","","【"&amp;A39&amp;"】"&amp;MAX($E$5:E39)&amp;"-"&amp;G39&amp;"_"&amp;B39&amp;"_"&amp;C39)</x:f>
        <x:v>【次期J Salesforce→Cloudera 恒久対応PoC】5-5_Security・NW・環境準備_Secret・Credential管理方法の設定</x:v>
      </x:c>
      <x:c r="M39" s="378" t="n">
        <x:v>46269</x:v>
      </x:c>
      <x:c r="N39" s="378" t="n">
        <x:v>46274</x:v>
      </x:c>
      <x:c r="O39" s="372" t="str">
        <x:v>準備中</x:v>
      </x:c>
      <x:c r="P39" s="593"/>
      <x:c r="Q39" s="593"/>
      <x:c r="R39" s="593"/>
      <x:c r="S39" s="593"/>
      <x:c r="T39" s="593"/>
      <x:c r="U39" s="392"/>
      <x:c r="V39" s="392"/>
      <x:c r="W39" s="593"/>
      <x:c r="X39" s="593"/>
      <x:c r="Y39" s="593"/>
      <x:c r="Z39" s="593"/>
      <x:c r="AA39" s="476"/>
      <x:c r="AB39" s="476"/>
      <x:c r="AC39" s="476"/>
      <x:c r="AD39" s="476"/>
      <x:c r="AE39" s="476"/>
      <x:c r="AF39" s="476"/>
      <x:c r="AG39" s="593"/>
      <x:c r="AH39" s="593"/>
      <x:c r="AI39" s="392"/>
      <x:c r="AJ39" s="392"/>
      <x:c r="AK39" s="593"/>
      <x:c r="AL39" s="593"/>
      <x:c r="AM39" s="593"/>
      <x:c r="AN39" s="593"/>
      <x:c r="AO39" s="593"/>
      <x:c r="AP39" s="392"/>
      <x:c r="AQ39" s="392"/>
      <x:c r="AR39" s="392"/>
      <x:c r="AS39" s="392"/>
      <x:c r="AT39" s="392"/>
      <x:c r="AU39" s="593"/>
      <x:c r="AV39" s="593"/>
      <x:c r="AW39" s="392"/>
      <x:c r="AX39" s="392"/>
      <x:c r="AY39" s="593"/>
      <x:c r="AZ39" s="593"/>
      <x:c r="BA39" s="593"/>
      <x:c r="BB39" s="593"/>
      <x:c r="BC39" s="593"/>
      <x:c r="BD39" s="392"/>
      <x:c r="BE39" s="392"/>
      <x:c r="BF39" s="593"/>
      <x:c r="BG39" s="593"/>
      <x:c r="BH39" s="593"/>
      <x:c r="BI39" s="593"/>
      <x:c r="BJ39" s="593"/>
      <x:c r="BK39" s="392"/>
      <x:c r="BL39" s="392"/>
      <x:c r="BM39" s="392"/>
      <x:c r="BN39" s="593"/>
      <x:c r="BO39" s="593"/>
      <x:c r="BP39" s="593"/>
      <x:c r="BQ39" s="593"/>
      <x:c r="BR39" s="392"/>
      <x:c r="BS39" s="392"/>
      <x:c r="BT39" s="593"/>
    </x:row>
    <x:row r="40" ht="24" customHeight="1">
      <x:c r="A40" s="372" t="str">
        <x:v>次期J Salesforce→Cloudera 恒久対応PoC</x:v>
      </x:c>
      <x:c r="B40" s="372" t="str">
        <x:v>Security・NW・環境準備</x:v>
      </x:c>
      <x:c r="C40" s="372" t="str">
        <x:v>接続・権限・疎通の事前確認</x:v>
      </x:c>
      <x:c r="D40" s="370" t="str">
        <x:f t="shared" si="11">IF(A40&lt;&gt;"", IF(A40=A39, "", A40), "")</x:f>
      </x:c>
      <x:c r="E40" s="371" t="str" cm="1">
        <x:f t="array" ref="E40">IF(B40="","",IF(B40&lt;&gt;B39,SUMPRODUCT(($B$5:B40&lt;&gt;$B$4:B39)*($B$5:B40&lt;&gt;"")),""))</x:f>
      </x:c>
      <x:c r="F40" s="370" t="str">
        <x:f t="shared" si="12">IF(B40&lt;&gt;"", IF(B40=B39, "", B40), "")</x:f>
      </x:c>
      <x:c r="G40" s="370" t="n">
        <x:f>IF(C40="","",COUNTIF($B$5:B40,B40))</x:f>
        <x:v>6</x:v>
      </x:c>
      <x:c r="H40" s="370" t="str">
        <x:f t="shared" si="13">IF(AND(C40&lt;&gt;"",OR(C40&lt;&gt;C39,B40&lt;&gt;B39)),C40,"")</x:f>
        <x:v>接続・権限・疎通の事前確認</x:v>
      </x:c>
      <x:c r="I40" s="372" t="str">
        <x:v>インフラ</x:v>
      </x:c>
      <x:c r="J40" s="372" t="str">
        <x:v>要確認</x:v>
      </x:c>
      <x:c r="K40" s="372"/>
      <x:c r="L40" s="370" t="str">
        <x:f>IF(C40="","","【"&amp;A40&amp;"】"&amp;MAX($E$5:E40)&amp;"-"&amp;G40&amp;"_"&amp;B40&amp;"_"&amp;C40)</x:f>
        <x:v>【次期J Salesforce→Cloudera 恒久対応PoC】5-6_Security・NW・環境準備_接続・権限・疎通の事前確認</x:v>
      </x:c>
      <x:c r="M40" s="378" t="n">
        <x:v>46272</x:v>
      </x:c>
      <x:c r="N40" s="378" t="n">
        <x:v>46274</x:v>
      </x:c>
      <x:c r="O40" s="372" t="str">
        <x:v>準備中</x:v>
      </x:c>
      <x:c r="P40" s="593"/>
      <x:c r="Q40" s="593"/>
      <x:c r="R40" s="593"/>
      <x:c r="S40" s="593"/>
      <x:c r="T40" s="593"/>
      <x:c r="U40" s="392"/>
      <x:c r="V40" s="392"/>
      <x:c r="W40" s="593"/>
      <x:c r="X40" s="593"/>
      <x:c r="Y40" s="593"/>
      <x:c r="Z40" s="593"/>
      <x:c r="AA40" s="593"/>
      <x:c r="AB40" s="392"/>
      <x:c r="AC40" s="392"/>
      <x:c r="AD40" s="476"/>
      <x:c r="AE40" s="476"/>
      <x:c r="AF40" s="476"/>
      <x:c r="AG40" s="593"/>
      <x:c r="AH40" s="593"/>
      <x:c r="AI40" s="392"/>
      <x:c r="AJ40" s="392"/>
      <x:c r="AK40" s="593"/>
      <x:c r="AL40" s="593"/>
      <x:c r="AM40" s="593"/>
      <x:c r="AN40" s="593"/>
      <x:c r="AO40" s="593"/>
      <x:c r="AP40" s="392"/>
      <x:c r="AQ40" s="392"/>
      <x:c r="AR40" s="392"/>
      <x:c r="AS40" s="392"/>
      <x:c r="AT40" s="392"/>
      <x:c r="AU40" s="593"/>
      <x:c r="AV40" s="593"/>
      <x:c r="AW40" s="392"/>
      <x:c r="AX40" s="392"/>
      <x:c r="AY40" s="593"/>
      <x:c r="AZ40" s="593"/>
      <x:c r="BA40" s="593"/>
      <x:c r="BB40" s="593"/>
      <x:c r="BC40" s="593"/>
      <x:c r="BD40" s="392"/>
      <x:c r="BE40" s="392"/>
      <x:c r="BF40" s="593"/>
      <x:c r="BG40" s="593"/>
      <x:c r="BH40" s="593"/>
      <x:c r="BI40" s="593"/>
      <x:c r="BJ40" s="593"/>
      <x:c r="BK40" s="392"/>
      <x:c r="BL40" s="392"/>
      <x:c r="BM40" s="392"/>
      <x:c r="BN40" s="593"/>
      <x:c r="BO40" s="593"/>
      <x:c r="BP40" s="593"/>
      <x:c r="BQ40" s="593"/>
      <x:c r="BR40" s="392"/>
      <x:c r="BS40" s="392"/>
      <x:c r="BT40" s="593"/>
    </x:row>
    <x:row r="41" ht="24" customHeight="1">
      <x:c r="A41" s="372" t="str">
        <x:v>次期J Salesforce→Cloudera 恒久対応PoC</x:v>
      </x:c>
      <x:c r="B41" s="372" t="str">
        <x:v>PoC構築</x:v>
      </x:c>
      <x:c r="C41" s="372" t="str">
        <x:v>Salesforce CDC/Event設定</x:v>
      </x:c>
      <x:c r="D41" s="370" t="str">
        <x:f t="shared" si="11">IF(A41&lt;&gt;"", IF(A41=A40, "", A41), "")</x:f>
      </x:c>
      <x:c r="E41" s="371" t="n" cm="1">
        <x:f t="array" ref="E41">IF(B41="","",IF(B41&lt;&gt;B40,SUMPRODUCT(($B$5:B41&lt;&gt;$B$4:B40)*($B$5:B41&lt;&gt;"")),""))</x:f>
        <x:v>6</x:v>
      </x:c>
      <x:c r="F41" s="370" t="str">
        <x:f t="shared" si="12">IF(B41&lt;&gt;"", IF(B41=B40, "", B41), "")</x:f>
        <x:v>PoC構築</x:v>
      </x:c>
      <x:c r="G41" s="370" t="n">
        <x:f>IF(C41="","",COUNTIF($B$5:B41,B41))</x:f>
        <x:v>1</x:v>
      </x:c>
      <x:c r="H41" s="370" t="str">
        <x:f t="shared" si="13">IF(AND(C41&lt;&gt;"",OR(C41&lt;&gt;C40,B41&lt;&gt;B40)),C41,"")</x:f>
        <x:v>Salesforce CDC/Event設定</x:v>
      </x:c>
      <x:c r="I41" s="372" t="str">
        <x:v>データ基盤</x:v>
      </x:c>
      <x:c r="J41" s="372" t="str">
        <x:v>要確認（Salesforce側）</x:v>
      </x:c>
      <x:c r="K41" s="372"/>
      <x:c r="L41" s="370" t="str">
        <x:f>IF(C41="","","【"&amp;A41&amp;"】"&amp;MAX($E$5:E41)&amp;"-"&amp;G41&amp;"_"&amp;B41&amp;"_"&amp;C41)</x:f>
        <x:v>【次期J Salesforce→Cloudera 恒久対応PoC】6-1_PoC構築_Salesforce CDC/Event設定</x:v>
      </x:c>
      <x:c r="M41" s="378" t="n">
        <x:v>46272</x:v>
      </x:c>
      <x:c r="N41" s="378" t="n">
        <x:v>46275</x:v>
      </x:c>
      <x:c r="O41" s="372" t="str">
        <x:v>準備中</x:v>
      </x:c>
      <x:c r="P41" s="593"/>
      <x:c r="Q41" s="593"/>
      <x:c r="R41" s="593"/>
      <x:c r="S41" s="593"/>
      <x:c r="T41" s="593"/>
      <x:c r="U41" s="392"/>
      <x:c r="V41" s="392"/>
      <x:c r="W41" s="593"/>
      <x:c r="X41" s="593"/>
      <x:c r="Y41" s="593"/>
      <x:c r="Z41" s="593"/>
      <x:c r="AA41" s="593"/>
      <x:c r="AB41" s="392"/>
      <x:c r="AC41" s="392"/>
      <x:c r="AD41" s="476"/>
      <x:c r="AE41" s="476"/>
      <x:c r="AF41" s="476"/>
      <x:c r="AG41" s="476"/>
      <x:c r="AH41" s="593"/>
      <x:c r="AI41" s="392"/>
      <x:c r="AJ41" s="392"/>
      <x:c r="AK41" s="593"/>
      <x:c r="AL41" s="593"/>
      <x:c r="AM41" s="593"/>
      <x:c r="AN41" s="593"/>
      <x:c r="AO41" s="593"/>
      <x:c r="AP41" s="392"/>
      <x:c r="AQ41" s="392"/>
      <x:c r="AR41" s="392"/>
      <x:c r="AS41" s="392"/>
      <x:c r="AT41" s="392"/>
      <x:c r="AU41" s="593"/>
      <x:c r="AV41" s="593"/>
      <x:c r="AW41" s="392"/>
      <x:c r="AX41" s="392"/>
      <x:c r="AY41" s="593"/>
      <x:c r="AZ41" s="593"/>
      <x:c r="BA41" s="593"/>
      <x:c r="BB41" s="593"/>
      <x:c r="BC41" s="593"/>
      <x:c r="BD41" s="392"/>
      <x:c r="BE41" s="392"/>
      <x:c r="BF41" s="593"/>
      <x:c r="BG41" s="593"/>
      <x:c r="BH41" s="593"/>
      <x:c r="BI41" s="593"/>
      <x:c r="BJ41" s="593"/>
      <x:c r="BK41" s="392"/>
      <x:c r="BL41" s="392"/>
      <x:c r="BM41" s="392"/>
      <x:c r="BN41" s="593"/>
      <x:c r="BO41" s="593"/>
      <x:c r="BP41" s="593"/>
      <x:c r="BQ41" s="593"/>
      <x:c r="BR41" s="392"/>
      <x:c r="BS41" s="392"/>
      <x:c r="BT41" s="593"/>
    </x:row>
    <x:row r="42" ht="24" customHeight="1">
      <x:c r="A42" s="372" t="str">
        <x:v>次期J Salesforce→Cloudera 恒久対応PoC</x:v>
      </x:c>
      <x:c r="B42" s="372" t="str">
        <x:v>PoC構築</x:v>
      </x:c>
      <x:c r="C42" s="372" t="str">
        <x:v>Azure Event Consumer最小実装</x:v>
      </x:c>
      <x:c r="D42" s="370" t="str">
        <x:f t="shared" si="11">IF(A42&lt;&gt;"", IF(A42=A41, "", A42), "")</x:f>
      </x:c>
      <x:c r="E42" s="371" t="str" cm="1">
        <x:f t="array" ref="E42">IF(B42="","",IF(B42&lt;&gt;B41,SUMPRODUCT(($B$5:B42&lt;&gt;$B$4:B41)*($B$5:B42&lt;&gt;"")),""))</x:f>
      </x:c>
      <x:c r="F42" s="370" t="str">
        <x:f t="shared" si="12">IF(B42&lt;&gt;"", IF(B42=B41, "", B42), "")</x:f>
      </x:c>
      <x:c r="G42" s="370" t="n">
        <x:f>IF(C42="","",COUNTIF($B$5:B42,B42))</x:f>
        <x:v>2</x:v>
      </x:c>
      <x:c r="H42" s="370" t="str">
        <x:f t="shared" si="13">IF(AND(C42&lt;&gt;"",OR(C42&lt;&gt;C41,B42&lt;&gt;B41)),C42,"")</x:f>
        <x:v>Azure Event Consumer最小実装</x:v>
      </x:c>
      <x:c r="I42" s="372" t="str">
        <x:v>データ基盤</x:v>
      </x:c>
      <x:c r="J42" s="372" t="str">
        <x:v>要確認</x:v>
      </x:c>
      <x:c r="K42" s="372"/>
      <x:c r="L42" s="370" t="str">
        <x:f>IF(C42="","","【"&amp;A42&amp;"】"&amp;MAX($E$5:E42)&amp;"-"&amp;G42&amp;"_"&amp;B42&amp;"_"&amp;C42)</x:f>
        <x:v>【次期J Salesforce→Cloudera 恒久対応PoC】6-2_PoC構築_Azure Event Consumer最小実装</x:v>
      </x:c>
      <x:c r="M42" s="378" t="n">
        <x:v>46272</x:v>
      </x:c>
      <x:c r="N42" s="378" t="n">
        <x:v>46276</x:v>
      </x:c>
      <x:c r="O42" s="372" t="str">
        <x:v>準備中</x:v>
      </x:c>
      <x:c r="P42" s="593"/>
      <x:c r="Q42" s="593"/>
      <x:c r="R42" s="593"/>
      <x:c r="S42" s="593"/>
      <x:c r="T42" s="593"/>
      <x:c r="U42" s="392"/>
      <x:c r="V42" s="392"/>
      <x:c r="W42" s="593"/>
      <x:c r="X42" s="593"/>
      <x:c r="Y42" s="593"/>
      <x:c r="Z42" s="593"/>
      <x:c r="AA42" s="593"/>
      <x:c r="AB42" s="392"/>
      <x:c r="AC42" s="392"/>
      <x:c r="AD42" s="476"/>
      <x:c r="AE42" s="476"/>
      <x:c r="AF42" s="476"/>
      <x:c r="AG42" s="476"/>
      <x:c r="AH42" s="476"/>
      <x:c r="AI42" s="392"/>
      <x:c r="AJ42" s="392"/>
      <x:c r="AK42" s="593"/>
      <x:c r="AL42" s="593"/>
      <x:c r="AM42" s="593"/>
      <x:c r="AN42" s="593"/>
      <x:c r="AO42" s="593"/>
      <x:c r="AP42" s="392"/>
      <x:c r="AQ42" s="392"/>
      <x:c r="AR42" s="392"/>
      <x:c r="AS42" s="392"/>
      <x:c r="AT42" s="392"/>
      <x:c r="AU42" s="593"/>
      <x:c r="AV42" s="593"/>
      <x:c r="AW42" s="392"/>
      <x:c r="AX42" s="392"/>
      <x:c r="AY42" s="593"/>
      <x:c r="AZ42" s="593"/>
      <x:c r="BA42" s="593"/>
      <x:c r="BB42" s="593"/>
      <x:c r="BC42" s="593"/>
      <x:c r="BD42" s="392"/>
      <x:c r="BE42" s="392"/>
      <x:c r="BF42" s="593"/>
      <x:c r="BG42" s="593"/>
      <x:c r="BH42" s="593"/>
      <x:c r="BI42" s="593"/>
      <x:c r="BJ42" s="593"/>
      <x:c r="BK42" s="392"/>
      <x:c r="BL42" s="392"/>
      <x:c r="BM42" s="392"/>
      <x:c r="BN42" s="593"/>
      <x:c r="BO42" s="593"/>
      <x:c r="BP42" s="593"/>
      <x:c r="BQ42" s="593"/>
      <x:c r="BR42" s="392"/>
      <x:c r="BS42" s="392"/>
      <x:c r="BT42" s="593"/>
    </x:row>
    <x:row r="43" ht="24" customHeight="1">
      <x:c r="A43" s="372" t="str">
        <x:v>次期J Salesforce→Cloudera 恒久対応PoC</x:v>
      </x:c>
      <x:c r="B43" s="372" t="str">
        <x:v>PoC構築</x:v>
      </x:c>
      <x:c r="C43" s="372" t="str">
        <x:v>イベント受信ログ・Evidence取得機能の準備</x:v>
      </x:c>
      <x:c r="D43" s="370" t="str">
        <x:f t="shared" si="11">IF(A43&lt;&gt;"", IF(A43=A42, "", A43), "")</x:f>
      </x:c>
      <x:c r="E43" s="371" t="str" cm="1">
        <x:f t="array" ref="E43">IF(B43="","",IF(B43&lt;&gt;B42,SUMPRODUCT(($B$5:B43&lt;&gt;$B$4:B42)*($B$5:B43&lt;&gt;"")),""))</x:f>
      </x:c>
      <x:c r="F43" s="370" t="str">
        <x:f t="shared" si="12">IF(B43&lt;&gt;"", IF(B43=B42, "", B43), "")</x:f>
      </x:c>
      <x:c r="G43" s="370" t="n">
        <x:f>IF(C43="","",COUNTIF($B$5:B43,B43))</x:f>
        <x:v>3</x:v>
      </x:c>
      <x:c r="H43" s="370" t="str">
        <x:f t="shared" si="13">IF(AND(C43&lt;&gt;"",OR(C43&lt;&gt;C42,B43&lt;&gt;B42)),C43,"")</x:f>
        <x:v>イベント受信ログ・Evidence取得機能の準備</x:v>
      </x:c>
      <x:c r="I43" s="372" t="str">
        <x:v>データ基盤</x:v>
      </x:c>
      <x:c r="J43" s="372" t="str">
        <x:v>要確認</x:v>
      </x:c>
      <x:c r="K43" s="372"/>
      <x:c r="L43" s="370" t="str">
        <x:f>IF(C43="","","【"&amp;A43&amp;"】"&amp;MAX($E$5:E43)&amp;"-"&amp;G43&amp;"_"&amp;B43&amp;"_"&amp;C43)</x:f>
        <x:v>【次期J Salesforce→Cloudera 恒久対応PoC】6-3_PoC構築_イベント受信ログ・Evidence取得機能の準備</x:v>
      </x:c>
      <x:c r="M43" s="378" t="n">
        <x:v>46273</x:v>
      </x:c>
      <x:c r="N43" s="378" t="n">
        <x:v>46276</x:v>
      </x:c>
      <x:c r="O43" s="372" t="str">
        <x:v>準備中</x:v>
      </x:c>
      <x:c r="P43" s="593"/>
      <x:c r="Q43" s="593"/>
      <x:c r="R43" s="593"/>
      <x:c r="S43" s="593"/>
      <x:c r="T43" s="593"/>
      <x:c r="U43" s="392"/>
      <x:c r="V43" s="392"/>
      <x:c r="W43" s="593"/>
      <x:c r="X43" s="593"/>
      <x:c r="Y43" s="593"/>
      <x:c r="Z43" s="593"/>
      <x:c r="AA43" s="593"/>
      <x:c r="AB43" s="392"/>
      <x:c r="AC43" s="392"/>
      <x:c r="AD43" s="593"/>
      <x:c r="AE43" s="476"/>
      <x:c r="AF43" s="476"/>
      <x:c r="AG43" s="476"/>
      <x:c r="AH43" s="476"/>
      <x:c r="AI43" s="392"/>
      <x:c r="AJ43" s="392"/>
      <x:c r="AK43" s="593"/>
      <x:c r="AL43" s="593"/>
      <x:c r="AM43" s="593"/>
      <x:c r="AN43" s="593"/>
      <x:c r="AO43" s="593"/>
      <x:c r="AP43" s="392"/>
      <x:c r="AQ43" s="392"/>
      <x:c r="AR43" s="392"/>
      <x:c r="AS43" s="392"/>
      <x:c r="AT43" s="392"/>
      <x:c r="AU43" s="593"/>
      <x:c r="AV43" s="593"/>
      <x:c r="AW43" s="392"/>
      <x:c r="AX43" s="392"/>
      <x:c r="AY43" s="593"/>
      <x:c r="AZ43" s="593"/>
      <x:c r="BA43" s="593"/>
      <x:c r="BB43" s="593"/>
      <x:c r="BC43" s="593"/>
      <x:c r="BD43" s="392"/>
      <x:c r="BE43" s="392"/>
      <x:c r="BF43" s="593"/>
      <x:c r="BG43" s="593"/>
      <x:c r="BH43" s="593"/>
      <x:c r="BI43" s="593"/>
      <x:c r="BJ43" s="593"/>
      <x:c r="BK43" s="392"/>
      <x:c r="BL43" s="392"/>
      <x:c r="BM43" s="392"/>
      <x:c r="BN43" s="593"/>
      <x:c r="BO43" s="593"/>
      <x:c r="BP43" s="593"/>
      <x:c r="BQ43" s="593"/>
      <x:c r="BR43" s="392"/>
      <x:c r="BS43" s="392"/>
      <x:c r="BT43" s="593"/>
    </x:row>
    <x:row r="44" ht="24" customHeight="1">
      <x:c r="A44" s="372" t="str">
        <x:v>次期J Salesforce→Cloudera 恒久対応PoC</x:v>
      </x:c>
      <x:c r="B44" s="372" t="str">
        <x:v>PoC構築</x:v>
      </x:c>
      <x:c r="C44" s="372" t="str">
        <x:v>Azure→Cloudera連携処理の最小実装</x:v>
      </x:c>
      <x:c r="D44" s="370" t="str">
        <x:f t="shared" si="11">IF(A44&lt;&gt;"", IF(A44=A43, "", A44), "")</x:f>
      </x:c>
      <x:c r="E44" s="371" t="str" cm="1">
        <x:f t="array" ref="E44">IF(B44="","",IF(B44&lt;&gt;B43,SUMPRODUCT(($B$5:B44&lt;&gt;$B$4:B43)*($B$5:B44&lt;&gt;"")),""))</x:f>
      </x:c>
      <x:c r="F44" s="370" t="str">
        <x:f t="shared" si="12">IF(B44&lt;&gt;"", IF(B44=B43, "", B44), "")</x:f>
      </x:c>
      <x:c r="G44" s="370" t="n">
        <x:f>IF(C44="","",COUNTIF($B$5:B44,B44))</x:f>
        <x:v>4</x:v>
      </x:c>
      <x:c r="H44" s="370" t="str">
        <x:f t="shared" si="13">IF(AND(C44&lt;&gt;"",OR(C44&lt;&gt;C43,B44&lt;&gt;B43)),C44,"")</x:f>
        <x:v>Azure→Cloudera連携処理の最小実装</x:v>
      </x:c>
      <x:c r="I44" s="372" t="str">
        <x:v>Cloudera</x:v>
      </x:c>
      <x:c r="J44" s="372" t="str">
        <x:v>要確認</x:v>
      </x:c>
      <x:c r="K44" s="372"/>
      <x:c r="L44" s="370" t="str">
        <x:f>IF(C44="","","【"&amp;A44&amp;"】"&amp;MAX($E$5:E44)&amp;"-"&amp;G44&amp;"_"&amp;B44&amp;"_"&amp;C44)</x:f>
        <x:v>【次期J Salesforce→Cloudera 恒久対応PoC】6-4_PoC構築_Azure→Cloudera連携処理の最小実装</x:v>
      </x:c>
      <x:c r="M44" s="378" t="n">
        <x:v>46273</x:v>
      </x:c>
      <x:c r="N44" s="378" t="n">
        <x:v>46279</x:v>
      </x:c>
      <x:c r="O44" s="372" t="str">
        <x:v>準備中</x:v>
      </x:c>
      <x:c r="P44" s="593"/>
      <x:c r="Q44" s="593"/>
      <x:c r="R44" s="593"/>
      <x:c r="S44" s="593"/>
      <x:c r="T44" s="593"/>
      <x:c r="U44" s="392"/>
      <x:c r="V44" s="392"/>
      <x:c r="W44" s="593"/>
      <x:c r="X44" s="593"/>
      <x:c r="Y44" s="593"/>
      <x:c r="Z44" s="593"/>
      <x:c r="AA44" s="593"/>
      <x:c r="AB44" s="392"/>
      <x:c r="AC44" s="392"/>
      <x:c r="AD44" s="593"/>
      <x:c r="AE44" s="476"/>
      <x:c r="AF44" s="476"/>
      <x:c r="AG44" s="476"/>
      <x:c r="AH44" s="476"/>
      <x:c r="AI44" s="476"/>
      <x:c r="AJ44" s="476"/>
      <x:c r="AK44" s="476"/>
      <x:c r="AL44" s="593"/>
      <x:c r="AM44" s="593"/>
      <x:c r="AN44" s="593"/>
      <x:c r="AO44" s="593"/>
      <x:c r="AP44" s="392"/>
      <x:c r="AQ44" s="392"/>
      <x:c r="AR44" s="392"/>
      <x:c r="AS44" s="392"/>
      <x:c r="AT44" s="392"/>
      <x:c r="AU44" s="593"/>
      <x:c r="AV44" s="593"/>
      <x:c r="AW44" s="392"/>
      <x:c r="AX44" s="392"/>
      <x:c r="AY44" s="593"/>
      <x:c r="AZ44" s="593"/>
      <x:c r="BA44" s="593"/>
      <x:c r="BB44" s="593"/>
      <x:c r="BC44" s="593"/>
      <x:c r="BD44" s="392"/>
      <x:c r="BE44" s="392"/>
      <x:c r="BF44" s="593"/>
      <x:c r="BG44" s="593"/>
      <x:c r="BH44" s="593"/>
      <x:c r="BI44" s="593"/>
      <x:c r="BJ44" s="593"/>
      <x:c r="BK44" s="392"/>
      <x:c r="BL44" s="392"/>
      <x:c r="BM44" s="392"/>
      <x:c r="BN44" s="593"/>
      <x:c r="BO44" s="593"/>
      <x:c r="BP44" s="593"/>
      <x:c r="BQ44" s="593"/>
      <x:c r="BR44" s="392"/>
      <x:c r="BS44" s="392"/>
      <x:c r="BT44" s="593"/>
    </x:row>
    <x:row r="45" ht="24" customHeight="1">
      <x:c r="A45" s="372" t="str">
        <x:v>次期J Salesforce→Cloudera 恒久対応PoC</x:v>
      </x:c>
      <x:c r="B45" s="372" t="str">
        <x:v>PoC構築</x:v>
      </x:c>
      <x:c r="C45" s="372" t="str">
        <x:v>Cloudera側データ確認先・受入処理準備</x:v>
      </x:c>
      <x:c r="D45" s="370" t="str">
        <x:f t="shared" si="11">IF(A45&lt;&gt;"", IF(A45=A44, "", A45), "")</x:f>
      </x:c>
      <x:c r="E45" s="371" t="str" cm="1">
        <x:f t="array" ref="E45">IF(B45="","",IF(B45&lt;&gt;B44,SUMPRODUCT(($B$5:B45&lt;&gt;$B$4:B44)*($B$5:B45&lt;&gt;"")),""))</x:f>
      </x:c>
      <x:c r="F45" s="370" t="str">
        <x:f t="shared" si="12">IF(B45&lt;&gt;"", IF(B45=B44, "", B45), "")</x:f>
      </x:c>
      <x:c r="G45" s="370" t="n">
        <x:f>IF(C45="","",COUNTIF($B$5:B45,B45))</x:f>
        <x:v>5</x:v>
      </x:c>
      <x:c r="H45" s="370" t="str">
        <x:f t="shared" si="13">IF(AND(C45&lt;&gt;"",OR(C45&lt;&gt;C44,B45&lt;&gt;B44)),C45,"")</x:f>
        <x:v>Cloudera側データ確認先・受入処理準備</x:v>
      </x:c>
      <x:c r="I45" s="372" t="str">
        <x:v>Cloudera</x:v>
      </x:c>
      <x:c r="J45" s="372" t="str">
        <x:v>要確認</x:v>
      </x:c>
      <x:c r="K45" s="372"/>
      <x:c r="L45" s="370" t="str">
        <x:f>IF(C45="","","【"&amp;A45&amp;"】"&amp;MAX($E$5:E45)&amp;"-"&amp;G45&amp;"_"&amp;B45&amp;"_"&amp;C45)</x:f>
        <x:v>【次期J Salesforce→Cloudera 恒久対応PoC】6-5_PoC構築_Cloudera側データ確認先・受入処理準備</x:v>
      </x:c>
      <x:c r="M45" s="378" t="n">
        <x:v>46273</x:v>
      </x:c>
      <x:c r="N45" s="378" t="n">
        <x:v>46279</x:v>
      </x:c>
      <x:c r="O45" s="372" t="str">
        <x:v>準備中</x:v>
      </x:c>
      <x:c r="P45" s="593"/>
      <x:c r="Q45" s="593"/>
      <x:c r="R45" s="593"/>
      <x:c r="S45" s="593"/>
      <x:c r="T45" s="593"/>
      <x:c r="U45" s="392"/>
      <x:c r="V45" s="392"/>
      <x:c r="W45" s="593"/>
      <x:c r="X45" s="593"/>
      <x:c r="Y45" s="593"/>
      <x:c r="Z45" s="593"/>
      <x:c r="AA45" s="593"/>
      <x:c r="AB45" s="392"/>
      <x:c r="AC45" s="392"/>
      <x:c r="AD45" s="593"/>
      <x:c r="AE45" s="476"/>
      <x:c r="AF45" s="476"/>
      <x:c r="AG45" s="476"/>
      <x:c r="AH45" s="476"/>
      <x:c r="AI45" s="476"/>
      <x:c r="AJ45" s="476"/>
      <x:c r="AK45" s="476"/>
      <x:c r="AL45" s="593"/>
      <x:c r="AM45" s="593"/>
      <x:c r="AN45" s="593"/>
      <x:c r="AO45" s="593"/>
      <x:c r="AP45" s="392"/>
      <x:c r="AQ45" s="392"/>
      <x:c r="AR45" s="392"/>
      <x:c r="AS45" s="392"/>
      <x:c r="AT45" s="392"/>
      <x:c r="AU45" s="593"/>
      <x:c r="AV45" s="593"/>
      <x:c r="AW45" s="392"/>
      <x:c r="AX45" s="392"/>
      <x:c r="AY45" s="593"/>
      <x:c r="AZ45" s="593"/>
      <x:c r="BA45" s="593"/>
      <x:c r="BB45" s="593"/>
      <x:c r="BC45" s="593"/>
      <x:c r="BD45" s="392"/>
      <x:c r="BE45" s="392"/>
      <x:c r="BF45" s="593"/>
      <x:c r="BG45" s="593"/>
      <x:c r="BH45" s="593"/>
      <x:c r="BI45" s="593"/>
      <x:c r="BJ45" s="593"/>
      <x:c r="BK45" s="392"/>
      <x:c r="BL45" s="392"/>
      <x:c r="BM45" s="392"/>
      <x:c r="BN45" s="593"/>
      <x:c r="BO45" s="593"/>
      <x:c r="BP45" s="593"/>
      <x:c r="BQ45" s="593"/>
      <x:c r="BR45" s="392"/>
      <x:c r="BS45" s="392"/>
      <x:c r="BT45" s="593"/>
    </x:row>
    <x:row r="46" ht="24" customHeight="1">
      <x:c r="A46" s="372" t="str">
        <x:v>次期J Salesforce→Cloudera 恒久対応PoC</x:v>
      </x:c>
      <x:c r="B46" s="372" t="str">
        <x:v>PoC構築</x:v>
      </x:c>
      <x:c r="C46" s="372" t="str">
        <x:v>単一レコードでの最小E2E疎通</x:v>
      </x:c>
      <x:c r="D46" s="370" t="str">
        <x:f t="shared" si="11">IF(A46&lt;&gt;"", IF(A46=A45, "", A46), "")</x:f>
      </x:c>
      <x:c r="E46" s="371" t="str" cm="1">
        <x:f t="array" ref="E46">IF(B46="","",IF(B46&lt;&gt;B45,SUMPRODUCT(($B$5:B46&lt;&gt;$B$4:B45)*($B$5:B46&lt;&gt;"")),""))</x:f>
      </x:c>
      <x:c r="F46" s="370" t="str">
        <x:f t="shared" si="12">IF(B46&lt;&gt;"", IF(B46=B45, "", B46), "")</x:f>
      </x:c>
      <x:c r="G46" s="370" t="n">
        <x:f>IF(C46="","",COUNTIF($B$5:B46,B46))</x:f>
        <x:v>6</x:v>
      </x:c>
      <x:c r="H46" s="370" t="str">
        <x:f t="shared" si="13">IF(AND(C46&lt;&gt;"",OR(C46&lt;&gt;C45,B46&lt;&gt;B45)),C46,"")</x:f>
        <x:v>単一レコードでの最小E2E疎通</x:v>
      </x:c>
      <x:c r="I46" s="372" t="str">
        <x:v>データ基盤</x:v>
      </x:c>
      <x:c r="J46" s="372" t="str">
        <x:v>ワタル／要確認</x:v>
      </x:c>
      <x:c r="K46" s="372"/>
      <x:c r="L46" s="370" t="str">
        <x:f>IF(C46="","","【"&amp;A46&amp;"】"&amp;MAX($E$5:E46)&amp;"-"&amp;G46&amp;"_"&amp;B46&amp;"_"&amp;C46)</x:f>
        <x:v>【次期J Salesforce→Cloudera 恒久対応PoC】6-6_PoC構築_単一レコードでの最小E2E疎通</x:v>
      </x:c>
      <x:c r="M46" s="378" t="n">
        <x:v>46275</x:v>
      </x:c>
      <x:c r="N46" s="378" t="n">
        <x:v>46279</x:v>
      </x:c>
      <x:c r="O46" s="372" t="str">
        <x:v>準備中</x:v>
      </x:c>
      <x:c r="P46" s="593"/>
      <x:c r="Q46" s="593"/>
      <x:c r="R46" s="593"/>
      <x:c r="S46" s="593"/>
      <x:c r="T46" s="593"/>
      <x:c r="U46" s="392"/>
      <x:c r="V46" s="392"/>
      <x:c r="W46" s="593"/>
      <x:c r="X46" s="593"/>
      <x:c r="Y46" s="593"/>
      <x:c r="Z46" s="593"/>
      <x:c r="AA46" s="593"/>
      <x:c r="AB46" s="392"/>
      <x:c r="AC46" s="392"/>
      <x:c r="AD46" s="593"/>
      <x:c r="AE46" s="593"/>
      <x:c r="AF46" s="593"/>
      <x:c r="AG46" s="476"/>
      <x:c r="AH46" s="476"/>
      <x:c r="AI46" s="476"/>
      <x:c r="AJ46" s="476"/>
      <x:c r="AK46" s="476"/>
      <x:c r="AL46" s="593"/>
      <x:c r="AM46" s="593"/>
      <x:c r="AN46" s="593"/>
      <x:c r="AO46" s="593"/>
      <x:c r="AP46" s="392"/>
      <x:c r="AQ46" s="392"/>
      <x:c r="AR46" s="392"/>
      <x:c r="AS46" s="392"/>
      <x:c r="AT46" s="392"/>
      <x:c r="AU46" s="593"/>
      <x:c r="AV46" s="593"/>
      <x:c r="AW46" s="392"/>
      <x:c r="AX46" s="392"/>
      <x:c r="AY46" s="593"/>
      <x:c r="AZ46" s="593"/>
      <x:c r="BA46" s="593"/>
      <x:c r="BB46" s="593"/>
      <x:c r="BC46" s="593"/>
      <x:c r="BD46" s="392"/>
      <x:c r="BE46" s="392"/>
      <x:c r="BF46" s="593"/>
      <x:c r="BG46" s="593"/>
      <x:c r="BH46" s="593"/>
      <x:c r="BI46" s="593"/>
      <x:c r="BJ46" s="593"/>
      <x:c r="BK46" s="392"/>
      <x:c r="BL46" s="392"/>
      <x:c r="BM46" s="392"/>
      <x:c r="BN46" s="593"/>
      <x:c r="BO46" s="593"/>
      <x:c r="BP46" s="593"/>
      <x:c r="BQ46" s="593"/>
      <x:c r="BR46" s="392"/>
      <x:c r="BS46" s="392"/>
      <x:c r="BT46" s="593"/>
    </x:row>
    <x:row r="47" ht="24" customHeight="1">
      <x:c r="A47" s="372" t="str">
        <x:v>次期J Salesforce→Cloudera 恒久対応PoC</x:v>
      </x:c>
      <x:c r="B47" s="372" t="str">
        <x:v>PoC構築</x:v>
      </x:c>
      <x:c r="C47" s="372" t="str">
        <x:v>PoC構成・設定値の記録</x:v>
      </x:c>
      <x:c r="D47" s="370" t="str">
        <x:f t="shared" si="11">IF(A47&lt;&gt;"", IF(A47=A46, "", A47), "")</x:f>
      </x:c>
      <x:c r="E47" s="371" t="str" cm="1">
        <x:f t="array" ref="E47">IF(B47="","",IF(B47&lt;&gt;B46,SUMPRODUCT(($B$5:B47&lt;&gt;$B$4:B46)*($B$5:B47&lt;&gt;"")),""))</x:f>
      </x:c>
      <x:c r="F47" s="370" t="str">
        <x:f t="shared" si="12">IF(B47&lt;&gt;"", IF(B47=B46, "", B47), "")</x:f>
      </x:c>
      <x:c r="G47" s="370" t="n">
        <x:f>IF(C47="","",COUNTIF($B$5:B47,B47))</x:f>
        <x:v>7</x:v>
      </x:c>
      <x:c r="H47" s="370" t="str">
        <x:f t="shared" si="13">IF(AND(C47&lt;&gt;"",OR(C47&lt;&gt;C46,B47&lt;&gt;B46)),C47,"")</x:f>
        <x:v>PoC構成・設定値の記録</x:v>
      </x:c>
      <x:c r="I47" s="372" t="str">
        <x:v>データ基盤</x:v>
      </x:c>
      <x:c r="J47" s="372" t="str">
        <x:v>ワタル</x:v>
      </x:c>
      <x:c r="K47" s="372"/>
      <x:c r="L47" s="370" t="str">
        <x:f>IF(C47="","","【"&amp;A47&amp;"】"&amp;MAX($E$5:E47)&amp;"-"&amp;G47&amp;"_"&amp;B47&amp;"_"&amp;C47)</x:f>
        <x:v>【次期J Salesforce→Cloudera 恒久対応PoC】6-7_PoC構築_PoC構成・設定値の記録</x:v>
      </x:c>
      <x:c r="M47" s="378" t="n">
        <x:v>46276</x:v>
      </x:c>
      <x:c r="N47" s="378" t="n">
        <x:v>46280</x:v>
      </x:c>
      <x:c r="O47" s="372" t="str">
        <x:v>準備中</x:v>
      </x:c>
      <x:c r="P47" s="593"/>
      <x:c r="Q47" s="593"/>
      <x:c r="R47" s="593"/>
      <x:c r="S47" s="593"/>
      <x:c r="T47" s="593"/>
      <x:c r="U47" s="392"/>
      <x:c r="V47" s="392"/>
      <x:c r="W47" s="593"/>
      <x:c r="X47" s="593"/>
      <x:c r="Y47" s="593"/>
      <x:c r="Z47" s="593"/>
      <x:c r="AA47" s="593"/>
      <x:c r="AB47" s="392"/>
      <x:c r="AC47" s="392"/>
      <x:c r="AD47" s="593"/>
      <x:c r="AE47" s="593"/>
      <x:c r="AF47" s="593"/>
      <x:c r="AG47" s="593"/>
      <x:c r="AH47" s="476"/>
      <x:c r="AI47" s="476"/>
      <x:c r="AJ47" s="476"/>
      <x:c r="AK47" s="476"/>
      <x:c r="AL47" s="476"/>
      <x:c r="AM47" s="593"/>
      <x:c r="AN47" s="593"/>
      <x:c r="AO47" s="593"/>
      <x:c r="AP47" s="392"/>
      <x:c r="AQ47" s="392"/>
      <x:c r="AR47" s="392"/>
      <x:c r="AS47" s="392"/>
      <x:c r="AT47" s="392"/>
      <x:c r="AU47" s="593"/>
      <x:c r="AV47" s="593"/>
      <x:c r="AW47" s="392"/>
      <x:c r="AX47" s="392"/>
      <x:c r="AY47" s="593"/>
      <x:c r="AZ47" s="593"/>
      <x:c r="BA47" s="593"/>
      <x:c r="BB47" s="593"/>
      <x:c r="BC47" s="593"/>
      <x:c r="BD47" s="392"/>
      <x:c r="BE47" s="392"/>
      <x:c r="BF47" s="593"/>
      <x:c r="BG47" s="593"/>
      <x:c r="BH47" s="593"/>
      <x:c r="BI47" s="593"/>
      <x:c r="BJ47" s="593"/>
      <x:c r="BK47" s="392"/>
      <x:c r="BL47" s="392"/>
      <x:c r="BM47" s="392"/>
      <x:c r="BN47" s="593"/>
      <x:c r="BO47" s="593"/>
      <x:c r="BP47" s="593"/>
      <x:c r="BQ47" s="593"/>
      <x:c r="BR47" s="392"/>
      <x:c r="BS47" s="392"/>
      <x:c r="BT47" s="593"/>
    </x:row>
    <x:row r="48" ht="24" customHeight="1">
      <x:c r="A48" s="372" t="str">
        <x:v>次期J Salesforce→Cloudera 恒久対応PoC</x:v>
      </x:c>
      <x:c r="B48" s="372" t="str">
        <x:v>機能・E2E検証</x:v>
      </x:c>
      <x:c r="C48" s="372" t="str">
        <x:v>TC-01 接続・認証／Subscribe開始確認</x:v>
      </x:c>
      <x:c r="D48" s="370" t="str">
        <x:f t="shared" si="11">IF(A48&lt;&gt;"", IF(A48=A47, "", A48), "")</x:f>
      </x:c>
      <x:c r="E48" s="371" t="n" cm="1">
        <x:f t="array" ref="E48">IF(B48="","",IF(B48&lt;&gt;B47,SUMPRODUCT(($B$5:B48&lt;&gt;$B$4:B47)*($B$5:B48&lt;&gt;"")),""))</x:f>
        <x:v>7</x:v>
      </x:c>
      <x:c r="F48" s="370" t="str">
        <x:f t="shared" si="12">IF(B48&lt;&gt;"", IF(B48=B47, "", B48), "")</x:f>
        <x:v>機能・E2E検証</x:v>
      </x:c>
      <x:c r="G48" s="370" t="n">
        <x:f>IF(C48="","",COUNTIF($B$5:B48,B48))</x:f>
        <x:v>1</x:v>
      </x:c>
      <x:c r="H48" s="370" t="str">
        <x:f t="shared" si="13">IF(AND(C48&lt;&gt;"",OR(C48&lt;&gt;C47,B48&lt;&gt;B47)),C48,"")</x:f>
        <x:v>TC-01 接続・認証／Subscribe開始確認</x:v>
      </x:c>
      <x:c r="I48" s="372" t="str">
        <x:v>データ基盤</x:v>
      </x:c>
      <x:c r="J48" s="372" t="str">
        <x:v>ワタル／要確認</x:v>
      </x:c>
      <x:c r="K48" s="372"/>
      <x:c r="L48" s="370" t="str">
        <x:f>IF(C48="","","【"&amp;A48&amp;"】"&amp;MAX($E$5:E48)&amp;"-"&amp;G48&amp;"_"&amp;B48&amp;"_"&amp;C48)</x:f>
        <x:v>【次期J Salesforce→Cloudera 恒久対応PoC】7-1_機能・E2E検証_TC-01 接続・認証／Subscribe開始確認</x:v>
      </x:c>
      <x:c r="M48" s="378" t="n">
        <x:v>46275</x:v>
      </x:c>
      <x:c r="N48" s="378" t="n">
        <x:v>46279</x:v>
      </x:c>
      <x:c r="O48" s="372" t="str">
        <x:v>準備中</x:v>
      </x:c>
      <x:c r="P48" s="593"/>
      <x:c r="Q48" s="593"/>
      <x:c r="R48" s="593"/>
      <x:c r="S48" s="593"/>
      <x:c r="T48" s="593"/>
      <x:c r="U48" s="392"/>
      <x:c r="V48" s="392"/>
      <x:c r="W48" s="593"/>
      <x:c r="X48" s="593"/>
      <x:c r="Y48" s="593"/>
      <x:c r="Z48" s="593"/>
      <x:c r="AA48" s="593"/>
      <x:c r="AB48" s="392"/>
      <x:c r="AC48" s="392"/>
      <x:c r="AD48" s="593"/>
      <x:c r="AE48" s="593"/>
      <x:c r="AF48" s="593"/>
      <x:c r="AG48" s="476"/>
      <x:c r="AH48" s="476"/>
      <x:c r="AI48" s="476"/>
      <x:c r="AJ48" s="476"/>
      <x:c r="AK48" s="476"/>
      <x:c r="AL48" s="593"/>
      <x:c r="AM48" s="593"/>
      <x:c r="AN48" s="593"/>
      <x:c r="AO48" s="593"/>
      <x:c r="AP48" s="392"/>
      <x:c r="AQ48" s="392"/>
      <x:c r="AR48" s="392"/>
      <x:c r="AS48" s="392"/>
      <x:c r="AT48" s="392"/>
      <x:c r="AU48" s="593"/>
      <x:c r="AV48" s="593"/>
      <x:c r="AW48" s="392"/>
      <x:c r="AX48" s="392"/>
      <x:c r="AY48" s="593"/>
      <x:c r="AZ48" s="593"/>
      <x:c r="BA48" s="593"/>
      <x:c r="BB48" s="593"/>
      <x:c r="BC48" s="593"/>
      <x:c r="BD48" s="392"/>
      <x:c r="BE48" s="392"/>
      <x:c r="BF48" s="593"/>
      <x:c r="BG48" s="593"/>
      <x:c r="BH48" s="593"/>
      <x:c r="BI48" s="593"/>
      <x:c r="BJ48" s="593"/>
      <x:c r="BK48" s="392"/>
      <x:c r="BL48" s="392"/>
      <x:c r="BM48" s="392"/>
      <x:c r="BN48" s="593"/>
      <x:c r="BO48" s="593"/>
      <x:c r="BP48" s="593"/>
      <x:c r="BQ48" s="593"/>
      <x:c r="BR48" s="392"/>
      <x:c r="BS48" s="392"/>
      <x:c r="BT48" s="593"/>
    </x:row>
    <x:row r="49" ht="24" customHeight="1">
      <x:c r="A49" s="372" t="str">
        <x:v>次期J Salesforce→Cloudera 恒久対応PoC</x:v>
      </x:c>
      <x:c r="B49" s="372" t="str">
        <x:v>機能・E2E検証</x:v>
      </x:c>
      <x:c r="C49" s="372" t="str">
        <x:v>TC-02 単一変更イベント受信確認</x:v>
      </x:c>
      <x:c r="D49" s="370" t="str">
        <x:f t="shared" si="11">IF(A49&lt;&gt;"", IF(A49=A48, "", A49), "")</x:f>
      </x:c>
      <x:c r="E49" s="371" t="str" cm="1">
        <x:f t="array" ref="E49">IF(B49="","",IF(B49&lt;&gt;B48,SUMPRODUCT(($B$5:B49&lt;&gt;$B$4:B48)*($B$5:B49&lt;&gt;"")),""))</x:f>
      </x:c>
      <x:c r="F49" s="370" t="str">
        <x:f t="shared" si="12">IF(B49&lt;&gt;"", IF(B49=B48, "", B49), "")</x:f>
      </x:c>
      <x:c r="G49" s="370" t="n">
        <x:f>IF(C49="","",COUNTIF($B$5:B49,B49))</x:f>
        <x:v>2</x:v>
      </x:c>
      <x:c r="H49" s="370" t="str">
        <x:f t="shared" si="13">IF(AND(C49&lt;&gt;"",OR(C49&lt;&gt;C48,B49&lt;&gt;B48)),C49,"")</x:f>
        <x:v>TC-02 単一変更イベント受信確認</x:v>
      </x:c>
      <x:c r="I49" s="372" t="str">
        <x:v>データ基盤</x:v>
      </x:c>
      <x:c r="J49" s="372" t="str">
        <x:v>ワタル／要確認</x:v>
      </x:c>
      <x:c r="K49" s="372"/>
      <x:c r="L49" s="370" t="str">
        <x:f>IF(C49="","","【"&amp;A49&amp;"】"&amp;MAX($E$5:E49)&amp;"-"&amp;G49&amp;"_"&amp;B49&amp;"_"&amp;C49)</x:f>
        <x:v>【次期J Salesforce→Cloudera 恒久対応PoC】7-2_機能・E2E検証_TC-02 単一変更イベント受信確認</x:v>
      </x:c>
      <x:c r="M49" s="378" t="n">
        <x:v>46275</x:v>
      </x:c>
      <x:c r="N49" s="378" t="n">
        <x:v>46279</x:v>
      </x:c>
      <x:c r="O49" s="372" t="str">
        <x:v>準備中</x:v>
      </x:c>
      <x:c r="P49" s="593"/>
      <x:c r="Q49" s="593"/>
      <x:c r="R49" s="593"/>
      <x:c r="S49" s="593"/>
      <x:c r="T49" s="593"/>
      <x:c r="U49" s="392"/>
      <x:c r="V49" s="392"/>
      <x:c r="W49" s="593"/>
      <x:c r="X49" s="593"/>
      <x:c r="Y49" s="593"/>
      <x:c r="Z49" s="593"/>
      <x:c r="AA49" s="593"/>
      <x:c r="AB49" s="392"/>
      <x:c r="AC49" s="392"/>
      <x:c r="AD49" s="593"/>
      <x:c r="AE49" s="593"/>
      <x:c r="AF49" s="593"/>
      <x:c r="AG49" s="476"/>
      <x:c r="AH49" s="476"/>
      <x:c r="AI49" s="476"/>
      <x:c r="AJ49" s="476"/>
      <x:c r="AK49" s="476"/>
      <x:c r="AL49" s="593"/>
      <x:c r="AM49" s="593"/>
      <x:c r="AN49" s="593"/>
      <x:c r="AO49" s="593"/>
      <x:c r="AP49" s="392"/>
      <x:c r="AQ49" s="392"/>
      <x:c r="AR49" s="392"/>
      <x:c r="AS49" s="392"/>
      <x:c r="AT49" s="392"/>
      <x:c r="AU49" s="593"/>
      <x:c r="AV49" s="593"/>
      <x:c r="AW49" s="392"/>
      <x:c r="AX49" s="392"/>
      <x:c r="AY49" s="593"/>
      <x:c r="AZ49" s="593"/>
      <x:c r="BA49" s="593"/>
      <x:c r="BB49" s="593"/>
      <x:c r="BC49" s="593"/>
      <x:c r="BD49" s="392"/>
      <x:c r="BE49" s="392"/>
      <x:c r="BF49" s="593"/>
      <x:c r="BG49" s="593"/>
      <x:c r="BH49" s="593"/>
      <x:c r="BI49" s="593"/>
      <x:c r="BJ49" s="593"/>
      <x:c r="BK49" s="392"/>
      <x:c r="BL49" s="392"/>
      <x:c r="BM49" s="392"/>
      <x:c r="BN49" s="593"/>
      <x:c r="BO49" s="593"/>
      <x:c r="BP49" s="593"/>
      <x:c r="BQ49" s="593"/>
      <x:c r="BR49" s="392"/>
      <x:c r="BS49" s="392"/>
      <x:c r="BT49" s="593"/>
    </x:row>
    <x:row r="50" ht="24" customHeight="1">
      <x:c r="A50" s="372" t="str">
        <x:v>次期J Salesforce→Cloudera 恒久対応PoC</x:v>
      </x:c>
      <x:c r="B50" s="372" t="str">
        <x:v>機能・E2E検証</x:v>
      </x:c>
      <x:c r="C50" s="372" t="str">
        <x:v>TC-03 イベント内容・対象識別確認</x:v>
      </x:c>
      <x:c r="D50" s="370" t="str">
        <x:f t="shared" si="11">IF(A50&lt;&gt;"", IF(A50=A49, "", A50), "")</x:f>
      </x:c>
      <x:c r="E50" s="371" t="str" cm="1">
        <x:f t="array" ref="E50">IF(B50="","",IF(B50&lt;&gt;B49,SUMPRODUCT(($B$5:B50&lt;&gt;$B$4:B49)*($B$5:B50&lt;&gt;"")),""))</x:f>
      </x:c>
      <x:c r="F50" s="370" t="str">
        <x:f t="shared" si="12">IF(B50&lt;&gt;"", IF(B50=B49, "", B50), "")</x:f>
      </x:c>
      <x:c r="G50" s="370" t="n">
        <x:f>IF(C50="","",COUNTIF($B$5:B50,B50))</x:f>
        <x:v>3</x:v>
      </x:c>
      <x:c r="H50" s="370" t="str">
        <x:f t="shared" si="13">IF(AND(C50&lt;&gt;"",OR(C50&lt;&gt;C49,B50&lt;&gt;B49)),C50,"")</x:f>
        <x:v>TC-03 イベント内容・対象識別確認</x:v>
      </x:c>
      <x:c r="I50" s="372" t="str">
        <x:v>データ基盤</x:v>
      </x:c>
      <x:c r="J50" s="372" t="str">
        <x:v>ワタル／要確認</x:v>
      </x:c>
      <x:c r="K50" s="372"/>
      <x:c r="L50" s="370" t="str">
        <x:f>IF(C50="","","【"&amp;A50&amp;"】"&amp;MAX($E$5:E50)&amp;"-"&amp;G50&amp;"_"&amp;B50&amp;"_"&amp;C50)</x:f>
        <x:v>【次期J Salesforce→Cloudera 恒久対応PoC】7-3_機能・E2E検証_TC-03 イベント内容・対象識別確認</x:v>
      </x:c>
      <x:c r="M50" s="378" t="n">
        <x:v>46276</x:v>
      </x:c>
      <x:c r="N50" s="378" t="n">
        <x:v>46280</x:v>
      </x:c>
      <x:c r="O50" s="372" t="str">
        <x:v>準備中</x:v>
      </x:c>
      <x:c r="P50" s="593"/>
      <x:c r="Q50" s="593"/>
      <x:c r="R50" s="593"/>
      <x:c r="S50" s="593"/>
      <x:c r="T50" s="593"/>
      <x:c r="U50" s="392"/>
      <x:c r="V50" s="392"/>
      <x:c r="W50" s="593"/>
      <x:c r="X50" s="593"/>
      <x:c r="Y50" s="593"/>
      <x:c r="Z50" s="593"/>
      <x:c r="AA50" s="593"/>
      <x:c r="AB50" s="392"/>
      <x:c r="AC50" s="392"/>
      <x:c r="AD50" s="593"/>
      <x:c r="AE50" s="593"/>
      <x:c r="AF50" s="593"/>
      <x:c r="AG50" s="593"/>
      <x:c r="AH50" s="476"/>
      <x:c r="AI50" s="476"/>
      <x:c r="AJ50" s="476"/>
      <x:c r="AK50" s="476"/>
      <x:c r="AL50" s="476"/>
      <x:c r="AM50" s="593"/>
      <x:c r="AN50" s="593"/>
      <x:c r="AO50" s="593"/>
      <x:c r="AP50" s="392"/>
      <x:c r="AQ50" s="392"/>
      <x:c r="AR50" s="392"/>
      <x:c r="AS50" s="392"/>
      <x:c r="AT50" s="392"/>
      <x:c r="AU50" s="593"/>
      <x:c r="AV50" s="593"/>
      <x:c r="AW50" s="392"/>
      <x:c r="AX50" s="392"/>
      <x:c r="AY50" s="593"/>
      <x:c r="AZ50" s="593"/>
      <x:c r="BA50" s="593"/>
      <x:c r="BB50" s="593"/>
      <x:c r="BC50" s="593"/>
      <x:c r="BD50" s="392"/>
      <x:c r="BE50" s="392"/>
      <x:c r="BF50" s="593"/>
      <x:c r="BG50" s="593"/>
      <x:c r="BH50" s="593"/>
      <x:c r="BI50" s="593"/>
      <x:c r="BJ50" s="593"/>
      <x:c r="BK50" s="392"/>
      <x:c r="BL50" s="392"/>
      <x:c r="BM50" s="392"/>
      <x:c r="BN50" s="593"/>
      <x:c r="BO50" s="593"/>
      <x:c r="BP50" s="593"/>
      <x:c r="BQ50" s="593"/>
      <x:c r="BR50" s="392"/>
      <x:c r="BS50" s="392"/>
      <x:c r="BT50" s="593"/>
    </x:row>
    <x:row r="51" ht="24" customHeight="1">
      <x:c r="A51" s="372" t="str">
        <x:v>次期J Salesforce→Cloudera 恒久対応PoC</x:v>
      </x:c>
      <x:c r="B51" s="372" t="str">
        <x:v>機能・E2E検証</x:v>
      </x:c>
      <x:c r="C51" s="372" t="str">
        <x:v>TC-04 Salesforce→Cloudera E2E確認</x:v>
      </x:c>
      <x:c r="D51" s="370" t="str">
        <x:f t="shared" si="11">IF(A51&lt;&gt;"", IF(A51=A50, "", A51), "")</x:f>
      </x:c>
      <x:c r="E51" s="371" t="str" cm="1">
        <x:f t="array" ref="E51">IF(B51="","",IF(B51&lt;&gt;B50,SUMPRODUCT(($B$5:B51&lt;&gt;$B$4:B50)*($B$5:B51&lt;&gt;"")),""))</x:f>
      </x:c>
      <x:c r="F51" s="370" t="str">
        <x:f t="shared" si="12">IF(B51&lt;&gt;"", IF(B51=B50, "", B51), "")</x:f>
      </x:c>
      <x:c r="G51" s="370" t="n">
        <x:f>IF(C51="","",COUNTIF($B$5:B51,B51))</x:f>
        <x:v>4</x:v>
      </x:c>
      <x:c r="H51" s="370" t="str">
        <x:f t="shared" si="13">IF(AND(C51&lt;&gt;"",OR(C51&lt;&gt;C50,B51&lt;&gt;B50)),C51,"")</x:f>
        <x:v>TC-04 Salesforce→Cloudera E2E確認</x:v>
      </x:c>
      <x:c r="I51" s="372" t="str">
        <x:v>データ基盤</x:v>
      </x:c>
      <x:c r="J51" s="372" t="str">
        <x:v>ワタル／要確認</x:v>
      </x:c>
      <x:c r="K51" s="372"/>
      <x:c r="L51" s="370" t="str">
        <x:f>IF(C51="","","【"&amp;A51&amp;"】"&amp;MAX($E$5:E51)&amp;"-"&amp;G51&amp;"_"&amp;B51&amp;"_"&amp;C51)</x:f>
        <x:v>【次期J Salesforce→Cloudera 恒久対応PoC】7-4_機能・E2E検証_TC-04 Salesforce→Cloudera E2E確認</x:v>
      </x:c>
      <x:c r="M51" s="378" t="n">
        <x:v>46279</x:v>
      </x:c>
      <x:c r="N51" s="378" t="n">
        <x:v>46281</x:v>
      </x:c>
      <x:c r="O51" s="372" t="str">
        <x:v>準備中</x:v>
      </x:c>
      <x:c r="P51" s="593"/>
      <x:c r="Q51" s="593"/>
      <x:c r="R51" s="593"/>
      <x:c r="S51" s="593"/>
      <x:c r="T51" s="593"/>
      <x:c r="U51" s="392"/>
      <x:c r="V51" s="392"/>
      <x:c r="W51" s="593"/>
      <x:c r="X51" s="593"/>
      <x:c r="Y51" s="593"/>
      <x:c r="Z51" s="593"/>
      <x:c r="AA51" s="593"/>
      <x:c r="AB51" s="392"/>
      <x:c r="AC51" s="392"/>
      <x:c r="AD51" s="593"/>
      <x:c r="AE51" s="593"/>
      <x:c r="AF51" s="593"/>
      <x:c r="AG51" s="593"/>
      <x:c r="AH51" s="593"/>
      <x:c r="AI51" s="392"/>
      <x:c r="AJ51" s="392"/>
      <x:c r="AK51" s="476"/>
      <x:c r="AL51" s="476"/>
      <x:c r="AM51" s="476"/>
      <x:c r="AN51" s="593"/>
      <x:c r="AO51" s="593"/>
      <x:c r="AP51" s="392"/>
      <x:c r="AQ51" s="392"/>
      <x:c r="AR51" s="392"/>
      <x:c r="AS51" s="392"/>
      <x:c r="AT51" s="392"/>
      <x:c r="AU51" s="593"/>
      <x:c r="AV51" s="593"/>
      <x:c r="AW51" s="392"/>
      <x:c r="AX51" s="392"/>
      <x:c r="AY51" s="593"/>
      <x:c r="AZ51" s="593"/>
      <x:c r="BA51" s="593"/>
      <x:c r="BB51" s="593"/>
      <x:c r="BC51" s="593"/>
      <x:c r="BD51" s="392"/>
      <x:c r="BE51" s="392"/>
      <x:c r="BF51" s="593"/>
      <x:c r="BG51" s="593"/>
      <x:c r="BH51" s="593"/>
      <x:c r="BI51" s="593"/>
      <x:c r="BJ51" s="593"/>
      <x:c r="BK51" s="392"/>
      <x:c r="BL51" s="392"/>
      <x:c r="BM51" s="392"/>
      <x:c r="BN51" s="593"/>
      <x:c r="BO51" s="593"/>
      <x:c r="BP51" s="593"/>
      <x:c r="BQ51" s="593"/>
      <x:c r="BR51" s="392"/>
      <x:c r="BS51" s="392"/>
      <x:c r="BT51" s="593"/>
    </x:row>
    <x:row r="52" ht="24" customHeight="1">
      <x:c r="A52" s="372" t="str">
        <x:v>次期J Salesforce→Cloudera 恒久対応PoC</x:v>
      </x:c>
      <x:c r="B52" s="372" t="str">
        <x:v>機能・E2E検証</x:v>
      </x:c>
      <x:c r="C52" s="372" t="str">
        <x:v>E2E件数・値・重複の整合性確認</x:v>
      </x:c>
      <x:c r="D52" s="370" t="str">
        <x:f t="shared" si="11">IF(A52&lt;&gt;"", IF(A52=A51, "", A52), "")</x:f>
      </x:c>
      <x:c r="E52" s="371" t="str" cm="1">
        <x:f t="array" ref="E52">IF(B52="","",IF(B52&lt;&gt;B51,SUMPRODUCT(($B$5:B52&lt;&gt;$B$4:B51)*($B$5:B52&lt;&gt;"")),""))</x:f>
      </x:c>
      <x:c r="F52" s="370" t="str">
        <x:f t="shared" si="12">IF(B52&lt;&gt;"", IF(B52=B51, "", B52), "")</x:f>
      </x:c>
      <x:c r="G52" s="370" t="n">
        <x:f>IF(C52="","",COUNTIF($B$5:B52,B52))</x:f>
        <x:v>5</x:v>
      </x:c>
      <x:c r="H52" s="370" t="str">
        <x:f t="shared" si="13">IF(AND(C52&lt;&gt;"",OR(C52&lt;&gt;C51,B52&lt;&gt;B51)),C52,"")</x:f>
        <x:v>E2E件数・値・重複の整合性確認</x:v>
      </x:c>
      <x:c r="I52" s="372" t="str">
        <x:v>データ基盤</x:v>
      </x:c>
      <x:c r="J52" s="372" t="str">
        <x:v>ワタル／要確認</x:v>
      </x:c>
      <x:c r="K52" s="372"/>
      <x:c r="L52" s="370" t="str">
        <x:f>IF(C52="","","【"&amp;A52&amp;"】"&amp;MAX($E$5:E52)&amp;"-"&amp;G52&amp;"_"&amp;B52&amp;"_"&amp;C52)</x:f>
        <x:v>【次期J Salesforce→Cloudera 恒久対応PoC】7-5_機能・E2E検証_E2E件数・値・重複の整合性確認</x:v>
      </x:c>
      <x:c r="M52" s="378" t="n">
        <x:v>46279</x:v>
      </x:c>
      <x:c r="N52" s="378" t="n">
        <x:v>46282</x:v>
      </x:c>
      <x:c r="O52" s="372" t="str">
        <x:v>準備中</x:v>
      </x:c>
      <x:c r="P52" s="593"/>
      <x:c r="Q52" s="593"/>
      <x:c r="R52" s="593"/>
      <x:c r="S52" s="593"/>
      <x:c r="T52" s="593"/>
      <x:c r="U52" s="392"/>
      <x:c r="V52" s="392"/>
      <x:c r="W52" s="593"/>
      <x:c r="X52" s="593"/>
      <x:c r="Y52" s="593"/>
      <x:c r="Z52" s="593"/>
      <x:c r="AA52" s="593"/>
      <x:c r="AB52" s="392"/>
      <x:c r="AC52" s="392"/>
      <x:c r="AD52" s="593"/>
      <x:c r="AE52" s="593"/>
      <x:c r="AF52" s="593"/>
      <x:c r="AG52" s="593"/>
      <x:c r="AH52" s="593"/>
      <x:c r="AI52" s="392"/>
      <x:c r="AJ52" s="392"/>
      <x:c r="AK52" s="476"/>
      <x:c r="AL52" s="476"/>
      <x:c r="AM52" s="476"/>
      <x:c r="AN52" s="476"/>
      <x:c r="AO52" s="593"/>
      <x:c r="AP52" s="392"/>
      <x:c r="AQ52" s="392"/>
      <x:c r="AR52" s="392"/>
      <x:c r="AS52" s="392"/>
      <x:c r="AT52" s="392"/>
      <x:c r="AU52" s="593"/>
      <x:c r="AV52" s="593"/>
      <x:c r="AW52" s="392"/>
      <x:c r="AX52" s="392"/>
      <x:c r="AY52" s="593"/>
      <x:c r="AZ52" s="593"/>
      <x:c r="BA52" s="593"/>
      <x:c r="BB52" s="593"/>
      <x:c r="BC52" s="593"/>
      <x:c r="BD52" s="392"/>
      <x:c r="BE52" s="392"/>
      <x:c r="BF52" s="593"/>
      <x:c r="BG52" s="593"/>
      <x:c r="BH52" s="593"/>
      <x:c r="BI52" s="593"/>
      <x:c r="BJ52" s="593"/>
      <x:c r="BK52" s="392"/>
      <x:c r="BL52" s="392"/>
      <x:c r="BM52" s="392"/>
      <x:c r="BN52" s="593"/>
      <x:c r="BO52" s="593"/>
      <x:c r="BP52" s="593"/>
      <x:c r="BQ52" s="593"/>
      <x:c r="BR52" s="392"/>
      <x:c r="BS52" s="392"/>
      <x:c r="BT52" s="593"/>
    </x:row>
    <x:row r="53" ht="24" customHeight="1">
      <x:c r="A53" s="372" t="str">
        <x:v>次期J Salesforce→Cloudera 恒久対応PoC</x:v>
      </x:c>
      <x:c r="B53" s="372" t="str">
        <x:v>機能・E2E検証</x:v>
      </x:c>
      <x:c r="C53" s="372" t="str">
        <x:v>TC-05 Salesforce→Cloudera遅延測定</x:v>
      </x:c>
      <x:c r="D53" s="370" t="str">
        <x:f t="shared" si="11">IF(A53&lt;&gt;"", IF(A53=A52, "", A53), "")</x:f>
      </x:c>
      <x:c r="E53" s="371" t="str" cm="1">
        <x:f t="array" ref="E53">IF(B53="","",IF(B53&lt;&gt;B52,SUMPRODUCT(($B$5:B53&lt;&gt;$B$4:B52)*($B$5:B53&lt;&gt;"")),""))</x:f>
      </x:c>
      <x:c r="F53" s="370" t="str">
        <x:f t="shared" si="12">IF(B53&lt;&gt;"", IF(B53=B52, "", B53), "")</x:f>
      </x:c>
      <x:c r="G53" s="370" t="n">
        <x:f>IF(C53="","",COUNTIF($B$5:B53,B53))</x:f>
        <x:v>6</x:v>
      </x:c>
      <x:c r="H53" s="370" t="str">
        <x:f t="shared" si="13">IF(AND(C53&lt;&gt;"",OR(C53&lt;&gt;C52,B53&lt;&gt;B52)),C53,"")</x:f>
        <x:v>TC-05 Salesforce→Cloudera遅延測定</x:v>
      </x:c>
      <x:c r="I53" s="372" t="str">
        <x:v>データ基盤</x:v>
      </x:c>
      <x:c r="J53" s="372" t="str">
        <x:v>ワタル／要確認</x:v>
      </x:c>
      <x:c r="K53" s="372"/>
      <x:c r="L53" s="370" t="str">
        <x:f>IF(C53="","","【"&amp;A53&amp;"】"&amp;MAX($E$5:E53)&amp;"-"&amp;G53&amp;"_"&amp;B53&amp;"_"&amp;C53)</x:f>
        <x:v>【次期J Salesforce→Cloudera 恒久対応PoC】7-6_機能・E2E検証_TC-05 Salesforce→Cloudera遅延測定</x:v>
      </x:c>
      <x:c r="M53" s="378" t="n">
        <x:v>46280</x:v>
      </x:c>
      <x:c r="N53" s="378" t="n">
        <x:v>46282</x:v>
      </x:c>
      <x:c r="O53" s="372" t="str">
        <x:v>準備中</x:v>
      </x:c>
      <x:c r="P53" s="593"/>
      <x:c r="Q53" s="593"/>
      <x:c r="R53" s="593"/>
      <x:c r="S53" s="593"/>
      <x:c r="T53" s="593"/>
      <x:c r="U53" s="392"/>
      <x:c r="V53" s="392"/>
      <x:c r="W53" s="593"/>
      <x:c r="X53" s="593"/>
      <x:c r="Y53" s="593"/>
      <x:c r="Z53" s="593"/>
      <x:c r="AA53" s="593"/>
      <x:c r="AB53" s="392"/>
      <x:c r="AC53" s="392"/>
      <x:c r="AD53" s="593"/>
      <x:c r="AE53" s="593"/>
      <x:c r="AF53" s="593"/>
      <x:c r="AG53" s="593"/>
      <x:c r="AH53" s="593"/>
      <x:c r="AI53" s="392"/>
      <x:c r="AJ53" s="392"/>
      <x:c r="AK53" s="593"/>
      <x:c r="AL53" s="476"/>
      <x:c r="AM53" s="476"/>
      <x:c r="AN53" s="476"/>
      <x:c r="AO53" s="593"/>
      <x:c r="AP53" s="392"/>
      <x:c r="AQ53" s="392"/>
      <x:c r="AR53" s="392"/>
      <x:c r="AS53" s="392"/>
      <x:c r="AT53" s="392"/>
      <x:c r="AU53" s="593"/>
      <x:c r="AV53" s="593"/>
      <x:c r="AW53" s="392"/>
      <x:c r="AX53" s="392"/>
      <x:c r="AY53" s="593"/>
      <x:c r="AZ53" s="593"/>
      <x:c r="BA53" s="593"/>
      <x:c r="BB53" s="593"/>
      <x:c r="BC53" s="593"/>
      <x:c r="BD53" s="392"/>
      <x:c r="BE53" s="392"/>
      <x:c r="BF53" s="593"/>
      <x:c r="BG53" s="593"/>
      <x:c r="BH53" s="593"/>
      <x:c r="BI53" s="593"/>
      <x:c r="BJ53" s="593"/>
      <x:c r="BK53" s="392"/>
      <x:c r="BL53" s="392"/>
      <x:c r="BM53" s="392"/>
      <x:c r="BN53" s="593"/>
      <x:c r="BO53" s="593"/>
      <x:c r="BP53" s="593"/>
      <x:c r="BQ53" s="593"/>
      <x:c r="BR53" s="392"/>
      <x:c r="BS53" s="392"/>
      <x:c r="BT53" s="593"/>
    </x:row>
    <x:row r="54" ht="24" customHeight="1">
      <x:c r="A54" s="372" t="str">
        <x:v>次期J Salesforce→Cloudera 恒久対応PoC</x:v>
      </x:c>
      <x:c r="B54" s="372" t="str">
        <x:v>機能・E2E検証</x:v>
      </x:c>
      <x:c r="C54" s="372" t="str">
        <x:v>機能・E2E試験結果／Evidence整理</x:v>
      </x:c>
      <x:c r="D54" s="370" t="str">
        <x:f t="shared" si="11">IF(A54&lt;&gt;"", IF(A54=A53, "", A54), "")</x:f>
      </x:c>
      <x:c r="E54" s="371" t="str" cm="1">
        <x:f t="array" ref="E54">IF(B54="","",IF(B54&lt;&gt;B53,SUMPRODUCT(($B$5:B54&lt;&gt;$B$4:B53)*($B$5:B54&lt;&gt;"")),""))</x:f>
      </x:c>
      <x:c r="F54" s="370" t="str">
        <x:f t="shared" si="12">IF(B54&lt;&gt;"", IF(B54=B53, "", B54), "")</x:f>
      </x:c>
      <x:c r="G54" s="370" t="n">
        <x:f>IF(C54="","",COUNTIF($B$5:B54,B54))</x:f>
        <x:v>7</x:v>
      </x:c>
      <x:c r="H54" s="370" t="str">
        <x:f t="shared" si="13">IF(AND(C54&lt;&gt;"",OR(C54&lt;&gt;C53,B54&lt;&gt;B53)),C54,"")</x:f>
        <x:v>機能・E2E試験結果／Evidence整理</x:v>
      </x:c>
      <x:c r="I54" s="372" t="str">
        <x:v>データ基盤</x:v>
      </x:c>
      <x:c r="J54" s="372" t="str">
        <x:v>ワタル</x:v>
      </x:c>
      <x:c r="K54" s="372"/>
      <x:c r="L54" s="370" t="str">
        <x:f>IF(C54="","","【"&amp;A54&amp;"】"&amp;MAX($E$5:E54)&amp;"-"&amp;G54&amp;"_"&amp;B54&amp;"_"&amp;C54)</x:f>
        <x:v>【次期J Salesforce→Cloudera 恒久対応PoC】7-7_機能・E2E検証_機能・E2E試験結果／Evidence整理</x:v>
      </x:c>
      <x:c r="M54" s="378" t="n">
        <x:v>46281</x:v>
      </x:c>
      <x:c r="N54" s="378" t="n">
        <x:v>46283</x:v>
      </x:c>
      <x:c r="O54" s="372" t="str">
        <x:v>準備中</x:v>
      </x:c>
      <x:c r="P54" s="593"/>
      <x:c r="Q54" s="593"/>
      <x:c r="R54" s="593"/>
      <x:c r="S54" s="593"/>
      <x:c r="T54" s="593"/>
      <x:c r="U54" s="392"/>
      <x:c r="V54" s="392"/>
      <x:c r="W54" s="593"/>
      <x:c r="X54" s="593"/>
      <x:c r="Y54" s="593"/>
      <x:c r="Z54" s="593"/>
      <x:c r="AA54" s="593"/>
      <x:c r="AB54" s="392"/>
      <x:c r="AC54" s="392"/>
      <x:c r="AD54" s="593"/>
      <x:c r="AE54" s="593"/>
      <x:c r="AF54" s="593"/>
      <x:c r="AG54" s="593"/>
      <x:c r="AH54" s="593"/>
      <x:c r="AI54" s="392"/>
      <x:c r="AJ54" s="392"/>
      <x:c r="AK54" s="593"/>
      <x:c r="AL54" s="593"/>
      <x:c r="AM54" s="476"/>
      <x:c r="AN54" s="476"/>
      <x:c r="AO54" s="476"/>
      <x:c r="AP54" s="392"/>
      <x:c r="AQ54" s="392"/>
      <x:c r="AR54" s="392"/>
      <x:c r="AS54" s="392"/>
      <x:c r="AT54" s="392"/>
      <x:c r="AU54" s="593"/>
      <x:c r="AV54" s="593"/>
      <x:c r="AW54" s="392"/>
      <x:c r="AX54" s="392"/>
      <x:c r="AY54" s="593"/>
      <x:c r="AZ54" s="593"/>
      <x:c r="BA54" s="593"/>
      <x:c r="BB54" s="593"/>
      <x:c r="BC54" s="593"/>
      <x:c r="BD54" s="392"/>
      <x:c r="BE54" s="392"/>
      <x:c r="BF54" s="593"/>
      <x:c r="BG54" s="593"/>
      <x:c r="BH54" s="593"/>
      <x:c r="BI54" s="593"/>
      <x:c r="BJ54" s="593"/>
      <x:c r="BK54" s="392"/>
      <x:c r="BL54" s="392"/>
      <x:c r="BM54" s="392"/>
      <x:c r="BN54" s="593"/>
      <x:c r="BO54" s="593"/>
      <x:c r="BP54" s="593"/>
      <x:c r="BQ54" s="593"/>
      <x:c r="BR54" s="392"/>
      <x:c r="BS54" s="392"/>
      <x:c r="BT54" s="593"/>
    </x:row>
    <x:row r="55" ht="24" customHeight="1">
      <x:c r="A55" s="372" t="str">
        <x:v>次期J Salesforce→Cloudera 恒久対応PoC</x:v>
      </x:c>
      <x:c r="B55" s="372" t="str">
        <x:v>性能・障害検証</x:v>
      </x:c>
      <x:c r="C55" s="372" t="str">
        <x:v>TMT実績を基に性能試験条件を確定</x:v>
      </x:c>
      <x:c r="D55" s="370" t="str">
        <x:f t="shared" si="11">IF(A55&lt;&gt;"", IF(A55=A54, "", A55), "")</x:f>
      </x:c>
      <x:c r="E55" s="371" t="n" cm="1">
        <x:f t="array" ref="E55">IF(B55="","",IF(B55&lt;&gt;B54,SUMPRODUCT(($B$5:B55&lt;&gt;$B$4:B54)*($B$5:B55&lt;&gt;"")),""))</x:f>
        <x:v>8</x:v>
      </x:c>
      <x:c r="F55" s="370" t="str">
        <x:f t="shared" si="12">IF(B55&lt;&gt;"", IF(B55=B54, "", B55), "")</x:f>
        <x:v>性能・障害検証</x:v>
      </x:c>
      <x:c r="G55" s="370" t="n">
        <x:f>IF(C55="","",COUNTIF($B$5:B55,B55))</x:f>
        <x:v>1</x:v>
      </x:c>
      <x:c r="H55" s="370" t="str">
        <x:f t="shared" si="13">IF(AND(C55&lt;&gt;"",OR(C55&lt;&gt;C54,B55&lt;&gt;B54)),C55,"")</x:f>
        <x:v>TMT実績を基に性能試験条件を確定</x:v>
      </x:c>
      <x:c r="I55" s="372" t="str">
        <x:v>データ基盤</x:v>
      </x:c>
      <x:c r="J55" s="372" t="str">
        <x:v>ワタル／要確認</x:v>
      </x:c>
      <x:c r="K55" s="372"/>
      <x:c r="L55" s="370" t="str">
        <x:f>IF(C55="","","【"&amp;A55&amp;"】"&amp;MAX($E$5:E55)&amp;"-"&amp;G55&amp;"_"&amp;B55&amp;"_"&amp;C55)</x:f>
        <x:v>【次期J Salesforce→Cloudera 恒久対応PoC】8-1_性能・障害検証_TMT実績を基に性能試験条件を確定</x:v>
      </x:c>
      <x:c r="M55" s="378" t="n">
        <x:v>46279</x:v>
      </x:c>
      <x:c r="N55" s="378" t="n">
        <x:v>46281</x:v>
      </x:c>
      <x:c r="O55" s="372" t="str">
        <x:v>準備中</x:v>
      </x:c>
      <x:c r="P55" s="593"/>
      <x:c r="Q55" s="593"/>
      <x:c r="R55" s="593"/>
      <x:c r="S55" s="593"/>
      <x:c r="T55" s="593"/>
      <x:c r="U55" s="392"/>
      <x:c r="V55" s="392"/>
      <x:c r="W55" s="593"/>
      <x:c r="X55" s="593"/>
      <x:c r="Y55" s="593"/>
      <x:c r="Z55" s="593"/>
      <x:c r="AA55" s="593"/>
      <x:c r="AB55" s="392"/>
      <x:c r="AC55" s="392"/>
      <x:c r="AD55" s="593"/>
      <x:c r="AE55" s="593"/>
      <x:c r="AF55" s="593"/>
      <x:c r="AG55" s="593"/>
      <x:c r="AH55" s="593"/>
      <x:c r="AI55" s="392"/>
      <x:c r="AJ55" s="392"/>
      <x:c r="AK55" s="476"/>
      <x:c r="AL55" s="476"/>
      <x:c r="AM55" s="476"/>
      <x:c r="AN55" s="593"/>
      <x:c r="AO55" s="593"/>
      <x:c r="AP55" s="392"/>
      <x:c r="AQ55" s="392"/>
      <x:c r="AR55" s="392"/>
      <x:c r="AS55" s="392"/>
      <x:c r="AT55" s="392"/>
      <x:c r="AU55" s="593"/>
      <x:c r="AV55" s="593"/>
      <x:c r="AW55" s="392"/>
      <x:c r="AX55" s="392"/>
      <x:c r="AY55" s="593"/>
      <x:c r="AZ55" s="593"/>
      <x:c r="BA55" s="593"/>
      <x:c r="BB55" s="593"/>
      <x:c r="BC55" s="593"/>
      <x:c r="BD55" s="392"/>
      <x:c r="BE55" s="392"/>
      <x:c r="BF55" s="593"/>
      <x:c r="BG55" s="593"/>
      <x:c r="BH55" s="593"/>
      <x:c r="BI55" s="593"/>
      <x:c r="BJ55" s="593"/>
      <x:c r="BK55" s="392"/>
      <x:c r="BL55" s="392"/>
      <x:c r="BM55" s="392"/>
      <x:c r="BN55" s="593"/>
      <x:c r="BO55" s="593"/>
      <x:c r="BP55" s="593"/>
      <x:c r="BQ55" s="593"/>
      <x:c r="BR55" s="392"/>
      <x:c r="BS55" s="392"/>
      <x:c r="BT55" s="593"/>
    </x:row>
    <x:row r="56" ht="24" customHeight="1">
      <x:c r="A56" s="372" t="str">
        <x:v>次期J Salesforce→Cloudera 恒久対応PoC</x:v>
      </x:c>
      <x:c r="B56" s="372" t="str">
        <x:v>性能・障害検証</x:v>
      </x:c>
      <x:c r="C56" s="372" t="str">
        <x:v>TC-06 通常負荷試験</x:v>
      </x:c>
      <x:c r="D56" s="370" t="str">
        <x:f t="shared" si="11">IF(A56&lt;&gt;"", IF(A56=A55, "", A56), "")</x:f>
      </x:c>
      <x:c r="E56" s="371" t="str" cm="1">
        <x:f t="array" ref="E56">IF(B56="","",IF(B56&lt;&gt;B55,SUMPRODUCT(($B$5:B56&lt;&gt;$B$4:B55)*($B$5:B56&lt;&gt;"")),""))</x:f>
      </x:c>
      <x:c r="F56" s="370" t="str">
        <x:f t="shared" si="12">IF(B56&lt;&gt;"", IF(B56=B55, "", B56), "")</x:f>
      </x:c>
      <x:c r="G56" s="370" t="n">
        <x:f>IF(C56="","",COUNTIF($B$5:B56,B56))</x:f>
        <x:v>2</x:v>
      </x:c>
      <x:c r="H56" s="370" t="str">
        <x:f t="shared" si="13">IF(AND(C56&lt;&gt;"",OR(C56&lt;&gt;C55,B56&lt;&gt;B55)),C56,"")</x:f>
        <x:v>TC-06 通常負荷試験</x:v>
      </x:c>
      <x:c r="I56" s="372" t="str">
        <x:v>データ基盤</x:v>
      </x:c>
      <x:c r="J56" s="372" t="str">
        <x:v>ワタル／要確認</x:v>
      </x:c>
      <x:c r="K56" s="372"/>
      <x:c r="L56" s="370" t="str">
        <x:f>IF(C56="","","【"&amp;A56&amp;"】"&amp;MAX($E$5:E56)&amp;"-"&amp;G56&amp;"_"&amp;B56&amp;"_"&amp;C56)</x:f>
        <x:v>【次期J Salesforce→Cloudera 恒久対応PoC】8-2_性能・障害検証_TC-06 通常負荷試験</x:v>
      </x:c>
      <x:c r="M56" s="378" t="n">
        <x:v>46281</x:v>
      </x:c>
      <x:c r="N56" s="378" t="n">
        <x:v>46283</x:v>
      </x:c>
      <x:c r="O56" s="372" t="str">
        <x:v>準備中</x:v>
      </x:c>
      <x:c r="P56" s="593"/>
      <x:c r="Q56" s="593"/>
      <x:c r="R56" s="593"/>
      <x:c r="S56" s="593"/>
      <x:c r="T56" s="593"/>
      <x:c r="U56" s="392"/>
      <x:c r="V56" s="392"/>
      <x:c r="W56" s="593"/>
      <x:c r="X56" s="593"/>
      <x:c r="Y56" s="593"/>
      <x:c r="Z56" s="593"/>
      <x:c r="AA56" s="593"/>
      <x:c r="AB56" s="392"/>
      <x:c r="AC56" s="392"/>
      <x:c r="AD56" s="593"/>
      <x:c r="AE56" s="593"/>
      <x:c r="AF56" s="593"/>
      <x:c r="AG56" s="593"/>
      <x:c r="AH56" s="593"/>
      <x:c r="AI56" s="392"/>
      <x:c r="AJ56" s="392"/>
      <x:c r="AK56" s="593"/>
      <x:c r="AL56" s="593"/>
      <x:c r="AM56" s="476"/>
      <x:c r="AN56" s="476"/>
      <x:c r="AO56" s="476"/>
      <x:c r="AP56" s="392"/>
      <x:c r="AQ56" s="392"/>
      <x:c r="AR56" s="392"/>
      <x:c r="AS56" s="392"/>
      <x:c r="AT56" s="392"/>
      <x:c r="AU56" s="593"/>
      <x:c r="AV56" s="593"/>
      <x:c r="AW56" s="392"/>
      <x:c r="AX56" s="392"/>
      <x:c r="AY56" s="593"/>
      <x:c r="AZ56" s="593"/>
      <x:c r="BA56" s="593"/>
      <x:c r="BB56" s="593"/>
      <x:c r="BC56" s="593"/>
      <x:c r="BD56" s="392"/>
      <x:c r="BE56" s="392"/>
      <x:c r="BF56" s="593"/>
      <x:c r="BG56" s="593"/>
      <x:c r="BH56" s="593"/>
      <x:c r="BI56" s="593"/>
      <x:c r="BJ56" s="593"/>
      <x:c r="BK56" s="392"/>
      <x:c r="BL56" s="392"/>
      <x:c r="BM56" s="392"/>
      <x:c r="BN56" s="593"/>
      <x:c r="BO56" s="593"/>
      <x:c r="BP56" s="593"/>
      <x:c r="BQ56" s="593"/>
      <x:c r="BR56" s="392"/>
      <x:c r="BS56" s="392"/>
      <x:c r="BT56" s="593"/>
    </x:row>
    <x:row r="57" ht="24" customHeight="1">
      <x:c r="A57" s="372" t="str">
        <x:v>次期J Salesforce→Cloudera 恒久対応PoC</x:v>
      </x:c>
      <x:c r="B57" s="372" t="str">
        <x:v>性能・障害検証</x:v>
      </x:c>
      <x:c r="C57" s="372" t="str">
        <x:v>TC-07 ピーク負荷試験</x:v>
      </x:c>
      <x:c r="D57" s="370" t="str">
        <x:f t="shared" si="11">IF(A57&lt;&gt;"", IF(A57=A56, "", A57), "")</x:f>
      </x:c>
      <x:c r="E57" s="371" t="str" cm="1">
        <x:f t="array" ref="E57">IF(B57="","",IF(B57&lt;&gt;B56,SUMPRODUCT(($B$5:B57&lt;&gt;$B$4:B56)*($B$5:B57&lt;&gt;"")),""))</x:f>
      </x:c>
      <x:c r="F57" s="370" t="str">
        <x:f t="shared" si="12">IF(B57&lt;&gt;"", IF(B57=B56, "", B57), "")</x:f>
      </x:c>
      <x:c r="G57" s="370" t="n">
        <x:f>IF(C57="","",COUNTIF($B$5:B57,B57))</x:f>
        <x:v>3</x:v>
      </x:c>
      <x:c r="H57" s="370" t="str">
        <x:f t="shared" si="13">IF(AND(C57&lt;&gt;"",OR(C57&lt;&gt;C56,B57&lt;&gt;B56)),C57,"")</x:f>
        <x:v>TC-07 ピーク負荷試験</x:v>
      </x:c>
      <x:c r="I57" s="372" t="str">
        <x:v>データ基盤</x:v>
      </x:c>
      <x:c r="J57" s="372" t="str">
        <x:v>ワタル／要確認</x:v>
      </x:c>
      <x:c r="K57" s="372"/>
      <x:c r="L57" s="370" t="str">
        <x:f>IF(C57="","","【"&amp;A57&amp;"】"&amp;MAX($E$5:E57)&amp;"-"&amp;G57&amp;"_"&amp;B57&amp;"_"&amp;C57)</x:f>
        <x:v>【次期J Salesforce→Cloudera 恒久対応PoC】8-3_性能・障害検証_TC-07 ピーク負荷試験</x:v>
      </x:c>
      <x:c r="M57" s="378" t="n">
        <x:v>46282</x:v>
      </x:c>
      <x:c r="N57" s="378" t="n">
        <x:v>46283</x:v>
      </x:c>
      <x:c r="O57" s="372" t="str">
        <x:v>準備中</x:v>
      </x:c>
      <x:c r="P57" s="593"/>
      <x:c r="Q57" s="593"/>
      <x:c r="R57" s="593"/>
      <x:c r="S57" s="593"/>
      <x:c r="T57" s="593"/>
      <x:c r="U57" s="392"/>
      <x:c r="V57" s="392"/>
      <x:c r="W57" s="593"/>
      <x:c r="X57" s="593"/>
      <x:c r="Y57" s="593"/>
      <x:c r="Z57" s="593"/>
      <x:c r="AA57" s="593"/>
      <x:c r="AB57" s="392"/>
      <x:c r="AC57" s="392"/>
      <x:c r="AD57" s="593"/>
      <x:c r="AE57" s="593"/>
      <x:c r="AF57" s="593"/>
      <x:c r="AG57" s="593"/>
      <x:c r="AH57" s="593"/>
      <x:c r="AI57" s="392"/>
      <x:c r="AJ57" s="392"/>
      <x:c r="AK57" s="593"/>
      <x:c r="AL57" s="593"/>
      <x:c r="AM57" s="593"/>
      <x:c r="AN57" s="476"/>
      <x:c r="AO57" s="476"/>
      <x:c r="AP57" s="392"/>
      <x:c r="AQ57" s="392"/>
      <x:c r="AR57" s="392"/>
      <x:c r="AS57" s="392"/>
      <x:c r="AT57" s="392"/>
      <x:c r="AU57" s="593"/>
      <x:c r="AV57" s="593"/>
      <x:c r="AW57" s="392"/>
      <x:c r="AX57" s="392"/>
      <x:c r="AY57" s="593"/>
      <x:c r="AZ57" s="593"/>
      <x:c r="BA57" s="593"/>
      <x:c r="BB57" s="593"/>
      <x:c r="BC57" s="593"/>
      <x:c r="BD57" s="392"/>
      <x:c r="BE57" s="392"/>
      <x:c r="BF57" s="593"/>
      <x:c r="BG57" s="593"/>
      <x:c r="BH57" s="593"/>
      <x:c r="BI57" s="593"/>
      <x:c r="BJ57" s="593"/>
      <x:c r="BK57" s="392"/>
      <x:c r="BL57" s="392"/>
      <x:c r="BM57" s="392"/>
      <x:c r="BN57" s="593"/>
      <x:c r="BO57" s="593"/>
      <x:c r="BP57" s="593"/>
      <x:c r="BQ57" s="593"/>
      <x:c r="BR57" s="392"/>
      <x:c r="BS57" s="392"/>
      <x:c r="BT57" s="593"/>
    </x:row>
    <x:row r="58" ht="24" customHeight="1">
      <x:c r="A58" s="372" t="str">
        <x:v>次期J Salesforce→Cloudera 恒久対応PoC</x:v>
      </x:c>
      <x:c r="B58" s="372" t="str">
        <x:v>性能・障害検証</x:v>
      </x:c>
      <x:c r="C58" s="372" t="str">
        <x:v>TC-08/10 受信側停止・接続断／再接続確認</x:v>
      </x:c>
      <x:c r="D58" s="370" t="str">
        <x:f t="shared" si="11">IF(A58&lt;&gt;"", IF(A58=A57, "", A58), "")</x:f>
      </x:c>
      <x:c r="E58" s="371" t="str" cm="1">
        <x:f t="array" ref="E58">IF(B58="","",IF(B58&lt;&gt;B57,SUMPRODUCT(($B$5:B58&lt;&gt;$B$4:B57)*($B$5:B58&lt;&gt;"")),""))</x:f>
      </x:c>
      <x:c r="F58" s="370" t="str">
        <x:f t="shared" si="12">IF(B58&lt;&gt;"", IF(B58=B57, "", B58), "")</x:f>
      </x:c>
      <x:c r="G58" s="370" t="n">
        <x:f>IF(C58="","",COUNTIF($B$5:B58,B58))</x:f>
        <x:v>4</x:v>
      </x:c>
      <x:c r="H58" s="370" t="str">
        <x:f t="shared" si="13">IF(AND(C58&lt;&gt;"",OR(C58&lt;&gt;C57,B58&lt;&gt;B57)),C58,"")</x:f>
        <x:v>TC-08/10 受信側停止・接続断／再接続確認</x:v>
      </x:c>
      <x:c r="I58" s="372" t="str">
        <x:v>データ基盤</x:v>
      </x:c>
      <x:c r="J58" s="372" t="str">
        <x:v>ワタル／要確認</x:v>
      </x:c>
      <x:c r="K58" s="372"/>
      <x:c r="L58" s="370" t="str">
        <x:f>IF(C58="","","【"&amp;A58&amp;"】"&amp;MAX($E$5:E58)&amp;"-"&amp;G58&amp;"_"&amp;B58&amp;"_"&amp;C58)</x:f>
        <x:v>【次期J Salesforce→Cloudera 恒久対応PoC】8-4_性能・障害検証_TC-08/10 受信側停止・接続断／再接続確認</x:v>
      </x:c>
      <x:c r="M58" s="378" t="n">
        <x:v>46282</x:v>
      </x:c>
      <x:c r="N58" s="378" t="n">
        <x:v>46283</x:v>
      </x:c>
      <x:c r="O58" s="372" t="str">
        <x:v>準備中</x:v>
      </x:c>
      <x:c r="P58" s="593"/>
      <x:c r="Q58" s="593"/>
      <x:c r="R58" s="593"/>
      <x:c r="S58" s="593"/>
      <x:c r="T58" s="593"/>
      <x:c r="U58" s="392"/>
      <x:c r="V58" s="392"/>
      <x:c r="W58" s="593"/>
      <x:c r="X58" s="593"/>
      <x:c r="Y58" s="593"/>
      <x:c r="Z58" s="593"/>
      <x:c r="AA58" s="593"/>
      <x:c r="AB58" s="392"/>
      <x:c r="AC58" s="392"/>
      <x:c r="AD58" s="593"/>
      <x:c r="AE58" s="593"/>
      <x:c r="AF58" s="593"/>
      <x:c r="AG58" s="593"/>
      <x:c r="AH58" s="593"/>
      <x:c r="AI58" s="392"/>
      <x:c r="AJ58" s="392"/>
      <x:c r="AK58" s="593"/>
      <x:c r="AL58" s="593"/>
      <x:c r="AM58" s="593"/>
      <x:c r="AN58" s="476"/>
      <x:c r="AO58" s="476"/>
      <x:c r="AP58" s="392"/>
      <x:c r="AQ58" s="392"/>
      <x:c r="AR58" s="392"/>
      <x:c r="AS58" s="392"/>
      <x:c r="AT58" s="392"/>
      <x:c r="AU58" s="593"/>
      <x:c r="AV58" s="593"/>
      <x:c r="AW58" s="392"/>
      <x:c r="AX58" s="392"/>
      <x:c r="AY58" s="593"/>
      <x:c r="AZ58" s="593"/>
      <x:c r="BA58" s="593"/>
      <x:c r="BB58" s="593"/>
      <x:c r="BC58" s="593"/>
      <x:c r="BD58" s="392"/>
      <x:c r="BE58" s="392"/>
      <x:c r="BF58" s="593"/>
      <x:c r="BG58" s="593"/>
      <x:c r="BH58" s="593"/>
      <x:c r="BI58" s="593"/>
      <x:c r="BJ58" s="593"/>
      <x:c r="BK58" s="392"/>
      <x:c r="BL58" s="392"/>
      <x:c r="BM58" s="392"/>
      <x:c r="BN58" s="593"/>
      <x:c r="BO58" s="593"/>
      <x:c r="BP58" s="593"/>
      <x:c r="BQ58" s="593"/>
      <x:c r="BR58" s="392"/>
      <x:c r="BS58" s="392"/>
      <x:c r="BT58" s="593"/>
    </x:row>
    <x:row r="59" ht="24" customHeight="1">
      <x:c r="A59" s="372" t="str">
        <x:v>次期J Salesforce→Cloudera 恒久対応PoC</x:v>
      </x:c>
      <x:c r="B59" s="372" t="str">
        <x:v>性能・障害検証</x:v>
      </x:c>
      <x:c r="C59" s="372" t="str">
        <x:v>TC-09 Cloudera連携失敗時の再処理確認</x:v>
      </x:c>
      <x:c r="D59" s="370" t="str">
        <x:f t="shared" si="11">IF(A59&lt;&gt;"", IF(A59=A58, "", A59), "")</x:f>
      </x:c>
      <x:c r="E59" s="371" t="str" cm="1">
        <x:f t="array" ref="E59">IF(B59="","",IF(B59&lt;&gt;B58,SUMPRODUCT(($B$5:B59&lt;&gt;$B$4:B58)*($B$5:B59&lt;&gt;"")),""))</x:f>
      </x:c>
      <x:c r="F59" s="370" t="str">
        <x:f t="shared" si="12">IF(B59&lt;&gt;"", IF(B59=B58, "", B59), "")</x:f>
      </x:c>
      <x:c r="G59" s="370" t="n">
        <x:f>IF(C59="","",COUNTIF($B$5:B59,B59))</x:f>
        <x:v>5</x:v>
      </x:c>
      <x:c r="H59" s="370" t="str">
        <x:f t="shared" si="13">IF(AND(C59&lt;&gt;"",OR(C59&lt;&gt;C58,B59&lt;&gt;B58)),C59,"")</x:f>
        <x:v>TC-09 Cloudera連携失敗時の再処理確認</x:v>
      </x:c>
      <x:c r="I59" s="372" t="str">
        <x:v>Cloudera</x:v>
      </x:c>
      <x:c r="J59" s="372" t="str">
        <x:v>要確認</x:v>
      </x:c>
      <x:c r="K59" s="372"/>
      <x:c r="L59" s="370" t="str">
        <x:f>IF(C59="","","【"&amp;A59&amp;"】"&amp;MAX($E$5:E59)&amp;"-"&amp;G59&amp;"_"&amp;B59&amp;"_"&amp;C59)</x:f>
        <x:v>【次期J Salesforce→Cloudera 恒久対応PoC】8-5_性能・障害検証_TC-09 Cloudera連携失敗時の再処理確認</x:v>
      </x:c>
      <x:c r="M59" s="378" t="n">
        <x:v>46283</x:v>
      </x:c>
      <x:c r="N59" s="378" t="n">
        <x:v>46283</x:v>
      </x:c>
      <x:c r="O59" s="372" t="str">
        <x:v>準備中</x:v>
      </x:c>
      <x:c r="P59" s="593"/>
      <x:c r="Q59" s="593"/>
      <x:c r="R59" s="593"/>
      <x:c r="S59" s="593"/>
      <x:c r="T59" s="593"/>
      <x:c r="U59" s="392"/>
      <x:c r="V59" s="392"/>
      <x:c r="W59" s="593"/>
      <x:c r="X59" s="593"/>
      <x:c r="Y59" s="593"/>
      <x:c r="Z59" s="593"/>
      <x:c r="AA59" s="593"/>
      <x:c r="AB59" s="392"/>
      <x:c r="AC59" s="392"/>
      <x:c r="AD59" s="593"/>
      <x:c r="AE59" s="593"/>
      <x:c r="AF59" s="593"/>
      <x:c r="AG59" s="593"/>
      <x:c r="AH59" s="593"/>
      <x:c r="AI59" s="392"/>
      <x:c r="AJ59" s="392"/>
      <x:c r="AK59" s="593"/>
      <x:c r="AL59" s="593"/>
      <x:c r="AM59" s="593"/>
      <x:c r="AN59" s="593"/>
      <x:c r="AO59" s="476"/>
      <x:c r="AP59" s="392"/>
      <x:c r="AQ59" s="392"/>
      <x:c r="AR59" s="392"/>
      <x:c r="AS59" s="392"/>
      <x:c r="AT59" s="392"/>
      <x:c r="AU59" s="593"/>
      <x:c r="AV59" s="593"/>
      <x:c r="AW59" s="392"/>
      <x:c r="AX59" s="392"/>
      <x:c r="AY59" s="593"/>
      <x:c r="AZ59" s="593"/>
      <x:c r="BA59" s="593"/>
      <x:c r="BB59" s="593"/>
      <x:c r="BC59" s="593"/>
      <x:c r="BD59" s="392"/>
      <x:c r="BE59" s="392"/>
      <x:c r="BF59" s="593"/>
      <x:c r="BG59" s="593"/>
      <x:c r="BH59" s="593"/>
      <x:c r="BI59" s="593"/>
      <x:c r="BJ59" s="593"/>
      <x:c r="BK59" s="392"/>
      <x:c r="BL59" s="392"/>
      <x:c r="BM59" s="392"/>
      <x:c r="BN59" s="593"/>
      <x:c r="BO59" s="593"/>
      <x:c r="BP59" s="593"/>
      <x:c r="BQ59" s="593"/>
      <x:c r="BR59" s="392"/>
      <x:c r="BS59" s="392"/>
      <x:c r="BT59" s="593"/>
    </x:row>
    <x:row r="60" ht="24" customHeight="1">
      <x:c r="A60" s="372" t="str">
        <x:v>次期J Salesforce→Cloudera 恒久対応PoC</x:v>
      </x:c>
      <x:c r="B60" s="372" t="str">
        <x:v>性能・障害検証</x:v>
      </x:c>
      <x:c r="C60" s="372" t="str">
        <x:v>TC-11 Replayによるイベント再取得確認</x:v>
      </x:c>
      <x:c r="D60" s="370" t="str">
        <x:f t="shared" si="11">IF(A60&lt;&gt;"", IF(A60=A59, "", A60), "")</x:f>
      </x:c>
      <x:c r="E60" s="371" t="str" cm="1">
        <x:f t="array" ref="E60">IF(B60="","",IF(B60&lt;&gt;B59,SUMPRODUCT(($B$5:B60&lt;&gt;$B$4:B59)*($B$5:B60&lt;&gt;"")),""))</x:f>
      </x:c>
      <x:c r="F60" s="370" t="str">
        <x:f t="shared" si="12">IF(B60&lt;&gt;"", IF(B60=B59, "", B60), "")</x:f>
      </x:c>
      <x:c r="G60" s="370" t="n">
        <x:f>IF(C60="","",COUNTIF($B$5:B60,B60))</x:f>
        <x:v>6</x:v>
      </x:c>
      <x:c r="H60" s="370" t="str">
        <x:f t="shared" si="13">IF(AND(C60&lt;&gt;"",OR(C60&lt;&gt;C59,B60&lt;&gt;B59)),C60,"")</x:f>
        <x:v>TC-11 Replayによるイベント再取得確認</x:v>
      </x:c>
      <x:c r="I60" s="372" t="str">
        <x:v>データ基盤</x:v>
      </x:c>
      <x:c r="J60" s="372" t="str">
        <x:v>ワタル／要確認</x:v>
      </x:c>
      <x:c r="K60" s="372"/>
      <x:c r="L60" s="370" t="str">
        <x:f>IF(C60="","","【"&amp;A60&amp;"】"&amp;MAX($E$5:E60)&amp;"-"&amp;G60&amp;"_"&amp;B60&amp;"_"&amp;C60)</x:f>
        <x:v>【次期J Salesforce→Cloudera 恒久対応PoC】8-6_性能・障害検証_TC-11 Replayによるイベント再取得確認</x:v>
      </x:c>
      <x:c r="M60" s="378" t="n">
        <x:v>46289</x:v>
      </x:c>
      <x:c r="N60" s="378" t="n">
        <x:v>46289</x:v>
      </x:c>
      <x:c r="O60" s="372" t="str">
        <x:v>準備中</x:v>
      </x:c>
      <x:c r="P60" s="593"/>
      <x:c r="Q60" s="593"/>
      <x:c r="R60" s="593"/>
      <x:c r="S60" s="593"/>
      <x:c r="T60" s="593"/>
      <x:c r="U60" s="392"/>
      <x:c r="V60" s="392"/>
      <x:c r="W60" s="593"/>
      <x:c r="X60" s="593"/>
      <x:c r="Y60" s="593"/>
      <x:c r="Z60" s="593"/>
      <x:c r="AA60" s="593"/>
      <x:c r="AB60" s="392"/>
      <x:c r="AC60" s="392"/>
      <x:c r="AD60" s="593"/>
      <x:c r="AE60" s="593"/>
      <x:c r="AF60" s="593"/>
      <x:c r="AG60" s="593"/>
      <x:c r="AH60" s="593"/>
      <x:c r="AI60" s="392"/>
      <x:c r="AJ60" s="392"/>
      <x:c r="AK60" s="593"/>
      <x:c r="AL60" s="593"/>
      <x:c r="AM60" s="593"/>
      <x:c r="AN60" s="593"/>
      <x:c r="AO60" s="593"/>
      <x:c r="AP60" s="392"/>
      <x:c r="AQ60" s="392"/>
      <x:c r="AR60" s="392"/>
      <x:c r="AS60" s="392"/>
      <x:c r="AT60" s="392"/>
      <x:c r="AU60" s="476"/>
      <x:c r="AV60" s="593"/>
      <x:c r="AW60" s="392"/>
      <x:c r="AX60" s="392"/>
      <x:c r="AY60" s="593"/>
      <x:c r="AZ60" s="593"/>
      <x:c r="BA60" s="593"/>
      <x:c r="BB60" s="593"/>
      <x:c r="BC60" s="593"/>
      <x:c r="BD60" s="392"/>
      <x:c r="BE60" s="392"/>
      <x:c r="BF60" s="593"/>
      <x:c r="BG60" s="593"/>
      <x:c r="BH60" s="593"/>
      <x:c r="BI60" s="593"/>
      <x:c r="BJ60" s="593"/>
      <x:c r="BK60" s="392"/>
      <x:c r="BL60" s="392"/>
      <x:c r="BM60" s="392"/>
      <x:c r="BN60" s="593"/>
      <x:c r="BO60" s="593"/>
      <x:c r="BP60" s="593"/>
      <x:c r="BQ60" s="593"/>
      <x:c r="BR60" s="392"/>
      <x:c r="BS60" s="392"/>
      <x:c r="BT60" s="593"/>
    </x:row>
    <x:row r="61" ht="24" customHeight="1">
      <x:c r="A61" s="372" t="str">
        <x:v>次期J Salesforce→Cloudera 恒久対応PoC</x:v>
      </x:c>
      <x:c r="B61" s="372" t="str">
        <x:v>性能・障害検証</x:v>
      </x:c>
      <x:c r="C61" s="372" t="str">
        <x:v>TC-12 重複受信・二重処理挙動確認</x:v>
      </x:c>
      <x:c r="D61" s="370" t="str">
        <x:f t="shared" si="11">IF(A61&lt;&gt;"", IF(A61=A60, "", A61), "")</x:f>
      </x:c>
      <x:c r="E61" s="371" t="str" cm="1">
        <x:f t="array" ref="E61">IF(B61="","",IF(B61&lt;&gt;B60,SUMPRODUCT(($B$5:B61&lt;&gt;$B$4:B60)*($B$5:B61&lt;&gt;"")),""))</x:f>
      </x:c>
      <x:c r="F61" s="370" t="str">
        <x:f t="shared" si="12">IF(B61&lt;&gt;"", IF(B61=B60, "", B61), "")</x:f>
      </x:c>
      <x:c r="G61" s="370" t="n">
        <x:f>IF(C61="","",COUNTIF($B$5:B61,B61))</x:f>
        <x:v>7</x:v>
      </x:c>
      <x:c r="H61" s="370" t="str">
        <x:f t="shared" si="13">IF(AND(C61&lt;&gt;"",OR(C61&lt;&gt;C60,B61&lt;&gt;B60)),C61,"")</x:f>
        <x:v>TC-12 重複受信・二重処理挙動確認</x:v>
      </x:c>
      <x:c r="I61" s="372" t="str">
        <x:v>データ基盤</x:v>
      </x:c>
      <x:c r="J61" s="372" t="str">
        <x:v>ワタル／要確認</x:v>
      </x:c>
      <x:c r="K61" s="372"/>
      <x:c r="L61" s="370" t="str">
        <x:f>IF(C61="","","【"&amp;A61&amp;"】"&amp;MAX($E$5:E61)&amp;"-"&amp;G61&amp;"_"&amp;B61&amp;"_"&amp;C61)</x:f>
        <x:v>【次期J Salesforce→Cloudera 恒久対応PoC】8-7_性能・障害検証_TC-12 重複受信・二重処理挙動確認</x:v>
      </x:c>
      <x:c r="M61" s="378" t="n">
        <x:v>46289</x:v>
      </x:c>
      <x:c r="N61" s="378" t="n">
        <x:v>46290</x:v>
      </x:c>
      <x:c r="O61" s="372" t="str">
        <x:v>準備中</x:v>
      </x:c>
      <x:c r="P61" s="593"/>
      <x:c r="Q61" s="593"/>
      <x:c r="R61" s="593"/>
      <x:c r="S61" s="593"/>
      <x:c r="T61" s="593"/>
      <x:c r="U61" s="392"/>
      <x:c r="V61" s="392"/>
      <x:c r="W61" s="593"/>
      <x:c r="X61" s="593"/>
      <x:c r="Y61" s="593"/>
      <x:c r="Z61" s="593"/>
      <x:c r="AA61" s="593"/>
      <x:c r="AB61" s="392"/>
      <x:c r="AC61" s="392"/>
      <x:c r="AD61" s="593"/>
      <x:c r="AE61" s="593"/>
      <x:c r="AF61" s="593"/>
      <x:c r="AG61" s="593"/>
      <x:c r="AH61" s="593"/>
      <x:c r="AI61" s="392"/>
      <x:c r="AJ61" s="392"/>
      <x:c r="AK61" s="593"/>
      <x:c r="AL61" s="593"/>
      <x:c r="AM61" s="593"/>
      <x:c r="AN61" s="593"/>
      <x:c r="AO61" s="593"/>
      <x:c r="AP61" s="392"/>
      <x:c r="AQ61" s="392"/>
      <x:c r="AR61" s="392"/>
      <x:c r="AS61" s="392"/>
      <x:c r="AT61" s="392"/>
      <x:c r="AU61" s="476"/>
      <x:c r="AV61" s="476"/>
      <x:c r="AW61" s="392"/>
      <x:c r="AX61" s="392"/>
      <x:c r="AY61" s="593"/>
      <x:c r="AZ61" s="593"/>
      <x:c r="BA61" s="593"/>
      <x:c r="BB61" s="593"/>
      <x:c r="BC61" s="593"/>
      <x:c r="BD61" s="392"/>
      <x:c r="BE61" s="392"/>
      <x:c r="BF61" s="593"/>
      <x:c r="BG61" s="593"/>
      <x:c r="BH61" s="593"/>
      <x:c r="BI61" s="593"/>
      <x:c r="BJ61" s="593"/>
      <x:c r="BK61" s="392"/>
      <x:c r="BL61" s="392"/>
      <x:c r="BM61" s="392"/>
      <x:c r="BN61" s="593"/>
      <x:c r="BO61" s="593"/>
      <x:c r="BP61" s="593"/>
      <x:c r="BQ61" s="593"/>
      <x:c r="BR61" s="392"/>
      <x:c r="BS61" s="392"/>
      <x:c r="BT61" s="593"/>
    </x:row>
    <x:row r="62" ht="24" customHeight="1">
      <x:c r="A62" s="372" t="str">
        <x:v>次期J Salesforce→Cloudera 恒久対応PoC</x:v>
      </x:c>
      <x:c r="B62" s="372" t="str">
        <x:v>性能・障害検証</x:v>
      </x:c>
      <x:c r="C62" s="372" t="str">
        <x:v>不具合修正・再試験・予備期間</x:v>
      </x:c>
      <x:c r="D62" s="370" t="str">
        <x:f t="shared" si="11">IF(A62&lt;&gt;"", IF(A62=A61, "", A62), "")</x:f>
      </x:c>
      <x:c r="E62" s="371" t="str" cm="1">
        <x:f t="array" ref="E62">IF(B62="","",IF(B62&lt;&gt;B61,SUMPRODUCT(($B$5:B62&lt;&gt;$B$4:B61)*($B$5:B62&lt;&gt;"")),""))</x:f>
      </x:c>
      <x:c r="F62" s="370" t="str">
        <x:f t="shared" si="12">IF(B62&lt;&gt;"", IF(B62=B61, "", B62), "")</x:f>
      </x:c>
      <x:c r="G62" s="370" t="n">
        <x:f>IF(C62="","",COUNTIF($B$5:B62,B62))</x:f>
        <x:v>8</x:v>
      </x:c>
      <x:c r="H62" s="370" t="str">
        <x:f t="shared" si="13">IF(AND(C62&lt;&gt;"",OR(C62&lt;&gt;C61,B62&lt;&gt;B61)),C62,"")</x:f>
        <x:v>不具合修正・再試験・予備期間</x:v>
      </x:c>
      <x:c r="I62" s="372" t="str">
        <x:v>データ基盤</x:v>
      </x:c>
      <x:c r="J62" s="372" t="str">
        <x:v>要確認</x:v>
      </x:c>
      <x:c r="K62" s="372"/>
      <x:c r="L62" s="370" t="str">
        <x:f>IF(C62="","","【"&amp;A62&amp;"】"&amp;MAX($E$5:E62)&amp;"-"&amp;G62&amp;"_"&amp;B62&amp;"_"&amp;C62)</x:f>
        <x:v>【次期J Salesforce→Cloudera 恒久対応PoC】8-8_性能・障害検証_不具合修正・再試験・予備期間</x:v>
      </x:c>
      <x:c r="M62" s="378" t="n">
        <x:v>46289</x:v>
      </x:c>
      <x:c r="N62" s="378" t="n">
        <x:v>46290</x:v>
      </x:c>
      <x:c r="O62" s="372" t="str">
        <x:v>準備中</x:v>
      </x:c>
      <x:c r="P62" s="593"/>
      <x:c r="Q62" s="593"/>
      <x:c r="R62" s="593"/>
      <x:c r="S62" s="593"/>
      <x:c r="T62" s="593"/>
      <x:c r="U62" s="392"/>
      <x:c r="V62" s="392"/>
      <x:c r="W62" s="593"/>
      <x:c r="X62" s="593"/>
      <x:c r="Y62" s="593"/>
      <x:c r="Z62" s="593"/>
      <x:c r="AA62" s="593"/>
      <x:c r="AB62" s="392"/>
      <x:c r="AC62" s="392"/>
      <x:c r="AD62" s="593"/>
      <x:c r="AE62" s="593"/>
      <x:c r="AF62" s="593"/>
      <x:c r="AG62" s="593"/>
      <x:c r="AH62" s="593"/>
      <x:c r="AI62" s="392"/>
      <x:c r="AJ62" s="392"/>
      <x:c r="AK62" s="593"/>
      <x:c r="AL62" s="593"/>
      <x:c r="AM62" s="593"/>
      <x:c r="AN62" s="593"/>
      <x:c r="AO62" s="593"/>
      <x:c r="AP62" s="392"/>
      <x:c r="AQ62" s="392"/>
      <x:c r="AR62" s="392"/>
      <x:c r="AS62" s="392"/>
      <x:c r="AT62" s="392"/>
      <x:c r="AU62" s="476"/>
      <x:c r="AV62" s="476"/>
      <x:c r="AW62" s="392"/>
      <x:c r="AX62" s="392"/>
      <x:c r="AY62" s="593"/>
      <x:c r="AZ62" s="593"/>
      <x:c r="BA62" s="593"/>
      <x:c r="BB62" s="593"/>
      <x:c r="BC62" s="593"/>
      <x:c r="BD62" s="392"/>
      <x:c r="BE62" s="392"/>
      <x:c r="BF62" s="593"/>
      <x:c r="BG62" s="593"/>
      <x:c r="BH62" s="593"/>
      <x:c r="BI62" s="593"/>
      <x:c r="BJ62" s="593"/>
      <x:c r="BK62" s="392"/>
      <x:c r="BL62" s="392"/>
      <x:c r="BM62" s="392"/>
      <x:c r="BN62" s="593"/>
      <x:c r="BO62" s="593"/>
      <x:c r="BP62" s="593"/>
      <x:c r="BQ62" s="593"/>
      <x:c r="BR62" s="392"/>
      <x:c r="BS62" s="392"/>
      <x:c r="BT62" s="593"/>
    </x:row>
    <x:row r="63" ht="24" customHeight="1">
      <x:c r="A63" s="372" t="str">
        <x:v>次期J Salesforce→Cloudera 恒久対応PoC</x:v>
      </x:c>
      <x:c r="B63" s="372" t="str">
        <x:v>結果評価・報告</x:v>
      </x:c>
      <x:c r="C63" s="372" t="str">
        <x:v>PoC結果の○／△／×／未判定整理</x:v>
      </x:c>
      <x:c r="D63" s="370" t="str">
        <x:f t="shared" si="11">IF(A63&lt;&gt;"", IF(A63=A62, "", A63), "")</x:f>
      </x:c>
      <x:c r="E63" s="371" t="n" cm="1">
        <x:f t="array" ref="E63">IF(B63="","",IF(B63&lt;&gt;B62,SUMPRODUCT(($B$5:B63&lt;&gt;$B$4:B62)*($B$5:B63&lt;&gt;"")),""))</x:f>
        <x:v>9</x:v>
      </x:c>
      <x:c r="F63" s="370" t="str">
        <x:f t="shared" si="12">IF(B63&lt;&gt;"", IF(B63=B62, "", B63), "")</x:f>
        <x:v>結果評価・報告</x:v>
      </x:c>
      <x:c r="G63" s="370" t="n">
        <x:f>IF(C63="","",COUNTIF($B$5:B63,B63))</x:f>
        <x:v>1</x:v>
      </x:c>
      <x:c r="H63" s="370" t="str">
        <x:f t="shared" si="13">IF(AND(C63&lt;&gt;"",OR(C63&lt;&gt;C62,B63&lt;&gt;B62)),C63,"")</x:f>
        <x:v>PoC結果の○／△／×／未判定整理</x:v>
      </x:c>
      <x:c r="I63" s="372" t="str">
        <x:v>データ基盤</x:v>
      </x:c>
      <x:c r="J63" s="372" t="str">
        <x:v>ワタル</x:v>
      </x:c>
      <x:c r="K63" s="372"/>
      <x:c r="L63" s="370" t="str">
        <x:f>IF(C63="","","【"&amp;A63&amp;"】"&amp;MAX($E$5:E63)&amp;"-"&amp;G63&amp;"_"&amp;B63&amp;"_"&amp;C63)</x:f>
        <x:v>【次期J Salesforce→Cloudera 恒久対応PoC】9-1_結果評価・報告_PoC結果の○／△／×／未判定整理</x:v>
      </x:c>
      <x:c r="M63" s="378" t="n">
        <x:v>46289</x:v>
      </x:c>
      <x:c r="N63" s="378" t="n">
        <x:v>46293</x:v>
      </x:c>
      <x:c r="O63" s="372" t="str">
        <x:v>準備中</x:v>
      </x:c>
      <x:c r="P63" s="593"/>
      <x:c r="Q63" s="593"/>
      <x:c r="R63" s="593"/>
      <x:c r="S63" s="593"/>
      <x:c r="T63" s="593"/>
      <x:c r="U63" s="392"/>
      <x:c r="V63" s="392"/>
      <x:c r="W63" s="593"/>
      <x:c r="X63" s="593"/>
      <x:c r="Y63" s="593"/>
      <x:c r="Z63" s="593"/>
      <x:c r="AA63" s="593"/>
      <x:c r="AB63" s="392"/>
      <x:c r="AC63" s="392"/>
      <x:c r="AD63" s="593"/>
      <x:c r="AE63" s="593"/>
      <x:c r="AF63" s="593"/>
      <x:c r="AG63" s="593"/>
      <x:c r="AH63" s="593"/>
      <x:c r="AI63" s="392"/>
      <x:c r="AJ63" s="392"/>
      <x:c r="AK63" s="593"/>
      <x:c r="AL63" s="593"/>
      <x:c r="AM63" s="593"/>
      <x:c r="AN63" s="593"/>
      <x:c r="AO63" s="593"/>
      <x:c r="AP63" s="392"/>
      <x:c r="AQ63" s="392"/>
      <x:c r="AR63" s="392"/>
      <x:c r="AS63" s="392"/>
      <x:c r="AT63" s="392"/>
      <x:c r="AU63" s="476"/>
      <x:c r="AV63" s="476"/>
      <x:c r="AW63" s="476"/>
      <x:c r="AX63" s="476"/>
      <x:c r="AY63" s="476"/>
      <x:c r="AZ63" s="593"/>
      <x:c r="BA63" s="593"/>
      <x:c r="BB63" s="593"/>
      <x:c r="BC63" s="593"/>
      <x:c r="BD63" s="392"/>
      <x:c r="BE63" s="392"/>
      <x:c r="BF63" s="593"/>
      <x:c r="BG63" s="593"/>
      <x:c r="BH63" s="593"/>
      <x:c r="BI63" s="593"/>
      <x:c r="BJ63" s="593"/>
      <x:c r="BK63" s="392"/>
      <x:c r="BL63" s="392"/>
      <x:c r="BM63" s="392"/>
      <x:c r="BN63" s="593"/>
      <x:c r="BO63" s="593"/>
      <x:c r="BP63" s="593"/>
      <x:c r="BQ63" s="593"/>
      <x:c r="BR63" s="392"/>
      <x:c r="BS63" s="392"/>
      <x:c r="BT63" s="593"/>
    </x:row>
    <x:row r="64" ht="24" customHeight="1">
      <x:c r="A64" s="372" t="str">
        <x:v>次期J Salesforce→Cloudera 恒久対応PoC</x:v>
      </x:c>
      <x:c r="B64" s="372" t="str">
        <x:v>結果評価・報告</x:v>
      </x:c>
      <x:c r="C64" s="372" t="str">
        <x:v>Salesforce利用量・追加ライセンス／コスト条件整理</x:v>
      </x:c>
      <x:c r="D64" s="370" t="str">
        <x:f t="shared" si="11">IF(A64&lt;&gt;"", IF(A64=A63, "", A64), "")</x:f>
      </x:c>
      <x:c r="E64" s="371" t="str" cm="1">
        <x:f t="array" ref="E64">IF(B64="","",IF(B64&lt;&gt;B63,SUMPRODUCT(($B$5:B64&lt;&gt;$B$4:B63)*($B$5:B64&lt;&gt;"")),""))</x:f>
      </x:c>
      <x:c r="F64" s="370" t="str">
        <x:f t="shared" si="12">IF(B64&lt;&gt;"", IF(B64=B63, "", B64), "")</x:f>
      </x:c>
      <x:c r="G64" s="370" t="n">
        <x:f>IF(C64="","",COUNTIF($B$5:B64,B64))</x:f>
        <x:v>2</x:v>
      </x:c>
      <x:c r="H64" s="370" t="str">
        <x:f t="shared" si="13">IF(AND(C64&lt;&gt;"",OR(C64&lt;&gt;C63,B64&lt;&gt;B63)),C64,"")</x:f>
        <x:v>Salesforce利用量・追加ライセンス／コスト条件整理</x:v>
      </x:c>
      <x:c r="I64" s="372" t="str">
        <x:v>データ基盤</x:v>
      </x:c>
      <x:c r="J64" s="372" t="str">
        <x:v>ワタル／要確認</x:v>
      </x:c>
      <x:c r="K64" s="372"/>
      <x:c r="L64" s="370" t="str">
        <x:f>IF(C64="","","【"&amp;A64&amp;"】"&amp;MAX($E$5:E64)&amp;"-"&amp;G64&amp;"_"&amp;B64&amp;"_"&amp;C64)</x:f>
        <x:v>【次期J Salesforce→Cloudera 恒久対応PoC】9-2_結果評価・報告_Salesforce利用量・追加ライセンス／コスト条件整理</x:v>
      </x:c>
      <x:c r="M64" s="378" t="n">
        <x:v>46289</x:v>
      </x:c>
      <x:c r="N64" s="378" t="n">
        <x:v>46293</x:v>
      </x:c>
      <x:c r="O64" s="372" t="str">
        <x:v>準備中</x:v>
      </x:c>
      <x:c r="P64" s="593"/>
      <x:c r="Q64" s="593"/>
      <x:c r="R64" s="593"/>
      <x:c r="S64" s="593"/>
      <x:c r="T64" s="593"/>
      <x:c r="U64" s="392"/>
      <x:c r="V64" s="392"/>
      <x:c r="W64" s="593"/>
      <x:c r="X64" s="593"/>
      <x:c r="Y64" s="593"/>
      <x:c r="Z64" s="593"/>
      <x:c r="AA64" s="593"/>
      <x:c r="AB64" s="392"/>
      <x:c r="AC64" s="392"/>
      <x:c r="AD64" s="593"/>
      <x:c r="AE64" s="593"/>
      <x:c r="AF64" s="593"/>
      <x:c r="AG64" s="593"/>
      <x:c r="AH64" s="593"/>
      <x:c r="AI64" s="392"/>
      <x:c r="AJ64" s="392"/>
      <x:c r="AK64" s="593"/>
      <x:c r="AL64" s="593"/>
      <x:c r="AM64" s="593"/>
      <x:c r="AN64" s="593"/>
      <x:c r="AO64" s="593"/>
      <x:c r="AP64" s="392"/>
      <x:c r="AQ64" s="392"/>
      <x:c r="AR64" s="392"/>
      <x:c r="AS64" s="392"/>
      <x:c r="AT64" s="392"/>
      <x:c r="AU64" s="476"/>
      <x:c r="AV64" s="476"/>
      <x:c r="AW64" s="476"/>
      <x:c r="AX64" s="476"/>
      <x:c r="AY64" s="476"/>
      <x:c r="AZ64" s="593"/>
      <x:c r="BA64" s="593"/>
      <x:c r="BB64" s="593"/>
      <x:c r="BC64" s="593"/>
      <x:c r="BD64" s="392"/>
      <x:c r="BE64" s="392"/>
      <x:c r="BF64" s="593"/>
      <x:c r="BG64" s="593"/>
      <x:c r="BH64" s="593"/>
      <x:c r="BI64" s="593"/>
      <x:c r="BJ64" s="593"/>
      <x:c r="BK64" s="392"/>
      <x:c r="BL64" s="392"/>
      <x:c r="BM64" s="392"/>
      <x:c r="BN64" s="593"/>
      <x:c r="BO64" s="593"/>
      <x:c r="BP64" s="593"/>
      <x:c r="BQ64" s="593"/>
      <x:c r="BR64" s="392"/>
      <x:c r="BS64" s="392"/>
      <x:c r="BT64" s="593"/>
    </x:row>
    <x:row r="65" ht="24" customHeight="1">
      <x:c r="A65" s="372" t="str">
        <x:v>次期J Salesforce→Cloudera 恒久対応PoC</x:v>
      </x:c>
      <x:c r="B65" s="372" t="str">
        <x:v>結果評価・報告</x:v>
      </x:c>
      <x:c r="C65" s="372" t="str">
        <x:v>230組織展開時の技術・運用・ライセンス課題整理</x:v>
      </x:c>
      <x:c r="D65" s="370" t="str">
        <x:f t="shared" si="11">IF(A65&lt;&gt;"", IF(A65=A64, "", A65), "")</x:f>
      </x:c>
      <x:c r="E65" s="371" t="str" cm="1">
        <x:f t="array" ref="E65">IF(B65="","",IF(B65&lt;&gt;B64,SUMPRODUCT(($B$5:B65&lt;&gt;$B$4:B64)*($B$5:B65&lt;&gt;"")),""))</x:f>
      </x:c>
      <x:c r="F65" s="370" t="str">
        <x:f t="shared" si="12">IF(B65&lt;&gt;"", IF(B65=B64, "", B65), "")</x:f>
      </x:c>
      <x:c r="G65" s="370" t="n">
        <x:f>IF(C65="","",COUNTIF($B$5:B65,B65))</x:f>
        <x:v>3</x:v>
      </x:c>
      <x:c r="H65" s="370" t="str">
        <x:f t="shared" si="13">IF(AND(C65&lt;&gt;"",OR(C65&lt;&gt;C64,B65&lt;&gt;B64)),C65,"")</x:f>
        <x:v>230組織展開時の技術・運用・ライセンス課題整理</x:v>
      </x:c>
      <x:c r="I65" s="372" t="str">
        <x:v>データ基盤</x:v>
      </x:c>
      <x:c r="J65" s="372" t="str">
        <x:v>ワタル</x:v>
      </x:c>
      <x:c r="K65" s="372"/>
      <x:c r="L65" s="370" t="str">
        <x:f>IF(C65="","","【"&amp;A65&amp;"】"&amp;MAX($E$5:E65)&amp;"-"&amp;G65&amp;"_"&amp;B65&amp;"_"&amp;C65)</x:f>
        <x:v>【次期J Salesforce→Cloudera 恒久対応PoC】9-3_結果評価・報告_230組織展開時の技術・運用・ライセンス課題整理</x:v>
      </x:c>
      <x:c r="M65" s="378" t="n">
        <x:v>46289</x:v>
      </x:c>
      <x:c r="N65" s="378" t="n">
        <x:v>46294</x:v>
      </x:c>
      <x:c r="O65" s="372" t="str">
        <x:v>準備中</x:v>
      </x:c>
      <x:c r="P65" s="593"/>
      <x:c r="Q65" s="593"/>
      <x:c r="R65" s="593"/>
      <x:c r="S65" s="593"/>
      <x:c r="T65" s="593"/>
      <x:c r="U65" s="392"/>
      <x:c r="V65" s="392"/>
      <x:c r="W65" s="593"/>
      <x:c r="X65" s="593"/>
      <x:c r="Y65" s="593"/>
      <x:c r="Z65" s="593"/>
      <x:c r="AA65" s="593"/>
      <x:c r="AB65" s="392"/>
      <x:c r="AC65" s="392"/>
      <x:c r="AD65" s="593"/>
      <x:c r="AE65" s="593"/>
      <x:c r="AF65" s="593"/>
      <x:c r="AG65" s="593"/>
      <x:c r="AH65" s="593"/>
      <x:c r="AI65" s="392"/>
      <x:c r="AJ65" s="392"/>
      <x:c r="AK65" s="593"/>
      <x:c r="AL65" s="593"/>
      <x:c r="AM65" s="593"/>
      <x:c r="AN65" s="593"/>
      <x:c r="AO65" s="593"/>
      <x:c r="AP65" s="392"/>
      <x:c r="AQ65" s="392"/>
      <x:c r="AR65" s="392"/>
      <x:c r="AS65" s="392"/>
      <x:c r="AT65" s="392"/>
      <x:c r="AU65" s="476"/>
      <x:c r="AV65" s="476"/>
      <x:c r="AW65" s="476"/>
      <x:c r="AX65" s="476"/>
      <x:c r="AY65" s="476"/>
      <x:c r="AZ65" s="476"/>
      <x:c r="BA65" s="593"/>
      <x:c r="BB65" s="593"/>
      <x:c r="BC65" s="593"/>
      <x:c r="BD65" s="392"/>
      <x:c r="BE65" s="392"/>
      <x:c r="BF65" s="593"/>
      <x:c r="BG65" s="593"/>
      <x:c r="BH65" s="593"/>
      <x:c r="BI65" s="593"/>
      <x:c r="BJ65" s="593"/>
      <x:c r="BK65" s="392"/>
      <x:c r="BL65" s="392"/>
      <x:c r="BM65" s="392"/>
      <x:c r="BN65" s="593"/>
      <x:c r="BO65" s="593"/>
      <x:c r="BP65" s="593"/>
      <x:c r="BQ65" s="593"/>
      <x:c r="BR65" s="392"/>
      <x:c r="BS65" s="392"/>
      <x:c r="BT65" s="593"/>
    </x:row>
    <x:row r="66" ht="24" customHeight="1">
      <x:c r="A66" s="372" t="str">
        <x:v>次期J Salesforce→Cloudera 恒久対応PoC</x:v>
      </x:c>
      <x:c r="B66" s="372" t="str">
        <x:v>結果評価・報告</x:v>
      </x:c>
      <x:c r="C66" s="372" t="str">
        <x:v>恒久対応の実現可否・残課題・次アクション整理</x:v>
      </x:c>
      <x:c r="D66" s="370" t="str">
        <x:f t="shared" si="11">IF(A66&lt;&gt;"", IF(A66=A65, "", A66), "")</x:f>
      </x:c>
      <x:c r="E66" s="371" t="str" cm="1">
        <x:f t="array" ref="E66">IF(B66="","",IF(B66&lt;&gt;B65,SUMPRODUCT(($B$5:B66&lt;&gt;$B$4:B65)*($B$5:B66&lt;&gt;"")),""))</x:f>
      </x:c>
      <x:c r="F66" s="370" t="str">
        <x:f t="shared" si="12">IF(B66&lt;&gt;"", IF(B66=B65, "", B66), "")</x:f>
      </x:c>
      <x:c r="G66" s="370" t="n">
        <x:f>IF(C66="","",COUNTIF($B$5:B66,B66))</x:f>
        <x:v>4</x:v>
      </x:c>
      <x:c r="H66" s="370" t="str">
        <x:f t="shared" si="13">IF(AND(C66&lt;&gt;"",OR(C66&lt;&gt;C65,B66&lt;&gt;B65)),C66,"")</x:f>
        <x:v>恒久対応の実現可否・残課題・次アクション整理</x:v>
      </x:c>
      <x:c r="I66" s="372" t="str">
        <x:v>データ基盤</x:v>
      </x:c>
      <x:c r="J66" s="372" t="str">
        <x:v>ワタル</x:v>
      </x:c>
      <x:c r="K66" s="372"/>
      <x:c r="L66" s="370" t="str">
        <x:f>IF(C66="","","【"&amp;A66&amp;"】"&amp;MAX($E$5:E66)&amp;"-"&amp;G66&amp;"_"&amp;B66&amp;"_"&amp;C66)</x:f>
        <x:v>【次期J Salesforce→Cloudera 恒久対応PoC】9-4_結果評価・報告_恒久対応の実現可否・残課題・次アクション整理</x:v>
      </x:c>
      <x:c r="M66" s="378" t="n">
        <x:v>46290</x:v>
      </x:c>
      <x:c r="N66" s="378" t="n">
        <x:v>46294</x:v>
      </x:c>
      <x:c r="O66" s="372" t="str">
        <x:v>準備中</x:v>
      </x:c>
      <x:c r="P66" s="593"/>
      <x:c r="Q66" s="593"/>
      <x:c r="R66" s="593"/>
      <x:c r="S66" s="593"/>
      <x:c r="T66" s="593"/>
      <x:c r="U66" s="392"/>
      <x:c r="V66" s="392"/>
      <x:c r="W66" s="593"/>
      <x:c r="X66" s="593"/>
      <x:c r="Y66" s="593"/>
      <x:c r="Z66" s="593"/>
      <x:c r="AA66" s="593"/>
      <x:c r="AB66" s="392"/>
      <x:c r="AC66" s="392"/>
      <x:c r="AD66" s="593"/>
      <x:c r="AE66" s="593"/>
      <x:c r="AF66" s="593"/>
      <x:c r="AG66" s="593"/>
      <x:c r="AH66" s="593"/>
      <x:c r="AI66" s="392"/>
      <x:c r="AJ66" s="392"/>
      <x:c r="AK66" s="593"/>
      <x:c r="AL66" s="593"/>
      <x:c r="AM66" s="593"/>
      <x:c r="AN66" s="593"/>
      <x:c r="AO66" s="593"/>
      <x:c r="AP66" s="392"/>
      <x:c r="AQ66" s="392"/>
      <x:c r="AR66" s="392"/>
      <x:c r="AS66" s="392"/>
      <x:c r="AT66" s="392"/>
      <x:c r="AU66" s="593"/>
      <x:c r="AV66" s="476"/>
      <x:c r="AW66" s="476"/>
      <x:c r="AX66" s="476"/>
      <x:c r="AY66" s="476"/>
      <x:c r="AZ66" s="476"/>
      <x:c r="BA66" s="593"/>
      <x:c r="BB66" s="593"/>
      <x:c r="BC66" s="593"/>
      <x:c r="BD66" s="392"/>
      <x:c r="BE66" s="392"/>
      <x:c r="BF66" s="593"/>
      <x:c r="BG66" s="593"/>
      <x:c r="BH66" s="593"/>
      <x:c r="BI66" s="593"/>
      <x:c r="BJ66" s="593"/>
      <x:c r="BK66" s="392"/>
      <x:c r="BL66" s="392"/>
      <x:c r="BM66" s="392"/>
      <x:c r="BN66" s="593"/>
      <x:c r="BO66" s="593"/>
      <x:c r="BP66" s="593"/>
      <x:c r="BQ66" s="593"/>
      <x:c r="BR66" s="392"/>
      <x:c r="BS66" s="392"/>
      <x:c r="BT66" s="593"/>
    </x:row>
    <x:row r="67" ht="24" customHeight="1">
      <x:c r="A67" s="372" t="str">
        <x:v>次期J Salesforce→Cloudera 恒久対応PoC</x:v>
      </x:c>
      <x:c r="B67" s="372" t="str">
        <x:v>結果評価・報告</x:v>
      </x:c>
      <x:c r="C67" s="372" t="str">
        <x:v>上位報告資料の作成・レビュー</x:v>
      </x:c>
      <x:c r="D67" s="370" t="str">
        <x:f t="shared" si="11">IF(A67&lt;&gt;"", IF(A67=A66, "", A67), "")</x:f>
      </x:c>
      <x:c r="E67" s="371" t="str" cm="1">
        <x:f t="array" ref="E67">IF(B67="","",IF(B67&lt;&gt;B66,SUMPRODUCT(($B$5:B67&lt;&gt;$B$4:B66)*($B$5:B67&lt;&gt;"")),""))</x:f>
      </x:c>
      <x:c r="F67" s="370" t="str">
        <x:f t="shared" si="12">IF(B67&lt;&gt;"", IF(B67=B66, "", B67), "")</x:f>
      </x:c>
      <x:c r="G67" s="370" t="n">
        <x:f>IF(C67="","",COUNTIF($B$5:B67,B67))</x:f>
        <x:v>5</x:v>
      </x:c>
      <x:c r="H67" s="370" t="str">
        <x:f t="shared" si="13">IF(AND(C67&lt;&gt;"",OR(C67&lt;&gt;C66,B67&lt;&gt;B66)),C67,"")</x:f>
        <x:v>上位報告資料の作成・レビュー</x:v>
      </x:c>
      <x:c r="I67" s="372" t="str">
        <x:v>データ基盤</x:v>
      </x:c>
      <x:c r="J67" s="372" t="str">
        <x:v>ワタル</x:v>
      </x:c>
      <x:c r="K67" s="372"/>
      <x:c r="L67" s="370" t="str">
        <x:f>IF(C67="","","【"&amp;A67&amp;"】"&amp;MAX($E$5:E67)&amp;"-"&amp;G67&amp;"_"&amp;B67&amp;"_"&amp;C67)</x:f>
        <x:v>【次期J Salesforce→Cloudera 恒久対応PoC】9-5_結果評価・報告_上位報告資料の作成・レビュー</x:v>
      </x:c>
      <x:c r="M67" s="378" t="n">
        <x:v>46293</x:v>
      </x:c>
      <x:c r="N67" s="378" t="n">
        <x:v>46295</x:v>
      </x:c>
      <x:c r="O67" s="372" t="str">
        <x:v>準備中</x:v>
      </x:c>
      <x:c r="P67" s="593"/>
      <x:c r="Q67" s="593"/>
      <x:c r="R67" s="593"/>
      <x:c r="S67" s="593"/>
      <x:c r="T67" s="593"/>
      <x:c r="U67" s="392"/>
      <x:c r="V67" s="392"/>
      <x:c r="W67" s="593"/>
      <x:c r="X67" s="593"/>
      <x:c r="Y67" s="593"/>
      <x:c r="Z67" s="593"/>
      <x:c r="AA67" s="593"/>
      <x:c r="AB67" s="392"/>
      <x:c r="AC67" s="392"/>
      <x:c r="AD67" s="593"/>
      <x:c r="AE67" s="593"/>
      <x:c r="AF67" s="593"/>
      <x:c r="AG67" s="593"/>
      <x:c r="AH67" s="593"/>
      <x:c r="AI67" s="392"/>
      <x:c r="AJ67" s="392"/>
      <x:c r="AK67" s="593"/>
      <x:c r="AL67" s="593"/>
      <x:c r="AM67" s="593"/>
      <x:c r="AN67" s="593"/>
      <x:c r="AO67" s="593"/>
      <x:c r="AP67" s="392"/>
      <x:c r="AQ67" s="392"/>
      <x:c r="AR67" s="392"/>
      <x:c r="AS67" s="392"/>
      <x:c r="AT67" s="392"/>
      <x:c r="AU67" s="593"/>
      <x:c r="AV67" s="593"/>
      <x:c r="AW67" s="392"/>
      <x:c r="AX67" s="392"/>
      <x:c r="AY67" s="476"/>
      <x:c r="AZ67" s="476"/>
      <x:c r="BA67" s="476"/>
      <x:c r="BB67" s="593"/>
      <x:c r="BC67" s="593"/>
      <x:c r="BD67" s="392"/>
      <x:c r="BE67" s="392"/>
      <x:c r="BF67" s="593"/>
      <x:c r="BG67" s="593"/>
      <x:c r="BH67" s="593"/>
      <x:c r="BI67" s="593"/>
      <x:c r="BJ67" s="593"/>
      <x:c r="BK67" s="392"/>
      <x:c r="BL67" s="392"/>
      <x:c r="BM67" s="392"/>
      <x:c r="BN67" s="593"/>
      <x:c r="BO67" s="593"/>
      <x:c r="BP67" s="593"/>
      <x:c r="BQ67" s="593"/>
      <x:c r="BR67" s="392"/>
      <x:c r="BS67" s="392"/>
      <x:c r="BT67" s="593"/>
    </x:row>
    <x:row r="68" ht="24" customHeight="1">
      <x:c r="A68" s="372" t="str">
        <x:v>次期J Salesforce→Cloudera 恒久対応PoC</x:v>
      </x:c>
      <x:c r="B68" s="372" t="str">
        <x:v>結果評価・報告</x:v>
      </x:c>
      <x:c r="C68" s="372" t="str">
        <x:v>PoC完了・後続展開Go／No-Go判定</x:v>
      </x:c>
      <x:c r="D68" s="370" t="str">
        <x:f t="shared" si="11">IF(A68&lt;&gt;"", IF(A68=A67, "", A68), "")</x:f>
      </x:c>
      <x:c r="E68" s="371" t="str" cm="1">
        <x:f t="array" ref="E68">IF(B68="","",IF(B68&lt;&gt;B67,SUMPRODUCT(($B$5:B68&lt;&gt;$B$4:B67)*($B$5:B68&lt;&gt;"")),""))</x:f>
      </x:c>
      <x:c r="F68" s="370" t="str">
        <x:f t="shared" si="12">IF(B68&lt;&gt;"", IF(B68=B67, "", B68), "")</x:f>
      </x:c>
      <x:c r="G68" s="370" t="n">
        <x:f>IF(C68="","",COUNTIF($B$5:B68,B68))</x:f>
        <x:v>6</x:v>
      </x:c>
      <x:c r="H68" s="370" t="str">
        <x:f t="shared" si="13">IF(AND(C68&lt;&gt;"",OR(C68&lt;&gt;C67,B68&lt;&gt;B67)),C68,"")</x:f>
        <x:v>PoC完了・後続展開Go／No-Go判定</x:v>
      </x:c>
      <x:c r="I68" s="372" t="str">
        <x:v>データ基盤</x:v>
      </x:c>
      <x:c r="J68" s="372" t="str">
        <x:v>ワタル／関係者</x:v>
      </x:c>
      <x:c r="K68" s="372"/>
      <x:c r="L68" s="370" t="str">
        <x:f>IF(C68="","","【"&amp;A68&amp;"】"&amp;MAX($E$5:E68)&amp;"-"&amp;G68&amp;"_"&amp;B68&amp;"_"&amp;C68)</x:f>
        <x:v>【次期J Salesforce→Cloudera 恒久対応PoC】9-6_結果評価・報告_PoC完了・後続展開Go／No-Go判定</x:v>
      </x:c>
      <x:c r="M68" s="378" t="n">
        <x:v>46295</x:v>
      </x:c>
      <x:c r="N68" s="378" t="n">
        <x:v>46295</x:v>
      </x:c>
      <x:c r="O68" s="372" t="str">
        <x:v>準備中</x:v>
      </x:c>
      <x:c r="P68" s="593"/>
      <x:c r="Q68" s="593"/>
      <x:c r="R68" s="593"/>
      <x:c r="S68" s="593"/>
      <x:c r="T68" s="593"/>
      <x:c r="U68" s="392"/>
      <x:c r="V68" s="392"/>
      <x:c r="W68" s="593"/>
      <x:c r="X68" s="593"/>
      <x:c r="Y68" s="593"/>
      <x:c r="Z68" s="593"/>
      <x:c r="AA68" s="593"/>
      <x:c r="AB68" s="392"/>
      <x:c r="AC68" s="392"/>
      <x:c r="AD68" s="593"/>
      <x:c r="AE68" s="593"/>
      <x:c r="AF68" s="593"/>
      <x:c r="AG68" s="593"/>
      <x:c r="AH68" s="593"/>
      <x:c r="AI68" s="392"/>
      <x:c r="AJ68" s="392"/>
      <x:c r="AK68" s="593"/>
      <x:c r="AL68" s="593"/>
      <x:c r="AM68" s="593"/>
      <x:c r="AN68" s="593"/>
      <x:c r="AO68" s="593"/>
      <x:c r="AP68" s="392"/>
      <x:c r="AQ68" s="392"/>
      <x:c r="AR68" s="392"/>
      <x:c r="AS68" s="392"/>
      <x:c r="AT68" s="392"/>
      <x:c r="AU68" s="593"/>
      <x:c r="AV68" s="593"/>
      <x:c r="AW68" s="392"/>
      <x:c r="AX68" s="392"/>
      <x:c r="AY68" s="593"/>
      <x:c r="AZ68" s="593"/>
      <x:c r="BA68" s="476"/>
      <x:c r="BB68" s="593"/>
      <x:c r="BC68" s="593"/>
      <x:c r="BD68" s="392"/>
      <x:c r="BE68" s="392"/>
      <x:c r="BF68" s="593"/>
      <x:c r="BG68" s="593"/>
      <x:c r="BH68" s="593"/>
      <x:c r="BI68" s="593"/>
      <x:c r="BJ68" s="593"/>
      <x:c r="BK68" s="392"/>
      <x:c r="BL68" s="392"/>
      <x:c r="BM68" s="392"/>
      <x:c r="BN68" s="593"/>
      <x:c r="BO68" s="593"/>
      <x:c r="BP68" s="593"/>
      <x:c r="BQ68" s="593"/>
      <x:c r="BR68" s="392"/>
      <x:c r="BS68" s="392"/>
      <x:c r="BT68" s="593"/>
    </x:row>
    <x:row r="69" ht="24" customHeight="1">
      <x:c r="A69" s="372" t="str">
        <x:v>次期J Salesforce→Cloudera 恒久対応PoC</x:v>
      </x:c>
      <x:c r="B69" s="372" t="str">
        <x:v>後続展開（STEP2）</x:v>
      </x:c>
      <x:c r="C69" s="372" t="str">
        <x:v>230組織向け詳細アーキテクチャ設計</x:v>
      </x:c>
      <x:c r="D69" s="370" t="str">
        <x:f t="shared" si="11">IF(A69&lt;&gt;"", IF(A69=A68, "", A69), "")</x:f>
      </x:c>
      <x:c r="E69" s="371" t="n" cm="1">
        <x:f t="array" ref="E69">IF(B69="","",IF(B69&lt;&gt;B68,SUMPRODUCT(($B$5:B69&lt;&gt;$B$4:B68)*($B$5:B69&lt;&gt;"")),""))</x:f>
        <x:v>10</x:v>
      </x:c>
      <x:c r="F69" s="370" t="str">
        <x:f t="shared" si="12">IF(B69&lt;&gt;"", IF(B69=B68, "", B69), "")</x:f>
        <x:v>後続展開（STEP2）</x:v>
      </x:c>
      <x:c r="G69" s="370" t="n">
        <x:f>IF(C69="","",COUNTIF($B$5:B69,B69))</x:f>
        <x:v>1</x:v>
      </x:c>
      <x:c r="H69" s="370" t="str">
        <x:f t="shared" si="13">IF(AND(C69&lt;&gt;"",OR(C69&lt;&gt;C68,B69&lt;&gt;B68)),C69,"")</x:f>
        <x:v>230組織向け詳細アーキテクチャ設計</x:v>
      </x:c>
      <x:c r="I69" s="372" t="str">
        <x:v>データ基盤</x:v>
      </x:c>
      <x:c r="J69" s="372" t="str">
        <x:v>要確認</x:v>
      </x:c>
      <x:c r="K69" s="372"/>
      <x:c r="L69" s="370" t="str">
        <x:f>IF(C69="","","【"&amp;A69&amp;"】"&amp;MAX($E$5:E69)&amp;"-"&amp;G69&amp;"_"&amp;B69&amp;"_"&amp;C69)</x:f>
        <x:v>【次期J Salesforce→Cloudera 恒久対応PoC】10-1_後続展開（STEP2）_230組織向け詳細アーキテクチャ設計</x:v>
      </x:c>
      <x:c r="M69" s="378"/>
      <x:c r="N69" s="378"/>
      <x:c r="O69" s="372" t="str">
        <x:v>準備中</x:v>
      </x:c>
      <x:c r="P69" s="593"/>
      <x:c r="Q69" s="593"/>
      <x:c r="R69" s="593"/>
      <x:c r="S69" s="593"/>
      <x:c r="T69" s="593"/>
      <x:c r="U69" s="392"/>
      <x:c r="V69" s="392"/>
      <x:c r="W69" s="593"/>
      <x:c r="X69" s="593"/>
      <x:c r="Y69" s="593"/>
      <x:c r="Z69" s="593"/>
      <x:c r="AA69" s="593"/>
      <x:c r="AB69" s="392"/>
      <x:c r="AC69" s="392"/>
      <x:c r="AD69" s="593"/>
      <x:c r="AE69" s="593"/>
      <x:c r="AF69" s="593"/>
      <x:c r="AG69" s="593"/>
      <x:c r="AH69" s="593"/>
      <x:c r="AI69" s="392"/>
      <x:c r="AJ69" s="392"/>
      <x:c r="AK69" s="593"/>
      <x:c r="AL69" s="593"/>
      <x:c r="AM69" s="593"/>
      <x:c r="AN69" s="593"/>
      <x:c r="AO69" s="593"/>
      <x:c r="AP69" s="392"/>
      <x:c r="AQ69" s="392"/>
      <x:c r="AR69" s="392"/>
      <x:c r="AS69" s="392"/>
      <x:c r="AT69" s="392"/>
      <x:c r="AU69" s="593"/>
      <x:c r="AV69" s="593"/>
      <x:c r="AW69" s="392"/>
      <x:c r="AX69" s="392"/>
      <x:c r="AY69" s="593"/>
      <x:c r="AZ69" s="593"/>
      <x:c r="BA69" s="593"/>
      <x:c r="BB69" s="593"/>
      <x:c r="BC69" s="593"/>
      <x:c r="BD69" s="392"/>
      <x:c r="BE69" s="392"/>
      <x:c r="BF69" s="593"/>
      <x:c r="BG69" s="593"/>
      <x:c r="BH69" s="593"/>
      <x:c r="BI69" s="593"/>
      <x:c r="BJ69" s="593"/>
      <x:c r="BK69" s="392"/>
      <x:c r="BL69" s="392"/>
      <x:c r="BM69" s="392"/>
      <x:c r="BN69" s="593"/>
      <x:c r="BO69" s="593"/>
      <x:c r="BP69" s="593"/>
      <x:c r="BQ69" s="593"/>
      <x:c r="BR69" s="392"/>
      <x:c r="BS69" s="392"/>
      <x:c r="BT69" s="593"/>
    </x:row>
    <x:row r="70" ht="24" customHeight="1">
      <x:c r="A70" s="372" t="str">
        <x:v>次期J Salesforce→Cloudera 恒久対応PoC</x:v>
      </x:c>
      <x:c r="B70" s="372" t="str">
        <x:v>後続展開（STEP2）</x:v>
      </x:c>
      <x:c r="C70" s="372" t="str">
        <x:v>Salesforceパッケージ配信方式の実展開検証</x:v>
      </x:c>
      <x:c r="D70" s="370" t="str">
        <x:f t="shared" ref="D70:D133" si="14">IF(A70&lt;&gt;"", IF(A70=A69, "", A70), "")</x:f>
      </x:c>
      <x:c r="E70" s="371" t="str" cm="1">
        <x:f t="array" ref="E70">IF(B70="","",IF(B70&lt;&gt;B69,SUMPRODUCT(($B$5:B70&lt;&gt;$B$4:B69)*($B$5:B70&lt;&gt;"")),""))</x:f>
      </x:c>
      <x:c r="F70" s="370" t="str">
        <x:f t="shared" ref="F70:F133" si="15">IF(B70&lt;&gt;"", IF(B70=B69, "", B70), "")</x:f>
      </x:c>
      <x:c r="G70" s="370" t="n">
        <x:f>IF(C70="","",COUNTIF($B$5:B70,B70))</x:f>
        <x:v>2</x:v>
      </x:c>
      <x:c r="H70" s="370" t="str">
        <x:f t="shared" ref="H70:H133" si="16">IF(AND(C70&lt;&gt;"",OR(C70&lt;&gt;C69,B70&lt;&gt;B69)),C70,"")</x:f>
        <x:v>Salesforceパッケージ配信方式の実展開検証</x:v>
      </x:c>
      <x:c r="I70" s="372" t="str">
        <x:v>データ基盤</x:v>
      </x:c>
      <x:c r="J70" s="372" t="str">
        <x:v>要確認</x:v>
      </x:c>
      <x:c r="K70" s="372"/>
      <x:c r="L70" s="370" t="str">
        <x:f>IF(C70="","","【"&amp;A70&amp;"】"&amp;MAX($E$5:E70)&amp;"-"&amp;G70&amp;"_"&amp;B70&amp;"_"&amp;C70)</x:f>
        <x:v>【次期J Salesforce→Cloudera 恒久対応PoC】10-2_後続展開（STEP2）_Salesforceパッケージ配信方式の実展開検証</x:v>
      </x:c>
      <x:c r="M70" s="378"/>
      <x:c r="N70" s="378"/>
      <x:c r="O70" s="372" t="str">
        <x:v>準備中</x:v>
      </x:c>
      <x:c r="P70" s="593"/>
      <x:c r="Q70" s="593"/>
      <x:c r="R70" s="593"/>
      <x:c r="S70" s="593"/>
      <x:c r="T70" s="593"/>
      <x:c r="U70" s="392"/>
      <x:c r="V70" s="392"/>
      <x:c r="W70" s="593"/>
      <x:c r="X70" s="593"/>
      <x:c r="Y70" s="593"/>
      <x:c r="Z70" s="593"/>
      <x:c r="AA70" s="593"/>
      <x:c r="AB70" s="392"/>
      <x:c r="AC70" s="392"/>
      <x:c r="AD70" s="593"/>
      <x:c r="AE70" s="593"/>
      <x:c r="AF70" s="593"/>
      <x:c r="AG70" s="593"/>
      <x:c r="AH70" s="593"/>
      <x:c r="AI70" s="392"/>
      <x:c r="AJ70" s="392"/>
      <x:c r="AK70" s="593"/>
      <x:c r="AL70" s="593"/>
      <x:c r="AM70" s="593"/>
      <x:c r="AN70" s="593"/>
      <x:c r="AO70" s="593"/>
      <x:c r="AP70" s="392"/>
      <x:c r="AQ70" s="392"/>
      <x:c r="AR70" s="392"/>
      <x:c r="AS70" s="392"/>
      <x:c r="AT70" s="392"/>
      <x:c r="AU70" s="593"/>
      <x:c r="AV70" s="593"/>
      <x:c r="AW70" s="392"/>
      <x:c r="AX70" s="392"/>
      <x:c r="AY70" s="593"/>
      <x:c r="AZ70" s="593"/>
      <x:c r="BA70" s="593"/>
      <x:c r="BB70" s="593"/>
      <x:c r="BC70" s="593"/>
      <x:c r="BD70" s="392"/>
      <x:c r="BE70" s="392"/>
      <x:c r="BF70" s="593"/>
      <x:c r="BG70" s="593"/>
      <x:c r="BH70" s="593"/>
      <x:c r="BI70" s="593"/>
      <x:c r="BJ70" s="593"/>
      <x:c r="BK70" s="392"/>
      <x:c r="BL70" s="392"/>
      <x:c r="BM70" s="392"/>
      <x:c r="BN70" s="593"/>
      <x:c r="BO70" s="593"/>
      <x:c r="BP70" s="593"/>
      <x:c r="BQ70" s="593"/>
      <x:c r="BR70" s="392"/>
      <x:c r="BS70" s="392"/>
      <x:c r="BT70" s="593"/>
    </x:row>
    <x:row r="71" ht="24" customHeight="1">
      <x:c r="A71" s="372" t="str">
        <x:v>次期J Salesforce→Cloudera 恒久対応PoC</x:v>
      </x:c>
      <x:c r="B71" s="372" t="str">
        <x:v>後続展開（STEP2）</x:v>
      </x:c>
      <x:c r="C71" s="372" t="str">
        <x:v>230組織の受信側インスタンス・認証管理設計</x:v>
      </x:c>
      <x:c r="D71" s="370" t="str">
        <x:f t="shared" si="14">IF(A71&lt;&gt;"", IF(A71=A70, "", A71), "")</x:f>
      </x:c>
      <x:c r="E71" s="371" t="str" cm="1">
        <x:f t="array" ref="E71">IF(B71="","",IF(B71&lt;&gt;B70,SUMPRODUCT(($B$5:B71&lt;&gt;$B$4:B70)*($B$5:B71&lt;&gt;"")),""))</x:f>
      </x:c>
      <x:c r="F71" s="370" t="str">
        <x:f t="shared" si="15">IF(B71&lt;&gt;"", IF(B71=B70, "", B71), "")</x:f>
      </x:c>
      <x:c r="G71" s="370" t="n">
        <x:f>IF(C71="","",COUNTIF($B$5:B71,B71))</x:f>
        <x:v>3</x:v>
      </x:c>
      <x:c r="H71" s="370" t="str">
        <x:f t="shared" si="16">IF(AND(C71&lt;&gt;"",OR(C71&lt;&gt;C70,B71&lt;&gt;B70)),C71,"")</x:f>
        <x:v>230組織の受信側インスタンス・認証管理設計</x:v>
      </x:c>
      <x:c r="I71" s="372" t="str">
        <x:v>インフラ</x:v>
      </x:c>
      <x:c r="J71" s="372" t="str">
        <x:v>要確認</x:v>
      </x:c>
      <x:c r="K71" s="372"/>
      <x:c r="L71" s="370" t="str">
        <x:f>IF(C71="","","【"&amp;A71&amp;"】"&amp;MAX($E$5:E71)&amp;"-"&amp;G71&amp;"_"&amp;B71&amp;"_"&amp;C71)</x:f>
        <x:v>【次期J Salesforce→Cloudera 恒久対応PoC】10-3_後続展開（STEP2）_230組織の受信側インスタンス・認証管理設計</x:v>
      </x:c>
      <x:c r="M71" s="378"/>
      <x:c r="N71" s="378"/>
      <x:c r="O71" s="372" t="str">
        <x:v>準備中</x:v>
      </x:c>
      <x:c r="P71" s="593"/>
      <x:c r="Q71" s="593"/>
      <x:c r="R71" s="593"/>
      <x:c r="S71" s="593"/>
      <x:c r="T71" s="593"/>
      <x:c r="U71" s="392"/>
      <x:c r="V71" s="392"/>
      <x:c r="W71" s="593"/>
      <x:c r="X71" s="593"/>
      <x:c r="Y71" s="593"/>
      <x:c r="Z71" s="593"/>
      <x:c r="AA71" s="593"/>
      <x:c r="AB71" s="392"/>
      <x:c r="AC71" s="392"/>
      <x:c r="AD71" s="593"/>
      <x:c r="AE71" s="593"/>
      <x:c r="AF71" s="593"/>
      <x:c r="AG71" s="593"/>
      <x:c r="AH71" s="593"/>
      <x:c r="AI71" s="392"/>
      <x:c r="AJ71" s="392"/>
      <x:c r="AK71" s="593"/>
      <x:c r="AL71" s="593"/>
      <x:c r="AM71" s="593"/>
      <x:c r="AN71" s="593"/>
      <x:c r="AO71" s="593"/>
      <x:c r="AP71" s="392"/>
      <x:c r="AQ71" s="392"/>
      <x:c r="AR71" s="392"/>
      <x:c r="AS71" s="392"/>
      <x:c r="AT71" s="392"/>
      <x:c r="AU71" s="593"/>
      <x:c r="AV71" s="593"/>
      <x:c r="AW71" s="392"/>
      <x:c r="AX71" s="392"/>
      <x:c r="AY71" s="593"/>
      <x:c r="AZ71" s="593"/>
      <x:c r="BA71" s="593"/>
      <x:c r="BB71" s="593"/>
      <x:c r="BC71" s="593"/>
      <x:c r="BD71" s="392"/>
      <x:c r="BE71" s="392"/>
      <x:c r="BF71" s="593"/>
      <x:c r="BG71" s="593"/>
      <x:c r="BH71" s="593"/>
      <x:c r="BI71" s="593"/>
      <x:c r="BJ71" s="593"/>
      <x:c r="BK71" s="392"/>
      <x:c r="BL71" s="392"/>
      <x:c r="BM71" s="392"/>
      <x:c r="BN71" s="593"/>
      <x:c r="BO71" s="593"/>
      <x:c r="BP71" s="593"/>
      <x:c r="BQ71" s="593"/>
      <x:c r="BR71" s="392"/>
      <x:c r="BS71" s="392"/>
      <x:c r="BT71" s="593"/>
    </x:row>
    <x:row r="72" ht="24" customHeight="1">
      <x:c r="A72" s="372" t="str">
        <x:v>次期J Salesforce→Cloudera 恒久対応PoC</x:v>
      </x:c>
      <x:c r="B72" s="372" t="str">
        <x:v>後続展開（STEP2）</x:v>
      </x:c>
      <x:c r="C72" s="372" t="str">
        <x:v>本番監視・定常運用・リリース設計</x:v>
      </x:c>
      <x:c r="D72" s="370" t="str">
        <x:f t="shared" si="14">IF(A72&lt;&gt;"", IF(A72=A71, "", A72), "")</x:f>
      </x:c>
      <x:c r="E72" s="371" t="str" cm="1">
        <x:f t="array" ref="E72">IF(B72="","",IF(B72&lt;&gt;B71,SUMPRODUCT(($B$5:B72&lt;&gt;$B$4:B71)*($B$5:B72&lt;&gt;"")),""))</x:f>
      </x:c>
      <x:c r="F72" s="370" t="str">
        <x:f t="shared" si="15">IF(B72&lt;&gt;"", IF(B72=B71, "", B72), "")</x:f>
      </x:c>
      <x:c r="G72" s="370" t="n">
        <x:f>IF(C72="","",COUNTIF($B$5:B72,B72))</x:f>
        <x:v>4</x:v>
      </x:c>
      <x:c r="H72" s="370" t="str">
        <x:f t="shared" si="16">IF(AND(C72&lt;&gt;"",OR(C72&lt;&gt;C71,B72&lt;&gt;B71)),C72,"")</x:f>
        <x:v>本番監視・定常運用・リリース設計</x:v>
      </x:c>
      <x:c r="I72" s="372" t="str">
        <x:v>データ基盤</x:v>
      </x:c>
      <x:c r="J72" s="372" t="str">
        <x:v>要確認</x:v>
      </x:c>
      <x:c r="K72" s="372"/>
      <x:c r="L72" s="370" t="str">
        <x:f>IF(C72="","","【"&amp;A72&amp;"】"&amp;MAX($E$5:E72)&amp;"-"&amp;G72&amp;"_"&amp;B72&amp;"_"&amp;C72)</x:f>
        <x:v>【次期J Salesforce→Cloudera 恒久対応PoC】10-4_後続展開（STEP2）_本番監視・定常運用・リリース設計</x:v>
      </x:c>
      <x:c r="M72" s="378"/>
      <x:c r="N72" s="378"/>
      <x:c r="O72" s="372" t="str">
        <x:v>準備中</x:v>
      </x:c>
      <x:c r="P72" s="593"/>
      <x:c r="Q72" s="593"/>
      <x:c r="R72" s="593"/>
      <x:c r="S72" s="593"/>
      <x:c r="T72" s="593"/>
      <x:c r="U72" s="392"/>
      <x:c r="V72" s="392"/>
      <x:c r="W72" s="593"/>
      <x:c r="X72" s="593"/>
      <x:c r="Y72" s="593"/>
      <x:c r="Z72" s="593"/>
      <x:c r="AA72" s="593"/>
      <x:c r="AB72" s="392"/>
      <x:c r="AC72" s="392"/>
      <x:c r="AD72" s="593"/>
      <x:c r="AE72" s="593"/>
      <x:c r="AF72" s="593"/>
      <x:c r="AG72" s="593"/>
      <x:c r="AH72" s="593"/>
      <x:c r="AI72" s="392"/>
      <x:c r="AJ72" s="392"/>
      <x:c r="AK72" s="593"/>
      <x:c r="AL72" s="593"/>
      <x:c r="AM72" s="593"/>
      <x:c r="AN72" s="593"/>
      <x:c r="AO72" s="593"/>
      <x:c r="AP72" s="392"/>
      <x:c r="AQ72" s="392"/>
      <x:c r="AR72" s="392"/>
      <x:c r="AS72" s="392"/>
      <x:c r="AT72" s="392"/>
      <x:c r="AU72" s="593"/>
      <x:c r="AV72" s="593"/>
      <x:c r="AW72" s="392"/>
      <x:c r="AX72" s="392"/>
      <x:c r="AY72" s="593"/>
      <x:c r="AZ72" s="593"/>
      <x:c r="BA72" s="593"/>
      <x:c r="BB72" s="593"/>
      <x:c r="BC72" s="593"/>
      <x:c r="BD72" s="392"/>
      <x:c r="BE72" s="392"/>
      <x:c r="BF72" s="593"/>
      <x:c r="BG72" s="593"/>
      <x:c r="BH72" s="593"/>
      <x:c r="BI72" s="593"/>
      <x:c r="BJ72" s="593"/>
      <x:c r="BK72" s="392"/>
      <x:c r="BL72" s="392"/>
      <x:c r="BM72" s="392"/>
      <x:c r="BN72" s="593"/>
      <x:c r="BO72" s="593"/>
      <x:c r="BP72" s="593"/>
      <x:c r="BQ72" s="593"/>
      <x:c r="BR72" s="392"/>
      <x:c r="BS72" s="392"/>
      <x:c r="BT72" s="593"/>
    </x:row>
    <x:row r="73">
      <x:c r="D73" s="1" t="str">
        <x:f t="shared" si="14"/>
      </x:c>
      <x:c r="E73" s="150" t="str" cm="1">
        <x:f t="array" ref="E73">IF(B73="","",IF(B73&lt;&gt;B72,SUMPRODUCT(($B$5:B73&lt;&gt;$B$4:B72)*($B$5:B73&lt;&gt;"")),""))</x:f>
      </x:c>
      <x:c r="F73" s="1" t="str">
        <x:f t="shared" si="15"/>
      </x:c>
      <x:c r="G73" s="1" t="str">
        <x:f>IF(C73="","",COUNTIF($B$5:B73,B73))</x:f>
      </x:c>
      <x:c r="H73" s="4" t="str">
        <x:f t="shared" si="16"/>
      </x:c>
      <x:c r="L73" s="1" t="str">
        <x:f>IF(C73="","","【"&amp;A73&amp;"】"&amp;MAX($E$5:E73)&amp;"-"&amp;G73&amp;"_"&amp;B73&amp;"_"&amp;C73)</x:f>
      </x:c>
    </x:row>
    <x:row r="74">
      <x:c r="D74" s="1" t="str">
        <x:f t="shared" si="14"/>
      </x:c>
      <x:c r="E74" s="150" t="str" cm="1">
        <x:f t="array" ref="E74">IF(B74="","",IF(B74&lt;&gt;B73,SUMPRODUCT(($B$5:B74&lt;&gt;$B$4:B73)*($B$5:B74&lt;&gt;"")),""))</x:f>
      </x:c>
      <x:c r="F74" s="1" t="str">
        <x:f t="shared" si="15"/>
      </x:c>
      <x:c r="G74" s="1" t="str">
        <x:f>IF(C74="","",COUNTIF($B$5:B74,B74))</x:f>
      </x:c>
      <x:c r="H74" s="4" t="str">
        <x:f t="shared" si="16"/>
      </x:c>
      <x:c r="L74" s="1" t="str">
        <x:f>IF(C74="","","【"&amp;A74&amp;"】"&amp;MAX($E$5:E74)&amp;"-"&amp;G74&amp;"_"&amp;B74&amp;"_"&amp;C74)</x:f>
      </x:c>
    </x:row>
    <x:row r="75">
      <x:c r="D75" s="1" t="str">
        <x:f t="shared" si="14"/>
      </x:c>
      <x:c r="E75" s="150" t="str" cm="1">
        <x:f t="array" ref="E75">IF(B75="","",IF(B75&lt;&gt;B74,SUMPRODUCT(($B$5:B75&lt;&gt;$B$4:B74)*($B$5:B75&lt;&gt;"")),""))</x:f>
      </x:c>
      <x:c r="F75" s="1" t="str">
        <x:f t="shared" si="15"/>
      </x:c>
      <x:c r="G75" s="1" t="str">
        <x:f>IF(C75="","",COUNTIF($B$5:B75,B75))</x:f>
      </x:c>
      <x:c r="H75" s="4" t="str">
        <x:f t="shared" si="16"/>
      </x:c>
      <x:c r="L75" s="1" t="str">
        <x:f>IF(C75="","","【"&amp;A75&amp;"】"&amp;MAX($E$5:E75)&amp;"-"&amp;G75&amp;"_"&amp;B75&amp;"_"&amp;C75)</x:f>
      </x:c>
    </x:row>
    <x:row r="76">
      <x:c r="D76" s="1" t="str">
        <x:f t="shared" si="14"/>
      </x:c>
      <x:c r="E76" s="150" t="str" cm="1">
        <x:f t="array" ref="E76">IF(B76="","",IF(B76&lt;&gt;B75,SUMPRODUCT(($B$5:B76&lt;&gt;$B$4:B75)*($B$5:B76&lt;&gt;"")),""))</x:f>
      </x:c>
      <x:c r="F76" s="1" t="str">
        <x:f t="shared" si="15"/>
      </x:c>
      <x:c r="G76" s="1" t="str">
        <x:f>IF(C76="","",COUNTIF($B$5:B76,B76))</x:f>
      </x:c>
      <x:c r="H76" s="4" t="str">
        <x:f t="shared" si="16"/>
      </x:c>
      <x:c r="L76" s="1" t="str">
        <x:f>IF(C76="","","【"&amp;A76&amp;"】"&amp;MAX($E$5:E76)&amp;"-"&amp;G76&amp;"_"&amp;B76&amp;"_"&amp;C76)</x:f>
      </x:c>
    </x:row>
    <x:row r="77">
      <x:c r="D77" s="1" t="str">
        <x:f t="shared" si="14"/>
      </x:c>
      <x:c r="E77" s="150" t="str" cm="1">
        <x:f t="array" ref="E77">IF(B77="","",IF(B77&lt;&gt;B76,SUMPRODUCT(($B$5:B77&lt;&gt;$B$4:B76)*($B$5:B77&lt;&gt;"")),""))</x:f>
      </x:c>
      <x:c r="F77" s="1" t="str">
        <x:f t="shared" si="15"/>
      </x:c>
      <x:c r="G77" s="1" t="str">
        <x:f>IF(C77="","",COUNTIF($B$5:B77,B77))</x:f>
      </x:c>
      <x:c r="H77" s="4" t="str">
        <x:f t="shared" si="16"/>
      </x:c>
      <x:c r="L77" s="1" t="str">
        <x:f>IF(C77="","","【"&amp;A77&amp;"】"&amp;MAX($E$5:E77)&amp;"-"&amp;G77&amp;"_"&amp;B77&amp;"_"&amp;C77)</x:f>
      </x:c>
    </x:row>
    <x:row r="78">
      <x:c r="D78" s="1" t="str">
        <x:f t="shared" si="14"/>
      </x:c>
      <x:c r="E78" s="150" t="str" cm="1">
        <x:f t="array" ref="E78">IF(B78="","",IF(B78&lt;&gt;B77,SUMPRODUCT(($B$5:B78&lt;&gt;$B$4:B77)*($B$5:B78&lt;&gt;"")),""))</x:f>
      </x:c>
      <x:c r="F78" s="1" t="str">
        <x:f t="shared" si="15"/>
      </x:c>
      <x:c r="G78" s="1" t="str">
        <x:f>IF(C78="","",COUNTIF($B$5:B78,B78))</x:f>
      </x:c>
      <x:c r="H78" s="4" t="str">
        <x:f t="shared" si="16"/>
      </x:c>
      <x:c r="L78" s="1" t="str">
        <x:f>IF(C78="","","【"&amp;A78&amp;"】"&amp;MAX($E$5:E78)&amp;"-"&amp;G78&amp;"_"&amp;B78&amp;"_"&amp;C78)</x:f>
      </x:c>
    </x:row>
    <x:row r="79">
      <x:c r="D79" s="1" t="str">
        <x:f t="shared" si="14"/>
      </x:c>
      <x:c r="E79" s="150" t="str" cm="1">
        <x:f t="array" ref="E79">IF(B79="","",IF(B79&lt;&gt;B78,SUMPRODUCT(($B$5:B79&lt;&gt;$B$4:B78)*($B$5:B79&lt;&gt;"")),""))</x:f>
      </x:c>
      <x:c r="F79" s="1" t="str">
        <x:f t="shared" si="15"/>
      </x:c>
      <x:c r="G79" s="1" t="str">
        <x:f>IF(C79="","",COUNTIF($B$5:B79,B79))</x:f>
      </x:c>
      <x:c r="H79" s="4" t="str">
        <x:f t="shared" si="16"/>
      </x:c>
      <x:c r="L79" s="1" t="str">
        <x:f>IF(C79="","","【"&amp;A79&amp;"】"&amp;MAX($E$5:E79)&amp;"-"&amp;G79&amp;"_"&amp;B79&amp;"_"&amp;C79)</x:f>
      </x:c>
    </x:row>
    <x:row r="80">
      <x:c r="D80" s="1" t="str">
        <x:f t="shared" si="14"/>
      </x:c>
      <x:c r="E80" s="150" t="str" cm="1">
        <x:f t="array" ref="E80">IF(B80="","",IF(B80&lt;&gt;B79,SUMPRODUCT(($B$5:B80&lt;&gt;$B$4:B79)*($B$5:B80&lt;&gt;"")),""))</x:f>
      </x:c>
      <x:c r="F80" s="1" t="str">
        <x:f t="shared" si="15"/>
      </x:c>
      <x:c r="G80" s="1" t="str">
        <x:f>IF(C80="","",COUNTIF($B$5:B80,B80))</x:f>
      </x:c>
      <x:c r="H80" s="4" t="str">
        <x:f t="shared" si="16"/>
      </x:c>
      <x:c r="L80" s="1" t="str">
        <x:f>IF(C80="","","【"&amp;A80&amp;"】"&amp;MAX($E$5:E80)&amp;"-"&amp;G80&amp;"_"&amp;B80&amp;"_"&amp;C80)</x:f>
      </x:c>
    </x:row>
    <x:row r="81">
      <x:c r="D81" s="1" t="str">
        <x:f t="shared" si="14"/>
      </x:c>
      <x:c r="E81" s="150" t="str" cm="1">
        <x:f t="array" ref="E81">IF(B81="","",IF(B81&lt;&gt;B80,SUMPRODUCT(($B$5:B81&lt;&gt;$B$4:B80)*($B$5:B81&lt;&gt;"")),""))</x:f>
      </x:c>
      <x:c r="F81" s="1" t="str">
        <x:f t="shared" si="15"/>
      </x:c>
      <x:c r="G81" s="1" t="str">
        <x:f>IF(C81="","",COUNTIF($B$5:B81,B81))</x:f>
      </x:c>
      <x:c r="H81" s="4" t="str">
        <x:f t="shared" si="16"/>
      </x:c>
      <x:c r="L81" s="1" t="str">
        <x:f>IF(C81="","","【"&amp;A81&amp;"】"&amp;MAX($E$5:E81)&amp;"-"&amp;G81&amp;"_"&amp;B81&amp;"_"&amp;C81)</x:f>
      </x:c>
    </x:row>
    <x:row r="82">
      <x:c r="D82" s="1" t="str">
        <x:f t="shared" si="14"/>
      </x:c>
      <x:c r="E82" s="150" t="str" cm="1">
        <x:f t="array" ref="E82">IF(B82="","",IF(B82&lt;&gt;B81,SUMPRODUCT(($B$5:B82&lt;&gt;$B$4:B81)*($B$5:B82&lt;&gt;"")),""))</x:f>
      </x:c>
      <x:c r="F82" s="1" t="str">
        <x:f t="shared" si="15"/>
      </x:c>
      <x:c r="G82" s="1" t="str">
        <x:f>IF(C82="","",COUNTIF($B$5:B82,B82))</x:f>
      </x:c>
      <x:c r="H82" s="4" t="str">
        <x:f t="shared" si="16"/>
      </x:c>
      <x:c r="L82" s="1" t="str">
        <x:f>IF(C82="","","【"&amp;A82&amp;"】"&amp;MAX($E$5:E82)&amp;"-"&amp;G82&amp;"_"&amp;B82&amp;"_"&amp;C82)</x:f>
      </x:c>
    </x:row>
    <x:row r="83">
      <x:c r="D83" s="1" t="str">
        <x:f t="shared" si="14"/>
      </x:c>
      <x:c r="E83" s="150" t="str" cm="1">
        <x:f t="array" ref="E83">IF(B83="","",IF(B83&lt;&gt;B82,SUMPRODUCT(($B$5:B83&lt;&gt;$B$4:B82)*($B$5:B83&lt;&gt;"")),""))</x:f>
      </x:c>
      <x:c r="F83" s="1" t="str">
        <x:f t="shared" si="15"/>
      </x:c>
      <x:c r="G83" s="1" t="str">
        <x:f>IF(C83="","",COUNTIF($B$5:B83,B83))</x:f>
      </x:c>
      <x:c r="H83" s="4" t="str">
        <x:f t="shared" si="16"/>
      </x:c>
      <x:c r="L83" s="1" t="str">
        <x:f>IF(C83="","","【"&amp;A83&amp;"】"&amp;MAX($E$5:E83)&amp;"-"&amp;G83&amp;"_"&amp;B83&amp;"_"&amp;C83)</x:f>
      </x:c>
    </x:row>
    <x:row r="84">
      <x:c r="D84" s="1" t="str">
        <x:f t="shared" si="14"/>
      </x:c>
      <x:c r="E84" s="150" t="str" cm="1">
        <x:f t="array" ref="E84">IF(B84="","",IF(B84&lt;&gt;B83,SUMPRODUCT(($B$5:B84&lt;&gt;$B$4:B83)*($B$5:B84&lt;&gt;"")),""))</x:f>
      </x:c>
      <x:c r="F84" s="1" t="str">
        <x:f t="shared" si="15"/>
      </x:c>
      <x:c r="G84" s="1" t="str">
        <x:f>IF(C84="","",COUNTIF($B$5:B84,B84))</x:f>
      </x:c>
      <x:c r="H84" s="4" t="str">
        <x:f t="shared" si="16"/>
      </x:c>
      <x:c r="L84" s="1" t="str">
        <x:f>IF(C84="","","【"&amp;A84&amp;"】"&amp;MAX($E$5:E84)&amp;"-"&amp;G84&amp;"_"&amp;B84&amp;"_"&amp;C84)</x:f>
      </x:c>
    </x:row>
    <x:row r="85">
      <x:c r="D85" s="1" t="str">
        <x:f t="shared" si="14"/>
      </x:c>
      <x:c r="E85" s="150" t="str" cm="1">
        <x:f t="array" ref="E85">IF(B85="","",IF(B85&lt;&gt;B84,SUMPRODUCT(($B$5:B85&lt;&gt;$B$4:B84)*($B$5:B85&lt;&gt;"")),""))</x:f>
      </x:c>
      <x:c r="F85" s="1" t="str">
        <x:f t="shared" si="15"/>
      </x:c>
      <x:c r="G85" s="1" t="str">
        <x:f>IF(C85="","",COUNTIF($B$5:B85,B85))</x:f>
      </x:c>
      <x:c r="H85" s="4" t="str">
        <x:f t="shared" si="16"/>
      </x:c>
      <x:c r="L85" s="1" t="str">
        <x:f>IF(C85="","","【"&amp;A85&amp;"】"&amp;MAX($E$5:E85)&amp;"-"&amp;G85&amp;"_"&amp;B85&amp;"_"&amp;C85)</x:f>
      </x:c>
    </x:row>
    <x:row r="86">
      <x:c r="D86" s="1" t="str">
        <x:f t="shared" si="14"/>
      </x:c>
      <x:c r="E86" s="150" t="str" cm="1">
        <x:f t="array" ref="E86">IF(B86="","",IF(B86&lt;&gt;B85,SUMPRODUCT(($B$5:B86&lt;&gt;$B$4:B85)*($B$5:B86&lt;&gt;"")),""))</x:f>
      </x:c>
      <x:c r="F86" s="1" t="str">
        <x:f t="shared" si="15"/>
      </x:c>
      <x:c r="G86" s="1" t="str">
        <x:f>IF(C86="","",COUNTIF($B$5:B86,B86))</x:f>
      </x:c>
      <x:c r="H86" s="4" t="str">
        <x:f t="shared" si="16"/>
      </x:c>
      <x:c r="L86" s="1" t="str">
        <x:f>IF(C86="","","【"&amp;A86&amp;"】"&amp;MAX($E$5:E86)&amp;"-"&amp;G86&amp;"_"&amp;B86&amp;"_"&amp;C86)</x:f>
      </x:c>
    </x:row>
    <x:row r="87">
      <x:c r="D87" s="1" t="str">
        <x:f t="shared" si="14"/>
      </x:c>
      <x:c r="E87" s="150" t="str" cm="1">
        <x:f t="array" ref="E87">IF(B87="","",IF(B87&lt;&gt;B86,SUMPRODUCT(($B$5:B87&lt;&gt;$B$4:B86)*($B$5:B87&lt;&gt;"")),""))</x:f>
      </x:c>
      <x:c r="F87" s="1" t="str">
        <x:f t="shared" si="15"/>
      </x:c>
      <x:c r="G87" s="1" t="str">
        <x:f>IF(C87="","",COUNTIF($B$5:B87,B87))</x:f>
      </x:c>
      <x:c r="H87" s="4" t="str">
        <x:f t="shared" si="16"/>
      </x:c>
      <x:c r="L87" s="1" t="str">
        <x:f>IF(C87="","","【"&amp;A87&amp;"】"&amp;MAX($E$5:E87)&amp;"-"&amp;G87&amp;"_"&amp;B87&amp;"_"&amp;C87)</x:f>
      </x:c>
    </x:row>
    <x:row r="88">
      <x:c r="D88" s="1" t="str">
        <x:f t="shared" si="14"/>
      </x:c>
      <x:c r="E88" s="150" t="str" cm="1">
        <x:f t="array" ref="E88">IF(B88="","",IF(B88&lt;&gt;B87,SUMPRODUCT(($B$5:B88&lt;&gt;$B$4:B87)*($B$5:B88&lt;&gt;"")),""))</x:f>
      </x:c>
      <x:c r="F88" s="1" t="str">
        <x:f t="shared" si="15"/>
      </x:c>
      <x:c r="G88" s="1" t="str">
        <x:f>IF(C88="","",COUNTIF($B$5:B88,B88))</x:f>
      </x:c>
      <x:c r="H88" s="4" t="str">
        <x:f t="shared" si="16"/>
      </x:c>
      <x:c r="L88" s="1" t="str">
        <x:f>IF(C88="","","【"&amp;A88&amp;"】"&amp;MAX($E$5:E88)&amp;"-"&amp;G88&amp;"_"&amp;B88&amp;"_"&amp;C88)</x:f>
      </x:c>
    </x:row>
    <x:row r="89">
      <x:c r="D89" s="1" t="str">
        <x:f t="shared" si="14"/>
      </x:c>
      <x:c r="E89" s="150" t="str" cm="1">
        <x:f t="array" ref="E89">IF(B89="","",IF(B89&lt;&gt;B88,SUMPRODUCT(($B$5:B89&lt;&gt;$B$4:B88)*($B$5:B89&lt;&gt;"")),""))</x:f>
      </x:c>
      <x:c r="F89" s="1" t="str">
        <x:f t="shared" si="15"/>
      </x:c>
      <x:c r="G89" s="1" t="str">
        <x:f>IF(C89="","",COUNTIF($B$5:B89,B89))</x:f>
      </x:c>
      <x:c r="H89" s="4" t="str">
        <x:f t="shared" si="16"/>
      </x:c>
      <x:c r="L89" s="1" t="str">
        <x:f>IF(C89="","","【"&amp;A89&amp;"】"&amp;MAX($E$5:E89)&amp;"-"&amp;G89&amp;"_"&amp;B89&amp;"_"&amp;C89)</x:f>
      </x:c>
    </x:row>
    <x:row r="90">
      <x:c r="D90" s="1" t="str">
        <x:f t="shared" si="14"/>
      </x:c>
      <x:c r="E90" s="150" t="str" cm="1">
        <x:f t="array" ref="E90">IF(B90="","",IF(B90&lt;&gt;B89,SUMPRODUCT(($B$5:B90&lt;&gt;$B$4:B89)*($B$5:B90&lt;&gt;"")),""))</x:f>
      </x:c>
      <x:c r="F90" s="1" t="str">
        <x:f t="shared" si="15"/>
      </x:c>
      <x:c r="G90" s="1" t="str">
        <x:f>IF(C90="","",COUNTIF($B$5:B90,B90))</x:f>
      </x:c>
      <x:c r="H90" s="4" t="str">
        <x:f t="shared" si="16"/>
      </x:c>
      <x:c r="L90" s="1" t="str">
        <x:f>IF(C90="","","【"&amp;A90&amp;"】"&amp;MAX($E$5:E90)&amp;"-"&amp;G90&amp;"_"&amp;B90&amp;"_"&amp;C90)</x:f>
      </x:c>
    </x:row>
    <x:row r="91">
      <x:c r="D91" s="1" t="str">
        <x:f t="shared" si="14"/>
      </x:c>
      <x:c r="E91" s="150" t="str" cm="1">
        <x:f t="array" ref="E91">IF(B91="","",IF(B91&lt;&gt;B90,SUMPRODUCT(($B$5:B91&lt;&gt;$B$4:B90)*($B$5:B91&lt;&gt;"")),""))</x:f>
      </x:c>
      <x:c r="F91" s="1" t="str">
        <x:f t="shared" si="15"/>
      </x:c>
      <x:c r="G91" s="1" t="str">
        <x:f>IF(C91="","",COUNTIF($B$5:B91,B91))</x:f>
      </x:c>
      <x:c r="H91" s="4" t="str">
        <x:f t="shared" si="16"/>
      </x:c>
      <x:c r="L91" s="1" t="str">
        <x:f>IF(C91="","","【"&amp;A91&amp;"】"&amp;MAX($E$5:E91)&amp;"-"&amp;G91&amp;"_"&amp;B91&amp;"_"&amp;C91)</x:f>
      </x:c>
    </x:row>
    <x:row r="92">
      <x:c r="D92" s="1" t="str">
        <x:f t="shared" si="14"/>
      </x:c>
      <x:c r="E92" s="150" t="str" cm="1">
        <x:f t="array" ref="E92">IF(B92="","",IF(B92&lt;&gt;B91,SUMPRODUCT(($B$5:B92&lt;&gt;$B$4:B91)*($B$5:B92&lt;&gt;"")),""))</x:f>
      </x:c>
      <x:c r="F92" s="1" t="str">
        <x:f t="shared" si="15"/>
      </x:c>
      <x:c r="G92" s="1" t="str">
        <x:f>IF(C92="","",COUNTIF($B$5:B92,B92))</x:f>
      </x:c>
      <x:c r="H92" s="4" t="str">
        <x:f t="shared" si="16"/>
      </x:c>
      <x:c r="L92" s="1" t="str">
        <x:f>IF(C92="","","【"&amp;A92&amp;"】"&amp;MAX($E$5:E92)&amp;"-"&amp;G92&amp;"_"&amp;B92&amp;"_"&amp;C92)</x:f>
      </x:c>
    </x:row>
    <x:row r="93">
      <x:c r="D93" s="1" t="str">
        <x:f t="shared" si="14"/>
      </x:c>
      <x:c r="E93" s="150" t="str" cm="1">
        <x:f t="array" ref="E93">IF(B93="","",IF(B93&lt;&gt;B92,SUMPRODUCT(($B$5:B93&lt;&gt;$B$4:B92)*($B$5:B93&lt;&gt;"")),""))</x:f>
      </x:c>
      <x:c r="F93" s="1" t="str">
        <x:f t="shared" si="15"/>
      </x:c>
      <x:c r="G93" s="1" t="str">
        <x:f>IF(C93="","",COUNTIF($B$5:B93,B93))</x:f>
      </x:c>
      <x:c r="H93" s="4" t="str">
        <x:f t="shared" si="16"/>
      </x:c>
      <x:c r="L93" s="1" t="str">
        <x:f>IF(C93="","","【"&amp;A93&amp;"】"&amp;MAX($E$5:E93)&amp;"-"&amp;G93&amp;"_"&amp;B93&amp;"_"&amp;C93)</x:f>
      </x:c>
    </x:row>
    <x:row r="94">
      <x:c r="D94" s="1" t="str">
        <x:f t="shared" si="14"/>
      </x:c>
      <x:c r="E94" s="150" t="str" cm="1">
        <x:f t="array" ref="E94">IF(B94="","",IF(B94&lt;&gt;B93,SUMPRODUCT(($B$5:B94&lt;&gt;$B$4:B93)*($B$5:B94&lt;&gt;"")),""))</x:f>
      </x:c>
      <x:c r="F94" s="1" t="str">
        <x:f t="shared" si="15"/>
      </x:c>
      <x:c r="G94" s="1" t="str">
        <x:f>IF(C94="","",COUNTIF($B$5:B94,B94))</x:f>
      </x:c>
      <x:c r="H94" s="4" t="str">
        <x:f t="shared" si="16"/>
      </x:c>
      <x:c r="L94" s="1" t="str">
        <x:f>IF(C94="","","【"&amp;A94&amp;"】"&amp;MAX($E$5:E94)&amp;"-"&amp;G94&amp;"_"&amp;B94&amp;"_"&amp;C94)</x:f>
      </x:c>
    </x:row>
    <x:row r="95">
      <x:c r="D95" s="1" t="str">
        <x:f t="shared" si="14"/>
      </x:c>
      <x:c r="E95" s="150" t="str" cm="1">
        <x:f t="array" ref="E95">IF(B95="","",IF(B95&lt;&gt;B94,SUMPRODUCT(($B$5:B95&lt;&gt;$B$4:B94)*($B$5:B95&lt;&gt;"")),""))</x:f>
      </x:c>
      <x:c r="F95" s="1" t="str">
        <x:f t="shared" si="15"/>
      </x:c>
      <x:c r="G95" s="1" t="str">
        <x:f>IF(C95="","",COUNTIF($B$5:B95,B95))</x:f>
      </x:c>
      <x:c r="H95" s="4" t="str">
        <x:f t="shared" si="16"/>
      </x:c>
      <x:c r="L95" s="1" t="str">
        <x:f>IF(C95="","","【"&amp;A95&amp;"】"&amp;MAX($E$5:E95)&amp;"-"&amp;G95&amp;"_"&amp;B95&amp;"_"&amp;C95)</x:f>
      </x:c>
    </x:row>
    <x:row r="96">
      <x:c r="D96" s="1" t="str">
        <x:f t="shared" si="14"/>
      </x:c>
      <x:c r="E96" s="150" t="str" cm="1">
        <x:f t="array" ref="E96">IF(B96="","",IF(B96&lt;&gt;B95,SUMPRODUCT(($B$5:B96&lt;&gt;$B$4:B95)*($B$5:B96&lt;&gt;"")),""))</x:f>
      </x:c>
      <x:c r="F96" s="1" t="str">
        <x:f t="shared" si="15"/>
      </x:c>
      <x:c r="G96" s="1" t="str">
        <x:f>IF(C96="","",COUNTIF($B$5:B96,B96))</x:f>
      </x:c>
      <x:c r="H96" s="4" t="str">
        <x:f t="shared" si="16"/>
      </x:c>
      <x:c r="L96" s="1" t="str">
        <x:f>IF(C96="","","【"&amp;A96&amp;"】"&amp;MAX($E$5:E96)&amp;"-"&amp;G96&amp;"_"&amp;B96&amp;"_"&amp;C96)</x:f>
      </x:c>
    </x:row>
    <x:row r="97">
      <x:c r="D97" s="1" t="str">
        <x:f t="shared" si="14"/>
      </x:c>
      <x:c r="E97" s="150" t="str" cm="1">
        <x:f t="array" ref="E97">IF(B97="","",IF(B97&lt;&gt;B96,SUMPRODUCT(($B$5:B97&lt;&gt;$B$4:B96)*($B$5:B97&lt;&gt;"")),""))</x:f>
      </x:c>
      <x:c r="F97" s="1" t="str">
        <x:f t="shared" si="15"/>
      </x:c>
      <x:c r="G97" s="1" t="str">
        <x:f>IF(C97="","",COUNTIF($B$5:B97,B97))</x:f>
      </x:c>
      <x:c r="H97" s="4" t="str">
        <x:f t="shared" si="16"/>
      </x:c>
      <x:c r="L97" s="1" t="str">
        <x:f>IF(C97="","","【"&amp;A97&amp;"】"&amp;MAX($E$5:E97)&amp;"-"&amp;G97&amp;"_"&amp;B97&amp;"_"&amp;C97)</x:f>
      </x:c>
    </x:row>
    <x:row r="98">
      <x:c r="D98" s="1" t="str">
        <x:f t="shared" si="14"/>
      </x:c>
      <x:c r="E98" s="150" t="str" cm="1">
        <x:f t="array" ref="E98">IF(B98="","",IF(B98&lt;&gt;B97,SUMPRODUCT(($B$5:B98&lt;&gt;$B$4:B97)*($B$5:B98&lt;&gt;"")),""))</x:f>
      </x:c>
      <x:c r="F98" s="1" t="str">
        <x:f t="shared" si="15"/>
      </x:c>
      <x:c r="G98" s="1" t="str">
        <x:f>IF(C98="","",COUNTIF($B$5:B98,B98))</x:f>
      </x:c>
      <x:c r="H98" s="4" t="str">
        <x:f t="shared" si="16"/>
      </x:c>
      <x:c r="L98" s="1" t="str">
        <x:f>IF(C98="","","【"&amp;A98&amp;"】"&amp;MAX($E$5:E98)&amp;"-"&amp;G98&amp;"_"&amp;B98&amp;"_"&amp;C98)</x:f>
      </x:c>
    </x:row>
    <x:row r="99">
      <x:c r="D99" s="1" t="str">
        <x:f t="shared" si="14"/>
      </x:c>
      <x:c r="E99" s="150" t="str" cm="1">
        <x:f t="array" ref="E99">IF(B99="","",IF(B99&lt;&gt;B98,SUMPRODUCT(($B$5:B99&lt;&gt;$B$4:B98)*($B$5:B99&lt;&gt;"")),""))</x:f>
      </x:c>
      <x:c r="F99" s="1" t="str">
        <x:f t="shared" si="15"/>
      </x:c>
      <x:c r="G99" s="1" t="str">
        <x:f>IF(C99="","",COUNTIF($B$5:B99,B99))</x:f>
      </x:c>
      <x:c r="H99" s="4" t="str">
        <x:f t="shared" si="16"/>
      </x:c>
      <x:c r="L99" s="1" t="str">
        <x:f>IF(C99="","","【"&amp;A99&amp;"】"&amp;MAX($E$5:E99)&amp;"-"&amp;G99&amp;"_"&amp;B99&amp;"_"&amp;C99)</x:f>
      </x:c>
    </x:row>
    <x:row r="100">
      <x:c r="D100" s="1" t="str">
        <x:f t="shared" si="14"/>
      </x:c>
      <x:c r="E100" s="150" t="str" cm="1">
        <x:f t="array" ref="E100">IF(B100="","",IF(B100&lt;&gt;B99,SUMPRODUCT(($B$5:B100&lt;&gt;$B$4:B99)*($B$5:B100&lt;&gt;"")),""))</x:f>
      </x:c>
      <x:c r="F100" s="1" t="str">
        <x:f t="shared" si="15"/>
      </x:c>
      <x:c r="G100" s="1" t="str">
        <x:f>IF(C100="","",COUNTIF($B$5:B100,B100))</x:f>
      </x:c>
      <x:c r="H100" s="4" t="str">
        <x:f t="shared" si="16"/>
      </x:c>
      <x:c r="L100" s="1" t="str">
        <x:f>IF(C100="","","【"&amp;A100&amp;"】"&amp;MAX($E$5:E100)&amp;"-"&amp;G100&amp;"_"&amp;B100&amp;"_"&amp;C100)</x:f>
      </x:c>
    </x:row>
    <x:row r="101">
      <x:c r="D101" s="1" t="str">
        <x:f t="shared" si="14"/>
      </x:c>
      <x:c r="E101" s="150" t="str" cm="1">
        <x:f t="array" ref="E101">IF(B101="","",IF(B101&lt;&gt;B100,SUMPRODUCT(($B$5:B101&lt;&gt;$B$4:B100)*($B$5:B101&lt;&gt;"")),""))</x:f>
      </x:c>
      <x:c r="F101" s="1" t="str">
        <x:f t="shared" si="15"/>
      </x:c>
      <x:c r="G101" s="1" t="str">
        <x:f>IF(C101="","",COUNTIF($B$5:B101,B101))</x:f>
      </x:c>
      <x:c r="H101" s="4" t="str">
        <x:f t="shared" si="16"/>
      </x:c>
      <x:c r="L101" s="1" t="str">
        <x:f>IF(C101="","","【"&amp;A101&amp;"】"&amp;MAX($E$5:E101)&amp;"-"&amp;G101&amp;"_"&amp;B101&amp;"_"&amp;C101)</x:f>
      </x:c>
    </x:row>
    <x:row r="102">
      <x:c r="D102" s="1" t="str">
        <x:f t="shared" si="14"/>
      </x:c>
      <x:c r="E102" s="150" t="str" cm="1">
        <x:f t="array" ref="E102">IF(B102="","",IF(B102&lt;&gt;B101,SUMPRODUCT(($B$5:B102&lt;&gt;$B$4:B101)*($B$5:B102&lt;&gt;"")),""))</x:f>
      </x:c>
      <x:c r="F102" s="1" t="str">
        <x:f t="shared" si="15"/>
      </x:c>
      <x:c r="G102" s="1" t="str">
        <x:f>IF(C102="","",COUNTIF($B$5:B102,B102))</x:f>
      </x:c>
      <x:c r="H102" s="4" t="str">
        <x:f t="shared" si="16"/>
      </x:c>
      <x:c r="L102" s="1" t="str">
        <x:f>IF(C102="","","【"&amp;A102&amp;"】"&amp;MAX($E$5:E102)&amp;"-"&amp;G102&amp;"_"&amp;B102&amp;"_"&amp;C102)</x:f>
      </x:c>
    </x:row>
    <x:row r="103">
      <x:c r="D103" s="1" t="str">
        <x:f t="shared" si="14"/>
      </x:c>
      <x:c r="E103" s="150" t="str" cm="1">
        <x:f t="array" ref="E103">IF(B103="","",IF(B103&lt;&gt;B102,SUMPRODUCT(($B$5:B103&lt;&gt;$B$4:B102)*($B$5:B103&lt;&gt;"")),""))</x:f>
      </x:c>
      <x:c r="F103" s="1" t="str">
        <x:f t="shared" si="15"/>
      </x:c>
      <x:c r="G103" s="1" t="str">
        <x:f>IF(C103="","",COUNTIF($B$5:B103,B103))</x:f>
      </x:c>
      <x:c r="H103" s="4" t="str">
        <x:f t="shared" si="16"/>
      </x:c>
      <x:c r="L103" s="1" t="str">
        <x:f>IF(C103="","","【"&amp;A103&amp;"】"&amp;MAX($E$5:E103)&amp;"-"&amp;G103&amp;"_"&amp;B103&amp;"_"&amp;C103)</x:f>
      </x:c>
    </x:row>
    <x:row r="104">
      <x:c r="D104" s="1" t="str">
        <x:f t="shared" si="14"/>
      </x:c>
      <x:c r="E104" s="150" t="str" cm="1">
        <x:f t="array" ref="E104">IF(B104="","",IF(B104&lt;&gt;B103,SUMPRODUCT(($B$5:B104&lt;&gt;$B$4:B103)*($B$5:B104&lt;&gt;"")),""))</x:f>
      </x:c>
      <x:c r="F104" s="1" t="str">
        <x:f t="shared" si="15"/>
      </x:c>
      <x:c r="G104" s="1" t="str">
        <x:f>IF(C104="","",COUNTIF($B$5:B104,B104))</x:f>
      </x:c>
      <x:c r="H104" s="4" t="str">
        <x:f t="shared" si="16"/>
      </x:c>
      <x:c r="L104" s="1" t="str">
        <x:f>IF(C104="","","【"&amp;A104&amp;"】"&amp;MAX($E$5:E104)&amp;"-"&amp;G104&amp;"_"&amp;B104&amp;"_"&amp;C104)</x:f>
      </x:c>
    </x:row>
    <x:row r="105">
      <x:c r="D105" s="1" t="str">
        <x:f t="shared" si="14"/>
      </x:c>
      <x:c r="E105" s="150" t="str" cm="1">
        <x:f t="array" ref="E105">IF(B105="","",IF(B105&lt;&gt;B104,SUMPRODUCT(($B$5:B105&lt;&gt;$B$4:B104)*($B$5:B105&lt;&gt;"")),""))</x:f>
      </x:c>
      <x:c r="F105" s="1" t="str">
        <x:f t="shared" si="15"/>
      </x:c>
      <x:c r="G105" s="1" t="str">
        <x:f>IF(C105="","",COUNTIF($B$5:B105,B105))</x:f>
      </x:c>
      <x:c r="H105" s="4" t="str">
        <x:f t="shared" si="16"/>
      </x:c>
      <x:c r="L105" s="1" t="str">
        <x:f>IF(C105="","","【"&amp;A105&amp;"】"&amp;MAX($E$5:E105)&amp;"-"&amp;G105&amp;"_"&amp;B105&amp;"_"&amp;C105)</x:f>
      </x:c>
    </x:row>
    <x:row r="106">
      <x:c r="D106" s="1" t="str">
        <x:f t="shared" si="14"/>
      </x:c>
      <x:c r="E106" s="150" t="str" cm="1">
        <x:f t="array" ref="E106">IF(B106="","",IF(B106&lt;&gt;B105,SUMPRODUCT(($B$5:B106&lt;&gt;$B$4:B105)*($B$5:B106&lt;&gt;"")),""))</x:f>
      </x:c>
      <x:c r="F106" s="1" t="str">
        <x:f t="shared" si="15"/>
      </x:c>
      <x:c r="G106" s="1" t="str">
        <x:f>IF(C106="","",COUNTIF($B$5:B106,B106))</x:f>
      </x:c>
      <x:c r="H106" s="4" t="str">
        <x:f t="shared" si="16"/>
      </x:c>
      <x:c r="L106" s="1" t="str">
        <x:f>IF(C106="","","【"&amp;A106&amp;"】"&amp;MAX($E$5:E106)&amp;"-"&amp;G106&amp;"_"&amp;B106&amp;"_"&amp;C106)</x:f>
      </x:c>
    </x:row>
    <x:row r="107">
      <x:c r="D107" s="1" t="str">
        <x:f t="shared" si="14"/>
      </x:c>
      <x:c r="E107" s="150" t="str" cm="1">
        <x:f t="array" ref="E107">IF(B107="","",IF(B107&lt;&gt;B106,SUMPRODUCT(($B$5:B107&lt;&gt;$B$4:B106)*($B$5:B107&lt;&gt;"")),""))</x:f>
      </x:c>
      <x:c r="F107" s="1" t="str">
        <x:f t="shared" si="15"/>
      </x:c>
      <x:c r="G107" s="1" t="str">
        <x:f>IF(C107="","",COUNTIF($B$5:B107,B107))</x:f>
      </x:c>
      <x:c r="H107" s="4" t="str">
        <x:f t="shared" si="16"/>
      </x:c>
      <x:c r="L107" s="1" t="str">
        <x:f>IF(C107="","","【"&amp;A107&amp;"】"&amp;MAX($E$5:E107)&amp;"-"&amp;G107&amp;"_"&amp;B107&amp;"_"&amp;C107)</x:f>
      </x:c>
    </x:row>
    <x:row r="108">
      <x:c r="D108" s="1" t="str">
        <x:f t="shared" si="14"/>
      </x:c>
      <x:c r="E108" s="150" t="str" cm="1">
        <x:f t="array" ref="E108">IF(B108="","",IF(B108&lt;&gt;B107,SUMPRODUCT(($B$5:B108&lt;&gt;$B$4:B107)*($B$5:B108&lt;&gt;"")),""))</x:f>
      </x:c>
      <x:c r="F108" s="1" t="str">
        <x:f t="shared" si="15"/>
      </x:c>
      <x:c r="G108" s="1" t="str">
        <x:f>IF(C108="","",COUNTIF($B$5:B108,B108))</x:f>
      </x:c>
      <x:c r="H108" s="4" t="str">
        <x:f t="shared" si="16"/>
      </x:c>
      <x:c r="L108" s="1" t="str">
        <x:f>IF(C108="","","【"&amp;A108&amp;"】"&amp;MAX($E$5:E108)&amp;"-"&amp;G108&amp;"_"&amp;B108&amp;"_"&amp;C108)</x:f>
      </x:c>
    </x:row>
    <x:row r="109">
      <x:c r="D109" s="1" t="str">
        <x:f t="shared" si="14"/>
      </x:c>
      <x:c r="E109" s="150" t="str" cm="1">
        <x:f t="array" ref="E109">IF(B109="","",IF(B109&lt;&gt;B108,SUMPRODUCT(($B$5:B109&lt;&gt;$B$4:B108)*($B$5:B109&lt;&gt;"")),""))</x:f>
      </x:c>
      <x:c r="F109" s="1" t="str">
        <x:f t="shared" si="15"/>
      </x:c>
      <x:c r="G109" s="1" t="str">
        <x:f>IF(C109="","",COUNTIF($B$5:B109,B109))</x:f>
      </x:c>
      <x:c r="H109" s="4" t="str">
        <x:f t="shared" si="16"/>
      </x:c>
      <x:c r="L109" s="1" t="str">
        <x:f>IF(C109="","","【"&amp;A109&amp;"】"&amp;MAX($E$5:E109)&amp;"-"&amp;G109&amp;"_"&amp;B109&amp;"_"&amp;C109)</x:f>
      </x:c>
    </x:row>
    <x:row r="110">
      <x:c r="D110" s="1" t="str">
        <x:f t="shared" si="14"/>
      </x:c>
      <x:c r="E110" s="150" t="str" cm="1">
        <x:f t="array" ref="E110">IF(B110="","",IF(B110&lt;&gt;B109,SUMPRODUCT(($B$5:B110&lt;&gt;$B$4:B109)*($B$5:B110&lt;&gt;"")),""))</x:f>
      </x:c>
      <x:c r="F110" s="1" t="str">
        <x:f t="shared" si="15"/>
      </x:c>
      <x:c r="G110" s="1" t="str">
        <x:f>IF(C110="","",COUNTIF($B$5:B110,B110))</x:f>
      </x:c>
      <x:c r="H110" s="4" t="str">
        <x:f t="shared" si="16"/>
      </x:c>
      <x:c r="L110" s="1" t="str">
        <x:f>IF(C110="","","【"&amp;A110&amp;"】"&amp;MAX($E$5:E110)&amp;"-"&amp;G110&amp;"_"&amp;B110&amp;"_"&amp;C110)</x:f>
      </x:c>
    </x:row>
    <x:row r="111">
      <x:c r="D111" s="1" t="str">
        <x:f t="shared" si="14"/>
      </x:c>
      <x:c r="E111" s="150" t="str" cm="1">
        <x:f t="array" ref="E111">IF(B111="","",IF(B111&lt;&gt;B110,SUMPRODUCT(($B$5:B111&lt;&gt;$B$4:B110)*($B$5:B111&lt;&gt;"")),""))</x:f>
      </x:c>
      <x:c r="F111" s="1" t="str">
        <x:f t="shared" si="15"/>
      </x:c>
      <x:c r="G111" s="1" t="str">
        <x:f>IF(C111="","",COUNTIF($B$5:B111,B111))</x:f>
      </x:c>
      <x:c r="H111" s="4" t="str">
        <x:f t="shared" si="16"/>
      </x:c>
      <x:c r="L111" s="1" t="str">
        <x:f>IF(C111="","","【"&amp;A111&amp;"】"&amp;MAX($E$5:E111)&amp;"-"&amp;G111&amp;"_"&amp;B111&amp;"_"&amp;C111)</x:f>
      </x:c>
    </x:row>
    <x:row r="112">
      <x:c r="D112" s="1" t="str">
        <x:f t="shared" si="14"/>
      </x:c>
      <x:c r="E112" s="150" t="str" cm="1">
        <x:f t="array" ref="E112">IF(B112="","",IF(B112&lt;&gt;B111,SUMPRODUCT(($B$5:B112&lt;&gt;$B$4:B111)*($B$5:B112&lt;&gt;"")),""))</x:f>
      </x:c>
      <x:c r="F112" s="1" t="str">
        <x:f t="shared" si="15"/>
      </x:c>
      <x:c r="G112" s="1" t="str">
        <x:f>IF(C112="","",COUNTIF($B$5:B112,B112))</x:f>
      </x:c>
      <x:c r="H112" s="4" t="str">
        <x:f t="shared" si="16"/>
      </x:c>
      <x:c r="L112" s="1" t="str">
        <x:f>IF(C112="","","【"&amp;A112&amp;"】"&amp;MAX($E$5:E112)&amp;"-"&amp;G112&amp;"_"&amp;B112&amp;"_"&amp;C112)</x:f>
      </x:c>
    </x:row>
    <x:row r="113">
      <x:c r="D113" s="1" t="str">
        <x:f t="shared" si="14"/>
      </x:c>
      <x:c r="E113" s="150" t="str" cm="1">
        <x:f t="array" ref="E113">IF(B113="","",IF(B113&lt;&gt;B112,SUMPRODUCT(($B$5:B113&lt;&gt;$B$4:B112)*($B$5:B113&lt;&gt;"")),""))</x:f>
      </x:c>
      <x:c r="F113" s="1" t="str">
        <x:f t="shared" si="15"/>
      </x:c>
      <x:c r="G113" s="1" t="str">
        <x:f>IF(C113="","",COUNTIF($B$5:B113,B113))</x:f>
      </x:c>
      <x:c r="H113" s="4" t="str">
        <x:f t="shared" si="16"/>
      </x:c>
      <x:c r="L113" s="1" t="str">
        <x:f>IF(C113="","","【"&amp;A113&amp;"】"&amp;MAX($E$5:E113)&amp;"-"&amp;G113&amp;"_"&amp;B113&amp;"_"&amp;C113)</x:f>
      </x:c>
    </x:row>
    <x:row r="114">
      <x:c r="D114" s="1" t="str">
        <x:f t="shared" si="14"/>
      </x:c>
      <x:c r="E114" s="150" t="str" cm="1">
        <x:f t="array" ref="E114">IF(B114="","",IF(B114&lt;&gt;B113,SUMPRODUCT(($B$5:B114&lt;&gt;$B$4:B113)*($B$5:B114&lt;&gt;"")),""))</x:f>
      </x:c>
      <x:c r="F114" s="1" t="str">
        <x:f t="shared" si="15"/>
      </x:c>
      <x:c r="G114" s="1" t="str">
        <x:f>IF(C114="","",COUNTIF($B$5:B114,B114))</x:f>
      </x:c>
      <x:c r="H114" s="4" t="str">
        <x:f t="shared" si="16"/>
      </x:c>
      <x:c r="L114" s="1" t="str">
        <x:f>IF(C114="","","【"&amp;A114&amp;"】"&amp;MAX($E$5:E114)&amp;"-"&amp;G114&amp;"_"&amp;B114&amp;"_"&amp;C114)</x:f>
      </x:c>
    </x:row>
    <x:row r="115">
      <x:c r="D115" s="1" t="str">
        <x:f t="shared" si="14"/>
      </x:c>
      <x:c r="E115" s="150" t="str" cm="1">
        <x:f t="array" ref="E115">IF(B115="","",IF(B115&lt;&gt;B114,SUMPRODUCT(($B$5:B115&lt;&gt;$B$4:B114)*($B$5:B115&lt;&gt;"")),""))</x:f>
      </x:c>
      <x:c r="F115" s="1" t="str">
        <x:f t="shared" si="15"/>
      </x:c>
      <x:c r="G115" s="1" t="str">
        <x:f>IF(C115="","",COUNTIF($B$5:B115,B115))</x:f>
      </x:c>
      <x:c r="H115" s="4" t="str">
        <x:f t="shared" si="16"/>
      </x:c>
      <x:c r="L115" s="1" t="str">
        <x:f>IF(C115="","","【"&amp;A115&amp;"】"&amp;MAX($E$5:E115)&amp;"-"&amp;G115&amp;"_"&amp;B115&amp;"_"&amp;C115)</x:f>
      </x:c>
    </x:row>
    <x:row r="116">
      <x:c r="D116" s="1" t="str">
        <x:f t="shared" si="14"/>
      </x:c>
      <x:c r="E116" s="150" t="str" cm="1">
        <x:f t="array" ref="E116">IF(B116="","",IF(B116&lt;&gt;B115,SUMPRODUCT(($B$5:B116&lt;&gt;$B$4:B115)*($B$5:B116&lt;&gt;"")),""))</x:f>
      </x:c>
      <x:c r="F116" s="1" t="str">
        <x:f t="shared" si="15"/>
      </x:c>
      <x:c r="G116" s="1" t="str">
        <x:f>IF(C116="","",COUNTIF($B$5:B116,B116))</x:f>
      </x:c>
      <x:c r="H116" s="4" t="str">
        <x:f t="shared" si="16"/>
      </x:c>
      <x:c r="L116" s="1" t="str">
        <x:f>IF(C116="","","【"&amp;A116&amp;"】"&amp;MAX($E$5:E116)&amp;"-"&amp;G116&amp;"_"&amp;B116&amp;"_"&amp;C116)</x:f>
      </x:c>
    </x:row>
    <x:row r="117">
      <x:c r="D117" s="1" t="str">
        <x:f t="shared" si="14"/>
      </x:c>
      <x:c r="E117" s="150" t="str" cm="1">
        <x:f t="array" ref="E117">IF(B117="","",IF(B117&lt;&gt;B116,SUMPRODUCT(($B$5:B117&lt;&gt;$B$4:B116)*($B$5:B117&lt;&gt;"")),""))</x:f>
      </x:c>
      <x:c r="F117" s="1" t="str">
        <x:f t="shared" si="15"/>
      </x:c>
      <x:c r="G117" s="1" t="str">
        <x:f>IF(C117="","",COUNTIF($B$5:B117,B117))</x:f>
      </x:c>
      <x:c r="H117" s="4" t="str">
        <x:f t="shared" si="16"/>
      </x:c>
      <x:c r="L117" s="1" t="str">
        <x:f>IF(C117="","","【"&amp;A117&amp;"】"&amp;MAX($E$5:E117)&amp;"-"&amp;G117&amp;"_"&amp;B117&amp;"_"&amp;C117)</x:f>
      </x:c>
    </x:row>
    <x:row r="118">
      <x:c r="D118" s="1" t="str">
        <x:f t="shared" si="14"/>
      </x:c>
      <x:c r="E118" s="150" t="str" cm="1">
        <x:f t="array" ref="E118">IF(B118="","",IF(B118&lt;&gt;B117,SUMPRODUCT(($B$5:B118&lt;&gt;$B$4:B117)*($B$5:B118&lt;&gt;"")),""))</x:f>
      </x:c>
      <x:c r="F118" s="1" t="str">
        <x:f t="shared" si="15"/>
      </x:c>
      <x:c r="G118" s="1" t="str">
        <x:f>IF(C118="","",COUNTIF($B$5:B118,B118))</x:f>
      </x:c>
      <x:c r="H118" s="4" t="str">
        <x:f t="shared" si="16"/>
      </x:c>
      <x:c r="L118" s="1" t="str">
        <x:f>IF(C118="","","【"&amp;A118&amp;"】"&amp;MAX($E$5:E118)&amp;"-"&amp;G118&amp;"_"&amp;B118&amp;"_"&amp;C118)</x:f>
      </x:c>
    </x:row>
    <x:row r="119">
      <x:c r="D119" s="1" t="str">
        <x:f t="shared" si="14"/>
      </x:c>
      <x:c r="E119" s="150" t="str" cm="1">
        <x:f t="array" ref="E119">IF(B119="","",IF(B119&lt;&gt;B118,SUMPRODUCT(($B$5:B119&lt;&gt;$B$4:B118)*($B$5:B119&lt;&gt;"")),""))</x:f>
      </x:c>
      <x:c r="F119" s="1" t="str">
        <x:f t="shared" si="15"/>
      </x:c>
      <x:c r="G119" s="1" t="str">
        <x:f>IF(C119="","",COUNTIF($B$5:B119,B119))</x:f>
      </x:c>
      <x:c r="H119" s="4" t="str">
        <x:f t="shared" si="16"/>
      </x:c>
      <x:c r="L119" s="1" t="str">
        <x:f>IF(C119="","","【"&amp;A119&amp;"】"&amp;MAX($E$5:E119)&amp;"-"&amp;G119&amp;"_"&amp;B119&amp;"_"&amp;C119)</x:f>
      </x:c>
    </x:row>
    <x:row r="120">
      <x:c r="D120" s="1" t="str">
        <x:f t="shared" si="14"/>
      </x:c>
      <x:c r="E120" s="150" t="str" cm="1">
        <x:f t="array" ref="E120">IF(B120="","",IF(B120&lt;&gt;B119,SUMPRODUCT(($B$5:B120&lt;&gt;$B$4:B119)*($B$5:B120&lt;&gt;"")),""))</x:f>
      </x:c>
      <x:c r="F120" s="1" t="str">
        <x:f t="shared" si="15"/>
      </x:c>
      <x:c r="G120" s="1" t="str">
        <x:f>IF(C120="","",COUNTIF($B$5:B120,B120))</x:f>
      </x:c>
      <x:c r="H120" s="4" t="str">
        <x:f t="shared" si="16"/>
      </x:c>
      <x:c r="L120" s="1" t="str">
        <x:f>IF(C120="","","【"&amp;A120&amp;"】"&amp;MAX($E$5:E120)&amp;"-"&amp;G120&amp;"_"&amp;B120&amp;"_"&amp;C120)</x:f>
      </x:c>
    </x:row>
    <x:row r="121">
      <x:c r="D121" s="1" t="str">
        <x:f t="shared" si="14"/>
      </x:c>
      <x:c r="E121" s="150" t="str" cm="1">
        <x:f t="array" ref="E121">IF(B121="","",IF(B121&lt;&gt;B120,SUMPRODUCT(($B$5:B121&lt;&gt;$B$4:B120)*($B$5:B121&lt;&gt;"")),""))</x:f>
      </x:c>
      <x:c r="F121" s="1" t="str">
        <x:f t="shared" si="15"/>
      </x:c>
      <x:c r="G121" s="1" t="str">
        <x:f>IF(C121="","",COUNTIF($B$5:B121,B121))</x:f>
      </x:c>
      <x:c r="H121" s="4" t="str">
        <x:f t="shared" si="16"/>
      </x:c>
      <x:c r="L121" s="1" t="str">
        <x:f>IF(C121="","","【"&amp;A121&amp;"】"&amp;MAX($E$5:E121)&amp;"-"&amp;G121&amp;"_"&amp;B121&amp;"_"&amp;C121)</x:f>
      </x:c>
    </x:row>
    <x:row r="122">
      <x:c r="D122" s="1" t="str">
        <x:f t="shared" si="14"/>
      </x:c>
      <x:c r="E122" s="150" t="str" cm="1">
        <x:f t="array" ref="E122">IF(B122="","",IF(B122&lt;&gt;B121,SUMPRODUCT(($B$5:B122&lt;&gt;$B$4:B121)*($B$5:B122&lt;&gt;"")),""))</x:f>
      </x:c>
      <x:c r="F122" s="1" t="str">
        <x:f t="shared" si="15"/>
      </x:c>
      <x:c r="G122" s="1" t="str">
        <x:f>IF(C122="","",COUNTIF($B$5:B122,B122))</x:f>
      </x:c>
      <x:c r="H122" s="4" t="str">
        <x:f t="shared" si="16"/>
      </x:c>
      <x:c r="L122" s="1" t="str">
        <x:f>IF(C122="","","【"&amp;A122&amp;"】"&amp;MAX($E$5:E122)&amp;"-"&amp;G122&amp;"_"&amp;B122&amp;"_"&amp;C122)</x:f>
      </x:c>
    </x:row>
    <x:row r="123">
      <x:c r="D123" s="1" t="str">
        <x:f t="shared" si="14"/>
      </x:c>
      <x:c r="E123" s="150" t="str" cm="1">
        <x:f t="array" ref="E123">IF(B123="","",IF(B123&lt;&gt;B122,SUMPRODUCT(($B$5:B123&lt;&gt;$B$4:B122)*($B$5:B123&lt;&gt;"")),""))</x:f>
      </x:c>
      <x:c r="F123" s="1" t="str">
        <x:f t="shared" si="15"/>
      </x:c>
      <x:c r="G123" s="1" t="str">
        <x:f>IF(C123="","",COUNTIF($B$5:B123,B123))</x:f>
      </x:c>
      <x:c r="H123" s="4" t="str">
        <x:f t="shared" si="16"/>
      </x:c>
      <x:c r="L123" s="1" t="str">
        <x:f>IF(C123="","","【"&amp;A123&amp;"】"&amp;MAX($E$5:E123)&amp;"-"&amp;G123&amp;"_"&amp;B123&amp;"_"&amp;C123)</x:f>
      </x:c>
    </x:row>
    <x:row r="124">
      <x:c r="D124" s="1" t="str">
        <x:f t="shared" si="14"/>
      </x:c>
      <x:c r="E124" s="150" t="str" cm="1">
        <x:f t="array" ref="E124">IF(B124="","",IF(B124&lt;&gt;B123,SUMPRODUCT(($B$5:B124&lt;&gt;$B$4:B123)*($B$5:B124&lt;&gt;"")),""))</x:f>
      </x:c>
      <x:c r="F124" s="1" t="str">
        <x:f t="shared" si="15"/>
      </x:c>
      <x:c r="G124" s="1" t="str">
        <x:f>IF(C124="","",COUNTIF($B$5:B124,B124))</x:f>
      </x:c>
      <x:c r="H124" s="4" t="str">
        <x:f t="shared" si="16"/>
      </x:c>
      <x:c r="L124" s="1" t="str">
        <x:f>IF(C124="","","【"&amp;A124&amp;"】"&amp;MAX($E$5:E124)&amp;"-"&amp;G124&amp;"_"&amp;B124&amp;"_"&amp;C124)</x:f>
      </x:c>
    </x:row>
    <x:row r="125">
      <x:c r="D125" s="1" t="str">
        <x:f t="shared" si="14"/>
      </x:c>
      <x:c r="E125" s="150" t="str" cm="1">
        <x:f t="array" ref="E125">IF(B125="","",IF(B125&lt;&gt;B124,SUMPRODUCT(($B$5:B125&lt;&gt;$B$4:B124)*($B$5:B125&lt;&gt;"")),""))</x:f>
      </x:c>
      <x:c r="F125" s="1" t="str">
        <x:f t="shared" si="15"/>
      </x:c>
      <x:c r="G125" s="1" t="str">
        <x:f>IF(C125="","",COUNTIF($B$5:B125,B125))</x:f>
      </x:c>
      <x:c r="H125" s="4" t="str">
        <x:f t="shared" si="16"/>
      </x:c>
      <x:c r="L125" s="1" t="str">
        <x:f>IF(C125="","","【"&amp;A125&amp;"】"&amp;MAX($E$5:E125)&amp;"-"&amp;G125&amp;"_"&amp;B125&amp;"_"&amp;C125)</x:f>
      </x:c>
    </x:row>
    <x:row r="126">
      <x:c r="D126" s="1" t="str">
        <x:f t="shared" si="14"/>
      </x:c>
      <x:c r="E126" s="150" t="str" cm="1">
        <x:f t="array" ref="E126">IF(B126="","",IF(B126&lt;&gt;B125,SUMPRODUCT(($B$5:B126&lt;&gt;$B$4:B125)*($B$5:B126&lt;&gt;"")),""))</x:f>
      </x:c>
      <x:c r="F126" s="1" t="str">
        <x:f t="shared" si="15"/>
      </x:c>
      <x:c r="G126" s="1" t="str">
        <x:f>IF(C126="","",COUNTIF($B$5:B126,B126))</x:f>
      </x:c>
      <x:c r="H126" s="4" t="str">
        <x:f t="shared" si="16"/>
      </x:c>
      <x:c r="L126" s="1" t="str">
        <x:f>IF(C126="","","【"&amp;A126&amp;"】"&amp;MAX($E$5:E126)&amp;"-"&amp;G126&amp;"_"&amp;B126&amp;"_"&amp;C126)</x:f>
      </x:c>
    </x:row>
    <x:row r="127">
      <x:c r="D127" s="1" t="str">
        <x:f t="shared" si="14"/>
      </x:c>
      <x:c r="E127" s="150" t="str" cm="1">
        <x:f t="array" ref="E127">IF(B127="","",IF(B127&lt;&gt;B126,SUMPRODUCT(($B$5:B127&lt;&gt;$B$4:B126)*($B$5:B127&lt;&gt;"")),""))</x:f>
      </x:c>
      <x:c r="F127" s="1" t="str">
        <x:f t="shared" si="15"/>
      </x:c>
      <x:c r="G127" s="1" t="str">
        <x:f>IF(C127="","",COUNTIF($B$5:B127,B127))</x:f>
      </x:c>
      <x:c r="H127" s="4" t="str">
        <x:f t="shared" si="16"/>
      </x:c>
      <x:c r="L127" s="1" t="str">
        <x:f>IF(C127="","","【"&amp;A127&amp;"】"&amp;MAX($E$5:E127)&amp;"-"&amp;G127&amp;"_"&amp;B127&amp;"_"&amp;C127)</x:f>
      </x:c>
    </x:row>
    <x:row r="128">
      <x:c r="D128" s="1" t="str">
        <x:f t="shared" si="14"/>
      </x:c>
      <x:c r="E128" s="150" t="str" cm="1">
        <x:f t="array" ref="E128">IF(B128="","",IF(B128&lt;&gt;B127,SUMPRODUCT(($B$5:B128&lt;&gt;$B$4:B127)*($B$5:B128&lt;&gt;"")),""))</x:f>
      </x:c>
      <x:c r="F128" s="1" t="str">
        <x:f t="shared" si="15"/>
      </x:c>
      <x:c r="G128" s="1" t="str">
        <x:f>IF(C128="","",COUNTIF($B$5:B128,B128))</x:f>
      </x:c>
      <x:c r="H128" s="4" t="str">
        <x:f t="shared" si="16"/>
      </x:c>
      <x:c r="L128" s="1" t="str">
        <x:f>IF(C128="","","【"&amp;A128&amp;"】"&amp;MAX($E$5:E128)&amp;"-"&amp;G128&amp;"_"&amp;B128&amp;"_"&amp;C128)</x:f>
      </x:c>
    </x:row>
    <x:row r="129">
      <x:c r="D129" s="1" t="str">
        <x:f t="shared" si="14"/>
      </x:c>
      <x:c r="E129" s="150" t="str" cm="1">
        <x:f t="array" ref="E129">IF(B129="","",IF(B129&lt;&gt;B128,SUMPRODUCT(($B$5:B129&lt;&gt;$B$4:B128)*($B$5:B129&lt;&gt;"")),""))</x:f>
      </x:c>
      <x:c r="F129" s="1" t="str">
        <x:f t="shared" si="15"/>
      </x:c>
      <x:c r="G129" s="1" t="str">
        <x:f>IF(C129="","",COUNTIF($B$5:B129,B129))</x:f>
      </x:c>
      <x:c r="H129" s="4" t="str">
        <x:f t="shared" si="16"/>
      </x:c>
      <x:c r="L129" s="1" t="str">
        <x:f>IF(C129="","","【"&amp;A129&amp;"】"&amp;MAX($E$5:E129)&amp;"-"&amp;G129&amp;"_"&amp;B129&amp;"_"&amp;C129)</x:f>
      </x:c>
    </x:row>
    <x:row r="130">
      <x:c r="D130" s="1" t="str">
        <x:f t="shared" si="14"/>
      </x:c>
      <x:c r="E130" s="150" t="str" cm="1">
        <x:f t="array" ref="E130">IF(B130="","",IF(B130&lt;&gt;B129,SUMPRODUCT(($B$5:B130&lt;&gt;$B$4:B129)*($B$5:B130&lt;&gt;"")),""))</x:f>
      </x:c>
      <x:c r="F130" s="1" t="str">
        <x:f t="shared" si="15"/>
      </x:c>
      <x:c r="G130" s="1" t="str">
        <x:f>IF(C130="","",COUNTIF($B$5:B130,B130))</x:f>
      </x:c>
      <x:c r="H130" s="4" t="str">
        <x:f t="shared" si="16"/>
      </x:c>
      <x:c r="L130" s="1" t="str">
        <x:f>IF(C130="","","【"&amp;A130&amp;"】"&amp;MAX($E$5:E130)&amp;"-"&amp;G130&amp;"_"&amp;B130&amp;"_"&amp;C130)</x:f>
      </x:c>
    </x:row>
    <x:row r="131">
      <x:c r="D131" s="1" t="str">
        <x:f t="shared" si="14"/>
      </x:c>
      <x:c r="E131" s="150" t="str" cm="1">
        <x:f t="array" ref="E131">IF(B131="","",IF(B131&lt;&gt;B130,SUMPRODUCT(($B$5:B131&lt;&gt;$B$4:B130)*($B$5:B131&lt;&gt;"")),""))</x:f>
      </x:c>
      <x:c r="F131" s="1" t="str">
        <x:f t="shared" si="15"/>
      </x:c>
      <x:c r="G131" s="1" t="str">
        <x:f>IF(C131="","",COUNTIF($B$5:B131,B131))</x:f>
      </x:c>
      <x:c r="H131" s="4" t="str">
        <x:f t="shared" si="16"/>
      </x:c>
      <x:c r="L131" s="1" t="str">
        <x:f>IF(C131="","","【"&amp;A131&amp;"】"&amp;MAX($E$5:E131)&amp;"-"&amp;G131&amp;"_"&amp;B131&amp;"_"&amp;C131)</x:f>
      </x:c>
    </x:row>
    <x:row r="132">
      <x:c r="D132" s="1" t="str">
        <x:f t="shared" si="14"/>
      </x:c>
      <x:c r="E132" s="150" t="str" cm="1">
        <x:f t="array" ref="E132">IF(B132="","",IF(B132&lt;&gt;B131,SUMPRODUCT(($B$5:B132&lt;&gt;$B$4:B131)*($B$5:B132&lt;&gt;"")),""))</x:f>
      </x:c>
      <x:c r="F132" s="1" t="str">
        <x:f t="shared" si="15"/>
      </x:c>
      <x:c r="G132" s="1" t="str">
        <x:f>IF(C132="","",COUNTIF($B$5:B132,B132))</x:f>
      </x:c>
      <x:c r="H132" s="4" t="str">
        <x:f t="shared" si="16"/>
      </x:c>
      <x:c r="L132" s="1" t="str">
        <x:f>IF(C132="","","【"&amp;A132&amp;"】"&amp;MAX($E$5:E132)&amp;"-"&amp;G132&amp;"_"&amp;B132&amp;"_"&amp;C132)</x:f>
      </x:c>
    </x:row>
    <x:row r="133">
      <x:c r="D133" s="1" t="str">
        <x:f t="shared" si="14"/>
      </x:c>
      <x:c r="E133" s="150" t="str" cm="1">
        <x:f t="array" ref="E133">IF(B133="","",IF(B133&lt;&gt;B132,SUMPRODUCT(($B$5:B133&lt;&gt;$B$4:B132)*($B$5:B133&lt;&gt;"")),""))</x:f>
      </x:c>
      <x:c r="F133" s="1" t="str">
        <x:f t="shared" si="15"/>
      </x:c>
      <x:c r="G133" s="1" t="str">
        <x:f>IF(C133="","",COUNTIF($B$5:B133,B133))</x:f>
      </x:c>
      <x:c r="H133" s="4" t="str">
        <x:f t="shared" si="16"/>
      </x:c>
      <x:c r="L133" s="1" t="str">
        <x:f>IF(C133="","","【"&amp;A133&amp;"】"&amp;MAX($E$5:E133)&amp;"-"&amp;G133&amp;"_"&amp;B133&amp;"_"&amp;C133)</x:f>
      </x:c>
    </x:row>
    <x:row r="134">
      <x:c r="D134" s="1" t="str">
        <x:f t="shared" ref="D134:D197" si="17">IF(A134&lt;&gt;"", IF(A134=A133, "", A134), "")</x:f>
      </x:c>
      <x:c r="E134" s="150" t="str" cm="1">
        <x:f t="array" ref="E134">IF(B134="","",IF(B134&lt;&gt;B133,SUMPRODUCT(($B$5:B134&lt;&gt;$B$4:B133)*($B$5:B134&lt;&gt;"")),""))</x:f>
      </x:c>
      <x:c r="F134" s="1" t="str">
        <x:f t="shared" ref="F134:F197" si="18">IF(B134&lt;&gt;"", IF(B134=B133, "", B134), "")</x:f>
      </x:c>
      <x:c r="G134" s="1" t="str">
        <x:f>IF(C134="","",COUNTIF($B$5:B134,B134))</x:f>
      </x:c>
      <x:c r="H134" s="4" t="str">
        <x:f t="shared" ref="H134:H197" si="19">IF(AND(C134&lt;&gt;"",OR(C134&lt;&gt;C133,B134&lt;&gt;B133)),C134,"")</x:f>
      </x:c>
      <x:c r="L134" s="1" t="str">
        <x:f>IF(C134="","","【"&amp;A134&amp;"】"&amp;MAX($E$5:E134)&amp;"-"&amp;G134&amp;"_"&amp;B134&amp;"_"&amp;C134)</x:f>
      </x:c>
    </x:row>
    <x:row r="135">
      <x:c r="D135" s="1" t="str">
        <x:f t="shared" si="17"/>
      </x:c>
      <x:c r="E135" s="150" t="str" cm="1">
        <x:f t="array" ref="E135">IF(B135="","",IF(B135&lt;&gt;B134,SUMPRODUCT(($B$5:B135&lt;&gt;$B$4:B134)*($B$5:B135&lt;&gt;"")),""))</x:f>
      </x:c>
      <x:c r="F135" s="1" t="str">
        <x:f t="shared" si="18"/>
      </x:c>
      <x:c r="G135" s="1" t="str">
        <x:f>IF(C135="","",COUNTIF($B$5:B135,B135))</x:f>
      </x:c>
      <x:c r="H135" s="4" t="str">
        <x:f t="shared" si="19"/>
      </x:c>
      <x:c r="L135" s="1" t="str">
        <x:f>IF(C135="","","【"&amp;A135&amp;"】"&amp;MAX($E$5:E135)&amp;"-"&amp;G135&amp;"_"&amp;B135&amp;"_"&amp;C135)</x:f>
      </x:c>
    </x:row>
    <x:row r="136">
      <x:c r="D136" s="1" t="str">
        <x:f t="shared" si="17"/>
      </x:c>
      <x:c r="E136" s="150" t="str" cm="1">
        <x:f t="array" ref="E136">IF(B136="","",IF(B136&lt;&gt;B135,SUMPRODUCT(($B$5:B136&lt;&gt;$B$4:B135)*($B$5:B136&lt;&gt;"")),""))</x:f>
      </x:c>
      <x:c r="F136" s="1" t="str">
        <x:f t="shared" si="18"/>
      </x:c>
      <x:c r="G136" s="1" t="str">
        <x:f>IF(C136="","",COUNTIF($B$5:B136,B136))</x:f>
      </x:c>
      <x:c r="H136" s="4" t="str">
        <x:f t="shared" si="19"/>
      </x:c>
      <x:c r="L136" s="1" t="str">
        <x:f>IF(C136="","","【"&amp;A136&amp;"】"&amp;MAX($E$5:E136)&amp;"-"&amp;G136&amp;"_"&amp;B136&amp;"_"&amp;C136)</x:f>
      </x:c>
    </x:row>
    <x:row r="137">
      <x:c r="D137" s="1" t="str">
        <x:f t="shared" si="17"/>
      </x:c>
      <x:c r="E137" s="150" t="str" cm="1">
        <x:f t="array" ref="E137">IF(B137="","",IF(B137&lt;&gt;B136,SUMPRODUCT(($B$5:B137&lt;&gt;$B$4:B136)*($B$5:B137&lt;&gt;"")),""))</x:f>
      </x:c>
      <x:c r="F137" s="1" t="str">
        <x:f t="shared" si="18"/>
      </x:c>
      <x:c r="G137" s="1" t="str">
        <x:f>IF(C137="","",COUNTIF($B$5:B137,B137))</x:f>
      </x:c>
      <x:c r="H137" s="4" t="str">
        <x:f t="shared" si="19"/>
      </x:c>
      <x:c r="L137" s="1" t="str">
        <x:f>IF(C137="","","【"&amp;A137&amp;"】"&amp;MAX($E$5:E137)&amp;"-"&amp;G137&amp;"_"&amp;B137&amp;"_"&amp;C137)</x:f>
      </x:c>
    </x:row>
    <x:row r="138">
      <x:c r="D138" s="1" t="str">
        <x:f t="shared" si="17"/>
      </x:c>
      <x:c r="E138" s="150" t="str" cm="1">
        <x:f t="array" ref="E138">IF(B138="","",IF(B138&lt;&gt;B137,SUMPRODUCT(($B$5:B138&lt;&gt;$B$4:B137)*($B$5:B138&lt;&gt;"")),""))</x:f>
      </x:c>
      <x:c r="F138" s="1" t="str">
        <x:f t="shared" si="18"/>
      </x:c>
      <x:c r="G138" s="1" t="str">
        <x:f>IF(C138="","",COUNTIF($B$5:B138,B138))</x:f>
      </x:c>
      <x:c r="H138" s="4" t="str">
        <x:f t="shared" si="19"/>
      </x:c>
      <x:c r="L138" s="1" t="str">
        <x:f>IF(C138="","","【"&amp;A138&amp;"】"&amp;MAX($E$5:E138)&amp;"-"&amp;G138&amp;"_"&amp;B138&amp;"_"&amp;C138)</x:f>
      </x:c>
    </x:row>
    <x:row r="139">
      <x:c r="D139" s="1" t="str">
        <x:f t="shared" si="17"/>
      </x:c>
      <x:c r="E139" s="150" t="str" cm="1">
        <x:f t="array" ref="E139">IF(B139="","",IF(B139&lt;&gt;B138,SUMPRODUCT(($B$5:B139&lt;&gt;$B$4:B138)*($B$5:B139&lt;&gt;"")),""))</x:f>
      </x:c>
      <x:c r="F139" s="1" t="str">
        <x:f t="shared" si="18"/>
      </x:c>
      <x:c r="G139" s="1" t="str">
        <x:f>IF(C139="","",COUNTIF($B$5:B139,B139))</x:f>
      </x:c>
      <x:c r="H139" s="4" t="str">
        <x:f t="shared" si="19"/>
      </x:c>
      <x:c r="L139" s="1" t="str">
        <x:f>IF(C139="","","【"&amp;A139&amp;"】"&amp;MAX($E$5:E139)&amp;"-"&amp;G139&amp;"_"&amp;B139&amp;"_"&amp;C139)</x:f>
      </x:c>
    </x:row>
    <x:row r="140">
      <x:c r="D140" s="1" t="str">
        <x:f t="shared" si="17"/>
      </x:c>
      <x:c r="E140" s="150" t="str" cm="1">
        <x:f t="array" ref="E140">IF(B140="","",IF(B140&lt;&gt;B139,SUMPRODUCT(($B$5:B140&lt;&gt;$B$4:B139)*($B$5:B140&lt;&gt;"")),""))</x:f>
      </x:c>
      <x:c r="F140" s="1" t="str">
        <x:f t="shared" si="18"/>
      </x:c>
      <x:c r="G140" s="1" t="str">
        <x:f>IF(C140="","",COUNTIF($B$5:B140,B140))</x:f>
      </x:c>
      <x:c r="H140" s="4" t="str">
        <x:f t="shared" si="19"/>
      </x:c>
      <x:c r="L140" s="1" t="str">
        <x:f>IF(C140="","","【"&amp;A140&amp;"】"&amp;MAX($E$5:E140)&amp;"-"&amp;G140&amp;"_"&amp;B140&amp;"_"&amp;C140)</x:f>
      </x:c>
    </x:row>
    <x:row r="141">
      <x:c r="D141" s="1" t="str">
        <x:f t="shared" si="17"/>
      </x:c>
      <x:c r="E141" s="150" t="str" cm="1">
        <x:f t="array" ref="E141">IF(B141="","",IF(B141&lt;&gt;B140,SUMPRODUCT(($B$5:B141&lt;&gt;$B$4:B140)*($B$5:B141&lt;&gt;"")),""))</x:f>
      </x:c>
      <x:c r="F141" s="1" t="str">
        <x:f t="shared" si="18"/>
      </x:c>
      <x:c r="G141" s="1" t="str">
        <x:f>IF(C141="","",COUNTIF($B$5:B141,B141))</x:f>
      </x:c>
      <x:c r="H141" s="4" t="str">
        <x:f t="shared" si="19"/>
      </x:c>
      <x:c r="L141" s="1" t="str">
        <x:f>IF(C141="","","【"&amp;A141&amp;"】"&amp;MAX($E$5:E141)&amp;"-"&amp;G141&amp;"_"&amp;B141&amp;"_"&amp;C141)</x:f>
      </x:c>
    </x:row>
    <x:row r="142">
      <x:c r="D142" s="1" t="str">
        <x:f t="shared" si="17"/>
      </x:c>
      <x:c r="E142" s="150" t="str" cm="1">
        <x:f t="array" ref="E142">IF(B142="","",IF(B142&lt;&gt;B141,SUMPRODUCT(($B$5:B142&lt;&gt;$B$4:B141)*($B$5:B142&lt;&gt;"")),""))</x:f>
      </x:c>
      <x:c r="F142" s="1" t="str">
        <x:f t="shared" si="18"/>
      </x:c>
      <x:c r="G142" s="1" t="str">
        <x:f>IF(C142="","",COUNTIF($B$5:B142,B142))</x:f>
      </x:c>
      <x:c r="H142" s="4" t="str">
        <x:f t="shared" si="19"/>
      </x:c>
      <x:c r="L142" s="1" t="str">
        <x:f>IF(C142="","","【"&amp;A142&amp;"】"&amp;MAX($E$5:E142)&amp;"-"&amp;G142&amp;"_"&amp;B142&amp;"_"&amp;C142)</x:f>
      </x:c>
    </x:row>
    <x:row r="143">
      <x:c r="D143" s="1" t="str">
        <x:f t="shared" si="17"/>
      </x:c>
      <x:c r="E143" s="150" t="str" cm="1">
        <x:f t="array" ref="E143">IF(B143="","",IF(B143&lt;&gt;B142,SUMPRODUCT(($B$5:B143&lt;&gt;$B$4:B142)*($B$5:B143&lt;&gt;"")),""))</x:f>
      </x:c>
      <x:c r="F143" s="1" t="str">
        <x:f t="shared" si="18"/>
      </x:c>
      <x:c r="G143" s="1" t="str">
        <x:f>IF(C143="","",COUNTIF($B$5:B143,B143))</x:f>
      </x:c>
      <x:c r="H143" s="4" t="str">
        <x:f t="shared" si="19"/>
      </x:c>
      <x:c r="L143" s="1" t="str">
        <x:f>IF(C143="","","【"&amp;A143&amp;"】"&amp;MAX($E$5:E143)&amp;"-"&amp;G143&amp;"_"&amp;B143&amp;"_"&amp;C143)</x:f>
      </x:c>
    </x:row>
    <x:row r="144">
      <x:c r="D144" s="1" t="str">
        <x:f t="shared" si="17"/>
      </x:c>
      <x:c r="E144" s="150" t="str" cm="1">
        <x:f t="array" ref="E144">IF(B144="","",IF(B144&lt;&gt;B143,SUMPRODUCT(($B$5:B144&lt;&gt;$B$4:B143)*($B$5:B144&lt;&gt;"")),""))</x:f>
      </x:c>
      <x:c r="F144" s="1" t="str">
        <x:f t="shared" si="18"/>
      </x:c>
      <x:c r="G144" s="1" t="str">
        <x:f>IF(C144="","",COUNTIF($B$5:B144,B144))</x:f>
      </x:c>
      <x:c r="H144" s="4" t="str">
        <x:f t="shared" si="19"/>
      </x:c>
      <x:c r="L144" s="1" t="str">
        <x:f>IF(C144="","","【"&amp;A144&amp;"】"&amp;MAX($E$5:E144)&amp;"-"&amp;G144&amp;"_"&amp;B144&amp;"_"&amp;C144)</x:f>
      </x:c>
    </x:row>
    <x:row r="145">
      <x:c r="D145" s="1" t="str">
        <x:f t="shared" si="17"/>
      </x:c>
      <x:c r="E145" s="150" t="str" cm="1">
        <x:f t="array" ref="E145">IF(B145="","",IF(B145&lt;&gt;B144,SUMPRODUCT(($B$5:B145&lt;&gt;$B$4:B144)*($B$5:B145&lt;&gt;"")),""))</x:f>
      </x:c>
      <x:c r="F145" s="1" t="str">
        <x:f t="shared" si="18"/>
      </x:c>
      <x:c r="G145" s="1" t="str">
        <x:f>IF(C145="","",COUNTIF($B$5:B145,B145))</x:f>
      </x:c>
      <x:c r="H145" s="4" t="str">
        <x:f t="shared" si="19"/>
      </x:c>
      <x:c r="L145" s="1" t="str">
        <x:f>IF(C145="","","【"&amp;A145&amp;"】"&amp;MAX($E$5:E145)&amp;"-"&amp;G145&amp;"_"&amp;B145&amp;"_"&amp;C145)</x:f>
      </x:c>
    </x:row>
    <x:row r="146">
      <x:c r="D146" s="1" t="str">
        <x:f t="shared" si="17"/>
      </x:c>
      <x:c r="E146" s="150" t="str" cm="1">
        <x:f t="array" ref="E146">IF(B146="","",IF(B146&lt;&gt;B145,SUMPRODUCT(($B$5:B146&lt;&gt;$B$4:B145)*($B$5:B146&lt;&gt;"")),""))</x:f>
      </x:c>
      <x:c r="F146" s="1" t="str">
        <x:f t="shared" si="18"/>
      </x:c>
      <x:c r="G146" s="1" t="str">
        <x:f>IF(C146="","",COUNTIF($B$5:B146,B146))</x:f>
      </x:c>
      <x:c r="H146" s="4" t="str">
        <x:f t="shared" si="19"/>
      </x:c>
      <x:c r="L146" s="1" t="str">
        <x:f>IF(C146="","","【"&amp;A146&amp;"】"&amp;MAX($E$5:E146)&amp;"-"&amp;G146&amp;"_"&amp;B146&amp;"_"&amp;C146)</x:f>
      </x:c>
    </x:row>
    <x:row r="147">
      <x:c r="D147" s="1" t="str">
        <x:f t="shared" si="17"/>
      </x:c>
      <x:c r="E147" s="150" t="str" cm="1">
        <x:f t="array" ref="E147">IF(B147="","",IF(B147&lt;&gt;B146,SUMPRODUCT(($B$5:B147&lt;&gt;$B$4:B146)*($B$5:B147&lt;&gt;"")),""))</x:f>
      </x:c>
      <x:c r="F147" s="1" t="str">
        <x:f t="shared" si="18"/>
      </x:c>
      <x:c r="G147" s="1" t="str">
        <x:f>IF(C147="","",COUNTIF($B$5:B147,B147))</x:f>
      </x:c>
      <x:c r="H147" s="4" t="str">
        <x:f t="shared" si="19"/>
      </x:c>
      <x:c r="L147" s="1" t="str">
        <x:f>IF(C147="","","【"&amp;A147&amp;"】"&amp;MAX($E$5:E147)&amp;"-"&amp;G147&amp;"_"&amp;B147&amp;"_"&amp;C147)</x:f>
      </x:c>
    </x:row>
    <x:row r="148">
      <x:c r="D148" s="1" t="str">
        <x:f t="shared" si="17"/>
      </x:c>
      <x:c r="E148" s="150" t="str" cm="1">
        <x:f t="array" ref="E148">IF(B148="","",IF(B148&lt;&gt;B147,SUMPRODUCT(($B$5:B148&lt;&gt;$B$4:B147)*($B$5:B148&lt;&gt;"")),""))</x:f>
      </x:c>
      <x:c r="F148" s="1" t="str">
        <x:f t="shared" si="18"/>
      </x:c>
      <x:c r="G148" s="1" t="str">
        <x:f>IF(C148="","",COUNTIF($B$5:B148,B148))</x:f>
      </x:c>
      <x:c r="H148" s="4" t="str">
        <x:f t="shared" si="19"/>
      </x:c>
      <x:c r="L148" s="1" t="str">
        <x:f>IF(C148="","","【"&amp;A148&amp;"】"&amp;MAX($E$5:E148)&amp;"-"&amp;G148&amp;"_"&amp;B148&amp;"_"&amp;C148)</x:f>
      </x:c>
    </x:row>
    <x:row r="149">
      <x:c r="D149" s="1" t="str">
        <x:f t="shared" si="17"/>
      </x:c>
      <x:c r="E149" s="150" t="str" cm="1">
        <x:f t="array" ref="E149">IF(B149="","",IF(B149&lt;&gt;B148,SUMPRODUCT(($B$5:B149&lt;&gt;$B$4:B148)*($B$5:B149&lt;&gt;"")),""))</x:f>
      </x:c>
      <x:c r="F149" s="1" t="str">
        <x:f t="shared" si="18"/>
      </x:c>
      <x:c r="G149" s="1" t="str">
        <x:f>IF(C149="","",COUNTIF($B$5:B149,B149))</x:f>
      </x:c>
      <x:c r="H149" s="4" t="str">
        <x:f t="shared" si="19"/>
      </x:c>
      <x:c r="L149" s="1" t="str">
        <x:f>IF(C149="","","【"&amp;A149&amp;"】"&amp;MAX($E$5:E149)&amp;"-"&amp;G149&amp;"_"&amp;B149&amp;"_"&amp;C149)</x:f>
      </x:c>
    </x:row>
    <x:row r="150">
      <x:c r="D150" s="1" t="str">
        <x:f t="shared" si="17"/>
      </x:c>
      <x:c r="E150" s="150" t="str" cm="1">
        <x:f t="array" ref="E150">IF(B150="","",IF(B150&lt;&gt;B149,SUMPRODUCT(($B$5:B150&lt;&gt;$B$4:B149)*($B$5:B150&lt;&gt;"")),""))</x:f>
      </x:c>
      <x:c r="F150" s="1" t="str">
        <x:f t="shared" si="18"/>
      </x:c>
      <x:c r="G150" s="1" t="str">
        <x:f>IF(C150="","",COUNTIF($B$5:B150,B150))</x:f>
      </x:c>
      <x:c r="H150" s="4" t="str">
        <x:f t="shared" si="19"/>
      </x:c>
      <x:c r="L150" s="1" t="str">
        <x:f>IF(C150="","","【"&amp;A150&amp;"】"&amp;MAX($E$5:E150)&amp;"-"&amp;G150&amp;"_"&amp;B150&amp;"_"&amp;C150)</x:f>
      </x:c>
    </x:row>
    <x:row r="151">
      <x:c r="D151" s="1" t="str">
        <x:f t="shared" si="17"/>
      </x:c>
      <x:c r="E151" s="150" t="str" cm="1">
        <x:f t="array" ref="E151">IF(B151="","",IF(B151&lt;&gt;B150,SUMPRODUCT(($B$5:B151&lt;&gt;$B$4:B150)*($B$5:B151&lt;&gt;"")),""))</x:f>
      </x:c>
      <x:c r="F151" s="1" t="str">
        <x:f t="shared" si="18"/>
      </x:c>
      <x:c r="G151" s="1" t="str">
        <x:f>IF(C151="","",COUNTIF($B$5:B151,B151))</x:f>
      </x:c>
      <x:c r="H151" s="4" t="str">
        <x:f t="shared" si="19"/>
      </x:c>
      <x:c r="L151" s="1" t="str">
        <x:f>IF(C151="","","【"&amp;A151&amp;"】"&amp;MAX($E$5:E151)&amp;"-"&amp;G151&amp;"_"&amp;B151&amp;"_"&amp;C151)</x:f>
      </x:c>
    </x:row>
    <x:row r="152">
      <x:c r="D152" s="1" t="str">
        <x:f t="shared" si="17"/>
      </x:c>
      <x:c r="E152" s="150" t="str" cm="1">
        <x:f t="array" ref="E152">IF(B152="","",IF(B152&lt;&gt;B151,SUMPRODUCT(($B$5:B152&lt;&gt;$B$4:B151)*($B$5:B152&lt;&gt;"")),""))</x:f>
      </x:c>
      <x:c r="F152" s="1" t="str">
        <x:f t="shared" si="18"/>
      </x:c>
      <x:c r="G152" s="1" t="str">
        <x:f>IF(C152="","",COUNTIF($B$5:B152,B152))</x:f>
      </x:c>
      <x:c r="H152" s="4" t="str">
        <x:f t="shared" si="19"/>
      </x:c>
      <x:c r="L152" s="1" t="str">
        <x:f>IF(C152="","","【"&amp;A152&amp;"】"&amp;MAX($E$5:E152)&amp;"-"&amp;G152&amp;"_"&amp;B152&amp;"_"&amp;C152)</x:f>
      </x:c>
    </x:row>
    <x:row r="153">
      <x:c r="D153" s="1" t="str">
        <x:f t="shared" si="17"/>
      </x:c>
      <x:c r="E153" s="150" t="str" cm="1">
        <x:f t="array" ref="E153">IF(B153="","",IF(B153&lt;&gt;B152,SUMPRODUCT(($B$5:B153&lt;&gt;$B$4:B152)*($B$5:B153&lt;&gt;"")),""))</x:f>
      </x:c>
      <x:c r="F153" s="1" t="str">
        <x:f t="shared" si="18"/>
      </x:c>
      <x:c r="G153" s="1" t="str">
        <x:f>IF(C153="","",COUNTIF($B$5:B153,B153))</x:f>
      </x:c>
      <x:c r="H153" s="4" t="str">
        <x:f t="shared" si="19"/>
      </x:c>
      <x:c r="L153" s="1" t="str">
        <x:f>IF(C153="","","【"&amp;A153&amp;"】"&amp;MAX($E$5:E153)&amp;"-"&amp;G153&amp;"_"&amp;B153&amp;"_"&amp;C153)</x:f>
      </x:c>
    </x:row>
    <x:row r="154">
      <x:c r="D154" s="1" t="str">
        <x:f t="shared" si="17"/>
      </x:c>
      <x:c r="E154" s="150" t="str" cm="1">
        <x:f t="array" ref="E154">IF(B154="","",IF(B154&lt;&gt;B153,SUMPRODUCT(($B$5:B154&lt;&gt;$B$4:B153)*($B$5:B154&lt;&gt;"")),""))</x:f>
      </x:c>
      <x:c r="F154" s="1" t="str">
        <x:f t="shared" si="18"/>
      </x:c>
      <x:c r="G154" s="1" t="str">
        <x:f>IF(C154="","",COUNTIF($B$5:B154,B154))</x:f>
      </x:c>
      <x:c r="H154" s="4" t="str">
        <x:f t="shared" si="19"/>
      </x:c>
      <x:c r="L154" s="1" t="str">
        <x:f>IF(C154="","","【"&amp;A154&amp;"】"&amp;MAX($E$5:E154)&amp;"-"&amp;G154&amp;"_"&amp;B154&amp;"_"&amp;C154)</x:f>
      </x:c>
    </x:row>
    <x:row r="155">
      <x:c r="D155" s="1" t="str">
        <x:f t="shared" si="17"/>
      </x:c>
      <x:c r="E155" s="150" t="str" cm="1">
        <x:f t="array" ref="E155">IF(B155="","",IF(B155&lt;&gt;B154,SUMPRODUCT(($B$5:B155&lt;&gt;$B$4:B154)*($B$5:B155&lt;&gt;"")),""))</x:f>
      </x:c>
      <x:c r="F155" s="1" t="str">
        <x:f t="shared" si="18"/>
      </x:c>
      <x:c r="G155" s="1" t="str">
        <x:f>IF(C155="","",COUNTIF($B$5:B155,B155))</x:f>
      </x:c>
      <x:c r="H155" s="4" t="str">
        <x:f t="shared" si="19"/>
      </x:c>
      <x:c r="L155" s="1" t="str">
        <x:f>IF(C155="","","【"&amp;A155&amp;"】"&amp;MAX($E$5:E155)&amp;"-"&amp;G155&amp;"_"&amp;B155&amp;"_"&amp;C155)</x:f>
      </x:c>
    </x:row>
    <x:row r="156">
      <x:c r="D156" s="1" t="str">
        <x:f t="shared" si="17"/>
      </x:c>
      <x:c r="E156" s="150" t="str" cm="1">
        <x:f t="array" ref="E156">IF(B156="","",IF(B156&lt;&gt;B155,SUMPRODUCT(($B$5:B156&lt;&gt;$B$4:B155)*($B$5:B156&lt;&gt;"")),""))</x:f>
      </x:c>
      <x:c r="F156" s="1" t="str">
        <x:f t="shared" si="18"/>
      </x:c>
      <x:c r="G156" s="1" t="str">
        <x:f>IF(C156="","",COUNTIF($B$5:B156,B156))</x:f>
      </x:c>
      <x:c r="H156" s="4" t="str">
        <x:f t="shared" si="19"/>
      </x:c>
      <x:c r="L156" s="1" t="str">
        <x:f>IF(C156="","","【"&amp;A156&amp;"】"&amp;MAX($E$5:E156)&amp;"-"&amp;G156&amp;"_"&amp;B156&amp;"_"&amp;C156)</x:f>
      </x:c>
    </x:row>
    <x:row r="157">
      <x:c r="D157" s="1" t="str">
        <x:f t="shared" si="17"/>
      </x:c>
      <x:c r="E157" s="150" t="str" cm="1">
        <x:f t="array" ref="E157">IF(B157="","",IF(B157&lt;&gt;B156,SUMPRODUCT(($B$5:B157&lt;&gt;$B$4:B156)*($B$5:B157&lt;&gt;"")),""))</x:f>
      </x:c>
      <x:c r="F157" s="1" t="str">
        <x:f t="shared" si="18"/>
      </x:c>
      <x:c r="G157" s="1" t="str">
        <x:f>IF(C157="","",COUNTIF($B$5:B157,B157))</x:f>
      </x:c>
      <x:c r="H157" s="4" t="str">
        <x:f t="shared" si="19"/>
      </x:c>
      <x:c r="L157" s="1" t="str">
        <x:f>IF(C157="","","【"&amp;A157&amp;"】"&amp;MAX($E$5:E157)&amp;"-"&amp;G157&amp;"_"&amp;B157&amp;"_"&amp;C157)</x:f>
      </x:c>
    </x:row>
    <x:row r="158">
      <x:c r="D158" s="1" t="str">
        <x:f t="shared" si="17"/>
      </x:c>
      <x:c r="E158" s="150" t="str" cm="1">
        <x:f t="array" ref="E158">IF(B158="","",IF(B158&lt;&gt;B157,SUMPRODUCT(($B$5:B158&lt;&gt;$B$4:B157)*($B$5:B158&lt;&gt;"")),""))</x:f>
      </x:c>
      <x:c r="F158" s="1" t="str">
        <x:f t="shared" si="18"/>
      </x:c>
      <x:c r="G158" s="1" t="str">
        <x:f>IF(C158="","",COUNTIF($B$5:B158,B158))</x:f>
      </x:c>
      <x:c r="H158" s="4" t="str">
        <x:f t="shared" si="19"/>
      </x:c>
      <x:c r="L158" s="1" t="str">
        <x:f>IF(C158="","","【"&amp;A158&amp;"】"&amp;MAX($E$5:E158)&amp;"-"&amp;G158&amp;"_"&amp;B158&amp;"_"&amp;C158)</x:f>
      </x:c>
    </x:row>
    <x:row r="159">
      <x:c r="D159" s="1" t="str">
        <x:f t="shared" si="17"/>
      </x:c>
      <x:c r="E159" s="150" t="str" cm="1">
        <x:f t="array" ref="E159">IF(B159="","",IF(B159&lt;&gt;B158,SUMPRODUCT(($B$5:B159&lt;&gt;$B$4:B158)*($B$5:B159&lt;&gt;"")),""))</x:f>
      </x:c>
      <x:c r="F159" s="1" t="str">
        <x:f t="shared" si="18"/>
      </x:c>
      <x:c r="G159" s="1" t="str">
        <x:f>IF(C159="","",COUNTIF($B$5:B159,B159))</x:f>
      </x:c>
      <x:c r="H159" s="4" t="str">
        <x:f t="shared" si="19"/>
      </x:c>
      <x:c r="L159" s="1" t="str">
        <x:f>IF(C159="","","【"&amp;A159&amp;"】"&amp;MAX($E$5:E159)&amp;"-"&amp;G159&amp;"_"&amp;B159&amp;"_"&amp;C159)</x:f>
      </x:c>
    </x:row>
    <x:row r="160">
      <x:c r="D160" s="1" t="str">
        <x:f t="shared" si="17"/>
      </x:c>
      <x:c r="E160" s="150" t="str" cm="1">
        <x:f t="array" ref="E160">IF(B160="","",IF(B160&lt;&gt;B159,SUMPRODUCT(($B$5:B160&lt;&gt;$B$4:B159)*($B$5:B160&lt;&gt;"")),""))</x:f>
      </x:c>
      <x:c r="F160" s="1" t="str">
        <x:f t="shared" si="18"/>
      </x:c>
      <x:c r="G160" s="1" t="str">
        <x:f>IF(C160="","",COUNTIF($B$5:B160,B160))</x:f>
      </x:c>
      <x:c r="H160" s="4" t="str">
        <x:f t="shared" si="19"/>
      </x:c>
      <x:c r="L160" s="1" t="str">
        <x:f>IF(C160="","","【"&amp;A160&amp;"】"&amp;MAX($E$5:E160)&amp;"-"&amp;G160&amp;"_"&amp;B160&amp;"_"&amp;C160)</x:f>
      </x:c>
    </x:row>
    <x:row r="161">
      <x:c r="D161" s="1" t="str">
        <x:f t="shared" si="17"/>
      </x:c>
      <x:c r="E161" s="150" t="str" cm="1">
        <x:f t="array" ref="E161">IF(B161="","",IF(B161&lt;&gt;B160,SUMPRODUCT(($B$5:B161&lt;&gt;$B$4:B160)*($B$5:B161&lt;&gt;"")),""))</x:f>
      </x:c>
      <x:c r="F161" s="1" t="str">
        <x:f t="shared" si="18"/>
      </x:c>
      <x:c r="G161" s="1" t="str">
        <x:f>IF(C161="","",COUNTIF($B$5:B161,B161))</x:f>
      </x:c>
      <x:c r="H161" s="4" t="str">
        <x:f t="shared" si="19"/>
      </x:c>
      <x:c r="L161" s="1" t="str">
        <x:f>IF(C161="","","【"&amp;A161&amp;"】"&amp;MAX($E$5:E161)&amp;"-"&amp;G161&amp;"_"&amp;B161&amp;"_"&amp;C161)</x:f>
      </x:c>
    </x:row>
    <x:row r="162">
      <x:c r="D162" s="1" t="str">
        <x:f t="shared" si="17"/>
      </x:c>
      <x:c r="E162" s="150" t="str" cm="1">
        <x:f t="array" ref="E162">IF(B162="","",IF(B162&lt;&gt;B161,SUMPRODUCT(($B$5:B162&lt;&gt;$B$4:B161)*($B$5:B162&lt;&gt;"")),""))</x:f>
      </x:c>
      <x:c r="F162" s="1" t="str">
        <x:f t="shared" si="18"/>
      </x:c>
      <x:c r="G162" s="1" t="str">
        <x:f>IF(C162="","",COUNTIF($B$5:B162,B162))</x:f>
      </x:c>
      <x:c r="H162" s="4" t="str">
        <x:f t="shared" si="19"/>
      </x:c>
      <x:c r="L162" s="1" t="str">
        <x:f>IF(C162="","","【"&amp;A162&amp;"】"&amp;MAX($E$5:E162)&amp;"-"&amp;G162&amp;"_"&amp;B162&amp;"_"&amp;C162)</x:f>
      </x:c>
    </x:row>
    <x:row r="163">
      <x:c r="D163" s="1" t="str">
        <x:f t="shared" si="17"/>
      </x:c>
      <x:c r="E163" s="150" t="str" cm="1">
        <x:f t="array" ref="E163">IF(B163="","",IF(B163&lt;&gt;B162,SUMPRODUCT(($B$5:B163&lt;&gt;$B$4:B162)*($B$5:B163&lt;&gt;"")),""))</x:f>
      </x:c>
      <x:c r="F163" s="1" t="str">
        <x:f t="shared" si="18"/>
      </x:c>
      <x:c r="G163" s="1" t="str">
        <x:f>IF(C163="","",COUNTIF($B$5:B163,B163))</x:f>
      </x:c>
      <x:c r="H163" s="4" t="str">
        <x:f t="shared" si="19"/>
      </x:c>
      <x:c r="L163" s="1" t="str">
        <x:f>IF(C163="","","【"&amp;A163&amp;"】"&amp;MAX($E$5:E163)&amp;"-"&amp;G163&amp;"_"&amp;B163&amp;"_"&amp;C163)</x:f>
      </x:c>
    </x:row>
    <x:row r="164">
      <x:c r="D164" s="1" t="str">
        <x:f t="shared" si="17"/>
      </x:c>
      <x:c r="E164" s="150" t="str" cm="1">
        <x:f t="array" ref="E164">IF(B164="","",IF(B164&lt;&gt;B163,SUMPRODUCT(($B$5:B164&lt;&gt;$B$4:B163)*($B$5:B164&lt;&gt;"")),""))</x:f>
      </x:c>
      <x:c r="F164" s="1" t="str">
        <x:f t="shared" si="18"/>
      </x:c>
      <x:c r="G164" s="1" t="str">
        <x:f>IF(C164="","",COUNTIF($B$5:B164,B164))</x:f>
      </x:c>
      <x:c r="H164" s="4" t="str">
        <x:f t="shared" si="19"/>
      </x:c>
      <x:c r="L164" s="1" t="str">
        <x:f>IF(C164="","","【"&amp;A164&amp;"】"&amp;MAX($E$5:E164)&amp;"-"&amp;G164&amp;"_"&amp;B164&amp;"_"&amp;C164)</x:f>
      </x:c>
    </x:row>
    <x:row r="165">
      <x:c r="D165" s="1" t="str">
        <x:f t="shared" si="17"/>
      </x:c>
      <x:c r="E165" s="150" t="str" cm="1">
        <x:f t="array" ref="E165">IF(B165="","",IF(B165&lt;&gt;B164,SUMPRODUCT(($B$5:B165&lt;&gt;$B$4:B164)*($B$5:B165&lt;&gt;"")),""))</x:f>
      </x:c>
      <x:c r="F165" s="1" t="str">
        <x:f t="shared" si="18"/>
      </x:c>
      <x:c r="G165" s="1" t="str">
        <x:f>IF(C165="","",COUNTIF($B$5:B165,B165))</x:f>
      </x:c>
      <x:c r="H165" s="4" t="str">
        <x:f t="shared" si="19"/>
      </x:c>
      <x:c r="L165" s="1" t="str">
        <x:f>IF(C165="","","【"&amp;A165&amp;"】"&amp;MAX($E$5:E165)&amp;"-"&amp;G165&amp;"_"&amp;B165&amp;"_"&amp;C165)</x:f>
      </x:c>
    </x:row>
    <x:row r="166">
      <x:c r="D166" s="1" t="str">
        <x:f t="shared" si="17"/>
      </x:c>
      <x:c r="E166" s="150" t="str" cm="1">
        <x:f t="array" ref="E166">IF(B166="","",IF(B166&lt;&gt;B165,SUMPRODUCT(($B$5:B166&lt;&gt;$B$4:B165)*($B$5:B166&lt;&gt;"")),""))</x:f>
      </x:c>
      <x:c r="F166" s="1" t="str">
        <x:f t="shared" si="18"/>
      </x:c>
      <x:c r="G166" s="1" t="str">
        <x:f>IF(C166="","",COUNTIF($B$5:B166,B166))</x:f>
      </x:c>
      <x:c r="H166" s="4" t="str">
        <x:f t="shared" si="19"/>
      </x:c>
      <x:c r="L166" s="1" t="str">
        <x:f>IF(C166="","","【"&amp;A166&amp;"】"&amp;MAX($E$5:E166)&amp;"-"&amp;G166&amp;"_"&amp;B166&amp;"_"&amp;C166)</x:f>
      </x:c>
    </x:row>
    <x:row r="167">
      <x:c r="D167" s="1" t="str">
        <x:f t="shared" si="17"/>
      </x:c>
      <x:c r="E167" s="150" t="str" cm="1">
        <x:f t="array" ref="E167">IF(B167="","",IF(B167&lt;&gt;B166,SUMPRODUCT(($B$5:B167&lt;&gt;$B$4:B166)*($B$5:B167&lt;&gt;"")),""))</x:f>
      </x:c>
      <x:c r="F167" s="1" t="str">
        <x:f t="shared" si="18"/>
      </x:c>
      <x:c r="G167" s="1" t="str">
        <x:f>IF(C167="","",COUNTIF($B$5:B167,B167))</x:f>
      </x:c>
      <x:c r="H167" s="4" t="str">
        <x:f t="shared" si="19"/>
      </x:c>
      <x:c r="L167" s="1" t="str">
        <x:f>IF(C167="","","【"&amp;A167&amp;"】"&amp;MAX($E$5:E167)&amp;"-"&amp;G167&amp;"_"&amp;B167&amp;"_"&amp;C167)</x:f>
      </x:c>
    </x:row>
    <x:row r="168">
      <x:c r="D168" s="1" t="str">
        <x:f t="shared" si="17"/>
      </x:c>
      <x:c r="E168" s="150" t="str" cm="1">
        <x:f t="array" ref="E168">IF(B168="","",IF(B168&lt;&gt;B167,SUMPRODUCT(($B$5:B168&lt;&gt;$B$4:B167)*($B$5:B168&lt;&gt;"")),""))</x:f>
      </x:c>
      <x:c r="F168" s="1" t="str">
        <x:f t="shared" si="18"/>
      </x:c>
      <x:c r="G168" s="1" t="str">
        <x:f>IF(C168="","",COUNTIF($B$5:B168,B168))</x:f>
      </x:c>
      <x:c r="H168" s="4" t="str">
        <x:f t="shared" si="19"/>
      </x:c>
      <x:c r="L168" s="1" t="str">
        <x:f>IF(C168="","","【"&amp;A168&amp;"】"&amp;MAX($E$5:E168)&amp;"-"&amp;G168&amp;"_"&amp;B168&amp;"_"&amp;C168)</x:f>
      </x:c>
    </x:row>
    <x:row r="169">
      <x:c r="D169" s="1" t="str">
        <x:f t="shared" si="17"/>
      </x:c>
      <x:c r="E169" s="150" t="str" cm="1">
        <x:f t="array" ref="E169">IF(B169="","",IF(B169&lt;&gt;B168,SUMPRODUCT(($B$5:B169&lt;&gt;$B$4:B168)*($B$5:B169&lt;&gt;"")),""))</x:f>
      </x:c>
      <x:c r="F169" s="1" t="str">
        <x:f t="shared" si="18"/>
      </x:c>
      <x:c r="G169" s="1" t="str">
        <x:f>IF(C169="","",COUNTIF($B$5:B169,B169))</x:f>
      </x:c>
      <x:c r="H169" s="4" t="str">
        <x:f t="shared" si="19"/>
      </x:c>
      <x:c r="L169" s="1" t="str">
        <x:f>IF(C169="","","【"&amp;A169&amp;"】"&amp;MAX($E$5:E169)&amp;"-"&amp;G169&amp;"_"&amp;B169&amp;"_"&amp;C169)</x:f>
      </x:c>
    </x:row>
    <x:row r="170">
      <x:c r="D170" s="1" t="str">
        <x:f t="shared" si="17"/>
      </x:c>
      <x:c r="E170" s="150" t="str" cm="1">
        <x:f t="array" ref="E170">IF(B170="","",IF(B170&lt;&gt;B169,SUMPRODUCT(($B$5:B170&lt;&gt;$B$4:B169)*($B$5:B170&lt;&gt;"")),""))</x:f>
      </x:c>
      <x:c r="F170" s="1" t="str">
        <x:f t="shared" si="18"/>
      </x:c>
      <x:c r="G170" s="1" t="str">
        <x:f>IF(C170="","",COUNTIF($B$5:B170,B170))</x:f>
      </x:c>
      <x:c r="H170" s="4" t="str">
        <x:f t="shared" si="19"/>
      </x:c>
      <x:c r="L170" s="1" t="str">
        <x:f>IF(C170="","","【"&amp;A170&amp;"】"&amp;MAX($E$5:E170)&amp;"-"&amp;G170&amp;"_"&amp;B170&amp;"_"&amp;C170)</x:f>
      </x:c>
    </x:row>
    <x:row r="171">
      <x:c r="D171" s="1" t="str">
        <x:f t="shared" si="17"/>
      </x:c>
      <x:c r="E171" s="150" t="str" cm="1">
        <x:f t="array" ref="E171">IF(B171="","",IF(B171&lt;&gt;B170,SUMPRODUCT(($B$5:B171&lt;&gt;$B$4:B170)*($B$5:B171&lt;&gt;"")),""))</x:f>
      </x:c>
      <x:c r="F171" s="1" t="str">
        <x:f t="shared" si="18"/>
      </x:c>
      <x:c r="G171" s="1" t="str">
        <x:f>IF(C171="","",COUNTIF($B$5:B171,B171))</x:f>
      </x:c>
      <x:c r="H171" s="4" t="str">
        <x:f t="shared" si="19"/>
      </x:c>
      <x:c r="L171" s="1" t="str">
        <x:f>IF(C171="","","【"&amp;A171&amp;"】"&amp;MAX($E$5:E171)&amp;"-"&amp;G171&amp;"_"&amp;B171&amp;"_"&amp;C171)</x:f>
      </x:c>
    </x:row>
    <x:row r="172">
      <x:c r="D172" s="1" t="str">
        <x:f t="shared" si="17"/>
      </x:c>
      <x:c r="E172" s="150" t="str" cm="1">
        <x:f t="array" ref="E172">IF(B172="","",IF(B172&lt;&gt;B171,SUMPRODUCT(($B$5:B172&lt;&gt;$B$4:B171)*($B$5:B172&lt;&gt;"")),""))</x:f>
      </x:c>
      <x:c r="F172" s="1" t="str">
        <x:f t="shared" si="18"/>
      </x:c>
      <x:c r="G172" s="1" t="str">
        <x:f>IF(C172="","",COUNTIF($B$5:B172,B172))</x:f>
      </x:c>
      <x:c r="H172" s="4" t="str">
        <x:f t="shared" si="19"/>
      </x:c>
      <x:c r="L172" s="1" t="str">
        <x:f>IF(C172="","","【"&amp;A172&amp;"】"&amp;MAX($E$5:E172)&amp;"-"&amp;G172&amp;"_"&amp;B172&amp;"_"&amp;C172)</x:f>
      </x:c>
    </x:row>
    <x:row r="173">
      <x:c r="D173" s="1" t="str">
        <x:f t="shared" si="17"/>
      </x:c>
      <x:c r="E173" s="150" t="str" cm="1">
        <x:f t="array" ref="E173">IF(B173="","",IF(B173&lt;&gt;B172,SUMPRODUCT(($B$5:B173&lt;&gt;$B$4:B172)*($B$5:B173&lt;&gt;"")),""))</x:f>
      </x:c>
      <x:c r="F173" s="1" t="str">
        <x:f t="shared" si="18"/>
      </x:c>
      <x:c r="G173" s="1" t="str">
        <x:f>IF(C173="","",COUNTIF($B$5:B173,B173))</x:f>
      </x:c>
      <x:c r="H173" s="4" t="str">
        <x:f t="shared" si="19"/>
      </x:c>
      <x:c r="L173" s="1" t="str">
        <x:f>IF(C173="","","【"&amp;A173&amp;"】"&amp;MAX($E$5:E173)&amp;"-"&amp;G173&amp;"_"&amp;B173&amp;"_"&amp;C173)</x:f>
      </x:c>
    </x:row>
    <x:row r="174">
      <x:c r="D174" s="1" t="str">
        <x:f t="shared" si="17"/>
      </x:c>
      <x:c r="E174" s="150" t="str" cm="1">
        <x:f t="array" ref="E174">IF(B174="","",IF(B174&lt;&gt;B173,SUMPRODUCT(($B$5:B174&lt;&gt;$B$4:B173)*($B$5:B174&lt;&gt;"")),""))</x:f>
      </x:c>
      <x:c r="F174" s="1" t="str">
        <x:f t="shared" si="18"/>
      </x:c>
      <x:c r="G174" s="1" t="str">
        <x:f>IF(C174="","",COUNTIF($B$5:B174,B174))</x:f>
      </x:c>
      <x:c r="H174" s="4" t="str">
        <x:f t="shared" si="19"/>
      </x:c>
      <x:c r="L174" s="1" t="str">
        <x:f>IF(C174="","","【"&amp;A174&amp;"】"&amp;MAX($E$5:E174)&amp;"-"&amp;G174&amp;"_"&amp;B174&amp;"_"&amp;C174)</x:f>
      </x:c>
    </x:row>
    <x:row r="175">
      <x:c r="D175" s="1" t="str">
        <x:f t="shared" si="17"/>
      </x:c>
      <x:c r="E175" s="150" t="str" cm="1">
        <x:f t="array" ref="E175">IF(B175="","",IF(B175&lt;&gt;B174,SUMPRODUCT(($B$5:B175&lt;&gt;$B$4:B174)*($B$5:B175&lt;&gt;"")),""))</x:f>
      </x:c>
      <x:c r="F175" s="1" t="str">
        <x:f t="shared" si="18"/>
      </x:c>
      <x:c r="G175" s="1" t="str">
        <x:f>IF(C175="","",COUNTIF($B$5:B175,B175))</x:f>
      </x:c>
      <x:c r="H175" s="4" t="str">
        <x:f t="shared" si="19"/>
      </x:c>
      <x:c r="L175" s="1" t="str">
        <x:f>IF(C175="","","【"&amp;A175&amp;"】"&amp;MAX($E$5:E175)&amp;"-"&amp;G175&amp;"_"&amp;B175&amp;"_"&amp;C175)</x:f>
      </x:c>
    </x:row>
    <x:row r="176">
      <x:c r="D176" s="1" t="str">
        <x:f t="shared" si="17"/>
      </x:c>
      <x:c r="E176" s="150" t="str" cm="1">
        <x:f t="array" ref="E176">IF(B176="","",IF(B176&lt;&gt;B175,SUMPRODUCT(($B$5:B176&lt;&gt;$B$4:B175)*($B$5:B176&lt;&gt;"")),""))</x:f>
      </x:c>
      <x:c r="F176" s="1" t="str">
        <x:f t="shared" si="18"/>
      </x:c>
      <x:c r="G176" s="1" t="str">
        <x:f>IF(C176="","",COUNTIF($B$5:B176,B176))</x:f>
      </x:c>
      <x:c r="H176" s="4" t="str">
        <x:f t="shared" si="19"/>
      </x:c>
      <x:c r="L176" s="1" t="str">
        <x:f>IF(C176="","","【"&amp;A176&amp;"】"&amp;MAX($E$5:E176)&amp;"-"&amp;G176&amp;"_"&amp;B176&amp;"_"&amp;C176)</x:f>
      </x:c>
    </x:row>
    <x:row r="177">
      <x:c r="D177" s="1" t="str">
        <x:f t="shared" si="17"/>
      </x:c>
      <x:c r="E177" s="150" t="str" cm="1">
        <x:f t="array" ref="E177">IF(B177="","",IF(B177&lt;&gt;B176,SUMPRODUCT(($B$5:B177&lt;&gt;$B$4:B176)*($B$5:B177&lt;&gt;"")),""))</x:f>
      </x:c>
      <x:c r="F177" s="1" t="str">
        <x:f t="shared" si="18"/>
      </x:c>
      <x:c r="G177" s="1" t="str">
        <x:f>IF(C177="","",COUNTIF($B$5:B177,B177))</x:f>
      </x:c>
      <x:c r="H177" s="4" t="str">
        <x:f t="shared" si="19"/>
      </x:c>
      <x:c r="L177" s="1" t="str">
        <x:f>IF(C177="","","【"&amp;A177&amp;"】"&amp;MAX($E$5:E177)&amp;"-"&amp;G177&amp;"_"&amp;B177&amp;"_"&amp;C177)</x:f>
      </x:c>
    </x:row>
    <x:row r="178">
      <x:c r="D178" s="1" t="str">
        <x:f t="shared" si="17"/>
      </x:c>
      <x:c r="E178" s="150" t="str" cm="1">
        <x:f t="array" ref="E178">IF(B178="","",IF(B178&lt;&gt;B177,SUMPRODUCT(($B$5:B178&lt;&gt;$B$4:B177)*($B$5:B178&lt;&gt;"")),""))</x:f>
      </x:c>
      <x:c r="F178" s="1" t="str">
        <x:f t="shared" si="18"/>
      </x:c>
      <x:c r="G178" s="1" t="str">
        <x:f>IF(C178="","",COUNTIF($B$5:B178,B178))</x:f>
      </x:c>
      <x:c r="H178" s="4" t="str">
        <x:f t="shared" si="19"/>
      </x:c>
      <x:c r="L178" s="1" t="str">
        <x:f>IF(C178="","","【"&amp;A178&amp;"】"&amp;MAX($E$5:E178)&amp;"-"&amp;G178&amp;"_"&amp;B178&amp;"_"&amp;C178)</x:f>
      </x:c>
    </x:row>
    <x:row r="179">
      <x:c r="D179" s="1" t="str">
        <x:f t="shared" si="17"/>
      </x:c>
      <x:c r="E179" s="150" t="str" cm="1">
        <x:f t="array" ref="E179">IF(B179="","",IF(B179&lt;&gt;B178,SUMPRODUCT(($B$5:B179&lt;&gt;$B$4:B178)*($B$5:B179&lt;&gt;"")),""))</x:f>
      </x:c>
      <x:c r="F179" s="1" t="str">
        <x:f t="shared" si="18"/>
      </x:c>
      <x:c r="G179" s="1" t="str">
        <x:f>IF(C179="","",COUNTIF($B$5:B179,B179))</x:f>
      </x:c>
      <x:c r="H179" s="4" t="str">
        <x:f t="shared" si="19"/>
      </x:c>
      <x:c r="L179" s="1" t="str">
        <x:f>IF(C179="","","【"&amp;A179&amp;"】"&amp;MAX($E$5:E179)&amp;"-"&amp;G179&amp;"_"&amp;B179&amp;"_"&amp;C179)</x:f>
      </x:c>
    </x:row>
    <x:row r="180">
      <x:c r="D180" s="1" t="str">
        <x:f t="shared" si="17"/>
      </x:c>
      <x:c r="E180" s="150" t="str" cm="1">
        <x:f t="array" ref="E180">IF(B180="","",IF(B180&lt;&gt;B179,SUMPRODUCT(($B$5:B180&lt;&gt;$B$4:B179)*($B$5:B180&lt;&gt;"")),""))</x:f>
      </x:c>
      <x:c r="F180" s="1" t="str">
        <x:f t="shared" si="18"/>
      </x:c>
      <x:c r="G180" s="1" t="str">
        <x:f>IF(C180="","",COUNTIF($B$5:B180,B180))</x:f>
      </x:c>
      <x:c r="H180" s="4" t="str">
        <x:f t="shared" si="19"/>
      </x:c>
      <x:c r="L180" s="1" t="str">
        <x:f>IF(C180="","","【"&amp;A180&amp;"】"&amp;MAX($E$5:E180)&amp;"-"&amp;G180&amp;"_"&amp;B180&amp;"_"&amp;C180)</x:f>
      </x:c>
    </x:row>
    <x:row r="181">
      <x:c r="D181" s="1" t="str">
        <x:f t="shared" si="17"/>
      </x:c>
      <x:c r="E181" s="150" t="str" cm="1">
        <x:f t="array" ref="E181">IF(B181="","",IF(B181&lt;&gt;B180,SUMPRODUCT(($B$5:B181&lt;&gt;$B$4:B180)*($B$5:B181&lt;&gt;"")),""))</x:f>
      </x:c>
      <x:c r="F181" s="1" t="str">
        <x:f t="shared" si="18"/>
      </x:c>
      <x:c r="G181" s="1" t="str">
        <x:f>IF(C181="","",COUNTIF($B$5:B181,B181))</x:f>
      </x:c>
      <x:c r="H181" s="4" t="str">
        <x:f t="shared" si="19"/>
      </x:c>
      <x:c r="L181" s="1" t="str">
        <x:f>IF(C181="","","【"&amp;A181&amp;"】"&amp;MAX($E$5:E181)&amp;"-"&amp;G181&amp;"_"&amp;B181&amp;"_"&amp;C181)</x:f>
      </x:c>
    </x:row>
    <x:row r="182">
      <x:c r="D182" s="1" t="str">
        <x:f t="shared" si="17"/>
      </x:c>
      <x:c r="E182" s="150" t="str" cm="1">
        <x:f t="array" ref="E182">IF(B182="","",IF(B182&lt;&gt;B181,SUMPRODUCT(($B$5:B182&lt;&gt;$B$4:B181)*($B$5:B182&lt;&gt;"")),""))</x:f>
      </x:c>
      <x:c r="F182" s="1" t="str">
        <x:f t="shared" si="18"/>
      </x:c>
      <x:c r="G182" s="1" t="str">
        <x:f>IF(C182="","",COUNTIF($B$5:B182,B182))</x:f>
      </x:c>
      <x:c r="H182" s="4" t="str">
        <x:f t="shared" si="19"/>
      </x:c>
      <x:c r="L182" s="1" t="str">
        <x:f>IF(C182="","","【"&amp;A182&amp;"】"&amp;MAX($E$5:E182)&amp;"-"&amp;G182&amp;"_"&amp;B182&amp;"_"&amp;C182)</x:f>
      </x:c>
    </x:row>
    <x:row r="183">
      <x:c r="D183" s="1" t="str">
        <x:f t="shared" si="17"/>
      </x:c>
      <x:c r="E183" s="150" t="str" cm="1">
        <x:f t="array" ref="E183">IF(B183="","",IF(B183&lt;&gt;B182,SUMPRODUCT(($B$5:B183&lt;&gt;$B$4:B182)*($B$5:B183&lt;&gt;"")),""))</x:f>
      </x:c>
      <x:c r="F183" s="1" t="str">
        <x:f t="shared" si="18"/>
      </x:c>
      <x:c r="G183" s="1" t="str">
        <x:f>IF(C183="","",COUNTIF($B$5:B183,B183))</x:f>
      </x:c>
      <x:c r="H183" s="4" t="str">
        <x:f t="shared" si="19"/>
      </x:c>
      <x:c r="L183" s="1" t="str">
        <x:f>IF(C183="","","【"&amp;A183&amp;"】"&amp;MAX($E$5:E183)&amp;"-"&amp;G183&amp;"_"&amp;B183&amp;"_"&amp;C183)</x:f>
      </x:c>
    </x:row>
    <x:row r="184">
      <x:c r="D184" s="1" t="str">
        <x:f t="shared" si="17"/>
      </x:c>
      <x:c r="E184" s="150" t="str" cm="1">
        <x:f t="array" ref="E184">IF(B184="","",IF(B184&lt;&gt;B183,SUMPRODUCT(($B$5:B184&lt;&gt;$B$4:B183)*($B$5:B184&lt;&gt;"")),""))</x:f>
      </x:c>
      <x:c r="F184" s="1" t="str">
        <x:f t="shared" si="18"/>
      </x:c>
      <x:c r="G184" s="1" t="str">
        <x:f>IF(C184="","",COUNTIF($B$5:B184,B184))</x:f>
      </x:c>
      <x:c r="H184" s="4" t="str">
        <x:f t="shared" si="19"/>
      </x:c>
      <x:c r="L184" s="1" t="str">
        <x:f>IF(C184="","","【"&amp;A184&amp;"】"&amp;MAX($E$5:E184)&amp;"-"&amp;G184&amp;"_"&amp;B184&amp;"_"&amp;C184)</x:f>
      </x:c>
    </x:row>
    <x:row r="185">
      <x:c r="D185" s="1" t="str">
        <x:f t="shared" si="17"/>
      </x:c>
      <x:c r="E185" s="150" t="str" cm="1">
        <x:f t="array" ref="E185">IF(B185="","",IF(B185&lt;&gt;B184,SUMPRODUCT(($B$5:B185&lt;&gt;$B$4:B184)*($B$5:B185&lt;&gt;"")),""))</x:f>
      </x:c>
      <x:c r="F185" s="1" t="str">
        <x:f t="shared" si="18"/>
      </x:c>
      <x:c r="G185" s="1" t="str">
        <x:f>IF(C185="","",COUNTIF($B$5:B185,B185))</x:f>
      </x:c>
      <x:c r="H185" s="4" t="str">
        <x:f t="shared" si="19"/>
      </x:c>
      <x:c r="L185" s="1" t="str">
        <x:f>IF(C185="","","【"&amp;A185&amp;"】"&amp;MAX($E$5:E185)&amp;"-"&amp;G185&amp;"_"&amp;B185&amp;"_"&amp;C185)</x:f>
      </x:c>
    </x:row>
    <x:row r="186">
      <x:c r="D186" s="1" t="str">
        <x:f t="shared" si="17"/>
      </x:c>
      <x:c r="E186" s="150" t="str" cm="1">
        <x:f t="array" ref="E186">IF(B186="","",IF(B186&lt;&gt;B185,SUMPRODUCT(($B$5:B186&lt;&gt;$B$4:B185)*($B$5:B186&lt;&gt;"")),""))</x:f>
      </x:c>
      <x:c r="F186" s="1" t="str">
        <x:f t="shared" si="18"/>
      </x:c>
      <x:c r="G186" s="1" t="str">
        <x:f>IF(C186="","",COUNTIF($B$5:B186,B186))</x:f>
      </x:c>
      <x:c r="H186" s="4" t="str">
        <x:f t="shared" si="19"/>
      </x:c>
      <x:c r="L186" s="1" t="str">
        <x:f>IF(C186="","","【"&amp;A186&amp;"】"&amp;MAX($E$5:E186)&amp;"-"&amp;G186&amp;"_"&amp;B186&amp;"_"&amp;C186)</x:f>
      </x:c>
    </x:row>
    <x:row r="187">
      <x:c r="D187" s="1" t="str">
        <x:f t="shared" si="17"/>
      </x:c>
      <x:c r="E187" s="150" t="str" cm="1">
        <x:f t="array" ref="E187">IF(B187="","",IF(B187&lt;&gt;B186,SUMPRODUCT(($B$5:B187&lt;&gt;$B$4:B186)*($B$5:B187&lt;&gt;"")),""))</x:f>
      </x:c>
      <x:c r="F187" s="1" t="str">
        <x:f t="shared" si="18"/>
      </x:c>
      <x:c r="G187" s="1" t="str">
        <x:f>IF(C187="","",COUNTIF($B$5:B187,B187))</x:f>
      </x:c>
      <x:c r="H187" s="4" t="str">
        <x:f t="shared" si="19"/>
      </x:c>
      <x:c r="L187" s="1" t="str">
        <x:f>IF(C187="","","【"&amp;A187&amp;"】"&amp;MAX($E$5:E187)&amp;"-"&amp;G187&amp;"_"&amp;B187&amp;"_"&amp;C187)</x:f>
      </x:c>
    </x:row>
    <x:row r="188">
      <x:c r="D188" s="1" t="str">
        <x:f t="shared" si="17"/>
      </x:c>
      <x:c r="E188" s="150" t="str" cm="1">
        <x:f t="array" ref="E188">IF(B188="","",IF(B188&lt;&gt;B187,SUMPRODUCT(($B$5:B188&lt;&gt;$B$4:B187)*($B$5:B188&lt;&gt;"")),""))</x:f>
      </x:c>
      <x:c r="F188" s="1" t="str">
        <x:f t="shared" si="18"/>
      </x:c>
      <x:c r="G188" s="1" t="str">
        <x:f>IF(C188="","",COUNTIF($B$5:B188,B188))</x:f>
      </x:c>
      <x:c r="H188" s="4" t="str">
        <x:f t="shared" si="19"/>
      </x:c>
      <x:c r="L188" s="1" t="str">
        <x:f>IF(C188="","","【"&amp;A188&amp;"】"&amp;MAX($E$5:E188)&amp;"-"&amp;G188&amp;"_"&amp;B188&amp;"_"&amp;C188)</x:f>
      </x:c>
    </x:row>
    <x:row r="189">
      <x:c r="D189" s="1" t="str">
        <x:f t="shared" si="17"/>
      </x:c>
      <x:c r="E189" s="150" t="str" cm="1">
        <x:f t="array" ref="E189">IF(B189="","",IF(B189&lt;&gt;B188,SUMPRODUCT(($B$5:B189&lt;&gt;$B$4:B188)*($B$5:B189&lt;&gt;"")),""))</x:f>
      </x:c>
      <x:c r="F189" s="1" t="str">
        <x:f t="shared" si="18"/>
      </x:c>
      <x:c r="G189" s="1" t="str">
        <x:f>IF(C189="","",COUNTIF($B$5:B189,B189))</x:f>
      </x:c>
      <x:c r="H189" s="4" t="str">
        <x:f t="shared" si="19"/>
      </x:c>
      <x:c r="L189" s="1" t="str">
        <x:f>IF(C189="","","【"&amp;A189&amp;"】"&amp;MAX($E$5:E189)&amp;"-"&amp;G189&amp;"_"&amp;B189&amp;"_"&amp;C189)</x:f>
      </x:c>
    </x:row>
    <x:row r="190">
      <x:c r="D190" s="1" t="str">
        <x:f t="shared" si="17"/>
      </x:c>
      <x:c r="E190" s="150" t="str" cm="1">
        <x:f t="array" ref="E190">IF(B190="","",IF(B190&lt;&gt;B189,SUMPRODUCT(($B$5:B190&lt;&gt;$B$4:B189)*($B$5:B190&lt;&gt;"")),""))</x:f>
      </x:c>
      <x:c r="F190" s="1" t="str">
        <x:f t="shared" si="18"/>
      </x:c>
      <x:c r="G190" s="1" t="str">
        <x:f>IF(C190="","",COUNTIF($B$5:B190,B190))</x:f>
      </x:c>
      <x:c r="H190" s="4" t="str">
        <x:f t="shared" si="19"/>
      </x:c>
      <x:c r="L190" s="1" t="str">
        <x:f>IF(C190="","","【"&amp;A190&amp;"】"&amp;MAX($E$5:E190)&amp;"-"&amp;G190&amp;"_"&amp;B190&amp;"_"&amp;C190)</x:f>
      </x:c>
    </x:row>
    <x:row r="191">
      <x:c r="D191" s="1" t="str">
        <x:f t="shared" si="17"/>
      </x:c>
      <x:c r="E191" s="150" t="str" cm="1">
        <x:f t="array" ref="E191">IF(B191="","",IF(B191&lt;&gt;B190,SUMPRODUCT(($B$5:B191&lt;&gt;$B$4:B190)*($B$5:B191&lt;&gt;"")),""))</x:f>
      </x:c>
      <x:c r="F191" s="1" t="str">
        <x:f t="shared" si="18"/>
      </x:c>
      <x:c r="G191" s="1" t="str">
        <x:f>IF(C191="","",COUNTIF($B$5:B191,B191))</x:f>
      </x:c>
      <x:c r="H191" s="4" t="str">
        <x:f t="shared" si="19"/>
      </x:c>
      <x:c r="L191" s="1" t="str">
        <x:f>IF(C191="","","【"&amp;A191&amp;"】"&amp;MAX($E$5:E191)&amp;"-"&amp;G191&amp;"_"&amp;B191&amp;"_"&amp;C191)</x:f>
      </x:c>
    </x:row>
    <x:row r="192">
      <x:c r="D192" s="1" t="str">
        <x:f t="shared" si="17"/>
      </x:c>
      <x:c r="E192" s="150" t="str" cm="1">
        <x:f t="array" ref="E192">IF(B192="","",IF(B192&lt;&gt;B191,SUMPRODUCT(($B$5:B192&lt;&gt;$B$4:B191)*($B$5:B192&lt;&gt;"")),""))</x:f>
      </x:c>
      <x:c r="F192" s="1" t="str">
        <x:f t="shared" si="18"/>
      </x:c>
      <x:c r="G192" s="1" t="str">
        <x:f>IF(C192="","",COUNTIF($B$5:B192,B192))</x:f>
      </x:c>
      <x:c r="H192" s="4" t="str">
        <x:f t="shared" si="19"/>
      </x:c>
      <x:c r="L192" s="1" t="str">
        <x:f>IF(C192="","","【"&amp;A192&amp;"】"&amp;MAX($E$5:E192)&amp;"-"&amp;G192&amp;"_"&amp;B192&amp;"_"&amp;C192)</x:f>
      </x:c>
    </x:row>
    <x:row r="193">
      <x:c r="D193" s="1" t="str">
        <x:f t="shared" si="17"/>
      </x:c>
      <x:c r="E193" s="150" t="str" cm="1">
        <x:f t="array" ref="E193">IF(B193="","",IF(B193&lt;&gt;B192,SUMPRODUCT(($B$5:B193&lt;&gt;$B$4:B192)*($B$5:B193&lt;&gt;"")),""))</x:f>
      </x:c>
      <x:c r="F193" s="1" t="str">
        <x:f t="shared" si="18"/>
      </x:c>
      <x:c r="G193" s="1" t="str">
        <x:f>IF(C193="","",COUNTIF($B$5:B193,B193))</x:f>
      </x:c>
      <x:c r="H193" s="4" t="str">
        <x:f t="shared" si="19"/>
      </x:c>
      <x:c r="L193" s="1" t="str">
        <x:f>IF(C193="","","【"&amp;A193&amp;"】"&amp;MAX($E$5:E193)&amp;"-"&amp;G193&amp;"_"&amp;B193&amp;"_"&amp;C193)</x:f>
      </x:c>
    </x:row>
    <x:row r="194">
      <x:c r="D194" s="1" t="str">
        <x:f t="shared" si="17"/>
      </x:c>
      <x:c r="E194" s="150" t="str" cm="1">
        <x:f t="array" ref="E194">IF(B194="","",IF(B194&lt;&gt;B193,SUMPRODUCT(($B$5:B194&lt;&gt;$B$4:B193)*($B$5:B194&lt;&gt;"")),""))</x:f>
      </x:c>
      <x:c r="F194" s="1" t="str">
        <x:f t="shared" si="18"/>
      </x:c>
      <x:c r="G194" s="1" t="str">
        <x:f>IF(C194="","",COUNTIF($B$5:B194,B194))</x:f>
      </x:c>
      <x:c r="H194" s="4" t="str">
        <x:f t="shared" si="19"/>
      </x:c>
      <x:c r="L194" s="1" t="str">
        <x:f>IF(C194="","","【"&amp;A194&amp;"】"&amp;MAX($E$5:E194)&amp;"-"&amp;G194&amp;"_"&amp;B194&amp;"_"&amp;C194)</x:f>
      </x:c>
    </x:row>
    <x:row r="195">
      <x:c r="D195" s="1" t="str">
        <x:f t="shared" si="17"/>
      </x:c>
      <x:c r="E195" s="150" t="str" cm="1">
        <x:f t="array" ref="E195">IF(B195="","",IF(B195&lt;&gt;B194,SUMPRODUCT(($B$5:B195&lt;&gt;$B$4:B194)*($B$5:B195&lt;&gt;"")),""))</x:f>
      </x:c>
      <x:c r="F195" s="1" t="str">
        <x:f t="shared" si="18"/>
      </x:c>
      <x:c r="G195" s="1" t="str">
        <x:f>IF(C195="","",COUNTIF($B$5:B195,B195))</x:f>
      </x:c>
      <x:c r="H195" s="4" t="str">
        <x:f t="shared" si="19"/>
      </x:c>
      <x:c r="L195" s="1" t="str">
        <x:f>IF(C195="","","【"&amp;A195&amp;"】"&amp;MAX($E$5:E195)&amp;"-"&amp;G195&amp;"_"&amp;B195&amp;"_"&amp;C195)</x:f>
      </x:c>
    </x:row>
    <x:row r="196">
      <x:c r="D196" s="1" t="str">
        <x:f t="shared" si="17"/>
      </x:c>
      <x:c r="E196" s="150" t="str" cm="1">
        <x:f t="array" ref="E196">IF(B196="","",IF(B196&lt;&gt;B195,SUMPRODUCT(($B$5:B196&lt;&gt;$B$4:B195)*($B$5:B196&lt;&gt;"")),""))</x:f>
      </x:c>
      <x:c r="F196" s="1" t="str">
        <x:f t="shared" si="18"/>
      </x:c>
      <x:c r="G196" s="1" t="str">
        <x:f>IF(C196="","",COUNTIF($B$5:B196,B196))</x:f>
      </x:c>
      <x:c r="H196" s="4" t="str">
        <x:f t="shared" si="19"/>
      </x:c>
      <x:c r="L196" s="1" t="str">
        <x:f>IF(C196="","","【"&amp;A196&amp;"】"&amp;MAX($E$5:E196)&amp;"-"&amp;G196&amp;"_"&amp;B196&amp;"_"&amp;C196)</x:f>
      </x:c>
    </x:row>
    <x:row r="197">
      <x:c r="D197" s="1" t="str">
        <x:f t="shared" si="17"/>
      </x:c>
      <x:c r="E197" s="150" t="str" cm="1">
        <x:f t="array" ref="E197">IF(B197="","",IF(B197&lt;&gt;B196,SUMPRODUCT(($B$5:B197&lt;&gt;$B$4:B196)*($B$5:B197&lt;&gt;"")),""))</x:f>
      </x:c>
      <x:c r="F197" s="1" t="str">
        <x:f t="shared" si="18"/>
      </x:c>
      <x:c r="G197" s="1" t="str">
        <x:f>IF(C197="","",COUNTIF($B$5:B197,B197))</x:f>
      </x:c>
      <x:c r="H197" s="4" t="str">
        <x:f t="shared" si="19"/>
      </x:c>
      <x:c r="L197" s="1" t="str">
        <x:f>IF(C197="","","【"&amp;A197&amp;"】"&amp;MAX($E$5:E197)&amp;"-"&amp;G197&amp;"_"&amp;B197&amp;"_"&amp;C197)</x:f>
      </x:c>
    </x:row>
    <x:row r="198">
      <x:c r="D198" s="1" t="str">
        <x:f t="shared" ref="D198:D200" si="20">IF(A198&lt;&gt;"", IF(A198=A197, "", A198), "")</x:f>
      </x:c>
      <x:c r="E198" s="150" t="str" cm="1">
        <x:f t="array" ref="E198">IF(B198="","",IF(B198&lt;&gt;B197,SUMPRODUCT(($B$5:B198&lt;&gt;$B$4:B197)*($B$5:B198&lt;&gt;"")),""))</x:f>
      </x:c>
      <x:c r="F198" s="1" t="str">
        <x:f t="shared" ref="F198:F200" si="21">IF(B198&lt;&gt;"", IF(B198=B197, "", B198), "")</x:f>
      </x:c>
      <x:c r="G198" s="1" t="str">
        <x:f>IF(C198="","",COUNTIF($B$5:B198,B198))</x:f>
      </x:c>
      <x:c r="H198" s="4" t="str">
        <x:f t="shared" ref="H198:H200" si="22">IF(AND(C198&lt;&gt;"",OR(C198&lt;&gt;C197,B198&lt;&gt;B197)),C198,"")</x:f>
      </x:c>
      <x:c r="L198" s="1" t="str">
        <x:f>IF(C198="","","【"&amp;A198&amp;"】"&amp;MAX($E$5:E198)&amp;"-"&amp;G198&amp;"_"&amp;B198&amp;"_"&amp;C198)</x:f>
      </x:c>
    </x:row>
    <x:row r="199">
      <x:c r="D199" s="1" t="str">
        <x:f t="shared" si="20"/>
      </x:c>
      <x:c r="E199" s="150" t="str" cm="1">
        <x:f t="array" ref="E199">IF(B199="","",IF(B199&lt;&gt;B198,SUMPRODUCT(($B$5:B199&lt;&gt;$B$4:B198)*($B$5:B199&lt;&gt;"")),""))</x:f>
      </x:c>
      <x:c r="F199" s="1" t="str">
        <x:f t="shared" si="21"/>
      </x:c>
      <x:c r="G199" s="1" t="str">
        <x:f>IF(C199="","",COUNTIF($B$5:B199,B199))</x:f>
      </x:c>
      <x:c r="H199" s="4" t="str">
        <x:f t="shared" si="22"/>
      </x:c>
      <x:c r="L199" s="1" t="str">
        <x:f>IF(C199="","","【"&amp;A199&amp;"】"&amp;MAX($E$5:E199)&amp;"-"&amp;G199&amp;"_"&amp;B199&amp;"_"&amp;C199)</x:f>
      </x:c>
    </x:row>
    <x:row r="200">
      <x:c r="D200" s="1" t="str">
        <x:f t="shared" si="20"/>
      </x:c>
      <x:c r="E200" s="150" t="str" cm="1">
        <x:f t="array" ref="E200">IF(B200="","",IF(B200&lt;&gt;B199,SUMPRODUCT(($B$5:B200&lt;&gt;$B$4:B199)*($B$5:B200&lt;&gt;"")),""))</x:f>
      </x:c>
      <x:c r="F200" s="1" t="str">
        <x:f t="shared" si="21"/>
      </x:c>
      <x:c r="G200" s="1" t="str">
        <x:f>IF(C200="","",COUNTIF($B$5:B200,B200))</x:f>
      </x:c>
      <x:c r="H200" s="4" t="str">
        <x:f t="shared" si="22"/>
      </x:c>
      <x:c r="L200" s="1" t="str">
        <x:f>IF(C200="","","【"&amp;A200&amp;"】"&amp;MAX($E$5:E200)&amp;"-"&amp;G200&amp;"_"&amp;B200&amp;"_"&amp;C200)</x:f>
      </x:c>
    </x:row>
  </x:sheetData>
  <x:conditionalFormatting sqref="H5:N200">
    <x:cfRule type="expression" dxfId="47" priority="59">
      <x:formula>NOT(OR($I5="データ基盤",$I5="インフラ"))</x:formula>
    </x:cfRule>
  </x:conditionalFormatting>
  <x:conditionalFormatting sqref="O5:O200">
    <x:cfRule type="containsText" dxfId="46" priority="52" operator="containsText" text="準備中">
      <x:formula>NOT(ISERROR(SEARCH("準備中",O5)))</x:formula>
    </x:cfRule>
  </x:conditionalFormatting>
  <x:conditionalFormatting sqref="P5:CV200">
    <x:cfRule type="expression" dxfId="45" priority="41">
      <x:formula>AND($H5&lt;&gt;"",OR(P$4="土",P$4="日"))</x:formula>
    </x:cfRule>
  </x:conditionalFormatting>
  <x:conditionalFormatting sqref="P5:AAA200">
    <x:cfRule type="expression" dxfId="44" priority="46">
      <x:formula>AND(P$3&lt;&gt;"",OR($I5="DX道場",$I5="U-SLIM"),P$3&gt;=$M5,P$3&lt;=$N5)</x:formula>
    </x:cfRule>
  </x:conditionalFormatting>
  <x:conditionalFormatting sqref="E5:J42 E6:H200">
    <x:cfRule type="expression" dxfId="43" priority="57">
      <x:formula>AND($E5&lt;&gt;"",NOT(ISNUMBER($E5)))</x:formula>
    </x:cfRule>
  </x:conditionalFormatting>
  <x:conditionalFormatting sqref="J5:J200">
    <x:cfRule type="expression" dxfId="42" priority="38">
      <x:formula>AND($H5&lt;&gt;"",$J5="")</x:formula>
    </x:cfRule>
  </x:conditionalFormatting>
  <x:conditionalFormatting sqref="O5:O200">
    <x:cfRule type="containsText" dxfId="41" priority="53" operator="containsText" text="完了">
      <x:formula>NOT(ISERROR(SEARCH("完了",O5)))</x:formula>
    </x:cfRule>
  </x:conditionalFormatting>
  <x:conditionalFormatting sqref="O5:O200">
    <x:cfRule type="containsText" dxfId="40" priority="54" operator="containsText" text="進行中">
      <x:formula>NOT(ISERROR(SEARCH("進行中",O5)))</x:formula>
    </x:cfRule>
  </x:conditionalFormatting>
  <x:conditionalFormatting sqref="P3:AAA4">
    <x:cfRule type="expression" dxfId="39" priority="40">
      <x:formula>AND(OR(P$4="土",P$4="日"))</x:formula>
    </x:cfRule>
  </x:conditionalFormatting>
  <x:conditionalFormatting sqref="P5:AAA200">
    <x:cfRule type="expression" dxfId="38" priority="48">
      <x:formula>AND(P$3&lt;&gt;"",$I5="インフラ",P$3&gt;=$M5,P$3&lt;=$N5)</x:formula>
    </x:cfRule>
  </x:conditionalFormatting>
  <x:conditionalFormatting sqref="P5:AAA200">
    <x:cfRule type="expression" dxfId="37" priority="49">
      <x:formula>AND(P$3&lt;&gt;"",P$3&gt;=$M5,P$3&lt;=$N5)</x:formula>
    </x:cfRule>
  </x:conditionalFormatting>
  <x:conditionalFormatting sqref="P5:AAA200">
    <x:cfRule type="expression" dxfId="36" priority="47">
      <x:formula>AND(P$3&lt;&gt;"",$I5="データ基盤",P$3&gt;=$M5,P$3&lt;=$N5)</x:formula>
    </x:cfRule>
  </x:conditionalFormatting>
  <x:conditionalFormatting sqref="P5:AAA200">
    <x:cfRule type="expression" dxfId="35" priority="80">
      <x:formula>AND($H5&lt;&gt;"",P$3&lt;&gt;"")</x:formula>
    </x:cfRule>
  </x:conditionalFormatting>
  <x:conditionalFormatting sqref="G5:O200">
    <x:cfRule type="expression" dxfId="34" priority="79">
      <x:formula>$H5&lt;&gt;""</x:formula>
    </x:cfRule>
  </x:conditionalFormatting>
  <x:conditionalFormatting sqref="J5:J200">
    <x:cfRule type="expression" dxfId="33" priority="76">
      <x:formula>$H5&lt;&gt;""</x:formula>
    </x:cfRule>
  </x:conditionalFormatting>
  <x:conditionalFormatting sqref="I5:I200">
    <x:cfRule type="expression" dxfId="32" priority="75">
      <x:formula>$H5&lt;&gt;""</x:formula>
    </x:cfRule>
  </x:conditionalFormatting>
  <x:conditionalFormatting sqref="M5:M200">
    <x:cfRule type="expression" dxfId="31" priority="73">
      <x:formula>$H5&lt;&gt;""</x:formula>
    </x:cfRule>
  </x:conditionalFormatting>
  <x:conditionalFormatting sqref="N5:N200">
    <x:cfRule type="expression" dxfId="30" priority="74">
      <x:formula>$H5&lt;&gt;""</x:formula>
    </x:cfRule>
  </x:conditionalFormatting>
  <x:conditionalFormatting sqref="O5:O200">
    <x:cfRule type="expression" dxfId="29" priority="72">
      <x:formula>$H5&lt;&gt;""</x:formula>
    </x:cfRule>
  </x:conditionalFormatting>
  <x:conditionalFormatting sqref="E5:E200">
    <x:cfRule type="expression" dxfId="28" priority="77">
      <x:formula>$H5&lt;&gt;""</x:formula>
    </x:cfRule>
  </x:conditionalFormatting>
  <x:conditionalFormatting sqref="D5:D200">
    <x:cfRule type="expression" dxfId="27" priority="78">
      <x:formula>$H5&lt;&gt;""</x:formula>
    </x:cfRule>
  </x:conditionalFormatting>
  <x:conditionalFormatting sqref="E5:O200">
    <x:cfRule type="expression" dxfId="26" priority="71">
      <x:formula>$F6&lt;&gt;""</x:formula>
    </x:cfRule>
  </x:conditionalFormatting>
  <x:conditionalFormatting sqref="P5:AAA200">
    <x:cfRule type="expression" dxfId="25" priority="70">
      <x:formula>AND(P$3&lt;&gt;"",$F6&lt;&gt;"")</x:formula>
    </x:cfRule>
  </x:conditionalFormatting>
  <x:conditionalFormatting sqref="P3:AAA3">
    <x:cfRule type="expression" dxfId="24" priority="68">
      <x:formula>P$3&lt;&gt;""</x:formula>
    </x:cfRule>
  </x:conditionalFormatting>
  <x:conditionalFormatting sqref="P2:AAA2">
    <x:cfRule type="expression" dxfId="23" priority="69">
      <x:formula>P$3&lt;&gt;""</x:formula>
    </x:cfRule>
  </x:conditionalFormatting>
  <x:conditionalFormatting sqref="P3:AAA4">
    <x:cfRule type="expression" dxfId="22" priority="67">
      <x:formula>P$3&lt;&gt;""</x:formula>
    </x:cfRule>
  </x:conditionalFormatting>
  <x:conditionalFormatting sqref="P2:AAA4">
    <x:cfRule type="expression" dxfId="21" priority="65">
      <x:formula>P$2&lt;&gt;""</x:formula>
    </x:cfRule>
  </x:conditionalFormatting>
  <x:conditionalFormatting sqref="P5:AAA200">
    <x:cfRule type="expression" dxfId="20" priority="66">
      <x:formula>AND($H5&lt;&gt;"",P$2&lt;&gt;"")</x:formula>
    </x:cfRule>
  </x:conditionalFormatting>
  <x:conditionalFormatting sqref="P3:AAA4">
    <x:cfRule type="expression" dxfId="19" priority="56">
      <x:formula>AND(N$2&lt;&gt;"",P$4="水")</x:formula>
    </x:cfRule>
  </x:conditionalFormatting>
  <x:conditionalFormatting sqref="P2:AAA4">
    <x:cfRule type="expression" dxfId="18" priority="64">
      <x:formula>AND(P$3&lt;&gt;"",Q$3="")</x:formula>
    </x:cfRule>
  </x:conditionalFormatting>
  <x:conditionalFormatting sqref="P5:AAA200">
    <x:cfRule type="expression" dxfId="17" priority="62">
      <x:formula>AND($H5&lt;&gt;"",P$3&lt;&gt;"",Q$3="")</x:formula>
    </x:cfRule>
  </x:conditionalFormatting>
  <x:conditionalFormatting sqref="D5:O200">
    <x:cfRule type="expression" dxfId="16" priority="61">
      <x:formula>AND($H5&lt;&gt;"",$H6="")</x:formula>
    </x:cfRule>
  </x:conditionalFormatting>
  <x:conditionalFormatting sqref="P5:AAA200">
    <x:cfRule type="expression" dxfId="15" priority="60">
      <x:formula>AND(P$3&lt;&gt;"",$H5&lt;&gt;"",$H6="")</x:formula>
    </x:cfRule>
  </x:conditionalFormatting>
  <x:conditionalFormatting sqref="P2:AAA2">
    <x:cfRule type="expression" dxfId="14" priority="37">
      <x:formula>P$3&lt;&gt;""</x:formula>
    </x:cfRule>
  </x:conditionalFormatting>
  <x:conditionalFormatting sqref="O5:O72">
    <x:cfRule type="expression" dxfId="48" priority="81">
      <x:formula>$O5="完了"</x:formula>
    </x:cfRule>
    <x:cfRule type="expression" dxfId="49" priority="82">
      <x:formula>$O5="進行中"</x:formula>
    </x:cfRule>
    <x:cfRule type="expression" dxfId="50" priority="83">
      <x:formula>$O5="準備中"</x:formula>
    </x:cfRule>
  </x:conditionalFormatting>
  <x:conditionalFormatting sqref="P5:BT72">
    <x:cfRule type="expression" dxfId="57" priority="84">
      <x:formula>AND(P$3&gt;=$M5,P$3&lt;=$N5,$M5&lt;&gt;"",$N5&lt;&gt;"",$O5="完了")</x:formula>
    </x:cfRule>
    <x:cfRule type="expression" dxfId="58" priority="85">
      <x:formula>AND(P$3&gt;=$M5,P$3&lt;=$N5,$M5&lt;&gt;"",$N5&lt;&gt;"",$O5="進行中")</x:formula>
    </x:cfRule>
    <x:cfRule type="expression" dxfId="59" priority="86">
      <x:formula>AND(P$3&gt;=$M5,P$3&lt;=$N5,$M5&lt;&gt;"",$N5&lt;&gt;"",$O5="準備中")</x:formula>
    </x:cfRule>
  </x:conditionalFormatting>
  <x:dataValidations count="3">
    <x:dataValidation type="list" allowBlank="1" showInputMessage="1" showErrorMessage="1" sqref="I5:I1048576">
      <x:formula1>"データ基盤,インフラ,U-SLIM,DX道場,Cloudera,トヨタシステムズ"</x:formula1>
    </x:dataValidation>
    <x:dataValidation type="list" allowBlank="1" showInputMessage="1" showErrorMessage="1" sqref="O5:O1048576">
      <x:formula1>"準備中,進行中,完了"</x:formula1>
    </x:dataValidation>
    <x:dataValidation type="custom" allowBlank="1" showInputMessage="1" showErrorMessage="1" errorTitle="編集不可" error="D～H列は編集不可です。_x000a_A～C列を編集してください（その内容に応じてD～H列が自動で入力されます）。" sqref="D3:H1048576">
      <x:formula1>FALSE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9" style="1" hidden="1" customWidth="1"/>
    <x:col min="2" max="2" width="6.375" style="1" hidden="1" customWidth="1"/>
    <x:col min="3" max="3" width="27.25" style="1" hidden="1" customWidth="1"/>
    <x:col min="4" max="4" width="56.5" style="4" hidden="1" customWidth="1"/>
    <x:col min="5" max="5" width="9.125" style="1" customWidth="1"/>
    <x:col min="6" max="6" width="5.25" style="150" customWidth="1"/>
    <x:col min="7" max="7" width="21" style="1" customWidth="1"/>
    <x:col min="8" max="8" width="55.625" style="4" customWidth="1"/>
    <x:col min="9" max="10" width="9" style="1" customWidth="0"/>
    <x:col min="11" max="11" width="13" style="1" customWidth="1"/>
    <x:col min="12" max="13" width="6.375" style="5" customWidth="1"/>
    <x:col min="14" max="14" width="8" style="6" customWidth="1"/>
    <x:col min="15" max="99" width="4.375" style="1" customWidth="1"/>
    <x:col min="100" max="16384" width="9" style="1" customWidth="0"/>
  </x:cols>
  <x:sheetData>
    <x:row r="1">
      <x:c r="A1" s="1" t="s">
        <x:v>10</x:v>
      </x:c>
      <x:c r="E1" s="1" t="s">
        <x:v>11</x:v>
      </x:c>
      <x:c r="F1" s="1" t="s">
        <x:v>31</x:v>
      </x:c>
      <x:c r="L1" s="2"/>
      <x:c r="M1" s="2"/>
      <x:c r="N1" s="1"/>
    </x:row>
    <x:row r="2">
      <x:c r="F2" s="117" t="s">
        <x:v>32</x:v>
      </x:c>
      <x:c r="L2" s="2"/>
      <x:c r="M2" s="2"/>
      <x:c r="N2" s="1"/>
      <x:c r="O2" s="138" t="s">
        <x:v>33</x:v>
      </x:c>
      <x:c r="P2" s="139"/>
      <x:c r="Q2" s="139"/>
      <x:c r="R2" s="139"/>
      <x:c r="S2" s="139"/>
      <x:c r="T2" s="139"/>
      <x:c r="U2" s="139"/>
      <x:c r="V2" s="139"/>
      <x:c r="W2" s="139"/>
      <x:c r="X2" s="139"/>
      <x:c r="Y2" s="139"/>
      <x:c r="Z2" s="139"/>
      <x:c r="AA2" s="139"/>
      <x:c r="AB2" s="140"/>
      <x:c r="AC2" s="139" t="s">
        <x:v>34</x:v>
      </x:c>
      <x:c r="AD2" s="139"/>
      <x:c r="AE2" s="139"/>
      <x:c r="AF2" s="139"/>
      <x:c r="AG2" s="139"/>
      <x:c r="AH2" s="139"/>
      <x:c r="AI2" s="139"/>
      <x:c r="AJ2" s="139"/>
      <x:c r="AK2" s="139"/>
      <x:c r="AL2" s="139"/>
      <x:c r="AM2" s="139"/>
      <x:c r="AN2" s="139"/>
      <x:c r="AO2" s="139"/>
      <x:c r="AP2" s="140"/>
      <x:c r="AQ2" s="139" t="s">
        <x:v>35</x:v>
      </x:c>
      <x:c r="AR2" s="139"/>
      <x:c r="AS2" s="114"/>
      <x:c r="AT2" s="114"/>
      <x:c r="AU2" s="114"/>
      <x:c r="AV2" s="115" t="s">
        <x:v>36</x:v>
      </x:c>
      <x:c r="AW2" s="115"/>
      <x:c r="AX2" s="115" t="s">
        <x:v>37</x:v>
      </x:c>
      <x:c r="AY2" s="115" t="s">
        <x:v>37</x:v>
      </x:c>
      <x:c r="AZ2" s="115" t="s">
        <x:v>37</x:v>
      </x:c>
      <x:c r="BA2" s="115" t="s">
        <x:v>37</x:v>
      </x:c>
      <x:c r="BB2" s="115" t="s">
        <x:v>37</x:v>
      </x:c>
      <x:c r="BC2" s="115" t="s">
        <x:v>37</x:v>
      </x:c>
      <x:c r="BD2" s="116" t="s">
        <x:v>38</x:v>
      </x:c>
      <x:c r="BE2" s="139" t="s">
        <x:v>39</x:v>
      </x:c>
      <x:c r="BF2" s="139"/>
      <x:c r="BG2" s="139"/>
      <x:c r="BH2" s="139"/>
      <x:c r="BI2" s="139"/>
      <x:c r="BJ2" s="139"/>
      <x:c r="BK2" s="139"/>
      <x:c r="BL2" s="139"/>
      <x:c r="BM2" s="139"/>
      <x:c r="BN2" s="139"/>
      <x:c r="BO2" s="139"/>
      <x:c r="BP2" s="139"/>
      <x:c r="BQ2" s="139"/>
      <x:c r="BR2" s="140"/>
      <x:c r="BS2" s="139" t="s">
        <x:v>40</x:v>
      </x:c>
      <x:c r="BT2" s="139"/>
      <x:c r="BU2" s="139"/>
      <x:c r="BV2" s="139"/>
      <x:c r="BW2" s="139"/>
      <x:c r="BX2" s="139"/>
      <x:c r="BY2" s="139"/>
      <x:c r="BZ2" s="139"/>
      <x:c r="CA2" s="139"/>
      <x:c r="CB2" s="139"/>
      <x:c r="CC2" s="139"/>
      <x:c r="CD2" s="139"/>
      <x:c r="CE2" s="139"/>
      <x:c r="CF2" s="140"/>
      <x:c r="CG2" s="139" t="s">
        <x:v>41</x:v>
      </x:c>
      <x:c r="CH2" s="139"/>
      <x:c r="CI2" s="139"/>
      <x:c r="CJ2" s="139"/>
      <x:c r="CK2" s="139"/>
      <x:c r="CL2" s="139"/>
      <x:c r="CM2" s="139"/>
      <x:c r="CN2" s="139"/>
      <x:c r="CO2" s="139"/>
      <x:c r="CP2" s="139"/>
      <x:c r="CQ2" s="139"/>
      <x:c r="CR2" s="139"/>
      <x:c r="CS2" s="139"/>
      <x:c r="CT2" s="140"/>
      <x:c r="CU2" s="140" t="s">
        <x:v>42</x:v>
      </x:c>
    </x:row>
    <x:row r="3">
      <x:c r="A3" s="1" t="s">
        <x:v>12</x:v>
      </x:c>
      <x:c r="B3" s="1" t="s">
        <x:v>43</x:v>
      </x:c>
      <x:c r="C3" s="1" t="s">
        <x:v>13</x:v>
      </x:c>
      <x:c r="D3" s="4" t="s">
        <x:v>14</x:v>
      </x:c>
      <x:c r="E3" s="105" t="s">
        <x:v>15</x:v>
      </x:c>
      <x:c r="F3" s="105" t="s">
        <x:v>16</x:v>
      </x:c>
      <x:c r="G3" s="106"/>
      <x:c r="H3" s="107"/>
      <x:c r="I3" s="106" t="s">
        <x:v>17</x:v>
      </x:c>
      <x:c r="J3" s="108"/>
      <x:c r="K3" s="108" t="s">
        <x:v>44</x:v>
      </x:c>
      <x:c r="L3" s="109" t="s">
        <x:v>19</x:v>
      </x:c>
      <x:c r="M3" s="110"/>
      <x:c r="N3" s="108" t="s">
        <x:v>20</x:v>
      </x:c>
      <x:c r="O3" s="14">
        <x:v>46209</x:v>
      </x:c>
      <x:c r="P3" s="13">
        <x:v>46210</x:v>
      </x:c>
      <x:c r="Q3" s="55">
        <x:v>46211</x:v>
      </x:c>
      <x:c r="R3" s="13">
        <x:v>46212</x:v>
      </x:c>
      <x:c r="S3" s="13">
        <x:v>46213</x:v>
      </x:c>
      <x:c r="T3" s="13">
        <x:v>46214</x:v>
      </x:c>
      <x:c r="U3" s="13">
        <x:v>46215</x:v>
      </x:c>
      <x:c r="V3" s="13">
        <x:v>46216</x:v>
      </x:c>
      <x:c r="W3" s="13">
        <x:v>46217</x:v>
      </x:c>
      <x:c r="X3" s="13">
        <x:v>46218</x:v>
      </x:c>
      <x:c r="Y3" s="13">
        <x:v>46219</x:v>
      </x:c>
      <x:c r="Z3" s="13">
        <x:v>46220</x:v>
      </x:c>
      <x:c r="AA3" s="13">
        <x:v>46221</x:v>
      </x:c>
      <x:c r="AB3" s="37">
        <x:v>46222</x:v>
      </x:c>
      <x:c r="AC3" s="50">
        <x:v>46223</x:v>
      </x:c>
      <x:c r="AD3" s="13">
        <x:v>46224</x:v>
      </x:c>
      <x:c r="AE3" s="55">
        <x:v>46225</x:v>
      </x:c>
      <x:c r="AF3" s="13">
        <x:v>46226</x:v>
      </x:c>
      <x:c r="AG3" s="13">
        <x:v>46227</x:v>
      </x:c>
      <x:c r="AH3" s="13">
        <x:v>46228</x:v>
      </x:c>
      <x:c r="AI3" s="13">
        <x:v>46229</x:v>
      </x:c>
      <x:c r="AJ3" s="13">
        <x:v>46230</x:v>
      </x:c>
      <x:c r="AK3" s="13">
        <x:v>46231</x:v>
      </x:c>
      <x:c r="AL3" s="13">
        <x:v>46232</x:v>
      </x:c>
      <x:c r="AM3" s="13">
        <x:v>46233</x:v>
      </x:c>
      <x:c r="AN3" s="13">
        <x:v>46234</x:v>
      </x:c>
      <x:c r="AO3" s="13">
        <x:v>46235</x:v>
      </x:c>
      <x:c r="AP3" s="37">
        <x:v>46236</x:v>
      </x:c>
      <x:c r="AQ3" s="14">
        <x:v>46237</x:v>
      </x:c>
      <x:c r="AR3" s="13">
        <x:v>46238</x:v>
      </x:c>
      <x:c r="AS3" s="55">
        <x:v>46239</x:v>
      </x:c>
      <x:c r="AT3" s="13">
        <x:v>46240</x:v>
      </x:c>
      <x:c r="AU3" s="13">
        <x:v>46241</x:v>
      </x:c>
      <x:c r="AV3" s="13">
        <x:v>46242</x:v>
      </x:c>
      <x:c r="AW3" s="13">
        <x:v>46243</x:v>
      </x:c>
      <x:c r="AX3" s="16">
        <x:v>46244</x:v>
      </x:c>
      <x:c r="AY3" s="15">
        <x:v>46245</x:v>
      </x:c>
      <x:c r="AZ3" s="16">
        <x:v>46246</x:v>
      </x:c>
      <x:c r="BA3" s="16">
        <x:v>46247</x:v>
      </x:c>
      <x:c r="BB3" s="16">
        <x:v>46248</x:v>
      </x:c>
      <x:c r="BC3" s="13">
        <x:v>46249</x:v>
      </x:c>
      <x:c r="BD3" s="37">
        <x:v>46250</x:v>
      </x:c>
      <x:c r="BE3" s="14">
        <x:v>46251</x:v>
      </x:c>
      <x:c r="BF3" s="13">
        <x:v>46252</x:v>
      </x:c>
      <x:c r="BG3" s="55">
        <x:v>46253</x:v>
      </x:c>
      <x:c r="BH3" s="13">
        <x:v>46254</x:v>
      </x:c>
      <x:c r="BI3" s="13">
        <x:v>46255</x:v>
      </x:c>
      <x:c r="BJ3" s="13">
        <x:v>46256</x:v>
      </x:c>
      <x:c r="BK3" s="13">
        <x:v>46257</x:v>
      </x:c>
      <x:c r="BL3" s="13">
        <x:v>46258</x:v>
      </x:c>
      <x:c r="BM3" s="13">
        <x:v>46259</x:v>
      </x:c>
      <x:c r="BN3" s="13">
        <x:v>46260</x:v>
      </x:c>
      <x:c r="BO3" s="13">
        <x:v>46261</x:v>
      </x:c>
      <x:c r="BP3" s="13">
        <x:v>46262</x:v>
      </x:c>
      <x:c r="BQ3" s="13">
        <x:v>46263</x:v>
      </x:c>
      <x:c r="BR3" s="37">
        <x:v>46264</x:v>
      </x:c>
      <x:c r="BS3" s="14">
        <x:v>46265</x:v>
      </x:c>
      <x:c r="BT3" s="13">
        <x:v>46266</x:v>
      </x:c>
      <x:c r="BU3" s="55">
        <x:v>46267</x:v>
      </x:c>
      <x:c r="BV3" s="13">
        <x:v>46268</x:v>
      </x:c>
      <x:c r="BW3" s="13">
        <x:v>46269</x:v>
      </x:c>
      <x:c r="BX3" s="13">
        <x:v>46270</x:v>
      </x:c>
      <x:c r="BY3" s="13">
        <x:v>46271</x:v>
      </x:c>
      <x:c r="BZ3" s="13">
        <x:v>46272</x:v>
      </x:c>
      <x:c r="CA3" s="13">
        <x:v>46273</x:v>
      </x:c>
      <x:c r="CB3" s="13">
        <x:v>46274</x:v>
      </x:c>
      <x:c r="CC3" s="13">
        <x:v>46275</x:v>
      </x:c>
      <x:c r="CD3" s="13">
        <x:v>46276</x:v>
      </x:c>
      <x:c r="CE3" s="13">
        <x:v>46277</x:v>
      </x:c>
      <x:c r="CF3" s="37">
        <x:v>46278</x:v>
      </x:c>
      <x:c r="CG3" s="14">
        <x:v>46279</x:v>
      </x:c>
      <x:c r="CH3" s="13">
        <x:v>46280</x:v>
      </x:c>
      <x:c r="CI3" s="55">
        <x:v>46281</x:v>
      </x:c>
      <x:c r="CJ3" s="13">
        <x:v>46282</x:v>
      </x:c>
      <x:c r="CK3" s="13">
        <x:v>46283</x:v>
      </x:c>
      <x:c r="CL3" s="13">
        <x:v>46284</x:v>
      </x:c>
      <x:c r="CM3" s="13">
        <x:v>46285</x:v>
      </x:c>
      <x:c r="CN3" s="13">
        <x:v>46286</x:v>
      </x:c>
      <x:c r="CO3" s="13">
        <x:v>46287</x:v>
      </x:c>
      <x:c r="CP3" s="13">
        <x:v>46288</x:v>
      </x:c>
      <x:c r="CQ3" s="13">
        <x:v>46289</x:v>
      </x:c>
      <x:c r="CR3" s="13">
        <x:v>46290</x:v>
      </x:c>
      <x:c r="CS3" s="13">
        <x:v>46291</x:v>
      </x:c>
      <x:c r="CT3" s="37">
        <x:v>46292</x:v>
      </x:c>
      <x:c r="CU3" s="48">
        <x:v>46293</x:v>
      </x:c>
      <x:c r="CV3" s="2"/>
    </x:row>
    <x:row r="4">
      <x:c r="B4" s="3"/>
      <x:c r="C4" s="1" t="s">
        <x:v>21</x:v>
      </x:c>
      <x:c r="D4" s="4" t="s">
        <x:v>21</x:v>
      </x:c>
      <x:c r="E4" s="64" t="s">
        <x:v>12</x:v>
      </x:c>
      <x:c r="F4" s="63" t="s">
        <x:v>43</x:v>
      </x:c>
      <x:c r="G4" s="58" t="s">
        <x:v>13</x:v>
      </x:c>
      <x:c r="H4" s="132" t="s">
        <x:v>14</x:v>
      </x:c>
      <x:c r="I4" s="58" t="s">
        <x:v>24</x:v>
      </x:c>
      <x:c r="J4" s="59" t="s">
        <x:v>25</x:v>
      </x:c>
      <x:c r="K4" s="60" t="s">
        <x:v>30</x:v>
      </x:c>
      <x:c r="L4" s="61" t="s">
        <x:v>28</x:v>
      </x:c>
      <x:c r="M4" s="62" t="s">
        <x:v>29</x:v>
      </x:c>
      <x:c r="N4" s="60"/>
      <x:c r="O4" s="43" t="s">
        <x:v>45</x:v>
      </x:c>
      <x:c r="P4" s="44" t="s">
        <x:v>46</x:v>
      </x:c>
      <x:c r="Q4" s="56" t="s">
        <x:v>47</x:v>
      </x:c>
      <x:c r="R4" s="44" t="s">
        <x:v>48</x:v>
      </x:c>
      <x:c r="S4" s="44" t="s">
        <x:v>49</x:v>
      </x:c>
      <x:c r="T4" s="44" t="s">
        <x:v>50</x:v>
      </x:c>
      <x:c r="U4" s="44" t="s">
        <x:v>51</x:v>
      </x:c>
      <x:c r="V4" s="44" t="s">
        <x:v>45</x:v>
      </x:c>
      <x:c r="W4" s="44" t="s">
        <x:v>46</x:v>
      </x:c>
      <x:c r="X4" s="44" t="s">
        <x:v>47</x:v>
      </x:c>
      <x:c r="Y4" s="44" t="s">
        <x:v>48</x:v>
      </x:c>
      <x:c r="Z4" s="44" t="s">
        <x:v>49</x:v>
      </x:c>
      <x:c r="AA4" s="44" t="s">
        <x:v>50</x:v>
      </x:c>
      <x:c r="AB4" s="47" t="s">
        <x:v>51</x:v>
      </x:c>
      <x:c r="AC4" s="51" t="s">
        <x:v>45</x:v>
      </x:c>
      <x:c r="AD4" s="44" t="s">
        <x:v>46</x:v>
      </x:c>
      <x:c r="AE4" s="56" t="s">
        <x:v>47</x:v>
      </x:c>
      <x:c r="AF4" s="44" t="s">
        <x:v>48</x:v>
      </x:c>
      <x:c r="AG4" s="44" t="s">
        <x:v>49</x:v>
      </x:c>
      <x:c r="AH4" s="44" t="s">
        <x:v>50</x:v>
      </x:c>
      <x:c r="AI4" s="44" t="s">
        <x:v>51</x:v>
      </x:c>
      <x:c r="AJ4" s="44" t="s">
        <x:v>45</x:v>
      </x:c>
      <x:c r="AK4" s="44" t="s">
        <x:v>46</x:v>
      </x:c>
      <x:c r="AL4" s="44" t="s">
        <x:v>47</x:v>
      </x:c>
      <x:c r="AM4" s="44" t="s">
        <x:v>48</x:v>
      </x:c>
      <x:c r="AN4" s="44" t="s">
        <x:v>49</x:v>
      </x:c>
      <x:c r="AO4" s="44" t="s">
        <x:v>50</x:v>
      </x:c>
      <x:c r="AP4" s="47" t="s">
        <x:v>51</x:v>
      </x:c>
      <x:c r="AQ4" s="43" t="s">
        <x:v>45</x:v>
      </x:c>
      <x:c r="AR4" s="44" t="s">
        <x:v>46</x:v>
      </x:c>
      <x:c r="AS4" s="56" t="s">
        <x:v>47</x:v>
      </x:c>
      <x:c r="AT4" s="44" t="s">
        <x:v>48</x:v>
      </x:c>
      <x:c r="AU4" s="44" t="s">
        <x:v>49</x:v>
      </x:c>
      <x:c r="AV4" s="44" t="s">
        <x:v>50</x:v>
      </x:c>
      <x:c r="AW4" s="44" t="s">
        <x:v>51</x:v>
      </x:c>
      <x:c r="AX4" s="46" t="s">
        <x:v>45</x:v>
      </x:c>
      <x:c r="AY4" s="45" t="s">
        <x:v>46</x:v>
      </x:c>
      <x:c r="AZ4" s="46" t="s">
        <x:v>47</x:v>
      </x:c>
      <x:c r="BA4" s="46" t="s">
        <x:v>48</x:v>
      </x:c>
      <x:c r="BB4" s="46" t="s">
        <x:v>49</x:v>
      </x:c>
      <x:c r="BC4" s="44" t="s">
        <x:v>50</x:v>
      </x:c>
      <x:c r="BD4" s="47" t="s">
        <x:v>51</x:v>
      </x:c>
      <x:c r="BE4" s="43" t="s">
        <x:v>45</x:v>
      </x:c>
      <x:c r="BF4" s="44" t="s">
        <x:v>46</x:v>
      </x:c>
      <x:c r="BG4" s="56" t="s">
        <x:v>47</x:v>
      </x:c>
      <x:c r="BH4" s="44" t="s">
        <x:v>48</x:v>
      </x:c>
      <x:c r="BI4" s="44" t="s">
        <x:v>49</x:v>
      </x:c>
      <x:c r="BJ4" s="44" t="s">
        <x:v>50</x:v>
      </x:c>
      <x:c r="BK4" s="44" t="s">
        <x:v>51</x:v>
      </x:c>
      <x:c r="BL4" s="44" t="s">
        <x:v>45</x:v>
      </x:c>
      <x:c r="BM4" s="44" t="s">
        <x:v>46</x:v>
      </x:c>
      <x:c r="BN4" s="44" t="s">
        <x:v>47</x:v>
      </x:c>
      <x:c r="BO4" s="44" t="s">
        <x:v>48</x:v>
      </x:c>
      <x:c r="BP4" s="44" t="s">
        <x:v>49</x:v>
      </x:c>
      <x:c r="BQ4" s="44" t="s">
        <x:v>50</x:v>
      </x:c>
      <x:c r="BR4" s="47" t="s">
        <x:v>51</x:v>
      </x:c>
      <x:c r="BS4" s="43" t="s">
        <x:v>45</x:v>
      </x:c>
      <x:c r="BT4" s="44" t="s">
        <x:v>46</x:v>
      </x:c>
      <x:c r="BU4" s="56" t="s">
        <x:v>47</x:v>
      </x:c>
      <x:c r="BV4" s="44" t="s">
        <x:v>48</x:v>
      </x:c>
      <x:c r="BW4" s="44" t="s">
        <x:v>49</x:v>
      </x:c>
      <x:c r="BX4" s="44" t="s">
        <x:v>50</x:v>
      </x:c>
      <x:c r="BY4" s="44" t="s">
        <x:v>51</x:v>
      </x:c>
      <x:c r="BZ4" s="44" t="s">
        <x:v>45</x:v>
      </x:c>
      <x:c r="CA4" s="44" t="s">
        <x:v>46</x:v>
      </x:c>
      <x:c r="CB4" s="44" t="s">
        <x:v>47</x:v>
      </x:c>
      <x:c r="CC4" s="44" t="s">
        <x:v>48</x:v>
      </x:c>
      <x:c r="CD4" s="44" t="s">
        <x:v>49</x:v>
      </x:c>
      <x:c r="CE4" s="44" t="s">
        <x:v>50</x:v>
      </x:c>
      <x:c r="CF4" s="47" t="s">
        <x:v>51</x:v>
      </x:c>
      <x:c r="CG4" s="43" t="s">
        <x:v>45</x:v>
      </x:c>
      <x:c r="CH4" s="44" t="s">
        <x:v>46</x:v>
      </x:c>
      <x:c r="CI4" s="56" t="s">
        <x:v>47</x:v>
      </x:c>
      <x:c r="CJ4" s="44" t="s">
        <x:v>48</x:v>
      </x:c>
      <x:c r="CK4" s="44" t="s">
        <x:v>49</x:v>
      </x:c>
      <x:c r="CL4" s="44" t="s">
        <x:v>50</x:v>
      </x:c>
      <x:c r="CM4" s="44" t="s">
        <x:v>51</x:v>
      </x:c>
      <x:c r="CN4" s="44" t="s">
        <x:v>45</x:v>
      </x:c>
      <x:c r="CO4" s="44" t="s">
        <x:v>46</x:v>
      </x:c>
      <x:c r="CP4" s="44" t="s">
        <x:v>47</x:v>
      </x:c>
      <x:c r="CQ4" s="44" t="s">
        <x:v>48</x:v>
      </x:c>
      <x:c r="CR4" s="44" t="s">
        <x:v>49</x:v>
      </x:c>
      <x:c r="CS4" s="44" t="s">
        <x:v>50</x:v>
      </x:c>
      <x:c r="CT4" s="47" t="s">
        <x:v>51</x:v>
      </x:c>
      <x:c r="CU4" s="49" t="s">
        <x:v>45</x:v>
      </x:c>
    </x:row>
    <x:row r="5">
      <x:c r="A5" s="1" t="s">
        <x:v>52</x:v>
      </x:c>
      <x:c r="B5" s="1">
        <x:v>1</x:v>
      </x:c>
      <x:c r="C5" s="1" t="s">
        <x:v>53</x:v>
      </x:c>
      <x:c r="D5" s="4" t="s">
        <x:v>54</x:v>
      </x:c>
      <x:c r="E5" s="23" t="str">
        <x:f>IF(A5&lt;&gt;"", IF(A5=A4, "", A5), "")</x:f>
        <x:v>Dataviz</x:v>
      </x:c>
      <x:c r="F5" s="143" t="n">
        <x:f>IF(B5&lt;&gt;"", IF(B5=B4, "", B5), "")</x:f>
        <x:v>1</x:v>
      </x:c>
      <x:c r="G5" s="57" t="str">
        <x:f>IF(C5&lt;&gt;"", IF(C5=C4, "", C5), "")</x:f>
        <x:v>プロジェクト管理</x:v>
      </x:c>
      <x:c r="H5" s="133" t="str">
        <x:f>IF(D5&lt;&gt;"", IF(D5=D4, "", D5), "")</x:f>
        <x:v>PowerBI関連</x:v>
      </x:c>
      <x:c r="I5" s="30" t="s">
        <x:v>55</x:v>
      </x:c>
      <x:c r="J5" s="17" t="s">
        <x:v>55</x:v>
      </x:c>
      <x:c r="K5" s="27" t="s">
        <x:v>30</x:v>
      </x:c>
      <x:c r="L5" s="14">
        <x:v>46209</x:v>
      </x:c>
      <x:c r="M5" s="37">
        <x:v>46293</x:v>
      </x:c>
      <x:c r="N5" s="40" t="s">
        <x:v>56</x:v>
      </x:c>
      <x:c r="O5" s="30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17"/>
      <x:c r="AC5" s="52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17"/>
      <x:c r="AQ5" s="30"/>
      <x:c r="AR5" s="7"/>
      <x:c r="AS5" s="7"/>
      <x:c r="AT5" s="7"/>
      <x:c r="AU5" s="7"/>
      <x:c r="AV5" s="7"/>
      <x:c r="AW5" s="7"/>
      <x:c r="AX5" s="9"/>
      <x:c r="AY5" s="8"/>
      <x:c r="AZ5" s="9"/>
      <x:c r="BA5" s="9"/>
      <x:c r="BB5" s="9"/>
      <x:c r="BC5" s="7"/>
      <x:c r="BD5" s="17"/>
      <x:c r="BE5" s="30"/>
      <x:c r="BF5" s="7"/>
      <x:c r="BG5" s="7"/>
      <x:c r="BH5" s="7"/>
      <x:c r="BI5" s="7"/>
      <x:c r="BJ5" s="7"/>
      <x:c r="BK5" s="7"/>
      <x:c r="BL5" s="7"/>
      <x:c r="BM5" s="7"/>
      <x:c r="BN5" s="7"/>
      <x:c r="BO5" s="7"/>
      <x:c r="BP5" s="7"/>
      <x:c r="BQ5" s="7"/>
      <x:c r="BR5" s="17"/>
      <x:c r="BS5" s="30"/>
      <x:c r="BT5" s="7"/>
      <x:c r="BU5" s="7"/>
      <x:c r="BV5" s="7"/>
      <x:c r="BW5" s="7"/>
      <x:c r="BX5" s="7"/>
      <x:c r="BY5" s="7"/>
      <x:c r="BZ5" s="7"/>
      <x:c r="CA5" s="7"/>
      <x:c r="CB5" s="7"/>
      <x:c r="CC5" s="7"/>
      <x:c r="CD5" s="7"/>
      <x:c r="CE5" s="7"/>
      <x:c r="CF5" s="17"/>
      <x:c r="CG5" s="30"/>
      <x:c r="CH5" s="7"/>
      <x:c r="CI5" s="7"/>
      <x:c r="CJ5" s="7"/>
      <x:c r="CK5" s="7"/>
      <x:c r="CL5" s="7"/>
      <x:c r="CM5" s="7"/>
      <x:c r="CN5" s="7"/>
      <x:c r="CO5" s="7"/>
      <x:c r="CP5" s="7"/>
      <x:c r="CQ5" s="7"/>
      <x:c r="CR5" s="7"/>
      <x:c r="CS5" s="7"/>
      <x:c r="CT5" s="17"/>
      <x:c r="CU5" s="27"/>
    </x:row>
    <x:row r="6">
      <x:c r="A6" s="1" t="s">
        <x:v>52</x:v>
      </x:c>
      <x:c r="B6" s="1">
        <x:v>2</x:v>
      </x:c>
      <x:c r="C6" s="1" t="s">
        <x:v>53</x:v>
      </x:c>
      <x:c r="D6" s="4" t="s">
        <x:v>57</x:v>
      </x:c>
      <x:c r="E6" s="23" t="str">
        <x:f t="shared" ref="E6:F73" si="0">IF(A6&lt;&gt;"", IF(A6=A5, "", A6), "")</x:f>
      </x:c>
      <x:c r="F6" s="144" t="n">
        <x:f t="shared" ref="F6:F10" si="1">IF(B6&lt;&gt;"", IF(B6=B5, "", B6), "")</x:f>
        <x:v>2</x:v>
      </x:c>
      <x:c r="G6" s="57" t="str">
        <x:f>IF(C6&lt;&gt;"", IF(C6=C5, "", C6), "")</x:f>
      </x:c>
      <x:c r="H6" s="131" t="str">
        <x:f>IF(D6&lt;&gt;"", IF(D6=D5, "", D6), "")</x:f>
        <x:v>dataviz関連</x:v>
      </x:c>
      <x:c r="I6" s="76" t="s">
        <x:v>55</x:v>
      </x:c>
      <x:c r="J6" s="77" t="s">
        <x:v>55</x:v>
      </x:c>
      <x:c r="K6" s="78" t="s">
        <x:v>30</x:v>
      </x:c>
      <x:c r="L6" s="79">
        <x:v>46209</x:v>
      </x:c>
      <x:c r="M6" s="80">
        <x:v>46293</x:v>
      </x:c>
      <x:c r="N6" s="81" t="s">
        <x:v>56</x:v>
      </x:c>
      <x:c r="O6" s="76"/>
      <x:c r="P6" s="82"/>
      <x:c r="Q6" s="82"/>
      <x:c r="R6" s="82"/>
      <x:c r="S6" s="82"/>
      <x:c r="T6" s="82"/>
      <x:c r="U6" s="82"/>
      <x:c r="V6" s="82"/>
      <x:c r="W6" s="82"/>
      <x:c r="X6" s="82"/>
      <x:c r="Y6" s="82"/>
      <x:c r="Z6" s="82"/>
      <x:c r="AA6" s="82"/>
      <x:c r="AB6" s="77"/>
      <x:c r="AC6" s="83"/>
      <x:c r="AD6" s="82"/>
      <x:c r="AE6" s="82"/>
      <x:c r="AF6" s="82"/>
      <x:c r="AG6" s="82"/>
      <x:c r="AH6" s="82"/>
      <x:c r="AI6" s="82"/>
      <x:c r="AJ6" s="82"/>
      <x:c r="AK6" s="82"/>
      <x:c r="AL6" s="82"/>
      <x:c r="AM6" s="82"/>
      <x:c r="AN6" s="82"/>
      <x:c r="AO6" s="82"/>
      <x:c r="AP6" s="77"/>
      <x:c r="AQ6" s="76"/>
      <x:c r="AR6" s="82"/>
      <x:c r="AS6" s="82"/>
      <x:c r="AT6" s="82"/>
      <x:c r="AU6" s="82"/>
      <x:c r="AV6" s="82"/>
      <x:c r="AW6" s="82"/>
      <x:c r="AX6" s="84"/>
      <x:c r="AY6" s="85"/>
      <x:c r="AZ6" s="84"/>
      <x:c r="BA6" s="84"/>
      <x:c r="BB6" s="84"/>
      <x:c r="BC6" s="82"/>
      <x:c r="BD6" s="77"/>
      <x:c r="BE6" s="76"/>
      <x:c r="BF6" s="82"/>
      <x:c r="BG6" s="82"/>
      <x:c r="BH6" s="82"/>
      <x:c r="BI6" s="82"/>
      <x:c r="BJ6" s="82"/>
      <x:c r="BK6" s="82"/>
      <x:c r="BL6" s="82"/>
      <x:c r="BM6" s="82"/>
      <x:c r="BN6" s="82"/>
      <x:c r="BO6" s="82"/>
      <x:c r="BP6" s="82"/>
      <x:c r="BQ6" s="82"/>
      <x:c r="BR6" s="77"/>
      <x:c r="BS6" s="76"/>
      <x:c r="BT6" s="82"/>
      <x:c r="BU6" s="82"/>
      <x:c r="BV6" s="82"/>
      <x:c r="BW6" s="82"/>
      <x:c r="BX6" s="82"/>
      <x:c r="BY6" s="82"/>
      <x:c r="BZ6" s="82"/>
      <x:c r="CA6" s="82"/>
      <x:c r="CB6" s="82"/>
      <x:c r="CC6" s="82"/>
      <x:c r="CD6" s="82"/>
      <x:c r="CE6" s="82"/>
      <x:c r="CF6" s="77"/>
      <x:c r="CG6" s="76"/>
      <x:c r="CH6" s="82"/>
      <x:c r="CI6" s="82"/>
      <x:c r="CJ6" s="82"/>
      <x:c r="CK6" s="82"/>
      <x:c r="CL6" s="82"/>
      <x:c r="CM6" s="82"/>
      <x:c r="CN6" s="82"/>
      <x:c r="CO6" s="82"/>
      <x:c r="CP6" s="82"/>
      <x:c r="CQ6" s="82"/>
      <x:c r="CR6" s="82"/>
      <x:c r="CS6" s="82"/>
      <x:c r="CT6" s="77"/>
      <x:c r="CU6" s="78"/>
    </x:row>
    <x:row r="7">
      <x:c r="A7" s="1" t="s">
        <x:v>52</x:v>
      </x:c>
      <x:c r="B7" s="1">
        <x:v>3</x:v>
      </x:c>
      <x:c r="C7" s="1" t="s">
        <x:v>54</x:v>
      </x:c>
      <x:c r="D7" s="4" t="s">
        <x:v>58</x:v>
      </x:c>
      <x:c r="E7" s="24" t="str">
        <x:f t="shared" si="0"/>
      </x:c>
      <x:c r="F7" s="145">
        <x:f t="shared" si="1"/>
        <x:v>3</x:v>
      </x:c>
      <x:c r="G7" s="118" t="str">
        <x:f>IF(C7&lt;&gt;"", IF(C7=C6, "", C7), "")</x:f>
        <x:v>PowerBI関連</x:v>
      </x:c>
      <x:c r="H7" s="135" t="str">
        <x:f>IF(D7&lt;&gt;"", IF(D7=D6, "", D7), "")</x:f>
        <x:v>PowerBI帳票仕様変更対応</x:v>
      </x:c>
      <x:c r="I7" s="65" t="s">
        <x:v>55</x:v>
      </x:c>
      <x:c r="J7" s="67" t="s">
        <x:v>55</x:v>
      </x:c>
      <x:c r="K7" s="68" t="s">
        <x:v>30</x:v>
      </x:c>
      <x:c r="L7" s="69">
        <x:v>46209</x:v>
      </x:c>
      <x:c r="M7" s="70">
        <x:v>46293</x:v>
      </x:c>
      <x:c r="N7" s="71" t="s">
        <x:v>56</x:v>
      </x:c>
      <x:c r="O7" s="65"/>
      <x:c r="P7" s="72"/>
      <x:c r="Q7" s="72"/>
      <x:c r="R7" s="72"/>
      <x:c r="S7" s="72"/>
      <x:c r="T7" s="72"/>
      <x:c r="U7" s="72"/>
      <x:c r="V7" s="72"/>
      <x:c r="W7" s="72"/>
      <x:c r="X7" s="72"/>
      <x:c r="Y7" s="72"/>
      <x:c r="Z7" s="72"/>
      <x:c r="AA7" s="72"/>
      <x:c r="AB7" s="67"/>
      <x:c r="AC7" s="73"/>
      <x:c r="AD7" s="72"/>
      <x:c r="AE7" s="72"/>
      <x:c r="AF7" s="72"/>
      <x:c r="AG7" s="72"/>
      <x:c r="AH7" s="72"/>
      <x:c r="AI7" s="72"/>
      <x:c r="AJ7" s="72"/>
      <x:c r="AK7" s="72"/>
      <x:c r="AL7" s="72"/>
      <x:c r="AM7" s="72"/>
      <x:c r="AN7" s="72"/>
      <x:c r="AO7" s="72"/>
      <x:c r="AP7" s="67"/>
      <x:c r="AQ7" s="65"/>
      <x:c r="AR7" s="72"/>
      <x:c r="AS7" s="72"/>
      <x:c r="AT7" s="72"/>
      <x:c r="AU7" s="72"/>
      <x:c r="AV7" s="72"/>
      <x:c r="AW7" s="72"/>
      <x:c r="AX7" s="74"/>
      <x:c r="AY7" s="75"/>
      <x:c r="AZ7" s="74"/>
      <x:c r="BA7" s="74"/>
      <x:c r="BB7" s="74"/>
      <x:c r="BC7" s="72"/>
      <x:c r="BD7" s="67"/>
      <x:c r="BE7" s="65"/>
      <x:c r="BF7" s="72"/>
      <x:c r="BG7" s="72"/>
      <x:c r="BH7" s="72"/>
      <x:c r="BI7" s="72"/>
      <x:c r="BJ7" s="72"/>
      <x:c r="BK7" s="72"/>
      <x:c r="BL7" s="72"/>
      <x:c r="BM7" s="72"/>
      <x:c r="BN7" s="72"/>
      <x:c r="BO7" s="72"/>
      <x:c r="BP7" s="72"/>
      <x:c r="BQ7" s="72"/>
      <x:c r="BR7" s="67"/>
      <x:c r="BS7" s="65"/>
      <x:c r="BT7" s="72"/>
      <x:c r="BU7" s="72"/>
      <x:c r="BV7" s="72"/>
      <x:c r="BW7" s="72"/>
      <x:c r="BX7" s="72"/>
      <x:c r="BY7" s="72"/>
      <x:c r="BZ7" s="72"/>
      <x:c r="CA7" s="72"/>
      <x:c r="CB7" s="72"/>
      <x:c r="CC7" s="72"/>
      <x:c r="CD7" s="72"/>
      <x:c r="CE7" s="72"/>
      <x:c r="CF7" s="67"/>
      <x:c r="CG7" s="65"/>
      <x:c r="CH7" s="72"/>
      <x:c r="CI7" s="72"/>
      <x:c r="CJ7" s="72"/>
      <x:c r="CK7" s="72"/>
      <x:c r="CL7" s="72"/>
      <x:c r="CM7" s="72"/>
      <x:c r="CN7" s="72"/>
      <x:c r="CO7" s="72"/>
      <x:c r="CP7" s="72"/>
      <x:c r="CQ7" s="72"/>
      <x:c r="CR7" s="72"/>
      <x:c r="CS7" s="72"/>
      <x:c r="CT7" s="67"/>
      <x:c r="CU7" s="68"/>
    </x:row>
    <x:row r="8">
      <x:c r="A8" s="1" t="s">
        <x:v>52</x:v>
      </x:c>
      <x:c r="B8" s="1">
        <x:v>4</x:v>
      </x:c>
      <x:c r="C8" s="1" t="s">
        <x:v>54</x:v>
      </x:c>
      <x:c r="D8" s="4" t="s">
        <x:v>59</x:v>
      </x:c>
      <x:c r="E8" s="23" t="str">
        <x:f t="shared" si="0"/>
      </x:c>
      <x:c r="F8" s="146">
        <x:f t="shared" si="1"/>
        <x:v>4</x:v>
      </x:c>
      <x:c r="G8" s="134" t="str">
        <x:f>IF(C8&lt;&gt;"", IF(C8=C7, "", C8), "")</x:f>
      </x:c>
      <x:c r="H8" s="136" t="str">
        <x:f>IF(D8&lt;&gt;"", IF(D8=D7, "", D8), "")</x:f>
        <x:v>NEO帳票仕様変更対応(仕様変更と全国展開対応)</x:v>
      </x:c>
      <x:c r="I8" s="32" t="s">
        <x:v>55</x:v>
      </x:c>
      <x:c r="J8" s="22" t="s">
        <x:v>55</x:v>
      </x:c>
      <x:c r="K8" s="29" t="s">
        <x:v>30</x:v>
      </x:c>
      <x:c r="L8" s="36">
        <x:v>46209</x:v>
      </x:c>
      <x:c r="M8" s="39">
        <x:v>46293</x:v>
      </x:c>
      <x:c r="N8" s="42" t="s">
        <x:v>56</x:v>
      </x:c>
      <x:c r="O8" s="32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22"/>
      <x:c r="AC8" s="54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22"/>
      <x:c r="AQ8" s="32"/>
      <x:c r="AR8" s="19"/>
      <x:c r="AS8" s="19"/>
      <x:c r="AT8" s="19"/>
      <x:c r="AU8" s="19"/>
      <x:c r="AV8" s="19"/>
      <x:c r="AW8" s="19"/>
      <x:c r="AX8" s="21"/>
      <x:c r="AY8" s="20"/>
      <x:c r="AZ8" s="21"/>
      <x:c r="BA8" s="21"/>
      <x:c r="BB8" s="21"/>
      <x:c r="BC8" s="19"/>
      <x:c r="BD8" s="22"/>
      <x:c r="BE8" s="32"/>
      <x:c r="BF8" s="19"/>
      <x:c r="BG8" s="19"/>
      <x:c r="BH8" s="19"/>
      <x:c r="BI8" s="19"/>
      <x:c r="BJ8" s="19"/>
      <x:c r="BK8" s="19"/>
      <x:c r="BL8" s="19"/>
      <x:c r="BM8" s="19"/>
      <x:c r="BN8" s="19"/>
      <x:c r="BO8" s="19"/>
      <x:c r="BP8" s="19"/>
      <x:c r="BQ8" s="19"/>
      <x:c r="BR8" s="22"/>
      <x:c r="BS8" s="32"/>
      <x:c r="BT8" s="19"/>
      <x:c r="BU8" s="19"/>
      <x:c r="BV8" s="19"/>
      <x:c r="BW8" s="19"/>
      <x:c r="BX8" s="19"/>
      <x:c r="BY8" s="19"/>
      <x:c r="BZ8" s="19"/>
      <x:c r="CA8" s="19"/>
      <x:c r="CB8" s="19"/>
      <x:c r="CC8" s="19"/>
      <x:c r="CD8" s="19"/>
      <x:c r="CE8" s="19"/>
      <x:c r="CF8" s="22"/>
      <x:c r="CG8" s="32"/>
      <x:c r="CH8" s="19"/>
      <x:c r="CI8" s="19"/>
      <x:c r="CJ8" s="19"/>
      <x:c r="CK8" s="19"/>
      <x:c r="CL8" s="19"/>
      <x:c r="CM8" s="19"/>
      <x:c r="CN8" s="19"/>
      <x:c r="CO8" s="19"/>
      <x:c r="CP8" s="19"/>
      <x:c r="CQ8" s="19"/>
      <x:c r="CR8" s="19"/>
      <x:c r="CS8" s="19"/>
      <x:c r="CT8" s="22"/>
      <x:c r="CU8" s="29"/>
    </x:row>
    <x:row r="9">
      <x:c r="A9" s="1" t="s">
        <x:v>52</x:v>
      </x:c>
      <x:c r="B9" s="1">
        <x:v>5</x:v>
      </x:c>
      <x:c r="C9" s="1" t="s">
        <x:v>60</x:v>
      </x:c>
      <x:c r="D9" s="4" t="s">
        <x:v>61</x:v>
      </x:c>
      <x:c r="E9" s="23" t="str">
        <x:f t="shared" si="0"/>
      </x:c>
      <x:c r="F9" s="147">
        <x:f t="shared" si="1"/>
        <x:v>5</x:v>
      </x:c>
      <x:c r="G9" s="57" t="str">
        <x:f>IF(C9&lt;&gt;"", IF(C9=C8, "", C9), "")</x:f>
        <x:v>問合せ</x:v>
      </x:c>
      <x:c r="H9" s="137" t="str">
        <x:f>IF(D9&lt;&gt;"", IF(D9=D8, "", D9), "")</x:f>
        <x:v>顧客問合せ対応</x:v>
      </x:c>
      <x:c r="I9" s="57" t="s">
        <x:v>55</x:v>
      </x:c>
      <x:c r="J9" s="96" t="s">
        <x:v>55</x:v>
      </x:c>
      <x:c r="K9" s="97" t="s">
        <x:v>30</x:v>
      </x:c>
      <x:c r="L9" s="98">
        <x:v>46209</x:v>
      </x:c>
      <x:c r="M9" s="99">
        <x:v>46293</x:v>
      </x:c>
      <x:c r="N9" s="100" t="s">
        <x:v>56</x:v>
      </x:c>
      <x:c r="O9" s="57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  <x:c r="AA9" s="33"/>
      <x:c r="AB9" s="96"/>
      <x:c r="AC9" s="101"/>
      <x:c r="AD9" s="33"/>
      <x:c r="AE9" s="33"/>
      <x:c r="AF9" s="33"/>
      <x:c r="AG9" s="33"/>
      <x:c r="AH9" s="33"/>
      <x:c r="AI9" s="33"/>
      <x:c r="AJ9" s="33"/>
      <x:c r="AK9" s="33"/>
      <x:c r="AL9" s="33"/>
      <x:c r="AM9" s="33"/>
      <x:c r="AN9" s="33"/>
      <x:c r="AO9" s="33"/>
      <x:c r="AP9" s="96"/>
      <x:c r="AQ9" s="57"/>
      <x:c r="AR9" s="33"/>
      <x:c r="AS9" s="33"/>
      <x:c r="AT9" s="33"/>
      <x:c r="AU9" s="33"/>
      <x:c r="AV9" s="33"/>
      <x:c r="AW9" s="33"/>
      <x:c r="AX9" s="102"/>
      <x:c r="AY9" s="103"/>
      <x:c r="AZ9" s="102"/>
      <x:c r="BA9" s="102"/>
      <x:c r="BB9" s="102"/>
      <x:c r="BC9" s="33"/>
      <x:c r="BD9" s="96"/>
      <x:c r="BE9" s="57"/>
      <x:c r="BF9" s="33"/>
      <x:c r="BG9" s="33"/>
      <x:c r="BH9" s="33"/>
      <x:c r="BI9" s="33"/>
      <x:c r="BJ9" s="33"/>
      <x:c r="BK9" s="33"/>
      <x:c r="BL9" s="33"/>
      <x:c r="BM9" s="33"/>
      <x:c r="BN9" s="33"/>
      <x:c r="BO9" s="33"/>
      <x:c r="BP9" s="33"/>
      <x:c r="BQ9" s="33"/>
      <x:c r="BR9" s="96"/>
      <x:c r="BS9" s="57"/>
      <x:c r="BT9" s="33"/>
      <x:c r="BU9" s="33"/>
      <x:c r="BV9" s="33"/>
      <x:c r="BW9" s="33"/>
      <x:c r="BX9" s="33"/>
      <x:c r="BY9" s="33"/>
      <x:c r="BZ9" s="33"/>
      <x:c r="CA9" s="33"/>
      <x:c r="CB9" s="33"/>
      <x:c r="CC9" s="33"/>
      <x:c r="CD9" s="33"/>
      <x:c r="CE9" s="33"/>
      <x:c r="CF9" s="96"/>
      <x:c r="CG9" s="57"/>
      <x:c r="CH9" s="33"/>
      <x:c r="CI9" s="33"/>
      <x:c r="CJ9" s="33"/>
      <x:c r="CK9" s="33"/>
      <x:c r="CL9" s="33"/>
      <x:c r="CM9" s="33"/>
      <x:c r="CN9" s="33"/>
      <x:c r="CO9" s="33"/>
      <x:c r="CP9" s="33"/>
      <x:c r="CQ9" s="33"/>
      <x:c r="CR9" s="33"/>
      <x:c r="CS9" s="33"/>
      <x:c r="CT9" s="96"/>
      <x:c r="CU9" s="97"/>
    </x:row>
    <x:row r="10" ht="33">
      <x:c r="A10" s="1" t="s">
        <x:v>52</x:v>
      </x:c>
      <x:c r="B10" s="1">
        <x:v>6</x:v>
      </x:c>
      <x:c r="C10" s="1" t="s">
        <x:v>62</x:v>
      </x:c>
      <x:c r="D10" s="4" t="s">
        <x:v>63</x:v>
      </x:c>
      <x:c r="E10" s="23" t="str">
        <x:f t="shared" si="0"/>
      </x:c>
      <x:c r="F10" s="148">
        <x:f t="shared" si="1"/>
        <x:v>6</x:v>
      </x:c>
      <x:c r="G10" s="118" t="str">
        <x:f>IF(C10&lt;&gt;"", IF(C10=C9, "", C10), "")</x:f>
        <x:v>dataviz開発（既存機能）</x:v>
      </x:c>
      <x:c r="H10" s="129" t="str">
        <x:f>IF(D10&lt;&gt;"", IF(D10=D9, "", D10), "")</x:f>
        <x:v>残った帳票の開発（SMB空き枠カレンダー、新車受注分析、長崎_経営ダッシュボード 、マスタメンテナンス機能の一部）</x:v>
      </x:c>
      <x:c r="I10" s="118" t="s">
        <x:v>55</x:v>
      </x:c>
      <x:c r="J10" s="119" t="s">
        <x:v>55</x:v>
      </x:c>
      <x:c r="K10" s="26" t="s">
        <x:v>30</x:v>
      </x:c>
      <x:c r="L10" s="120">
        <x:v>46209</x:v>
      </x:c>
      <x:c r="M10" s="121">
        <x:v>46220</x:v>
      </x:c>
      <x:c r="N10" s="122" t="s">
        <x:v>56</x:v>
      </x:c>
      <x:c r="O10" s="118"/>
      <x:c r="P10" s="66"/>
      <x:c r="Q10" s="66"/>
      <x:c r="R10" s="66"/>
      <x:c r="S10" s="66"/>
      <x:c r="T10" s="66"/>
      <x:c r="U10" s="66"/>
      <x:c r="V10" s="66"/>
      <x:c r="W10" s="66"/>
      <x:c r="X10" s="66"/>
      <x:c r="Y10" s="66"/>
      <x:c r="Z10" s="66"/>
      <x:c r="AA10" s="66"/>
      <x:c r="AB10" s="119"/>
      <x:c r="AC10" s="123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  <x:c r="AP10" s="119"/>
      <x:c r="AQ10" s="118"/>
      <x:c r="AR10" s="66"/>
      <x:c r="AS10" s="66"/>
      <x:c r="AT10" s="66"/>
      <x:c r="AU10" s="66"/>
      <x:c r="AV10" s="66"/>
      <x:c r="AW10" s="66"/>
      <x:c r="AX10" s="124"/>
      <x:c r="AY10" s="125"/>
      <x:c r="AZ10" s="124"/>
      <x:c r="BA10" s="124"/>
      <x:c r="BB10" s="124"/>
      <x:c r="BC10" s="66"/>
      <x:c r="BD10" s="119"/>
      <x:c r="BE10" s="118"/>
      <x:c r="BF10" s="66"/>
      <x:c r="BG10" s="66"/>
      <x:c r="BH10" s="66"/>
      <x:c r="BI10" s="66"/>
      <x:c r="BJ10" s="66"/>
      <x:c r="BK10" s="66"/>
      <x:c r="BL10" s="66"/>
      <x:c r="BM10" s="66"/>
      <x:c r="BN10" s="66"/>
      <x:c r="BO10" s="66"/>
      <x:c r="BP10" s="66"/>
      <x:c r="BQ10" s="66"/>
      <x:c r="BR10" s="119"/>
      <x:c r="BS10" s="118"/>
      <x:c r="BT10" s="66"/>
      <x:c r="BU10" s="66"/>
      <x:c r="BV10" s="66"/>
      <x:c r="BW10" s="66"/>
      <x:c r="BX10" s="66"/>
      <x:c r="BY10" s="66"/>
      <x:c r="BZ10" s="66"/>
      <x:c r="CA10" s="66"/>
      <x:c r="CB10" s="66"/>
      <x:c r="CC10" s="66"/>
      <x:c r="CD10" s="66"/>
      <x:c r="CE10" s="66"/>
      <x:c r="CF10" s="119"/>
      <x:c r="CG10" s="118"/>
      <x:c r="CH10" s="66"/>
      <x:c r="CI10" s="66"/>
      <x:c r="CJ10" s="66"/>
      <x:c r="CK10" s="66"/>
      <x:c r="CL10" s="66"/>
      <x:c r="CM10" s="66"/>
      <x:c r="CN10" s="66"/>
      <x:c r="CO10" s="66"/>
      <x:c r="CP10" s="66"/>
      <x:c r="CQ10" s="66"/>
      <x:c r="CR10" s="66"/>
      <x:c r="CS10" s="66"/>
      <x:c r="CT10" s="119"/>
      <x:c r="CU10" s="26"/>
    </x:row>
    <x:row r="11">
      <x:c r="A11" s="1" t="s">
        <x:v>52</x:v>
      </x:c>
      <x:c r="B11" s="1">
        <x:v>7</x:v>
      </x:c>
      <x:c r="C11" s="1" t="s">
        <x:v>64</x:v>
      </x:c>
      <x:c r="D11" s="4" t="s">
        <x:v>65</x:v>
      </x:c>
      <x:c r="E11" s="23" t="str">
        <x:f>IF(A11&lt;&gt;"", IF(A11=A10, "", A11), "")</x:f>
      </x:c>
      <x:c r="F11" s="145" t="n">
        <x:f>IF(B11&lt;&gt;"", IF(B11=B18, "", B11), "")</x:f>
        <x:v>7</x:v>
      </x:c>
      <x:c r="G11" s="66" t="str">
        <x:f>IF(C11&lt;&gt;"", IF(C11=C18, "", C11), "")</x:f>
        <x:v>dataviz開発（マージ対応）</x:v>
      </x:c>
      <x:c r="H11" s="68" t="str">
        <x:f>IF(D11&lt;&gt;"", IF(D11=D18, "", D11), "")</x:f>
        <x:v>新車受注分析</x:v>
      </x:c>
      <x:c r="I11" s="65" t="s">
        <x:v>55</x:v>
      </x:c>
      <x:c r="J11" s="67" t="s">
        <x:v>55</x:v>
      </x:c>
      <x:c r="K11" s="68" t="s">
        <x:v>30</x:v>
      </x:c>
      <x:c r="L11" s="69">
        <x:v>46216</x:v>
      </x:c>
      <x:c r="M11" s="70">
        <x:v>46234</x:v>
      </x:c>
      <x:c r="N11" s="71" t="s">
        <x:v>66</x:v>
      </x:c>
      <x:c r="O11" s="65"/>
      <x:c r="P11" s="72"/>
      <x:c r="Q11" s="72"/>
      <x:c r="R11" s="72"/>
      <x:c r="S11" s="72"/>
      <x:c r="T11" s="72"/>
      <x:c r="U11" s="72"/>
      <x:c r="V11" s="72"/>
      <x:c r="W11" s="72"/>
      <x:c r="X11" s="72"/>
      <x:c r="Y11" s="72"/>
      <x:c r="Z11" s="72"/>
      <x:c r="AA11" s="72"/>
      <x:c r="AB11" s="67"/>
      <x:c r="AC11" s="73"/>
      <x:c r="AD11" s="72"/>
      <x:c r="AE11" s="72"/>
      <x:c r="AF11" s="72"/>
      <x:c r="AG11" s="72"/>
      <x:c r="AH11" s="72"/>
      <x:c r="AI11" s="72"/>
      <x:c r="AJ11" s="72"/>
      <x:c r="AK11" s="72"/>
      <x:c r="AL11" s="72"/>
      <x:c r="AM11" s="72"/>
      <x:c r="AN11" s="72"/>
      <x:c r="AO11" s="72"/>
      <x:c r="AP11" s="67"/>
      <x:c r="AQ11" s="65"/>
      <x:c r="AR11" s="72"/>
      <x:c r="AS11" s="72"/>
      <x:c r="AT11" s="72"/>
      <x:c r="AU11" s="72"/>
      <x:c r="AV11" s="72"/>
      <x:c r="AW11" s="72"/>
      <x:c r="AX11" s="74"/>
      <x:c r="AY11" s="75"/>
      <x:c r="AZ11" s="74"/>
      <x:c r="BA11" s="74"/>
      <x:c r="BB11" s="74"/>
      <x:c r="BC11" s="72"/>
      <x:c r="BD11" s="67"/>
      <x:c r="BE11" s="65"/>
      <x:c r="BF11" s="72"/>
      <x:c r="BG11" s="72"/>
      <x:c r="BH11" s="72"/>
      <x:c r="BI11" s="72"/>
      <x:c r="BJ11" s="72"/>
      <x:c r="BK11" s="72"/>
      <x:c r="BL11" s="72"/>
      <x:c r="BM11" s="72"/>
      <x:c r="BN11" s="72"/>
      <x:c r="BO11" s="72"/>
      <x:c r="BP11" s="72"/>
      <x:c r="BQ11" s="72"/>
      <x:c r="BR11" s="67"/>
      <x:c r="BS11" s="65"/>
      <x:c r="BT11" s="72"/>
      <x:c r="BU11" s="72"/>
      <x:c r="BV11" s="72"/>
      <x:c r="BW11" s="72"/>
      <x:c r="BX11" s="72"/>
      <x:c r="BY11" s="72"/>
      <x:c r="BZ11" s="72"/>
      <x:c r="CA11" s="72"/>
      <x:c r="CB11" s="72"/>
      <x:c r="CC11" s="72"/>
      <x:c r="CD11" s="72"/>
      <x:c r="CE11" s="72"/>
      <x:c r="CF11" s="67"/>
      <x:c r="CG11" s="65"/>
      <x:c r="CH11" s="72"/>
      <x:c r="CI11" s="72"/>
      <x:c r="CJ11" s="72"/>
      <x:c r="CK11" s="72"/>
      <x:c r="CL11" s="72"/>
      <x:c r="CM11" s="72"/>
      <x:c r="CN11" s="72"/>
      <x:c r="CO11" s="72"/>
      <x:c r="CP11" s="72"/>
      <x:c r="CQ11" s="72"/>
      <x:c r="CR11" s="72"/>
      <x:c r="CS11" s="72"/>
      <x:c r="CT11" s="67"/>
      <x:c r="CU11" s="68"/>
    </x:row>
    <x:row r="12">
      <x:c r="A12" s="1" t="s">
        <x:v>52</x:v>
      </x:c>
      <x:c r="B12" s="1">
        <x:v>8</x:v>
      </x:c>
      <x:c r="C12" s="1" t="s">
        <x:v>64</x:v>
      </x:c>
      <x:c r="D12" s="4" t="s">
        <x:v>67</x:v>
      </x:c>
      <x:c r="E12" s="23" t="str">
        <x:f t="shared" si="0"/>
      </x:c>
      <x:c r="F12" s="149" t="n">
        <x:f t="shared" ref="F12:F38" si="2">IF(B12&lt;&gt;"", IF(B12=B11, "", B12), "")</x:f>
        <x:v>8</x:v>
      </x:c>
      <x:c r="G12" s="57" t="str">
        <x:f>IF(C12&lt;&gt;"", IF(C12=C11, "", C12), "")</x:f>
      </x:c>
      <x:c r="H12" s="130" t="str">
        <x:f t="shared" ref="H12:H38" si="3">IF(D12&lt;&gt;"", IF(D12=D11, "", D12), "")</x:f>
        <x:v>中古車受注分析（マスタ画面含め）</x:v>
      </x:c>
      <x:c r="I12" s="31" t="s">
        <x:v>55</x:v>
      </x:c>
      <x:c r="J12" s="18" t="s">
        <x:v>55</x:v>
      </x:c>
      <x:c r="K12" s="28" t="s">
        <x:v>30</x:v>
      </x:c>
      <x:c r="L12" s="35">
        <x:v>46216</x:v>
      </x:c>
      <x:c r="M12" s="38">
        <x:v>46234</x:v>
      </x:c>
      <x:c r="N12" s="41" t="s">
        <x:v>66</x:v>
      </x:c>
      <x:c r="O12" s="31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8"/>
      <x:c r="AC12" s="53"/>
      <x:c r="AD12" s="10"/>
      <x:c r="AE12" s="10"/>
      <x:c r="AF12" s="10"/>
      <x:c r="AG12" s="10"/>
      <x:c r="AH12" s="10"/>
      <x:c r="AI12" s="10"/>
      <x:c r="AJ12" s="10"/>
      <x:c r="AK12" s="10"/>
      <x:c r="AL12" s="10"/>
      <x:c r="AM12" s="10"/>
      <x:c r="AN12" s="10"/>
      <x:c r="AO12" s="10"/>
      <x:c r="AP12" s="18"/>
      <x:c r="AQ12" s="31"/>
      <x:c r="AR12" s="10"/>
      <x:c r="AS12" s="10"/>
      <x:c r="AT12" s="10"/>
      <x:c r="AU12" s="10"/>
      <x:c r="AV12" s="10"/>
      <x:c r="AW12" s="10"/>
      <x:c r="AX12" s="12"/>
      <x:c r="AY12" s="11"/>
      <x:c r="AZ12" s="12"/>
      <x:c r="BA12" s="12"/>
      <x:c r="BB12" s="12"/>
      <x:c r="BC12" s="10"/>
      <x:c r="BD12" s="18"/>
      <x:c r="BE12" s="31"/>
      <x:c r="BF12" s="10"/>
      <x:c r="BG12" s="10"/>
      <x:c r="BH12" s="10"/>
      <x:c r="BI12" s="10"/>
      <x:c r="BJ12" s="10"/>
      <x:c r="BK12" s="10"/>
      <x:c r="BL12" s="10"/>
      <x:c r="BM12" s="10"/>
      <x:c r="BN12" s="10"/>
      <x:c r="BO12" s="10"/>
      <x:c r="BP12" s="10"/>
      <x:c r="BQ12" s="10"/>
      <x:c r="BR12" s="18"/>
      <x:c r="BS12" s="31"/>
      <x:c r="BT12" s="10"/>
      <x:c r="BU12" s="10"/>
      <x:c r="BV12" s="10"/>
      <x:c r="BW12" s="10"/>
      <x:c r="BX12" s="10"/>
      <x:c r="BY12" s="10"/>
      <x:c r="BZ12" s="10"/>
      <x:c r="CA12" s="10"/>
      <x:c r="CB12" s="10"/>
      <x:c r="CC12" s="10"/>
      <x:c r="CD12" s="10"/>
      <x:c r="CE12" s="10"/>
      <x:c r="CF12" s="18"/>
      <x:c r="CG12" s="31"/>
      <x:c r="CH12" s="10"/>
      <x:c r="CI12" s="10"/>
      <x:c r="CJ12" s="10"/>
      <x:c r="CK12" s="10"/>
      <x:c r="CL12" s="10"/>
      <x:c r="CM12" s="10"/>
      <x:c r="CN12" s="10"/>
      <x:c r="CO12" s="10"/>
      <x:c r="CP12" s="10"/>
      <x:c r="CQ12" s="10"/>
      <x:c r="CR12" s="10"/>
      <x:c r="CS12" s="10"/>
      <x:c r="CT12" s="18"/>
      <x:c r="CU12" s="28"/>
    </x:row>
    <x:row r="13">
      <x:c r="A13" s="1" t="s">
        <x:v>52</x:v>
      </x:c>
      <x:c r="B13" s="1">
        <x:v>9</x:v>
      </x:c>
      <x:c r="C13" s="1" t="s">
        <x:v>64</x:v>
      </x:c>
      <x:c r="D13" s="4" t="s">
        <x:v>68</x:v>
      </x:c>
      <x:c r="E13" s="23" t="str">
        <x:f t="shared" si="0"/>
      </x:c>
      <x:c r="F13" s="149">
        <x:f t="shared" si="2"/>
        <x:v>9</x:v>
      </x:c>
      <x:c r="G13" s="57" t="str">
        <x:f t="shared" ref="G13:G38" si="4">IF(C13&lt;&gt;"", IF(C13=C12, "", C13), "")</x:f>
      </x:c>
      <x:c r="H13" s="130" t="str">
        <x:f>IF(D13&lt;&gt;"", IF(D13=D12, "", D13), "")</x:f>
        <x:v>中古車仕入・在庫情報</x:v>
      </x:c>
      <x:c r="I13" s="31" t="s">
        <x:v>55</x:v>
      </x:c>
      <x:c r="J13" s="18" t="s">
        <x:v>55</x:v>
      </x:c>
      <x:c r="K13" s="28" t="s">
        <x:v>30</x:v>
      </x:c>
      <x:c r="L13" s="35">
        <x:v>46216</x:v>
      </x:c>
      <x:c r="M13" s="38">
        <x:v>46234</x:v>
      </x:c>
      <x:c r="N13" s="41" t="s">
        <x:v>66</x:v>
      </x:c>
      <x:c r="O13" s="31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  <x:c r="AA13" s="10"/>
      <x:c r="AB13" s="18"/>
      <x:c r="AC13" s="53"/>
      <x:c r="AD13" s="10"/>
      <x:c r="AE13" s="10"/>
      <x:c r="AF13" s="10"/>
      <x:c r="AG13" s="10"/>
      <x:c r="AH13" s="10"/>
      <x:c r="AI13" s="10"/>
      <x:c r="AJ13" s="10"/>
      <x:c r="AK13" s="10"/>
      <x:c r="AL13" s="10"/>
      <x:c r="AM13" s="10"/>
      <x:c r="AN13" s="10"/>
      <x:c r="AO13" s="10"/>
      <x:c r="AP13" s="18"/>
      <x:c r="AQ13" s="31"/>
      <x:c r="AR13" s="10"/>
      <x:c r="AS13" s="10"/>
      <x:c r="AT13" s="10"/>
      <x:c r="AU13" s="10"/>
      <x:c r="AV13" s="10"/>
      <x:c r="AW13" s="10"/>
      <x:c r="AX13" s="12"/>
      <x:c r="AY13" s="11"/>
      <x:c r="AZ13" s="12"/>
      <x:c r="BA13" s="12"/>
      <x:c r="BB13" s="12"/>
      <x:c r="BC13" s="10"/>
      <x:c r="BD13" s="18"/>
      <x:c r="BE13" s="31"/>
      <x:c r="BF13" s="10"/>
      <x:c r="BG13" s="10"/>
      <x:c r="BH13" s="10"/>
      <x:c r="BI13" s="10"/>
      <x:c r="BJ13" s="10"/>
      <x:c r="BK13" s="10"/>
      <x:c r="BL13" s="10"/>
      <x:c r="BM13" s="10"/>
      <x:c r="BN13" s="10"/>
      <x:c r="BO13" s="10"/>
      <x:c r="BP13" s="10"/>
      <x:c r="BQ13" s="10"/>
      <x:c r="BR13" s="18"/>
      <x:c r="BS13" s="31"/>
      <x:c r="BT13" s="10"/>
      <x:c r="BU13" s="10"/>
      <x:c r="BV13" s="10"/>
      <x:c r="BW13" s="10"/>
      <x:c r="BX13" s="10"/>
      <x:c r="BY13" s="10"/>
      <x:c r="BZ13" s="10"/>
      <x:c r="CA13" s="10"/>
      <x:c r="CB13" s="10"/>
      <x:c r="CC13" s="10"/>
      <x:c r="CD13" s="10"/>
      <x:c r="CE13" s="10"/>
      <x:c r="CF13" s="18"/>
      <x:c r="CG13" s="31"/>
      <x:c r="CH13" s="10"/>
      <x:c r="CI13" s="10"/>
      <x:c r="CJ13" s="10"/>
      <x:c r="CK13" s="10"/>
      <x:c r="CL13" s="10"/>
      <x:c r="CM13" s="10"/>
      <x:c r="CN13" s="10"/>
      <x:c r="CO13" s="10"/>
      <x:c r="CP13" s="10"/>
      <x:c r="CQ13" s="10"/>
      <x:c r="CR13" s="10"/>
      <x:c r="CS13" s="10"/>
      <x:c r="CT13" s="18"/>
      <x:c r="CU13" s="28"/>
    </x:row>
    <x:row r="14">
      <x:c r="A14" s="1" t="s">
        <x:v>52</x:v>
      </x:c>
      <x:c r="B14" s="1">
        <x:v>10</x:v>
      </x:c>
      <x:c r="C14" s="1" t="s">
        <x:v>64</x:v>
      </x:c>
      <x:c r="D14" s="4" t="s">
        <x:v>69</x:v>
      </x:c>
      <x:c r="E14" s="23" t="str">
        <x:f t="shared" si="0"/>
      </x:c>
      <x:c r="F14" s="149">
        <x:f t="shared" si="2"/>
        <x:v>10</x:v>
      </x:c>
      <x:c r="G14" s="57" t="str">
        <x:f t="shared" si="4"/>
      </x:c>
      <x:c r="H14" s="130" t="str">
        <x:f t="shared" si="3"/>
        <x:v>市場処置の実施状況と部品管理見える化</x:v>
      </x:c>
      <x:c r="I14" s="31" t="s">
        <x:v>55</x:v>
      </x:c>
      <x:c r="J14" s="18" t="s">
        <x:v>55</x:v>
      </x:c>
      <x:c r="K14" s="28" t="s">
        <x:v>30</x:v>
      </x:c>
      <x:c r="L14" s="35">
        <x:v>46216</x:v>
      </x:c>
      <x:c r="M14" s="38">
        <x:v>46220</x:v>
      </x:c>
      <x:c r="N14" s="41" t="s">
        <x:v>66</x:v>
      </x:c>
      <x:c r="O14" s="31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8"/>
      <x:c r="AC14" s="53"/>
      <x:c r="AD14" s="10"/>
      <x:c r="AE14" s="10"/>
      <x:c r="AF14" s="10"/>
      <x:c r="AG14" s="10"/>
      <x:c r="AH14" s="10"/>
      <x:c r="AI14" s="10"/>
      <x:c r="AJ14" s="10"/>
      <x:c r="AK14" s="10"/>
      <x:c r="AL14" s="10"/>
      <x:c r="AM14" s="10"/>
      <x:c r="AN14" s="10"/>
      <x:c r="AO14" s="10"/>
      <x:c r="AP14" s="18"/>
      <x:c r="AQ14" s="31"/>
      <x:c r="AR14" s="10"/>
      <x:c r="AS14" s="10"/>
      <x:c r="AT14" s="10"/>
      <x:c r="AU14" s="10"/>
      <x:c r="AV14" s="10"/>
      <x:c r="AW14" s="10"/>
      <x:c r="AX14" s="12"/>
      <x:c r="AY14" s="11"/>
      <x:c r="AZ14" s="12"/>
      <x:c r="BA14" s="12"/>
      <x:c r="BB14" s="12"/>
      <x:c r="BC14" s="10"/>
      <x:c r="BD14" s="18"/>
      <x:c r="BE14" s="31"/>
      <x:c r="BF14" s="10"/>
      <x:c r="BG14" s="10"/>
      <x:c r="BH14" s="10"/>
      <x:c r="BI14" s="10"/>
      <x:c r="BJ14" s="10"/>
      <x:c r="BK14" s="10"/>
      <x:c r="BL14" s="10"/>
      <x:c r="BM14" s="10"/>
      <x:c r="BN14" s="10"/>
      <x:c r="BO14" s="10"/>
      <x:c r="BP14" s="10"/>
      <x:c r="BQ14" s="10"/>
      <x:c r="BR14" s="18"/>
      <x:c r="BS14" s="31"/>
      <x:c r="BT14" s="10"/>
      <x:c r="BU14" s="10"/>
      <x:c r="BV14" s="10"/>
      <x:c r="BW14" s="10"/>
      <x:c r="BX14" s="10"/>
      <x:c r="BY14" s="10"/>
      <x:c r="BZ14" s="10"/>
      <x:c r="CA14" s="10"/>
      <x:c r="CB14" s="10"/>
      <x:c r="CC14" s="10"/>
      <x:c r="CD14" s="10"/>
      <x:c r="CE14" s="10"/>
      <x:c r="CF14" s="18"/>
      <x:c r="CG14" s="31"/>
      <x:c r="CH14" s="10"/>
      <x:c r="CI14" s="10"/>
      <x:c r="CJ14" s="10"/>
      <x:c r="CK14" s="10"/>
      <x:c r="CL14" s="10"/>
      <x:c r="CM14" s="10"/>
      <x:c r="CN14" s="10"/>
      <x:c r="CO14" s="10"/>
      <x:c r="CP14" s="10"/>
      <x:c r="CQ14" s="10"/>
      <x:c r="CR14" s="10"/>
      <x:c r="CS14" s="10"/>
      <x:c r="CT14" s="18"/>
      <x:c r="CU14" s="28"/>
    </x:row>
    <x:row r="15">
      <x:c r="A15" s="1" t="s">
        <x:v>52</x:v>
      </x:c>
      <x:c r="B15" s="1">
        <x:v>11</x:v>
      </x:c>
      <x:c r="C15" s="1" t="s">
        <x:v>64</x:v>
      </x:c>
      <x:c r="D15" s="4" t="s">
        <x:v>70</x:v>
      </x:c>
      <x:c r="E15" s="23" t="str">
        <x:f t="shared" si="0"/>
      </x:c>
      <x:c r="F15" s="149">
        <x:f t="shared" si="2"/>
        <x:v>11</x:v>
      </x:c>
      <x:c r="G15" s="57" t="str">
        <x:f t="shared" si="4"/>
      </x:c>
      <x:c r="H15" s="130" t="str">
        <x:f t="shared" si="3"/>
        <x:v>NEO 契約№変更対応の帳票改修</x:v>
      </x:c>
      <x:c r="I15" s="31" t="s">
        <x:v>55</x:v>
      </x:c>
      <x:c r="J15" s="18" t="s">
        <x:v>55</x:v>
      </x:c>
      <x:c r="K15" s="28" t="s">
        <x:v>30</x:v>
      </x:c>
      <x:c r="L15" s="35">
        <x:v>46224</x:v>
      </x:c>
      <x:c r="M15" s="38">
        <x:v>46227</x:v>
      </x:c>
      <x:c r="N15" s="41" t="s">
        <x:v>66</x:v>
      </x:c>
      <x:c r="O15" s="31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8"/>
      <x:c r="AC15" s="53"/>
      <x:c r="AD15" s="10"/>
      <x:c r="AE15" s="10"/>
      <x:c r="AF15" s="10"/>
      <x:c r="AG15" s="10"/>
      <x:c r="AH15" s="10"/>
      <x:c r="AI15" s="10"/>
      <x:c r="AJ15" s="10"/>
      <x:c r="AK15" s="10"/>
      <x:c r="AL15" s="10"/>
      <x:c r="AM15" s="10"/>
      <x:c r="AN15" s="10"/>
      <x:c r="AO15" s="10"/>
      <x:c r="AP15" s="18"/>
      <x:c r="AQ15" s="31"/>
      <x:c r="AR15" s="10"/>
      <x:c r="AS15" s="10"/>
      <x:c r="AT15" s="10"/>
      <x:c r="AU15" s="10"/>
      <x:c r="AV15" s="10"/>
      <x:c r="AW15" s="10"/>
      <x:c r="AX15" s="12"/>
      <x:c r="AY15" s="11"/>
      <x:c r="AZ15" s="12"/>
      <x:c r="BA15" s="12"/>
      <x:c r="BB15" s="12"/>
      <x:c r="BC15" s="10"/>
      <x:c r="BD15" s="18"/>
      <x:c r="BE15" s="31"/>
      <x:c r="BF15" s="10"/>
      <x:c r="BG15" s="10"/>
      <x:c r="BH15" s="10"/>
      <x:c r="BI15" s="10"/>
      <x:c r="BJ15" s="10"/>
      <x:c r="BK15" s="10"/>
      <x:c r="BL15" s="10"/>
      <x:c r="BM15" s="10"/>
      <x:c r="BN15" s="10"/>
      <x:c r="BO15" s="10"/>
      <x:c r="BP15" s="10"/>
      <x:c r="BQ15" s="10"/>
      <x:c r="BR15" s="18"/>
      <x:c r="BS15" s="31"/>
      <x:c r="BT15" s="10"/>
      <x:c r="BU15" s="10"/>
      <x:c r="BV15" s="10"/>
      <x:c r="BW15" s="10"/>
      <x:c r="BX15" s="10"/>
      <x:c r="BY15" s="10"/>
      <x:c r="BZ15" s="10"/>
      <x:c r="CA15" s="10"/>
      <x:c r="CB15" s="10"/>
      <x:c r="CC15" s="10"/>
      <x:c r="CD15" s="10"/>
      <x:c r="CE15" s="10"/>
      <x:c r="CF15" s="18"/>
      <x:c r="CG15" s="31"/>
      <x:c r="CH15" s="10"/>
      <x:c r="CI15" s="10"/>
      <x:c r="CJ15" s="10"/>
      <x:c r="CK15" s="10"/>
      <x:c r="CL15" s="10"/>
      <x:c r="CM15" s="10"/>
      <x:c r="CN15" s="10"/>
      <x:c r="CO15" s="10"/>
      <x:c r="CP15" s="10"/>
      <x:c r="CQ15" s="10"/>
      <x:c r="CR15" s="10"/>
      <x:c r="CS15" s="10"/>
      <x:c r="CT15" s="18"/>
      <x:c r="CU15" s="28"/>
    </x:row>
    <x:row r="16">
      <x:c r="A16" s="1" t="s">
        <x:v>52</x:v>
      </x:c>
      <x:c r="B16" s="1">
        <x:v>12</x:v>
      </x:c>
      <x:c r="C16" s="1" t="s">
        <x:v>64</x:v>
      </x:c>
      <x:c r="D16" s="4" t="s">
        <x:v>71</x:v>
      </x:c>
      <x:c r="E16" s="23" t="str">
        <x:f t="shared" si="0"/>
      </x:c>
      <x:c r="F16" s="144">
        <x:f t="shared" si="2"/>
        <x:v>12</x:v>
      </x:c>
      <x:c r="G16" s="57" t="str">
        <x:f t="shared" si="4"/>
      </x:c>
      <x:c r="H16" s="131" t="str">
        <x:f t="shared" si="3"/>
        <x:v>ストール充足率の見える化</x:v>
      </x:c>
      <x:c r="I16" s="76" t="s">
        <x:v>55</x:v>
      </x:c>
      <x:c r="J16" s="77" t="s">
        <x:v>55</x:v>
      </x:c>
      <x:c r="K16" s="78" t="s">
        <x:v>30</x:v>
      </x:c>
      <x:c r="L16" s="79">
        <x:v>46230</x:v>
      </x:c>
      <x:c r="M16" s="80">
        <x:v>46234</x:v>
      </x:c>
      <x:c r="N16" s="81" t="s">
        <x:v>66</x:v>
      </x:c>
      <x:c r="O16" s="76"/>
      <x:c r="P16" s="82"/>
      <x:c r="Q16" s="82"/>
      <x:c r="R16" s="82"/>
      <x:c r="S16" s="82"/>
      <x:c r="T16" s="82"/>
      <x:c r="U16" s="82"/>
      <x:c r="V16" s="82"/>
      <x:c r="W16" s="82"/>
      <x:c r="X16" s="82"/>
      <x:c r="Y16" s="82"/>
      <x:c r="Z16" s="82"/>
      <x:c r="AA16" s="82"/>
      <x:c r="AB16" s="77"/>
      <x:c r="AC16" s="83"/>
      <x:c r="AD16" s="82"/>
      <x:c r="AE16" s="82"/>
      <x:c r="AF16" s="82"/>
      <x:c r="AG16" s="82"/>
      <x:c r="AH16" s="82"/>
      <x:c r="AI16" s="82"/>
      <x:c r="AJ16" s="82"/>
      <x:c r="AK16" s="82"/>
      <x:c r="AL16" s="82"/>
      <x:c r="AM16" s="82"/>
      <x:c r="AN16" s="82"/>
      <x:c r="AO16" s="82"/>
      <x:c r="AP16" s="77"/>
      <x:c r="AQ16" s="76"/>
      <x:c r="AR16" s="82"/>
      <x:c r="AS16" s="82"/>
      <x:c r="AT16" s="82"/>
      <x:c r="AU16" s="82"/>
      <x:c r="AV16" s="82"/>
      <x:c r="AW16" s="82"/>
      <x:c r="AX16" s="84"/>
      <x:c r="AY16" s="85"/>
      <x:c r="AZ16" s="84"/>
      <x:c r="BA16" s="84"/>
      <x:c r="BB16" s="84"/>
      <x:c r="BC16" s="82"/>
      <x:c r="BD16" s="77"/>
      <x:c r="BE16" s="76"/>
      <x:c r="BF16" s="82"/>
      <x:c r="BG16" s="82"/>
      <x:c r="BH16" s="82"/>
      <x:c r="BI16" s="82"/>
      <x:c r="BJ16" s="82"/>
      <x:c r="BK16" s="82"/>
      <x:c r="BL16" s="82"/>
      <x:c r="BM16" s="82"/>
      <x:c r="BN16" s="82"/>
      <x:c r="BO16" s="82"/>
      <x:c r="BP16" s="82"/>
      <x:c r="BQ16" s="82"/>
      <x:c r="BR16" s="77"/>
      <x:c r="BS16" s="76"/>
      <x:c r="BT16" s="82"/>
      <x:c r="BU16" s="82"/>
      <x:c r="BV16" s="82"/>
      <x:c r="BW16" s="82"/>
      <x:c r="BX16" s="82"/>
      <x:c r="BY16" s="82"/>
      <x:c r="BZ16" s="82"/>
      <x:c r="CA16" s="82"/>
      <x:c r="CB16" s="82"/>
      <x:c r="CC16" s="82"/>
      <x:c r="CD16" s="82"/>
      <x:c r="CE16" s="82"/>
      <x:c r="CF16" s="77"/>
      <x:c r="CG16" s="76"/>
      <x:c r="CH16" s="82"/>
      <x:c r="CI16" s="82"/>
      <x:c r="CJ16" s="82"/>
      <x:c r="CK16" s="82"/>
      <x:c r="CL16" s="82"/>
      <x:c r="CM16" s="82"/>
      <x:c r="CN16" s="82"/>
      <x:c r="CO16" s="82"/>
      <x:c r="CP16" s="82"/>
      <x:c r="CQ16" s="82"/>
      <x:c r="CR16" s="82"/>
      <x:c r="CS16" s="82"/>
      <x:c r="CT16" s="77"/>
      <x:c r="CU16" s="78"/>
    </x:row>
    <x:row r="17">
      <x:c r="A17" s="1" t="s">
        <x:v>52</x:v>
      </x:c>
      <x:c r="B17" s="1" t="s">
        <x:v>72</x:v>
      </x:c>
      <x:c r="C17" s="1" t="s">
        <x:v>73</x:v>
      </x:c>
      <x:c r="D17" s="4" t="s">
        <x:v>74</x:v>
      </x:c>
      <x:c r="E17" s="23"/>
      <x:c r="F17" s="145" t="str">
        <x:f>IF(B17&lt;&gt;"", IF(B17=B10, "", B17), "")</x:f>
        <x:v>A</x:v>
      </x:c>
      <x:c r="G17" s="118" t="str">
        <x:f>IF(C17&lt;&gt;"", IF(C17=C10, "", C17), "")</x:f>
        <x:v>事前準備</x:v>
      </x:c>
      <x:c r="H17" s="135" t="str">
        <x:f>IF(D17&lt;&gt;"", IF(D17=D10, "", D17), "")</x:f>
        <x:v>Dataviz構成図整理</x:v>
      </x:c>
      <x:c r="I17" s="65" t="s">
        <x:v>75</x:v>
      </x:c>
      <x:c r="J17" s="67" t="s">
        <x:v>76</x:v>
      </x:c>
      <x:c r="K17" s="141" t="s">
        <x:v>77</x:v>
      </x:c>
      <x:c r="L17" s="69">
        <x:v>46212</x:v>
      </x:c>
      <x:c r="M17" s="70">
        <x:v>46213</x:v>
      </x:c>
      <x:c r="N17" s="71" t="s">
        <x:v>56</x:v>
      </x:c>
      <x:c r="O17" s="65"/>
      <x:c r="P17" s="72"/>
      <x:c r="Q17" s="72"/>
      <x:c r="R17" s="72"/>
      <x:c r="S17" s="72"/>
      <x:c r="T17" s="72"/>
      <x:c r="U17" s="72"/>
      <x:c r="V17" s="72"/>
      <x:c r="W17" s="72"/>
      <x:c r="X17" s="72"/>
      <x:c r="Y17" s="72"/>
      <x:c r="Z17" s="72"/>
      <x:c r="AA17" s="72"/>
      <x:c r="AB17" s="67"/>
      <x:c r="AC17" s="73"/>
      <x:c r="AD17" s="72"/>
      <x:c r="AE17" s="72"/>
      <x:c r="AF17" s="72"/>
      <x:c r="AG17" s="72"/>
      <x:c r="AH17" s="72"/>
      <x:c r="AI17" s="72"/>
      <x:c r="AJ17" s="72"/>
      <x:c r="AK17" s="72"/>
      <x:c r="AL17" s="72"/>
      <x:c r="AM17" s="72"/>
      <x:c r="AN17" s="72"/>
      <x:c r="AO17" s="72"/>
      <x:c r="AP17" s="67"/>
      <x:c r="AQ17" s="65"/>
      <x:c r="AR17" s="72"/>
      <x:c r="AS17" s="72"/>
      <x:c r="AT17" s="72"/>
      <x:c r="AU17" s="72"/>
      <x:c r="AV17" s="72"/>
      <x:c r="AW17" s="72"/>
      <x:c r="AX17" s="74"/>
      <x:c r="AY17" s="75"/>
      <x:c r="AZ17" s="74"/>
      <x:c r="BA17" s="74"/>
      <x:c r="BB17" s="74"/>
      <x:c r="BC17" s="72"/>
      <x:c r="BD17" s="67"/>
      <x:c r="BE17" s="65"/>
      <x:c r="BF17" s="72"/>
      <x:c r="BG17" s="72"/>
      <x:c r="BH17" s="72"/>
      <x:c r="BI17" s="72"/>
      <x:c r="BJ17" s="72"/>
      <x:c r="BK17" s="72"/>
      <x:c r="BL17" s="72"/>
      <x:c r="BM17" s="72"/>
      <x:c r="BN17" s="72"/>
      <x:c r="BO17" s="72"/>
      <x:c r="BP17" s="72"/>
      <x:c r="BQ17" s="72"/>
      <x:c r="BR17" s="67"/>
      <x:c r="BS17" s="65"/>
      <x:c r="BT17" s="72"/>
      <x:c r="BU17" s="72"/>
      <x:c r="BV17" s="72"/>
      <x:c r="BW17" s="72"/>
      <x:c r="BX17" s="72"/>
      <x:c r="BY17" s="72"/>
      <x:c r="BZ17" s="72"/>
      <x:c r="CA17" s="72"/>
      <x:c r="CB17" s="72"/>
      <x:c r="CC17" s="72"/>
      <x:c r="CD17" s="72"/>
      <x:c r="CE17" s="72"/>
      <x:c r="CF17" s="67"/>
      <x:c r="CG17" s="65"/>
      <x:c r="CH17" s="72"/>
      <x:c r="CI17" s="72"/>
      <x:c r="CJ17" s="72"/>
      <x:c r="CK17" s="72"/>
      <x:c r="CL17" s="72"/>
      <x:c r="CM17" s="72"/>
      <x:c r="CN17" s="72"/>
      <x:c r="CO17" s="72"/>
      <x:c r="CP17" s="72"/>
      <x:c r="CQ17" s="72"/>
      <x:c r="CR17" s="72"/>
      <x:c r="CS17" s="72"/>
      <x:c r="CT17" s="67"/>
      <x:c r="CU17" s="68"/>
    </x:row>
    <x:row r="18">
      <x:c r="A18" s="1" t="s">
        <x:v>52</x:v>
      </x:c>
      <x:c r="B18" s="1" t="s">
        <x:v>78</x:v>
      </x:c>
      <x:c r="C18" s="1" t="s">
        <x:v>73</x:v>
      </x:c>
      <x:c r="D18" s="4" t="s">
        <x:v>79</x:v>
      </x:c>
      <x:c r="E18" s="23"/>
      <x:c r="F18" s="144" t="str">
        <x:f>IF(B18&lt;&gt;"", IF(B18=B11, "", B18), "")</x:f>
        <x:v>B</x:v>
      </x:c>
      <x:c r="G18" s="57"/>
      <x:c r="H18" s="131" t="str">
        <x:f>IF(D18&lt;&gt;"", IF(D18=D11, "", D18), "")</x:f>
        <x:v>WBS作成</x:v>
      </x:c>
      <x:c r="I18" s="32" t="s">
        <x:v>75</x:v>
      </x:c>
      <x:c r="J18" s="22" t="s">
        <x:v>80</x:v>
      </x:c>
      <x:c r="K18" s="142" t="s">
        <x:v>81</x:v>
      </x:c>
      <x:c r="L18" s="36">
        <x:v>46212</x:v>
      </x:c>
      <x:c r="M18" s="39">
        <x:v>46213</x:v>
      </x:c>
      <x:c r="N18" s="41" t="s">
        <x:v>56</x:v>
      </x:c>
      <x:c r="O18" s="32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22"/>
      <x:c r="AC18" s="54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22"/>
      <x:c r="AQ18" s="32"/>
      <x:c r="AR18" s="19"/>
      <x:c r="AS18" s="19"/>
      <x:c r="AT18" s="19"/>
      <x:c r="AU18" s="19"/>
      <x:c r="AV18" s="19"/>
      <x:c r="AW18" s="19"/>
      <x:c r="AX18" s="21"/>
      <x:c r="AY18" s="20"/>
      <x:c r="AZ18" s="21"/>
      <x:c r="BA18" s="21"/>
      <x:c r="BB18" s="21"/>
      <x:c r="BC18" s="19"/>
      <x:c r="BD18" s="22"/>
      <x:c r="BE18" s="32"/>
      <x:c r="BF18" s="19"/>
      <x:c r="BG18" s="19"/>
      <x:c r="BH18" s="19"/>
      <x:c r="BI18" s="19"/>
      <x:c r="BJ18" s="19"/>
      <x:c r="BK18" s="19"/>
      <x:c r="BL18" s="19"/>
      <x:c r="BM18" s="19"/>
      <x:c r="BN18" s="19"/>
      <x:c r="BO18" s="19"/>
      <x:c r="BP18" s="19"/>
      <x:c r="BQ18" s="19"/>
      <x:c r="BR18" s="22"/>
      <x:c r="BS18" s="32"/>
      <x:c r="BT18" s="19"/>
      <x:c r="BU18" s="19"/>
      <x:c r="BV18" s="19"/>
      <x:c r="BW18" s="19"/>
      <x:c r="BX18" s="19"/>
      <x:c r="BY18" s="19"/>
      <x:c r="BZ18" s="19"/>
      <x:c r="CA18" s="19"/>
      <x:c r="CB18" s="19"/>
      <x:c r="CC18" s="19"/>
      <x:c r="CD18" s="19"/>
      <x:c r="CE18" s="19"/>
      <x:c r="CF18" s="22"/>
      <x:c r="CG18" s="32"/>
      <x:c r="CH18" s="19"/>
      <x:c r="CI18" s="19"/>
      <x:c r="CJ18" s="19"/>
      <x:c r="CK18" s="19"/>
      <x:c r="CL18" s="19"/>
      <x:c r="CM18" s="19"/>
      <x:c r="CN18" s="19"/>
      <x:c r="CO18" s="19"/>
      <x:c r="CP18" s="19"/>
      <x:c r="CQ18" s="19"/>
      <x:c r="CR18" s="19"/>
      <x:c r="CS18" s="19"/>
      <x:c r="CT18" s="22"/>
      <x:c r="CU18" s="29"/>
    </x:row>
    <x:row r="19">
      <x:c r="A19" s="1" t="s">
        <x:v>52</x:v>
      </x:c>
      <x:c r="B19" s="1">
        <x:v>13</x:v>
      </x:c>
      <x:c r="C19" s="1" t="s">
        <x:v>82</x:v>
      </x:c>
      <x:c r="D19" s="4" t="s">
        <x:v>83</x:v>
      </x:c>
      <x:c r="E19" s="23" t="str">
        <x:f>IF(A19&lt;&gt;"", IF(A19=A16, "", A19), "")</x:f>
      </x:c>
      <x:c r="F19" s="145" t="n">
        <x:f>IF(B19&lt;&gt;"", IF(B19=B16, "", B19), "")</x:f>
        <x:v>13</x:v>
      </x:c>
      <x:c r="G19" s="118" t="str">
        <x:f>IF(C19&lt;&gt;"", IF(C19=C16, "", C19), "")</x:f>
        <x:v>権限設計</x:v>
      </x:c>
      <x:c r="H19" s="135" t="str">
        <x:f>IF(D19&lt;&gt;"", IF(D19=D16, "", D19), "")</x:f>
        <x:v>各販社のユーザー情報収集</x:v>
      </x:c>
      <x:c r="I19" s="65" t="s">
        <x:v>55</x:v>
      </x:c>
      <x:c r="J19" s="67" t="s">
        <x:v>55</x:v>
      </x:c>
      <x:c r="K19" s="27" t="s">
        <x:v>30</x:v>
      </x:c>
      <x:c r="L19" s="69">
        <x:v>46216</x:v>
      </x:c>
      <x:c r="M19" s="70">
        <x:v>46220</x:v>
      </x:c>
      <x:c r="N19" s="71" t="s">
        <x:v>66</x:v>
      </x:c>
      <x:c r="O19" s="65"/>
      <x:c r="P19" s="72"/>
      <x:c r="Q19" s="72"/>
      <x:c r="R19" s="72"/>
      <x:c r="S19" s="72"/>
      <x:c r="T19" s="72"/>
      <x:c r="U19" s="72"/>
      <x:c r="V19" s="72"/>
      <x:c r="W19" s="72"/>
      <x:c r="X19" s="72"/>
      <x:c r="Y19" s="72"/>
      <x:c r="Z19" s="72"/>
      <x:c r="AA19" s="72"/>
      <x:c r="AB19" s="67"/>
      <x:c r="AC19" s="73"/>
      <x:c r="AD19" s="72"/>
      <x:c r="AE19" s="72"/>
      <x:c r="AF19" s="72"/>
      <x:c r="AG19" s="72"/>
      <x:c r="AH19" s="72"/>
      <x:c r="AI19" s="72"/>
      <x:c r="AJ19" s="72"/>
      <x:c r="AK19" s="72"/>
      <x:c r="AL19" s="72"/>
      <x:c r="AM19" s="72"/>
      <x:c r="AN19" s="72"/>
      <x:c r="AO19" s="72"/>
      <x:c r="AP19" s="67"/>
      <x:c r="AQ19" s="65"/>
      <x:c r="AR19" s="72"/>
      <x:c r="AS19" s="72"/>
      <x:c r="AT19" s="72"/>
      <x:c r="AU19" s="72"/>
      <x:c r="AV19" s="72"/>
      <x:c r="AW19" s="72"/>
      <x:c r="AX19" s="74"/>
      <x:c r="AY19" s="75"/>
      <x:c r="AZ19" s="74"/>
      <x:c r="BA19" s="74"/>
      <x:c r="BB19" s="74"/>
      <x:c r="BC19" s="72"/>
      <x:c r="BD19" s="67"/>
      <x:c r="BE19" s="65"/>
      <x:c r="BF19" s="72"/>
      <x:c r="BG19" s="72"/>
      <x:c r="BH19" s="72"/>
      <x:c r="BI19" s="72"/>
      <x:c r="BJ19" s="72"/>
      <x:c r="BK19" s="72"/>
      <x:c r="BL19" s="72"/>
      <x:c r="BM19" s="72"/>
      <x:c r="BN19" s="72"/>
      <x:c r="BO19" s="72"/>
      <x:c r="BP19" s="72"/>
      <x:c r="BQ19" s="72"/>
      <x:c r="BR19" s="67"/>
      <x:c r="BS19" s="65"/>
      <x:c r="BT19" s="72"/>
      <x:c r="BU19" s="72"/>
      <x:c r="BV19" s="72"/>
      <x:c r="BW19" s="72"/>
      <x:c r="BX19" s="72"/>
      <x:c r="BY19" s="72"/>
      <x:c r="BZ19" s="72"/>
      <x:c r="CA19" s="72"/>
      <x:c r="CB19" s="72"/>
      <x:c r="CC19" s="72"/>
      <x:c r="CD19" s="72"/>
      <x:c r="CE19" s="72"/>
      <x:c r="CF19" s="67"/>
      <x:c r="CG19" s="65"/>
      <x:c r="CH19" s="72"/>
      <x:c r="CI19" s="72"/>
      <x:c r="CJ19" s="72"/>
      <x:c r="CK19" s="72"/>
      <x:c r="CL19" s="72"/>
      <x:c r="CM19" s="72"/>
      <x:c r="CN19" s="72"/>
      <x:c r="CO19" s="72"/>
      <x:c r="CP19" s="72"/>
      <x:c r="CQ19" s="72"/>
      <x:c r="CR19" s="72"/>
      <x:c r="CS19" s="72"/>
      <x:c r="CT19" s="67"/>
      <x:c r="CU19" s="68"/>
    </x:row>
    <x:row r="20">
      <x:c r="A20" s="1" t="s">
        <x:v>52</x:v>
      </x:c>
      <x:c r="B20" s="1">
        <x:v>14</x:v>
      </x:c>
      <x:c r="C20" s="1" t="s">
        <x:v>82</x:v>
      </x:c>
      <x:c r="D20" s="4" t="s">
        <x:v>84</x:v>
      </x:c>
      <x:c r="E20" s="23" t="str">
        <x:f t="shared" si="0"/>
      </x:c>
      <x:c r="F20" s="149">
        <x:f t="shared" si="2"/>
        <x:v>14</x:v>
      </x:c>
      <x:c r="G20" s="57" t="str">
        <x:f t="shared" si="4"/>
      </x:c>
      <x:c r="H20" s="130" t="str">
        <x:f t="shared" si="3"/>
        <x:v>Ranger権限設定のデモのスクリプト作成とインフラチームへの説明</x:v>
      </x:c>
      <x:c r="I20" s="31" t="s">
        <x:v>55</x:v>
      </x:c>
      <x:c r="J20" s="18" t="s">
        <x:v>55</x:v>
      </x:c>
      <x:c r="K20" s="28" t="s">
        <x:v>30</x:v>
      </x:c>
      <x:c r="L20" s="35">
        <x:v>46224</x:v>
      </x:c>
      <x:c r="M20" s="38">
        <x:v>46227</x:v>
      </x:c>
      <x:c r="N20" s="41" t="s">
        <x:v>66</x:v>
      </x:c>
      <x:c r="O20" s="31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8"/>
      <x:c r="AC20" s="53"/>
      <x:c r="AD20" s="10"/>
      <x:c r="AE20" s="10"/>
      <x:c r="AF20" s="10"/>
      <x:c r="AG20" s="10"/>
      <x:c r="AH20" s="10"/>
      <x:c r="AI20" s="10"/>
      <x:c r="AJ20" s="10"/>
      <x:c r="AK20" s="10"/>
      <x:c r="AL20" s="10"/>
      <x:c r="AM20" s="10"/>
      <x:c r="AN20" s="10"/>
      <x:c r="AO20" s="10"/>
      <x:c r="AP20" s="18"/>
      <x:c r="AQ20" s="31"/>
      <x:c r="AR20" s="10"/>
      <x:c r="AS20" s="10"/>
      <x:c r="AT20" s="10"/>
      <x:c r="AU20" s="10"/>
      <x:c r="AV20" s="10"/>
      <x:c r="AW20" s="10"/>
      <x:c r="AX20" s="12"/>
      <x:c r="AY20" s="11"/>
      <x:c r="AZ20" s="12"/>
      <x:c r="BA20" s="12"/>
      <x:c r="BB20" s="12"/>
      <x:c r="BC20" s="10"/>
      <x:c r="BD20" s="18"/>
      <x:c r="BE20" s="31"/>
      <x:c r="BF20" s="10"/>
      <x:c r="BG20" s="10"/>
      <x:c r="BH20" s="10"/>
      <x:c r="BI20" s="10"/>
      <x:c r="BJ20" s="10"/>
      <x:c r="BK20" s="10"/>
      <x:c r="BL20" s="10"/>
      <x:c r="BM20" s="10"/>
      <x:c r="BN20" s="10"/>
      <x:c r="BO20" s="10"/>
      <x:c r="BP20" s="10"/>
      <x:c r="BQ20" s="10"/>
      <x:c r="BR20" s="18"/>
      <x:c r="BS20" s="31"/>
      <x:c r="BT20" s="10"/>
      <x:c r="BU20" s="10"/>
      <x:c r="BV20" s="10"/>
      <x:c r="BW20" s="10"/>
      <x:c r="BX20" s="10"/>
      <x:c r="BY20" s="10"/>
      <x:c r="BZ20" s="10"/>
      <x:c r="CA20" s="10"/>
      <x:c r="CB20" s="10"/>
      <x:c r="CC20" s="10"/>
      <x:c r="CD20" s="10"/>
      <x:c r="CE20" s="10"/>
      <x:c r="CF20" s="18"/>
      <x:c r="CG20" s="31"/>
      <x:c r="CH20" s="10"/>
      <x:c r="CI20" s="10"/>
      <x:c r="CJ20" s="10"/>
      <x:c r="CK20" s="10"/>
      <x:c r="CL20" s="10"/>
      <x:c r="CM20" s="10"/>
      <x:c r="CN20" s="10"/>
      <x:c r="CO20" s="10"/>
      <x:c r="CP20" s="10"/>
      <x:c r="CQ20" s="10"/>
      <x:c r="CR20" s="10"/>
      <x:c r="CS20" s="10"/>
      <x:c r="CT20" s="18"/>
      <x:c r="CU20" s="28"/>
    </x:row>
    <x:row r="21">
      <x:c r="A21" s="1" t="s">
        <x:v>52</x:v>
      </x:c>
      <x:c r="B21" s="1" t="s">
        <x:v>85</x:v>
      </x:c>
      <x:c r="C21" s="1" t="s">
        <x:v>82</x:v>
      </x:c>
      <x:c r="D21" s="4" t="s">
        <x:v>86</x:v>
      </x:c>
      <x:c r="E21" s="23"/>
      <x:c r="F21" s="149" t="str">
        <x:f t="shared" si="2"/>
        <x:v>C</x:v>
      </x:c>
      <x:c r="G21" s="57" t="str">
        <x:f t="shared" si="4"/>
      </x:c>
      <x:c r="H21" s="130" t="str">
        <x:f t="shared" si="3"/>
        <x:v>Ranger権限設定のレビュー（Clouderaに連携）</x:v>
      </x:c>
      <x:c r="I21" s="126" t="s">
        <x:v>75</x:v>
      </x:c>
      <x:c r="J21" s="34"/>
      <x:c r="K21" s="28"/>
      <x:c r="L21" s="35">
        <x:v>46212</x:v>
      </x:c>
      <x:c r="M21" s="38">
        <x:v>46218</x:v>
      </x:c>
      <x:c r="N21" s="41" t="s">
        <x:v>66</x:v>
      </x:c>
      <x:c r="O21" s="31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  <x:c r="AA21" s="10"/>
      <x:c r="AB21" s="18"/>
      <x:c r="AC21" s="53"/>
      <x:c r="AD21" s="10"/>
      <x:c r="AE21" s="10"/>
      <x:c r="AF21" s="10"/>
      <x:c r="AG21" s="10"/>
      <x:c r="AH21" s="10"/>
      <x:c r="AI21" s="10"/>
      <x:c r="AJ21" s="10"/>
      <x:c r="AK21" s="10"/>
      <x:c r="AL21" s="10"/>
      <x:c r="AM21" s="10"/>
      <x:c r="AN21" s="10"/>
      <x:c r="AO21" s="10"/>
      <x:c r="AP21" s="18"/>
      <x:c r="AQ21" s="31"/>
      <x:c r="AR21" s="10"/>
      <x:c r="AS21" s="10"/>
      <x:c r="AT21" s="10"/>
      <x:c r="AU21" s="10"/>
      <x:c r="AV21" s="10"/>
      <x:c r="AW21" s="10"/>
      <x:c r="AX21" s="12"/>
      <x:c r="AY21" s="11"/>
      <x:c r="AZ21" s="12"/>
      <x:c r="BA21" s="12"/>
      <x:c r="BB21" s="12"/>
      <x:c r="BC21" s="10"/>
      <x:c r="BD21" s="18"/>
      <x:c r="BE21" s="31"/>
      <x:c r="BF21" s="10"/>
      <x:c r="BG21" s="10"/>
      <x:c r="BH21" s="10"/>
      <x:c r="BI21" s="10"/>
      <x:c r="BJ21" s="10"/>
      <x:c r="BK21" s="10"/>
      <x:c r="BL21" s="10"/>
      <x:c r="BM21" s="10"/>
      <x:c r="BN21" s="10"/>
      <x:c r="BO21" s="10"/>
      <x:c r="BP21" s="10"/>
      <x:c r="BQ21" s="10"/>
      <x:c r="BR21" s="18"/>
      <x:c r="BS21" s="31"/>
      <x:c r="BT21" s="10"/>
      <x:c r="BU21" s="10"/>
      <x:c r="BV21" s="10"/>
      <x:c r="BW21" s="10"/>
      <x:c r="BX21" s="10"/>
      <x:c r="BY21" s="10"/>
      <x:c r="BZ21" s="10"/>
      <x:c r="CA21" s="10"/>
      <x:c r="CB21" s="10"/>
      <x:c r="CC21" s="10"/>
      <x:c r="CD21" s="10"/>
      <x:c r="CE21" s="10"/>
      <x:c r="CF21" s="18"/>
      <x:c r="CG21" s="31"/>
      <x:c r="CH21" s="10"/>
      <x:c r="CI21" s="10"/>
      <x:c r="CJ21" s="10"/>
      <x:c r="CK21" s="10"/>
      <x:c r="CL21" s="10"/>
      <x:c r="CM21" s="10"/>
      <x:c r="CN21" s="10"/>
      <x:c r="CO21" s="10"/>
      <x:c r="CP21" s="10"/>
      <x:c r="CQ21" s="10"/>
      <x:c r="CR21" s="10"/>
      <x:c r="CS21" s="10"/>
      <x:c r="CT21" s="18"/>
      <x:c r="CU21" s="28"/>
    </x:row>
    <x:row r="22">
      <x:c r="A22" s="1" t="s">
        <x:v>52</x:v>
      </x:c>
      <x:c r="B22" s="1">
        <x:v>15</x:v>
      </x:c>
      <x:c r="C22" s="1" t="s">
        <x:v>82</x:v>
      </x:c>
      <x:c r="D22" s="4" t="s">
        <x:v>87</x:v>
      </x:c>
      <x:c r="E22" s="23" t="str">
        <x:f>IF(A22&lt;&gt;"", IF(A22=A20, "", A22), "")</x:f>
      </x:c>
      <x:c r="F22" s="149">
        <x:f t="shared" si="2"/>
        <x:v>15</x:v>
      </x:c>
      <x:c r="G22" s="57" t="str">
        <x:f t="shared" si="4"/>
      </x:c>
      <x:c r="H22" s="130" t="str">
        <x:f t="shared" si="3"/>
        <x:v>各販社ユーザー向けRangeロール作成（検証環境）</x:v>
      </x:c>
      <x:c r="I22" s="126" t="s">
        <x:v>75</x:v>
      </x:c>
      <x:c r="J22" s="18"/>
      <x:c r="K22" s="28"/>
      <x:c r="L22" s="35">
        <x:v>46230</x:v>
      </x:c>
      <x:c r="M22" s="38">
        <x:v>46234</x:v>
      </x:c>
      <x:c r="N22" s="41" t="s">
        <x:v>66</x:v>
      </x:c>
      <x:c r="O22" s="31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8"/>
      <x:c r="AC22" s="53"/>
      <x:c r="AD22" s="10"/>
      <x:c r="AE22" s="10"/>
      <x:c r="AF22" s="10"/>
      <x:c r="AG22" s="10"/>
      <x:c r="AH22" s="10"/>
      <x:c r="AI22" s="10"/>
      <x:c r="AJ22" s="10"/>
      <x:c r="AK22" s="10"/>
      <x:c r="AL22" s="10"/>
      <x:c r="AM22" s="10"/>
      <x:c r="AN22" s="10"/>
      <x:c r="AO22" s="10"/>
      <x:c r="AP22" s="18"/>
      <x:c r="AQ22" s="31"/>
      <x:c r="AR22" s="10"/>
      <x:c r="AS22" s="10"/>
      <x:c r="AT22" s="10"/>
      <x:c r="AU22" s="10"/>
      <x:c r="AV22" s="10"/>
      <x:c r="AW22" s="10"/>
      <x:c r="AX22" s="12"/>
      <x:c r="AY22" s="11"/>
      <x:c r="AZ22" s="12"/>
      <x:c r="BA22" s="12"/>
      <x:c r="BB22" s="12"/>
      <x:c r="BC22" s="10"/>
      <x:c r="BD22" s="18"/>
      <x:c r="BE22" s="31"/>
      <x:c r="BF22" s="10"/>
      <x:c r="BG22" s="10"/>
      <x:c r="BH22" s="10"/>
      <x:c r="BI22" s="10"/>
      <x:c r="BJ22" s="10"/>
      <x:c r="BK22" s="10"/>
      <x:c r="BL22" s="10"/>
      <x:c r="BM22" s="10"/>
      <x:c r="BN22" s="10"/>
      <x:c r="BO22" s="10"/>
      <x:c r="BP22" s="10"/>
      <x:c r="BQ22" s="10"/>
      <x:c r="BR22" s="18"/>
      <x:c r="BS22" s="31"/>
      <x:c r="BT22" s="10"/>
      <x:c r="BU22" s="10"/>
      <x:c r="BV22" s="10"/>
      <x:c r="BW22" s="10"/>
      <x:c r="BX22" s="10"/>
      <x:c r="BY22" s="10"/>
      <x:c r="BZ22" s="10"/>
      <x:c r="CA22" s="10"/>
      <x:c r="CB22" s="10"/>
      <x:c r="CC22" s="10"/>
      <x:c r="CD22" s="10"/>
      <x:c r="CE22" s="10"/>
      <x:c r="CF22" s="18"/>
      <x:c r="CG22" s="31"/>
      <x:c r="CH22" s="10"/>
      <x:c r="CI22" s="10"/>
      <x:c r="CJ22" s="10"/>
      <x:c r="CK22" s="10"/>
      <x:c r="CL22" s="10"/>
      <x:c r="CM22" s="10"/>
      <x:c r="CN22" s="10"/>
      <x:c r="CO22" s="10"/>
      <x:c r="CP22" s="10"/>
      <x:c r="CQ22" s="10"/>
      <x:c r="CR22" s="10"/>
      <x:c r="CS22" s="10"/>
      <x:c r="CT22" s="18"/>
      <x:c r="CU22" s="28"/>
    </x:row>
    <x:row r="23">
      <x:c r="A23" s="1" t="s">
        <x:v>52</x:v>
      </x:c>
      <x:c r="B23" s="1">
        <x:v>16</x:v>
      </x:c>
      <x:c r="C23" s="1" t="s">
        <x:v>82</x:v>
      </x:c>
      <x:c r="D23" s="4" t="s">
        <x:v>88</x:v>
      </x:c>
      <x:c r="E23" s="23" t="str">
        <x:f t="shared" si="0"/>
      </x:c>
      <x:c r="F23" s="149">
        <x:f t="shared" si="2"/>
        <x:v>16</x:v>
      </x:c>
      <x:c r="G23" s="57" t="str">
        <x:f t="shared" si="4"/>
      </x:c>
      <x:c r="H23" s="130" t="str">
        <x:f t="shared" si="3"/>
        <x:v>各販社ユーザー向けユーザ権限付与（検証環境）</x:v>
      </x:c>
      <x:c r="I23" s="126" t="s">
        <x:v>75</x:v>
      </x:c>
      <x:c r="J23" s="18"/>
      <x:c r="K23" s="28"/>
      <x:c r="L23" s="35">
        <x:v>46230</x:v>
      </x:c>
      <x:c r="M23" s="38">
        <x:v>46234</x:v>
      </x:c>
      <x:c r="N23" s="41" t="s">
        <x:v>66</x:v>
      </x:c>
      <x:c r="O23" s="31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8"/>
      <x:c r="AC23" s="53"/>
      <x:c r="AD23" s="10"/>
      <x:c r="AE23" s="10"/>
      <x:c r="AF23" s="10"/>
      <x:c r="AG23" s="10"/>
      <x:c r="AH23" s="10"/>
      <x:c r="AI23" s="10"/>
      <x:c r="AJ23" s="10"/>
      <x:c r="AK23" s="10"/>
      <x:c r="AL23" s="10"/>
      <x:c r="AM23" s="10"/>
      <x:c r="AN23" s="10"/>
      <x:c r="AO23" s="10"/>
      <x:c r="AP23" s="18"/>
      <x:c r="AQ23" s="31"/>
      <x:c r="AR23" s="10"/>
      <x:c r="AS23" s="10"/>
      <x:c r="AT23" s="10"/>
      <x:c r="AU23" s="10"/>
      <x:c r="AV23" s="10"/>
      <x:c r="AW23" s="10"/>
      <x:c r="AX23" s="12"/>
      <x:c r="AY23" s="11"/>
      <x:c r="AZ23" s="12"/>
      <x:c r="BA23" s="12"/>
      <x:c r="BB23" s="12"/>
      <x:c r="BC23" s="10"/>
      <x:c r="BD23" s="18"/>
      <x:c r="BE23" s="31"/>
      <x:c r="BF23" s="10"/>
      <x:c r="BG23" s="10"/>
      <x:c r="BH23" s="10"/>
      <x:c r="BI23" s="10"/>
      <x:c r="BJ23" s="10"/>
      <x:c r="BK23" s="10"/>
      <x:c r="BL23" s="10"/>
      <x:c r="BM23" s="10"/>
      <x:c r="BN23" s="10"/>
      <x:c r="BO23" s="10"/>
      <x:c r="BP23" s="10"/>
      <x:c r="BQ23" s="10"/>
      <x:c r="BR23" s="18"/>
      <x:c r="BS23" s="31"/>
      <x:c r="BT23" s="10"/>
      <x:c r="BU23" s="10"/>
      <x:c r="BV23" s="10"/>
      <x:c r="BW23" s="10"/>
      <x:c r="BX23" s="10"/>
      <x:c r="BY23" s="10"/>
      <x:c r="BZ23" s="10"/>
      <x:c r="CA23" s="10"/>
      <x:c r="CB23" s="10"/>
      <x:c r="CC23" s="10"/>
      <x:c r="CD23" s="10"/>
      <x:c r="CE23" s="10"/>
      <x:c r="CF23" s="18"/>
      <x:c r="CG23" s="31"/>
      <x:c r="CH23" s="10"/>
      <x:c r="CI23" s="10"/>
      <x:c r="CJ23" s="10"/>
      <x:c r="CK23" s="10"/>
      <x:c r="CL23" s="10"/>
      <x:c r="CM23" s="10"/>
      <x:c r="CN23" s="10"/>
      <x:c r="CO23" s="10"/>
      <x:c r="CP23" s="10"/>
      <x:c r="CQ23" s="10"/>
      <x:c r="CR23" s="10"/>
      <x:c r="CS23" s="10"/>
      <x:c r="CT23" s="18"/>
      <x:c r="CU23" s="28"/>
    </x:row>
    <x:row r="24">
      <x:c r="A24" s="1" t="s">
        <x:v>52</x:v>
      </x:c>
      <x:c r="B24" s="1">
        <x:v>17</x:v>
      </x:c>
      <x:c r="C24" s="1" t="s">
        <x:v>82</x:v>
      </x:c>
      <x:c r="D24" s="4" t="s">
        <x:v>89</x:v>
      </x:c>
      <x:c r="E24" s="23" t="str">
        <x:f t="shared" si="0"/>
      </x:c>
      <x:c r="F24" s="149">
        <x:f t="shared" si="2"/>
        <x:v>17</x:v>
      </x:c>
      <x:c r="G24" s="57" t="str">
        <x:f t="shared" si="4"/>
      </x:c>
      <x:c r="H24" s="130" t="str">
        <x:f t="shared" si="3"/>
        <x:v>Dataviz関連ユーザ権限設計レビュー（設計は６月にやった）</x:v>
      </x:c>
      <x:c r="I24" s="126" t="s">
        <x:v>55</x:v>
      </x:c>
      <x:c r="J24" s="18" t="s">
        <x:v>55</x:v>
      </x:c>
      <x:c r="K24" s="28" t="s">
        <x:v>30</x:v>
      </x:c>
      <x:c r="L24" s="35">
        <x:v>46209</x:v>
      </x:c>
      <x:c r="M24" s="38">
        <x:v>46220</x:v>
      </x:c>
      <x:c r="N24" s="41" t="s">
        <x:v>66</x:v>
      </x:c>
      <x:c r="O24" s="31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8"/>
      <x:c r="AC24" s="53"/>
      <x:c r="AD24" s="10"/>
      <x:c r="AE24" s="10"/>
      <x:c r="AF24" s="10"/>
      <x:c r="AG24" s="10"/>
      <x:c r="AH24" s="10"/>
      <x:c r="AI24" s="10"/>
      <x:c r="AJ24" s="10"/>
      <x:c r="AK24" s="10"/>
      <x:c r="AL24" s="10"/>
      <x:c r="AM24" s="10"/>
      <x:c r="AN24" s="10"/>
      <x:c r="AO24" s="10"/>
      <x:c r="AP24" s="18"/>
      <x:c r="AQ24" s="31"/>
      <x:c r="AR24" s="10"/>
      <x:c r="AS24" s="10"/>
      <x:c r="AT24" s="10"/>
      <x:c r="AU24" s="10"/>
      <x:c r="AV24" s="10"/>
      <x:c r="AW24" s="10"/>
      <x:c r="AX24" s="12"/>
      <x:c r="AY24" s="11"/>
      <x:c r="AZ24" s="12"/>
      <x:c r="BA24" s="12"/>
      <x:c r="BB24" s="12"/>
      <x:c r="BC24" s="10"/>
      <x:c r="BD24" s="18"/>
      <x:c r="BE24" s="31"/>
      <x:c r="BF24" s="10"/>
      <x:c r="BG24" s="10"/>
      <x:c r="BH24" s="10"/>
      <x:c r="BI24" s="10"/>
      <x:c r="BJ24" s="10"/>
      <x:c r="BK24" s="10"/>
      <x:c r="BL24" s="10"/>
      <x:c r="BM24" s="10"/>
      <x:c r="BN24" s="10"/>
      <x:c r="BO24" s="10"/>
      <x:c r="BP24" s="10"/>
      <x:c r="BQ24" s="10"/>
      <x:c r="BR24" s="18"/>
      <x:c r="BS24" s="31"/>
      <x:c r="BT24" s="10"/>
      <x:c r="BU24" s="10"/>
      <x:c r="BV24" s="10"/>
      <x:c r="BW24" s="10"/>
      <x:c r="BX24" s="10"/>
      <x:c r="BY24" s="10"/>
      <x:c r="BZ24" s="10"/>
      <x:c r="CA24" s="10"/>
      <x:c r="CB24" s="10"/>
      <x:c r="CC24" s="10"/>
      <x:c r="CD24" s="10"/>
      <x:c r="CE24" s="10"/>
      <x:c r="CF24" s="18"/>
      <x:c r="CG24" s="31"/>
      <x:c r="CH24" s="10"/>
      <x:c r="CI24" s="10"/>
      <x:c r="CJ24" s="10"/>
      <x:c r="CK24" s="10"/>
      <x:c r="CL24" s="10"/>
      <x:c r="CM24" s="10"/>
      <x:c r="CN24" s="10"/>
      <x:c r="CO24" s="10"/>
      <x:c r="CP24" s="10"/>
      <x:c r="CQ24" s="10"/>
      <x:c r="CR24" s="10"/>
      <x:c r="CS24" s="10"/>
      <x:c r="CT24" s="18"/>
      <x:c r="CU24" s="28"/>
    </x:row>
    <x:row r="25">
      <x:c r="A25" s="1" t="s">
        <x:v>52</x:v>
      </x:c>
      <x:c r="B25" s="1">
        <x:v>18</x:v>
      </x:c>
      <x:c r="C25" s="1" t="s">
        <x:v>82</x:v>
      </x:c>
      <x:c r="D25" s="4" t="s">
        <x:v>90</x:v>
      </x:c>
      <x:c r="E25" s="23" t="str">
        <x:f t="shared" si="0"/>
      </x:c>
      <x:c r="F25" s="146">
        <x:f t="shared" si="2"/>
        <x:v>18</x:v>
      </x:c>
      <x:c r="G25" s="134" t="str">
        <x:f t="shared" si="4"/>
      </x:c>
      <x:c r="H25" s="136" t="str">
        <x:f t="shared" si="3"/>
        <x:v>Dataviz関連ユーザ権限設計検証</x:v>
      </x:c>
      <x:c r="I25" s="128" t="s">
        <x:v>55</x:v>
      </x:c>
      <x:c r="J25" s="22" t="s">
        <x:v>55</x:v>
      </x:c>
      <x:c r="K25" s="29" t="s">
        <x:v>30</x:v>
      </x:c>
      <x:c r="L25" s="36">
        <x:v>46230</x:v>
      </x:c>
      <x:c r="M25" s="39">
        <x:v>46255</x:v>
      </x:c>
      <x:c r="N25" s="42" t="s">
        <x:v>66</x:v>
      </x:c>
      <x:c r="O25" s="32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  <x:c r="AA25" s="19"/>
      <x:c r="AB25" s="22"/>
      <x:c r="AC25" s="54"/>
      <x:c r="AD25" s="19"/>
      <x:c r="AE25" s="19"/>
      <x:c r="AF25" s="19"/>
      <x:c r="AG25" s="19"/>
      <x:c r="AH25" s="19"/>
      <x:c r="AI25" s="19"/>
      <x:c r="AJ25" s="19"/>
      <x:c r="AK25" s="19"/>
      <x:c r="AL25" s="19"/>
      <x:c r="AM25" s="19"/>
      <x:c r="AN25" s="19"/>
      <x:c r="AO25" s="19"/>
      <x:c r="AP25" s="22"/>
      <x:c r="AQ25" s="32"/>
      <x:c r="AR25" s="19"/>
      <x:c r="AS25" s="19"/>
      <x:c r="AT25" s="19"/>
      <x:c r="AU25" s="19"/>
      <x:c r="AV25" s="19"/>
      <x:c r="AW25" s="19"/>
      <x:c r="AX25" s="21"/>
      <x:c r="AY25" s="20"/>
      <x:c r="AZ25" s="21"/>
      <x:c r="BA25" s="21"/>
      <x:c r="BB25" s="21"/>
      <x:c r="BC25" s="19"/>
      <x:c r="BD25" s="22"/>
      <x:c r="BE25" s="32"/>
      <x:c r="BF25" s="19"/>
      <x:c r="BG25" s="19"/>
      <x:c r="BH25" s="19"/>
      <x:c r="BI25" s="19"/>
      <x:c r="BJ25" s="19"/>
      <x:c r="BK25" s="19"/>
      <x:c r="BL25" s="19"/>
      <x:c r="BM25" s="19"/>
      <x:c r="BN25" s="19"/>
      <x:c r="BO25" s="19"/>
      <x:c r="BP25" s="19"/>
      <x:c r="BQ25" s="19"/>
      <x:c r="BR25" s="22"/>
      <x:c r="BS25" s="32"/>
      <x:c r="BT25" s="19"/>
      <x:c r="BU25" s="19"/>
      <x:c r="BV25" s="19"/>
      <x:c r="BW25" s="19"/>
      <x:c r="BX25" s="19"/>
      <x:c r="BY25" s="19"/>
      <x:c r="BZ25" s="19"/>
      <x:c r="CA25" s="19"/>
      <x:c r="CB25" s="19"/>
      <x:c r="CC25" s="19"/>
      <x:c r="CD25" s="19"/>
      <x:c r="CE25" s="19"/>
      <x:c r="CF25" s="22"/>
      <x:c r="CG25" s="32"/>
      <x:c r="CH25" s="19"/>
      <x:c r="CI25" s="19"/>
      <x:c r="CJ25" s="19"/>
      <x:c r="CK25" s="19"/>
      <x:c r="CL25" s="19"/>
      <x:c r="CM25" s="19"/>
      <x:c r="CN25" s="19"/>
      <x:c r="CO25" s="19"/>
      <x:c r="CP25" s="19"/>
      <x:c r="CQ25" s="19"/>
      <x:c r="CR25" s="19"/>
      <x:c r="CS25" s="19"/>
      <x:c r="CT25" s="22"/>
      <x:c r="CU25" s="29"/>
    </x:row>
    <x:row r="26">
      <x:c r="A26" s="1" t="s">
        <x:v>52</x:v>
      </x:c>
      <x:c r="B26" s="1" t="s">
        <x:v>91</x:v>
      </x:c>
      <x:c r="C26" s="1" t="s">
        <x:v>92</x:v>
      </x:c>
      <x:c r="D26" s="4" t="s">
        <x:v>93</x:v>
      </x:c>
      <x:c r="E26" s="23"/>
      <x:c r="F26" s="143" t="str">
        <x:f t="shared" si="2"/>
        <x:v>D</x:v>
      </x:c>
      <x:c r="G26" s="57" t="str">
        <x:f t="shared" si="4"/>
        <x:v>認証方式変更</x:v>
      </x:c>
      <x:c r="H26" s="133" t="str">
        <x:f t="shared" si="3"/>
        <x:v>GAC申請</x:v>
      </x:c>
      <x:c r="I26" s="127" t="s">
        <x:v>75</x:v>
      </x:c>
      <x:c r="J26" s="104"/>
      <x:c r="K26" s="27"/>
      <x:c r="L26" s="14">
        <x:v>46212</x:v>
      </x:c>
      <x:c r="M26" s="37">
        <x:v>46218</x:v>
      </x:c>
      <x:c r="N26" s="40" t="s">
        <x:v>66</x:v>
      </x:c>
      <x:c r="O26" s="30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17"/>
      <x:c r="AC26" s="52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17"/>
      <x:c r="AQ26" s="30"/>
      <x:c r="AR26" s="7"/>
      <x:c r="AS26" s="7"/>
      <x:c r="AT26" s="7"/>
      <x:c r="AU26" s="7"/>
      <x:c r="AV26" s="7"/>
      <x:c r="AW26" s="7"/>
      <x:c r="AX26" s="9"/>
      <x:c r="AY26" s="8"/>
      <x:c r="AZ26" s="9"/>
      <x:c r="BA26" s="9"/>
      <x:c r="BB26" s="9"/>
      <x:c r="BC26" s="7"/>
      <x:c r="BD26" s="17"/>
      <x:c r="BE26" s="30"/>
      <x:c r="BF26" s="7"/>
      <x:c r="BG26" s="7"/>
      <x:c r="BH26" s="7"/>
      <x:c r="BI26" s="7"/>
      <x:c r="BJ26" s="7"/>
      <x:c r="BK26" s="7"/>
      <x:c r="BL26" s="7"/>
      <x:c r="BM26" s="7"/>
      <x:c r="BN26" s="7"/>
      <x:c r="BO26" s="7"/>
      <x:c r="BP26" s="7"/>
      <x:c r="BQ26" s="7"/>
      <x:c r="BR26" s="17"/>
      <x:c r="BS26" s="30"/>
      <x:c r="BT26" s="7"/>
      <x:c r="BU26" s="7"/>
      <x:c r="BV26" s="7"/>
      <x:c r="BW26" s="7"/>
      <x:c r="BX26" s="7"/>
      <x:c r="BY26" s="7"/>
      <x:c r="BZ26" s="7"/>
      <x:c r="CA26" s="7"/>
      <x:c r="CB26" s="7"/>
      <x:c r="CC26" s="7"/>
      <x:c r="CD26" s="7"/>
      <x:c r="CE26" s="7"/>
      <x:c r="CF26" s="17"/>
      <x:c r="CG26" s="30"/>
      <x:c r="CH26" s="7"/>
      <x:c r="CI26" s="7"/>
      <x:c r="CJ26" s="7"/>
      <x:c r="CK26" s="7"/>
      <x:c r="CL26" s="7"/>
      <x:c r="CM26" s="7"/>
      <x:c r="CN26" s="7"/>
      <x:c r="CO26" s="7"/>
      <x:c r="CP26" s="7"/>
      <x:c r="CQ26" s="7"/>
      <x:c r="CR26" s="7"/>
      <x:c r="CS26" s="7"/>
      <x:c r="CT26" s="17"/>
      <x:c r="CU26" s="27"/>
    </x:row>
    <x:row r="27" ht="33">
      <x:c r="A27" s="1" t="s">
        <x:v>52</x:v>
      </x:c>
      <x:c r="B27" s="1">
        <x:v>19</x:v>
      </x:c>
      <x:c r="C27" s="1" t="s">
        <x:v>92</x:v>
      </x:c>
      <x:c r="D27" s="4" t="s">
        <x:v>94</x:v>
      </x:c>
      <x:c r="E27" s="23" t="str">
        <x:f>IF(A27&lt;&gt;"", IF(A27=A25, "", A27), "")</x:f>
      </x:c>
      <x:c r="F27" s="149">
        <x:f t="shared" si="2"/>
        <x:v>19</x:v>
      </x:c>
      <x:c r="G27" s="57" t="str">
        <x:f t="shared" si="4"/>
      </x:c>
      <x:c r="H27" s="130" t="str">
        <x:f t="shared" si="3"/>
        <x:v>ATSC／GAC CDP導入（検証環境）
※望ましいのは7月末前に完了、できない場合、8/7前に完了必須</x:v>
      </x:c>
      <x:c r="I27" s="31" t="s">
        <x:v>75</x:v>
      </x:c>
      <x:c r="J27" s="18"/>
      <x:c r="K27" s="28"/>
      <x:c r="L27" s="35">
        <x:v>46209</x:v>
      </x:c>
      <x:c r="M27" s="38">
        <x:v>46234</x:v>
      </x:c>
      <x:c r="N27" s="41" t="s">
        <x:v>66</x:v>
      </x:c>
      <x:c r="O27" s="31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8"/>
      <x:c r="AC27" s="53"/>
      <x:c r="AD27" s="10"/>
      <x:c r="AE27" s="10"/>
      <x:c r="AF27" s="10"/>
      <x:c r="AG27" s="10"/>
      <x:c r="AH27" s="10"/>
      <x:c r="AI27" s="10"/>
      <x:c r="AJ27" s="10"/>
      <x:c r="AK27" s="10"/>
      <x:c r="AL27" s="10"/>
      <x:c r="AM27" s="10"/>
      <x:c r="AN27" s="10"/>
      <x:c r="AO27" s="10"/>
      <x:c r="AP27" s="18"/>
      <x:c r="AQ27" s="31"/>
      <x:c r="AR27" s="10"/>
      <x:c r="AS27" s="10"/>
      <x:c r="AT27" s="10"/>
      <x:c r="AU27" s="10"/>
      <x:c r="AV27" s="10"/>
      <x:c r="AW27" s="10"/>
      <x:c r="AX27" s="12"/>
      <x:c r="AY27" s="11"/>
      <x:c r="AZ27" s="12"/>
      <x:c r="BA27" s="12"/>
      <x:c r="BB27" s="12"/>
      <x:c r="BC27" s="10"/>
      <x:c r="BD27" s="18"/>
      <x:c r="BE27" s="31"/>
      <x:c r="BF27" s="10"/>
      <x:c r="BG27" s="10"/>
      <x:c r="BH27" s="10"/>
      <x:c r="BI27" s="10"/>
      <x:c r="BJ27" s="10"/>
      <x:c r="BK27" s="10"/>
      <x:c r="BL27" s="10"/>
      <x:c r="BM27" s="10"/>
      <x:c r="BN27" s="10"/>
      <x:c r="BO27" s="10"/>
      <x:c r="BP27" s="10"/>
      <x:c r="BQ27" s="10"/>
      <x:c r="BR27" s="18"/>
      <x:c r="BS27" s="31"/>
      <x:c r="BT27" s="10"/>
      <x:c r="BU27" s="10"/>
      <x:c r="BV27" s="10"/>
      <x:c r="BW27" s="10"/>
      <x:c r="BX27" s="10"/>
      <x:c r="BY27" s="10"/>
      <x:c r="BZ27" s="10"/>
      <x:c r="CA27" s="10"/>
      <x:c r="CB27" s="10"/>
      <x:c r="CC27" s="10"/>
      <x:c r="CD27" s="10"/>
      <x:c r="CE27" s="10"/>
      <x:c r="CF27" s="18"/>
      <x:c r="CG27" s="31"/>
      <x:c r="CH27" s="10"/>
      <x:c r="CI27" s="10"/>
      <x:c r="CJ27" s="10"/>
      <x:c r="CK27" s="10"/>
      <x:c r="CL27" s="10"/>
      <x:c r="CM27" s="10"/>
      <x:c r="CN27" s="10"/>
      <x:c r="CO27" s="10"/>
      <x:c r="CP27" s="10"/>
      <x:c r="CQ27" s="10"/>
      <x:c r="CR27" s="10"/>
      <x:c r="CS27" s="10"/>
      <x:c r="CT27" s="18"/>
      <x:c r="CU27" s="28"/>
    </x:row>
    <x:row r="28">
      <x:c r="A28" s="1" t="s">
        <x:v>52</x:v>
      </x:c>
      <x:c r="B28" s="1">
        <x:v>20</x:v>
      </x:c>
      <x:c r="C28" s="1" t="s">
        <x:v>92</x:v>
      </x:c>
      <x:c r="D28" s="4" t="s">
        <x:v>95</x:v>
      </x:c>
      <x:c r="E28" s="23" t="str">
        <x:f t="shared" si="0"/>
      </x:c>
      <x:c r="F28" s="144">
        <x:f t="shared" si="2"/>
        <x:v>20</x:v>
      </x:c>
      <x:c r="G28" s="57" t="str">
        <x:f t="shared" si="4"/>
      </x:c>
      <x:c r="H28" s="131" t="str">
        <x:f t="shared" si="3"/>
        <x:v>ATSC／GAC  Web導入（検証環境）</x:v>
      </x:c>
      <x:c r="I28" s="76" t="s">
        <x:v>55</x:v>
      </x:c>
      <x:c r="J28" s="77" t="s">
        <x:v>55</x:v>
      </x:c>
      <x:c r="K28" s="78" t="s">
        <x:v>30</x:v>
      </x:c>
      <x:c r="L28" s="79">
        <x:v>46237</x:v>
      </x:c>
      <x:c r="M28" s="80">
        <x:v>46248</x:v>
      </x:c>
      <x:c r="N28" s="81" t="s">
        <x:v>66</x:v>
      </x:c>
      <x:c r="O28" s="76"/>
      <x:c r="P28" s="82"/>
      <x:c r="Q28" s="82"/>
      <x:c r="R28" s="82"/>
      <x:c r="S28" s="82"/>
      <x:c r="T28" s="82"/>
      <x:c r="U28" s="82"/>
      <x:c r="V28" s="82"/>
      <x:c r="W28" s="82"/>
      <x:c r="X28" s="82"/>
      <x:c r="Y28" s="82"/>
      <x:c r="Z28" s="82"/>
      <x:c r="AA28" s="82"/>
      <x:c r="AB28" s="77"/>
      <x:c r="AC28" s="83"/>
      <x:c r="AD28" s="82"/>
      <x:c r="AE28" s="82"/>
      <x:c r="AF28" s="82"/>
      <x:c r="AG28" s="82"/>
      <x:c r="AH28" s="82"/>
      <x:c r="AI28" s="82"/>
      <x:c r="AJ28" s="82"/>
      <x:c r="AK28" s="82"/>
      <x:c r="AL28" s="82"/>
      <x:c r="AM28" s="82"/>
      <x:c r="AN28" s="82"/>
      <x:c r="AO28" s="82"/>
      <x:c r="AP28" s="77"/>
      <x:c r="AQ28" s="76"/>
      <x:c r="AR28" s="82"/>
      <x:c r="AS28" s="82"/>
      <x:c r="AT28" s="82"/>
      <x:c r="AU28" s="82"/>
      <x:c r="AV28" s="82"/>
      <x:c r="AW28" s="82"/>
      <x:c r="AX28" s="84"/>
      <x:c r="AY28" s="85"/>
      <x:c r="AZ28" s="84"/>
      <x:c r="BA28" s="84"/>
      <x:c r="BB28" s="84"/>
      <x:c r="BC28" s="82"/>
      <x:c r="BD28" s="77"/>
      <x:c r="BE28" s="76"/>
      <x:c r="BF28" s="82"/>
      <x:c r="BG28" s="82"/>
      <x:c r="BH28" s="82"/>
      <x:c r="BI28" s="82"/>
      <x:c r="BJ28" s="82"/>
      <x:c r="BK28" s="82"/>
      <x:c r="BL28" s="82"/>
      <x:c r="BM28" s="82"/>
      <x:c r="BN28" s="82"/>
      <x:c r="BO28" s="82"/>
      <x:c r="BP28" s="82"/>
      <x:c r="BQ28" s="82"/>
      <x:c r="BR28" s="77"/>
      <x:c r="BS28" s="76"/>
      <x:c r="BT28" s="82"/>
      <x:c r="BU28" s="82"/>
      <x:c r="BV28" s="82"/>
      <x:c r="BW28" s="82"/>
      <x:c r="BX28" s="82"/>
      <x:c r="BY28" s="82"/>
      <x:c r="BZ28" s="82"/>
      <x:c r="CA28" s="82"/>
      <x:c r="CB28" s="82"/>
      <x:c r="CC28" s="82"/>
      <x:c r="CD28" s="82"/>
      <x:c r="CE28" s="82"/>
      <x:c r="CF28" s="77"/>
      <x:c r="CG28" s="76"/>
      <x:c r="CH28" s="82"/>
      <x:c r="CI28" s="82"/>
      <x:c r="CJ28" s="82"/>
      <x:c r="CK28" s="82"/>
      <x:c r="CL28" s="82"/>
      <x:c r="CM28" s="82"/>
      <x:c r="CN28" s="82"/>
      <x:c r="CO28" s="82"/>
      <x:c r="CP28" s="82"/>
      <x:c r="CQ28" s="82"/>
      <x:c r="CR28" s="82"/>
      <x:c r="CS28" s="82"/>
      <x:c r="CT28" s="77"/>
      <x:c r="CU28" s="78"/>
    </x:row>
    <x:row r="29">
      <x:c r="A29" s="1" t="s">
        <x:v>52</x:v>
      </x:c>
      <x:c r="B29" s="1">
        <x:v>21</x:v>
      </x:c>
      <x:c r="C29" s="1" t="s">
        <x:v>96</x:v>
      </x:c>
      <x:c r="D29" s="4" t="s">
        <x:v>97</x:v>
      </x:c>
      <x:c r="E29" s="23" t="str">
        <x:f t="shared" si="0"/>
      </x:c>
      <x:c r="F29" s="145">
        <x:f t="shared" si="2"/>
        <x:v>21</x:v>
      </x:c>
      <x:c r="G29" s="118" t="str">
        <x:f t="shared" si="4"/>
        <x:v>中間テーブル</x:v>
      </x:c>
      <x:c r="H29" s="135" t="str">
        <x:f t="shared" si="3"/>
        <x:v>JOB環境の申込</x:v>
      </x:c>
      <x:c r="I29" s="65" t="s">
        <x:v>55</x:v>
      </x:c>
      <x:c r="J29" s="67" t="s">
        <x:v>55</x:v>
      </x:c>
      <x:c r="K29" s="68" t="s">
        <x:v>30</x:v>
      </x:c>
      <x:c r="L29" s="69">
        <x:v>46216</x:v>
      </x:c>
      <x:c r="M29" s="70">
        <x:v>46225</x:v>
      </x:c>
      <x:c r="N29" s="71" t="s">
        <x:v>66</x:v>
      </x:c>
      <x:c r="O29" s="65"/>
      <x:c r="P29" s="72"/>
      <x:c r="Q29" s="72"/>
      <x:c r="R29" s="72"/>
      <x:c r="S29" s="72"/>
      <x:c r="T29" s="72"/>
      <x:c r="U29" s="72"/>
      <x:c r="V29" s="72"/>
      <x:c r="W29" s="72"/>
      <x:c r="X29" s="72"/>
      <x:c r="Y29" s="72"/>
      <x:c r="Z29" s="72"/>
      <x:c r="AA29" s="72"/>
      <x:c r="AB29" s="67"/>
      <x:c r="AC29" s="73"/>
      <x:c r="AD29" s="72"/>
      <x:c r="AE29" s="72"/>
      <x:c r="AF29" s="72"/>
      <x:c r="AG29" s="72"/>
      <x:c r="AH29" s="72"/>
      <x:c r="AI29" s="72"/>
      <x:c r="AJ29" s="72"/>
      <x:c r="AK29" s="72"/>
      <x:c r="AL29" s="72"/>
      <x:c r="AM29" s="72"/>
      <x:c r="AN29" s="72"/>
      <x:c r="AO29" s="72"/>
      <x:c r="AP29" s="67"/>
      <x:c r="AQ29" s="65"/>
      <x:c r="AR29" s="72"/>
      <x:c r="AS29" s="72"/>
      <x:c r="AT29" s="72"/>
      <x:c r="AU29" s="72"/>
      <x:c r="AV29" s="72"/>
      <x:c r="AW29" s="72"/>
      <x:c r="AX29" s="74"/>
      <x:c r="AY29" s="75"/>
      <x:c r="AZ29" s="74"/>
      <x:c r="BA29" s="74"/>
      <x:c r="BB29" s="74"/>
      <x:c r="BC29" s="72"/>
      <x:c r="BD29" s="67"/>
      <x:c r="BE29" s="65"/>
      <x:c r="BF29" s="72"/>
      <x:c r="BG29" s="72"/>
      <x:c r="BH29" s="72"/>
      <x:c r="BI29" s="72"/>
      <x:c r="BJ29" s="72"/>
      <x:c r="BK29" s="72"/>
      <x:c r="BL29" s="72"/>
      <x:c r="BM29" s="72"/>
      <x:c r="BN29" s="72"/>
      <x:c r="BO29" s="72"/>
      <x:c r="BP29" s="72"/>
      <x:c r="BQ29" s="72"/>
      <x:c r="BR29" s="67"/>
      <x:c r="BS29" s="65"/>
      <x:c r="BT29" s="72"/>
      <x:c r="BU29" s="72"/>
      <x:c r="BV29" s="72"/>
      <x:c r="BW29" s="72"/>
      <x:c r="BX29" s="72"/>
      <x:c r="BY29" s="72"/>
      <x:c r="BZ29" s="72"/>
      <x:c r="CA29" s="72"/>
      <x:c r="CB29" s="72"/>
      <x:c r="CC29" s="72"/>
      <x:c r="CD29" s="72"/>
      <x:c r="CE29" s="72"/>
      <x:c r="CF29" s="67"/>
      <x:c r="CG29" s="65"/>
      <x:c r="CH29" s="72"/>
      <x:c r="CI29" s="72"/>
      <x:c r="CJ29" s="72"/>
      <x:c r="CK29" s="72"/>
      <x:c r="CL29" s="72"/>
      <x:c r="CM29" s="72"/>
      <x:c r="CN29" s="72"/>
      <x:c r="CO29" s="72"/>
      <x:c r="CP29" s="72"/>
      <x:c r="CQ29" s="72"/>
      <x:c r="CR29" s="72"/>
      <x:c r="CS29" s="72"/>
      <x:c r="CT29" s="67"/>
      <x:c r="CU29" s="68"/>
    </x:row>
    <x:row r="30">
      <x:c r="A30" s="1" t="s">
        <x:v>52</x:v>
      </x:c>
      <x:c r="B30" s="1">
        <x:v>22</x:v>
      </x:c>
      <x:c r="C30" s="1" t="s">
        <x:v>96</x:v>
      </x:c>
      <x:c r="D30" s="4" t="s">
        <x:v>98</x:v>
      </x:c>
      <x:c r="E30" s="23" t="str">
        <x:f t="shared" si="0"/>
      </x:c>
      <x:c r="F30" s="149">
        <x:f t="shared" si="2"/>
        <x:v>22</x:v>
      </x:c>
      <x:c r="G30" s="57" t="str">
        <x:f t="shared" si="4"/>
      </x:c>
      <x:c r="H30" s="130" t="str">
        <x:f t="shared" si="3"/>
        <x:v>JOB環境の構築</x:v>
      </x:c>
      <x:c r="I30" s="31" t="s">
        <x:v>75</x:v>
      </x:c>
      <x:c r="J30" s="18"/>
      <x:c r="K30" s="28"/>
      <x:c r="L30" s="35">
        <x:v>46226</x:v>
      </x:c>
      <x:c r="M30" s="38">
        <x:v>46234</x:v>
      </x:c>
      <x:c r="N30" s="41" t="s">
        <x:v>66</x:v>
      </x:c>
      <x:c r="O30" s="31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8"/>
      <x:c r="AC30" s="53"/>
      <x:c r="AD30" s="10"/>
      <x:c r="AE30" s="10"/>
      <x:c r="AF30" s="10"/>
      <x:c r="AG30" s="10"/>
      <x:c r="AH30" s="10"/>
      <x:c r="AI30" s="10"/>
      <x:c r="AJ30" s="10"/>
      <x:c r="AK30" s="10"/>
      <x:c r="AL30" s="10"/>
      <x:c r="AM30" s="10"/>
      <x:c r="AN30" s="10"/>
      <x:c r="AO30" s="10"/>
      <x:c r="AP30" s="18"/>
      <x:c r="AQ30" s="31"/>
      <x:c r="AR30" s="10"/>
      <x:c r="AS30" s="10"/>
      <x:c r="AT30" s="10"/>
      <x:c r="AU30" s="10"/>
      <x:c r="AV30" s="10"/>
      <x:c r="AW30" s="10"/>
      <x:c r="AX30" s="12"/>
      <x:c r="AY30" s="11"/>
      <x:c r="AZ30" s="12"/>
      <x:c r="BA30" s="12"/>
      <x:c r="BB30" s="12"/>
      <x:c r="BC30" s="10"/>
      <x:c r="BD30" s="18"/>
      <x:c r="BE30" s="31"/>
      <x:c r="BF30" s="10"/>
      <x:c r="BG30" s="10"/>
      <x:c r="BH30" s="10"/>
      <x:c r="BI30" s="10"/>
      <x:c r="BJ30" s="10"/>
      <x:c r="BK30" s="10"/>
      <x:c r="BL30" s="10"/>
      <x:c r="BM30" s="10"/>
      <x:c r="BN30" s="10"/>
      <x:c r="BO30" s="10"/>
      <x:c r="BP30" s="10"/>
      <x:c r="BQ30" s="10"/>
      <x:c r="BR30" s="18"/>
      <x:c r="BS30" s="31"/>
      <x:c r="BT30" s="10"/>
      <x:c r="BU30" s="10"/>
      <x:c r="BV30" s="10"/>
      <x:c r="BW30" s="10"/>
      <x:c r="BX30" s="10"/>
      <x:c r="BY30" s="10"/>
      <x:c r="BZ30" s="10"/>
      <x:c r="CA30" s="10"/>
      <x:c r="CB30" s="10"/>
      <x:c r="CC30" s="10"/>
      <x:c r="CD30" s="10"/>
      <x:c r="CE30" s="10"/>
      <x:c r="CF30" s="18"/>
      <x:c r="CG30" s="31"/>
      <x:c r="CH30" s="10"/>
      <x:c r="CI30" s="10"/>
      <x:c r="CJ30" s="10"/>
      <x:c r="CK30" s="10"/>
      <x:c r="CL30" s="10"/>
      <x:c r="CM30" s="10"/>
      <x:c r="CN30" s="10"/>
      <x:c r="CO30" s="10"/>
      <x:c r="CP30" s="10"/>
      <x:c r="CQ30" s="10"/>
      <x:c r="CR30" s="10"/>
      <x:c r="CS30" s="10"/>
      <x:c r="CT30" s="18"/>
      <x:c r="CU30" s="28"/>
    </x:row>
    <x:row r="31">
      <x:c r="A31" s="1" t="s">
        <x:v>52</x:v>
      </x:c>
      <x:c r="B31" s="1">
        <x:v>23</x:v>
      </x:c>
      <x:c r="C31" s="1" t="s">
        <x:v>96</x:v>
      </x:c>
      <x:c r="D31" s="4" t="s">
        <x:v>99</x:v>
      </x:c>
      <x:c r="E31" s="23" t="str">
        <x:f t="shared" si="0"/>
      </x:c>
      <x:c r="F31" s="149">
        <x:f t="shared" si="2"/>
        <x:v>23</x:v>
      </x:c>
      <x:c r="G31" s="57" t="str">
        <x:f t="shared" si="4"/>
      </x:c>
      <x:c r="H31" s="130" t="str">
        <x:f t="shared" si="3"/>
        <x:v>中間テーブル更新のJOB作成</x:v>
      </x:c>
      <x:c r="I31" s="31" t="s">
        <x:v>55</x:v>
      </x:c>
      <x:c r="J31" s="18" t="s">
        <x:v>55</x:v>
      </x:c>
      <x:c r="K31" s="28" t="s">
        <x:v>30</x:v>
      </x:c>
      <x:c r="L31" s="35">
        <x:v>46237</x:v>
      </x:c>
      <x:c r="M31" s="38">
        <x:v>46248</x:v>
      </x:c>
      <x:c r="N31" s="41" t="s">
        <x:v>66</x:v>
      </x:c>
      <x:c r="O31" s="31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8"/>
      <x:c r="AC31" s="53"/>
      <x:c r="AD31" s="10"/>
      <x:c r="AE31" s="10"/>
      <x:c r="AF31" s="10"/>
      <x:c r="AG31" s="10"/>
      <x:c r="AH31" s="10"/>
      <x:c r="AI31" s="10"/>
      <x:c r="AJ31" s="10"/>
      <x:c r="AK31" s="10"/>
      <x:c r="AL31" s="10"/>
      <x:c r="AM31" s="10"/>
      <x:c r="AN31" s="10"/>
      <x:c r="AO31" s="10"/>
      <x:c r="AP31" s="18"/>
      <x:c r="AQ31" s="31"/>
      <x:c r="AR31" s="10"/>
      <x:c r="AS31" s="10"/>
      <x:c r="AT31" s="10"/>
      <x:c r="AU31" s="10"/>
      <x:c r="AV31" s="10"/>
      <x:c r="AW31" s="10"/>
      <x:c r="AX31" s="12"/>
      <x:c r="AY31" s="11"/>
      <x:c r="AZ31" s="12"/>
      <x:c r="BA31" s="12"/>
      <x:c r="BB31" s="12"/>
      <x:c r="BC31" s="10"/>
      <x:c r="BD31" s="18"/>
      <x:c r="BE31" s="31"/>
      <x:c r="BF31" s="10"/>
      <x:c r="BG31" s="10"/>
      <x:c r="BH31" s="10"/>
      <x:c r="BI31" s="10"/>
      <x:c r="BJ31" s="10"/>
      <x:c r="BK31" s="10"/>
      <x:c r="BL31" s="10"/>
      <x:c r="BM31" s="10"/>
      <x:c r="BN31" s="10"/>
      <x:c r="BO31" s="10"/>
      <x:c r="BP31" s="10"/>
      <x:c r="BQ31" s="10"/>
      <x:c r="BR31" s="18"/>
      <x:c r="BS31" s="31"/>
      <x:c r="BT31" s="10"/>
      <x:c r="BU31" s="10"/>
      <x:c r="BV31" s="10"/>
      <x:c r="BW31" s="10"/>
      <x:c r="BX31" s="10"/>
      <x:c r="BY31" s="10"/>
      <x:c r="BZ31" s="10"/>
      <x:c r="CA31" s="10"/>
      <x:c r="CB31" s="10"/>
      <x:c r="CC31" s="10"/>
      <x:c r="CD31" s="10"/>
      <x:c r="CE31" s="10"/>
      <x:c r="CF31" s="18"/>
      <x:c r="CG31" s="31"/>
      <x:c r="CH31" s="10"/>
      <x:c r="CI31" s="10"/>
      <x:c r="CJ31" s="10"/>
      <x:c r="CK31" s="10"/>
      <x:c r="CL31" s="10"/>
      <x:c r="CM31" s="10"/>
      <x:c r="CN31" s="10"/>
      <x:c r="CO31" s="10"/>
      <x:c r="CP31" s="10"/>
      <x:c r="CQ31" s="10"/>
      <x:c r="CR31" s="10"/>
      <x:c r="CS31" s="10"/>
      <x:c r="CT31" s="18"/>
      <x:c r="CU31" s="28"/>
    </x:row>
    <x:row r="32">
      <x:c r="A32" s="1" t="s">
        <x:v>52</x:v>
      </x:c>
      <x:c r="B32" s="1">
        <x:v>24</x:v>
      </x:c>
      <x:c r="C32" s="1" t="s">
        <x:v>96</x:v>
      </x:c>
      <x:c r="D32" s="4" t="s">
        <x:v>100</x:v>
      </x:c>
      <x:c r="E32" s="23" t="str">
        <x:f t="shared" si="0"/>
      </x:c>
      <x:c r="F32" s="149">
        <x:f t="shared" si="2"/>
        <x:v>24</x:v>
      </x:c>
      <x:c r="G32" s="57" t="str">
        <x:f t="shared" si="4"/>
      </x:c>
      <x:c r="H32" s="130" t="str">
        <x:f t="shared" si="3"/>
        <x:v>テスト</x:v>
      </x:c>
      <x:c r="I32" s="31" t="s">
        <x:v>55</x:v>
      </x:c>
      <x:c r="J32" s="18" t="s">
        <x:v>55</x:v>
      </x:c>
      <x:c r="K32" s="28" t="s">
        <x:v>30</x:v>
      </x:c>
      <x:c r="L32" s="35">
        <x:v>46244</x:v>
      </x:c>
      <x:c r="M32" s="38">
        <x:v>46255</x:v>
      </x:c>
      <x:c r="N32" s="41" t="s">
        <x:v>66</x:v>
      </x:c>
      <x:c r="O32" s="31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8"/>
      <x:c r="AC32" s="53"/>
      <x:c r="AD32" s="10"/>
      <x:c r="AE32" s="10"/>
      <x:c r="AF32" s="10"/>
      <x:c r="AG32" s="10"/>
      <x:c r="AH32" s="10"/>
      <x:c r="AI32" s="10"/>
      <x:c r="AJ32" s="10"/>
      <x:c r="AK32" s="10"/>
      <x:c r="AL32" s="10"/>
      <x:c r="AM32" s="10"/>
      <x:c r="AN32" s="10"/>
      <x:c r="AO32" s="10"/>
      <x:c r="AP32" s="18"/>
      <x:c r="AQ32" s="31"/>
      <x:c r="AR32" s="10"/>
      <x:c r="AS32" s="10"/>
      <x:c r="AT32" s="10"/>
      <x:c r="AU32" s="10"/>
      <x:c r="AV32" s="10"/>
      <x:c r="AW32" s="10"/>
      <x:c r="AX32" s="12"/>
      <x:c r="AY32" s="11"/>
      <x:c r="AZ32" s="12"/>
      <x:c r="BA32" s="12"/>
      <x:c r="BB32" s="12"/>
      <x:c r="BC32" s="10"/>
      <x:c r="BD32" s="18"/>
      <x:c r="BE32" s="31"/>
      <x:c r="BF32" s="10"/>
      <x:c r="BG32" s="10"/>
      <x:c r="BH32" s="10"/>
      <x:c r="BI32" s="10"/>
      <x:c r="BJ32" s="10"/>
      <x:c r="BK32" s="10"/>
      <x:c r="BL32" s="10"/>
      <x:c r="BM32" s="10"/>
      <x:c r="BN32" s="10"/>
      <x:c r="BO32" s="10"/>
      <x:c r="BP32" s="10"/>
      <x:c r="BQ32" s="10"/>
      <x:c r="BR32" s="18"/>
      <x:c r="BS32" s="31"/>
      <x:c r="BT32" s="10"/>
      <x:c r="BU32" s="10"/>
      <x:c r="BV32" s="10"/>
      <x:c r="BW32" s="10"/>
      <x:c r="BX32" s="10"/>
      <x:c r="BY32" s="10"/>
      <x:c r="BZ32" s="10"/>
      <x:c r="CA32" s="10"/>
      <x:c r="CB32" s="10"/>
      <x:c r="CC32" s="10"/>
      <x:c r="CD32" s="10"/>
      <x:c r="CE32" s="10"/>
      <x:c r="CF32" s="18"/>
      <x:c r="CG32" s="31"/>
      <x:c r="CH32" s="10"/>
      <x:c r="CI32" s="10"/>
      <x:c r="CJ32" s="10"/>
      <x:c r="CK32" s="10"/>
      <x:c r="CL32" s="10"/>
      <x:c r="CM32" s="10"/>
      <x:c r="CN32" s="10"/>
      <x:c r="CO32" s="10"/>
      <x:c r="CP32" s="10"/>
      <x:c r="CQ32" s="10"/>
      <x:c r="CR32" s="10"/>
      <x:c r="CS32" s="10"/>
      <x:c r="CT32" s="18"/>
      <x:c r="CU32" s="28"/>
    </x:row>
    <x:row r="33">
      <x:c r="A33" s="1" t="s">
        <x:v>52</x:v>
      </x:c>
      <x:c r="B33" s="1">
        <x:v>25</x:v>
      </x:c>
      <x:c r="C33" s="1" t="s">
        <x:v>96</x:v>
      </x:c>
      <x:c r="D33" s="4" t="s">
        <x:v>101</x:v>
      </x:c>
      <x:c r="E33" s="23" t="str">
        <x:f t="shared" si="0"/>
      </x:c>
      <x:c r="F33" s="146">
        <x:f t="shared" si="2"/>
        <x:v>25</x:v>
      </x:c>
      <x:c r="G33" s="134" t="str">
        <x:f t="shared" si="4"/>
      </x:c>
      <x:c r="H33" s="136" t="str">
        <x:f t="shared" si="3"/>
        <x:v>詳細設計書改修</x:v>
      </x:c>
      <x:c r="I33" s="32" t="s">
        <x:v>55</x:v>
      </x:c>
      <x:c r="J33" s="22" t="s">
        <x:v>55</x:v>
      </x:c>
      <x:c r="K33" s="29" t="s">
        <x:v>30</x:v>
      </x:c>
      <x:c r="L33" s="36">
        <x:v>46251</x:v>
      </x:c>
      <x:c r="M33" s="39">
        <x:v>46262</x:v>
      </x:c>
      <x:c r="N33" s="42" t="s">
        <x:v>66</x:v>
      </x:c>
      <x:c r="O33" s="32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  <x:c r="AA33" s="19"/>
      <x:c r="AB33" s="22"/>
      <x:c r="AC33" s="54"/>
      <x:c r="AD33" s="19"/>
      <x:c r="AE33" s="19"/>
      <x:c r="AF33" s="19"/>
      <x:c r="AG33" s="19"/>
      <x:c r="AH33" s="19"/>
      <x:c r="AI33" s="19"/>
      <x:c r="AJ33" s="19"/>
      <x:c r="AK33" s="19"/>
      <x:c r="AL33" s="19"/>
      <x:c r="AM33" s="19"/>
      <x:c r="AN33" s="19"/>
      <x:c r="AO33" s="19"/>
      <x:c r="AP33" s="22"/>
      <x:c r="AQ33" s="32"/>
      <x:c r="AR33" s="19"/>
      <x:c r="AS33" s="19"/>
      <x:c r="AT33" s="19"/>
      <x:c r="AU33" s="19"/>
      <x:c r="AV33" s="19"/>
      <x:c r="AW33" s="19"/>
      <x:c r="AX33" s="21"/>
      <x:c r="AY33" s="20"/>
      <x:c r="AZ33" s="21"/>
      <x:c r="BA33" s="21"/>
      <x:c r="BB33" s="21"/>
      <x:c r="BC33" s="19"/>
      <x:c r="BD33" s="22"/>
      <x:c r="BE33" s="32"/>
      <x:c r="BF33" s="19"/>
      <x:c r="BG33" s="19"/>
      <x:c r="BH33" s="19"/>
      <x:c r="BI33" s="19"/>
      <x:c r="BJ33" s="19"/>
      <x:c r="BK33" s="19"/>
      <x:c r="BL33" s="19"/>
      <x:c r="BM33" s="19"/>
      <x:c r="BN33" s="19"/>
      <x:c r="BO33" s="19"/>
      <x:c r="BP33" s="19"/>
      <x:c r="BQ33" s="19"/>
      <x:c r="BR33" s="22"/>
      <x:c r="BS33" s="32"/>
      <x:c r="BT33" s="19"/>
      <x:c r="BU33" s="19"/>
      <x:c r="BV33" s="19"/>
      <x:c r="BW33" s="19"/>
      <x:c r="BX33" s="19"/>
      <x:c r="BY33" s="19"/>
      <x:c r="BZ33" s="19"/>
      <x:c r="CA33" s="19"/>
      <x:c r="CB33" s="19"/>
      <x:c r="CC33" s="19"/>
      <x:c r="CD33" s="19"/>
      <x:c r="CE33" s="19"/>
      <x:c r="CF33" s="22"/>
      <x:c r="CG33" s="32"/>
      <x:c r="CH33" s="19"/>
      <x:c r="CI33" s="19"/>
      <x:c r="CJ33" s="19"/>
      <x:c r="CK33" s="19"/>
      <x:c r="CL33" s="19"/>
      <x:c r="CM33" s="19"/>
      <x:c r="CN33" s="19"/>
      <x:c r="CO33" s="19"/>
      <x:c r="CP33" s="19"/>
      <x:c r="CQ33" s="19"/>
      <x:c r="CR33" s="19"/>
      <x:c r="CS33" s="19"/>
      <x:c r="CT33" s="22"/>
      <x:c r="CU33" s="29"/>
    </x:row>
    <x:row r="34">
      <x:c r="A34" s="1" t="s">
        <x:v>52</x:v>
      </x:c>
      <x:c r="B34" s="1">
        <x:v>26</x:v>
      </x:c>
      <x:c r="C34" s="1" t="s">
        <x:v>102</x:v>
      </x:c>
      <x:c r="D34" s="4" t="s">
        <x:v>103</x:v>
      </x:c>
      <x:c r="E34" s="23" t="str">
        <x:f t="shared" si="0"/>
      </x:c>
      <x:c r="F34" s="143">
        <x:f t="shared" si="2"/>
        <x:v>26</x:v>
      </x:c>
      <x:c r="G34" s="57" t="str">
        <x:f t="shared" si="4"/>
        <x:v>資料整備</x:v>
      </x:c>
      <x:c r="H34" s="133" t="str">
        <x:f t="shared" si="3"/>
        <x:v>マニュアル改修</x:v>
      </x:c>
      <x:c r="I34" s="30" t="s">
        <x:v>55</x:v>
      </x:c>
      <x:c r="J34" s="17" t="s">
        <x:v>55</x:v>
      </x:c>
      <x:c r="K34" s="27" t="s">
        <x:v>30</x:v>
      </x:c>
      <x:c r="L34" s="14">
        <x:v>46251</x:v>
      </x:c>
      <x:c r="M34" s="37">
        <x:v>46262</x:v>
      </x:c>
      <x:c r="N34" s="40" t="s">
        <x:v>66</x:v>
      </x:c>
      <x:c r="O34" s="30"/>
      <x:c r="P34" s="7"/>
      <x:c r="Q34" s="7"/>
      <x:c r="R34" s="7"/>
      <x:c r="S34" s="7"/>
      <x:c r="T34" s="7"/>
      <x:c r="U34" s="7"/>
      <x:c r="V34" s="7"/>
      <x:c r="W34" s="7"/>
      <x:c r="X34" s="7"/>
      <x:c r="Y34" s="7"/>
      <x:c r="Z34" s="7"/>
      <x:c r="AA34" s="7"/>
      <x:c r="AB34" s="17"/>
      <x:c r="AC34" s="52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17"/>
      <x:c r="AQ34" s="30"/>
      <x:c r="AR34" s="7"/>
      <x:c r="AS34" s="7"/>
      <x:c r="AT34" s="7"/>
      <x:c r="AU34" s="7"/>
      <x:c r="AV34" s="7"/>
      <x:c r="AW34" s="7"/>
      <x:c r="AX34" s="9"/>
      <x:c r="AY34" s="8"/>
      <x:c r="AZ34" s="9"/>
      <x:c r="BA34" s="9"/>
      <x:c r="BB34" s="9"/>
      <x:c r="BC34" s="7"/>
      <x:c r="BD34" s="17"/>
      <x:c r="BE34" s="30"/>
      <x:c r="BF34" s="7"/>
      <x:c r="BG34" s="7"/>
      <x:c r="BH34" s="7"/>
      <x:c r="BI34" s="7"/>
      <x:c r="BJ34" s="7"/>
      <x:c r="BK34" s="7"/>
      <x:c r="BL34" s="7"/>
      <x:c r="BM34" s="7"/>
      <x:c r="BN34" s="7"/>
      <x:c r="BO34" s="7"/>
      <x:c r="BP34" s="7"/>
      <x:c r="BQ34" s="7"/>
      <x:c r="BR34" s="17"/>
      <x:c r="BS34" s="30"/>
      <x:c r="BT34" s="7"/>
      <x:c r="BU34" s="7"/>
      <x:c r="BV34" s="7"/>
      <x:c r="BW34" s="7"/>
      <x:c r="BX34" s="7"/>
      <x:c r="BY34" s="7"/>
      <x:c r="BZ34" s="7"/>
      <x:c r="CA34" s="7"/>
      <x:c r="CB34" s="7"/>
      <x:c r="CC34" s="7"/>
      <x:c r="CD34" s="7"/>
      <x:c r="CE34" s="7"/>
      <x:c r="CF34" s="17"/>
      <x:c r="CG34" s="30"/>
      <x:c r="CH34" s="7"/>
      <x:c r="CI34" s="7"/>
      <x:c r="CJ34" s="7"/>
      <x:c r="CK34" s="7"/>
      <x:c r="CL34" s="7"/>
      <x:c r="CM34" s="7"/>
      <x:c r="CN34" s="7"/>
      <x:c r="CO34" s="7"/>
      <x:c r="CP34" s="7"/>
      <x:c r="CQ34" s="7"/>
      <x:c r="CR34" s="7"/>
      <x:c r="CS34" s="7"/>
      <x:c r="CT34" s="17"/>
      <x:c r="CU34" s="27"/>
    </x:row>
    <x:row r="35">
      <x:c r="A35" s="1" t="s">
        <x:v>52</x:v>
      </x:c>
      <x:c r="B35" s="1">
        <x:v>27</x:v>
      </x:c>
      <x:c r="C35" s="1" t="s">
        <x:v>102</x:v>
      </x:c>
      <x:c r="D35" s="4" t="s">
        <x:v>104</x:v>
      </x:c>
      <x:c r="E35" s="23" t="str">
        <x:f t="shared" si="0"/>
      </x:c>
      <x:c r="F35" s="144">
        <x:f t="shared" si="2"/>
        <x:v>27</x:v>
      </x:c>
      <x:c r="G35" s="57" t="str">
        <x:f t="shared" si="4"/>
      </x:c>
      <x:c r="H35" s="131" t="str">
        <x:f t="shared" si="3"/>
        <x:v>受入テスト対応</x:v>
      </x:c>
      <x:c r="I35" s="76" t="s">
        <x:v>55</x:v>
      </x:c>
      <x:c r="J35" s="77" t="s">
        <x:v>55</x:v>
      </x:c>
      <x:c r="K35" s="78" t="s">
        <x:v>30</x:v>
      </x:c>
      <x:c r="L35" s="79">
        <x:v>46251</x:v>
      </x:c>
      <x:c r="M35" s="80">
        <x:v>46260</x:v>
      </x:c>
      <x:c r="N35" s="81" t="s">
        <x:v>66</x:v>
      </x:c>
      <x:c r="O35" s="76"/>
      <x:c r="P35" s="82"/>
      <x:c r="Q35" s="82"/>
      <x:c r="R35" s="82"/>
      <x:c r="S35" s="82"/>
      <x:c r="T35" s="82"/>
      <x:c r="U35" s="82"/>
      <x:c r="V35" s="82"/>
      <x:c r="W35" s="82"/>
      <x:c r="X35" s="82"/>
      <x:c r="Y35" s="82"/>
      <x:c r="Z35" s="82"/>
      <x:c r="AA35" s="82"/>
      <x:c r="AB35" s="77"/>
      <x:c r="AC35" s="83"/>
      <x:c r="AD35" s="82"/>
      <x:c r="AE35" s="82"/>
      <x:c r="AF35" s="82"/>
      <x:c r="AG35" s="82"/>
      <x:c r="AH35" s="82"/>
      <x:c r="AI35" s="82"/>
      <x:c r="AJ35" s="82"/>
      <x:c r="AK35" s="82"/>
      <x:c r="AL35" s="82"/>
      <x:c r="AM35" s="82"/>
      <x:c r="AN35" s="82"/>
      <x:c r="AO35" s="82"/>
      <x:c r="AP35" s="77"/>
      <x:c r="AQ35" s="76"/>
      <x:c r="AR35" s="82"/>
      <x:c r="AS35" s="82"/>
      <x:c r="AT35" s="82"/>
      <x:c r="AU35" s="82"/>
      <x:c r="AV35" s="82"/>
      <x:c r="AW35" s="82"/>
      <x:c r="AX35" s="84"/>
      <x:c r="AY35" s="85"/>
      <x:c r="AZ35" s="84"/>
      <x:c r="BA35" s="84"/>
      <x:c r="BB35" s="84"/>
      <x:c r="BC35" s="82"/>
      <x:c r="BD35" s="77"/>
      <x:c r="BE35" s="76"/>
      <x:c r="BF35" s="82"/>
      <x:c r="BG35" s="82"/>
      <x:c r="BH35" s="82"/>
      <x:c r="BI35" s="82"/>
      <x:c r="BJ35" s="82"/>
      <x:c r="BK35" s="82"/>
      <x:c r="BL35" s="82"/>
      <x:c r="BM35" s="82"/>
      <x:c r="BN35" s="82"/>
      <x:c r="BO35" s="82"/>
      <x:c r="BP35" s="82"/>
      <x:c r="BQ35" s="82"/>
      <x:c r="BR35" s="77"/>
      <x:c r="BS35" s="76"/>
      <x:c r="BT35" s="82"/>
      <x:c r="BU35" s="82"/>
      <x:c r="BV35" s="82"/>
      <x:c r="BW35" s="82"/>
      <x:c r="BX35" s="82"/>
      <x:c r="BY35" s="82"/>
      <x:c r="BZ35" s="82"/>
      <x:c r="CA35" s="82"/>
      <x:c r="CB35" s="82"/>
      <x:c r="CC35" s="82"/>
      <x:c r="CD35" s="82"/>
      <x:c r="CE35" s="82"/>
      <x:c r="CF35" s="77"/>
      <x:c r="CG35" s="76"/>
      <x:c r="CH35" s="82"/>
      <x:c r="CI35" s="82"/>
      <x:c r="CJ35" s="82"/>
      <x:c r="CK35" s="82"/>
      <x:c r="CL35" s="82"/>
      <x:c r="CM35" s="82"/>
      <x:c r="CN35" s="82"/>
      <x:c r="CO35" s="82"/>
      <x:c r="CP35" s="82"/>
      <x:c r="CQ35" s="82"/>
      <x:c r="CR35" s="82"/>
      <x:c r="CS35" s="82"/>
      <x:c r="CT35" s="77"/>
      <x:c r="CU35" s="78"/>
    </x:row>
    <x:row r="36">
      <x:c r="A36" s="1" t="s">
        <x:v>52</x:v>
      </x:c>
      <x:c r="B36" s="1">
        <x:v>28</x:v>
      </x:c>
      <x:c r="C36" s="1" t="s">
        <x:v>105</x:v>
      </x:c>
      <x:c r="D36" s="4" t="s">
        <x:v>106</x:v>
      </x:c>
      <x:c r="E36" s="23" t="str">
        <x:f t="shared" si="0"/>
      </x:c>
      <x:c r="F36" s="148">
        <x:f t="shared" si="2"/>
        <x:v>28</x:v>
      </x:c>
      <x:c r="G36" s="118" t="str">
        <x:f t="shared" si="4"/>
        <x:v>受入テスト</x:v>
      </x:c>
      <x:c r="H36" s="129" t="str">
        <x:f t="shared" si="3"/>
        <x:v>ユーザーアクセス権限の本番データ移行</x:v>
      </x:c>
      <x:c r="I36" s="86" t="s">
        <x:v>75</x:v>
      </x:c>
      <x:c r="J36" s="88"/>
      <x:c r="K36" s="89"/>
      <x:c r="L36" s="90">
        <x:v>46258</x:v>
      </x:c>
      <x:c r="M36" s="91">
        <x:v>46262</x:v>
      </x:c>
      <x:c r="N36" s="92" t="s">
        <x:v>66</x:v>
      </x:c>
      <x:c r="O36" s="86"/>
      <x:c r="P36" s="87"/>
      <x:c r="Q36" s="87"/>
      <x:c r="R36" s="87"/>
      <x:c r="S36" s="87"/>
      <x:c r="T36" s="87"/>
      <x:c r="U36" s="87"/>
      <x:c r="V36" s="87"/>
      <x:c r="W36" s="87"/>
      <x:c r="X36" s="87"/>
      <x:c r="Y36" s="87"/>
      <x:c r="Z36" s="87"/>
      <x:c r="AA36" s="87"/>
      <x:c r="AB36" s="88"/>
      <x:c r="AC36" s="93"/>
      <x:c r="AD36" s="87"/>
      <x:c r="AE36" s="87"/>
      <x:c r="AF36" s="87"/>
      <x:c r="AG36" s="87"/>
      <x:c r="AH36" s="87"/>
      <x:c r="AI36" s="87"/>
      <x:c r="AJ36" s="87"/>
      <x:c r="AK36" s="87"/>
      <x:c r="AL36" s="87"/>
      <x:c r="AM36" s="87"/>
      <x:c r="AN36" s="87"/>
      <x:c r="AO36" s="87"/>
      <x:c r="AP36" s="88"/>
      <x:c r="AQ36" s="86"/>
      <x:c r="AR36" s="87"/>
      <x:c r="AS36" s="87"/>
      <x:c r="AT36" s="87"/>
      <x:c r="AU36" s="87"/>
      <x:c r="AV36" s="87"/>
      <x:c r="AW36" s="87"/>
      <x:c r="AX36" s="94"/>
      <x:c r="AY36" s="95"/>
      <x:c r="AZ36" s="94"/>
      <x:c r="BA36" s="94"/>
      <x:c r="BB36" s="94"/>
      <x:c r="BC36" s="87"/>
      <x:c r="BD36" s="88"/>
      <x:c r="BE36" s="86"/>
      <x:c r="BF36" s="87"/>
      <x:c r="BG36" s="87"/>
      <x:c r="BH36" s="87"/>
      <x:c r="BI36" s="87"/>
      <x:c r="BJ36" s="87"/>
      <x:c r="BK36" s="87"/>
      <x:c r="BL36" s="87"/>
      <x:c r="BM36" s="87"/>
      <x:c r="BN36" s="87"/>
      <x:c r="BO36" s="87"/>
      <x:c r="BP36" s="87"/>
      <x:c r="BQ36" s="87"/>
      <x:c r="BR36" s="88"/>
      <x:c r="BS36" s="86"/>
      <x:c r="BT36" s="87"/>
      <x:c r="BU36" s="87"/>
      <x:c r="BV36" s="87"/>
      <x:c r="BW36" s="87"/>
      <x:c r="BX36" s="87"/>
      <x:c r="BY36" s="87"/>
      <x:c r="BZ36" s="87"/>
      <x:c r="CA36" s="87"/>
      <x:c r="CB36" s="87"/>
      <x:c r="CC36" s="87"/>
      <x:c r="CD36" s="87"/>
      <x:c r="CE36" s="87"/>
      <x:c r="CF36" s="88"/>
      <x:c r="CG36" s="86"/>
      <x:c r="CH36" s="87"/>
      <x:c r="CI36" s="87"/>
      <x:c r="CJ36" s="87"/>
      <x:c r="CK36" s="87"/>
      <x:c r="CL36" s="87"/>
      <x:c r="CM36" s="87"/>
      <x:c r="CN36" s="87"/>
      <x:c r="CO36" s="87"/>
      <x:c r="CP36" s="87"/>
      <x:c r="CQ36" s="87"/>
      <x:c r="CR36" s="87"/>
      <x:c r="CS36" s="87"/>
      <x:c r="CT36" s="88"/>
      <x:c r="CU36" s="89"/>
    </x:row>
    <x:row r="37">
      <x:c r="A37" s="1" t="s">
        <x:v>52</x:v>
      </x:c>
      <x:c r="B37" s="1">
        <x:v>29</x:v>
      </x:c>
      <x:c r="C37" s="1" t="s">
        <x:v>107</x:v>
      </x:c>
      <x:c r="D37" s="4" t="s">
        <x:v>108</x:v>
      </x:c>
      <x:c r="E37" s="23" t="str">
        <x:f t="shared" si="0"/>
      </x:c>
      <x:c r="F37" s="145">
        <x:f t="shared" si="2"/>
        <x:v>29</x:v>
      </x:c>
      <x:c r="G37" s="118" t="str">
        <x:f t="shared" si="4"/>
        <x:v>本番リリース</x:v>
      </x:c>
      <x:c r="H37" s="135" t="str">
        <x:f t="shared" si="3"/>
        <x:v>本番情報設定（役割グループ、Ranger、Job）</x:v>
      </x:c>
      <x:c r="I37" s="30" t="s">
        <x:v>75</x:v>
      </x:c>
      <x:c r="J37" s="17"/>
      <x:c r="K37" s="27"/>
      <x:c r="L37" s="14">
        <x:v>46258</x:v>
      </x:c>
      <x:c r="M37" s="37">
        <x:v>46262</x:v>
      </x:c>
      <x:c r="N37" s="40" t="s">
        <x:v>66</x:v>
      </x:c>
      <x:c r="O37" s="30"/>
      <x:c r="P37" s="7"/>
      <x:c r="Q37" s="7"/>
      <x:c r="R37" s="7"/>
      <x:c r="S37" s="7"/>
      <x:c r="T37" s="7"/>
      <x:c r="U37" s="7"/>
      <x:c r="V37" s="7"/>
      <x:c r="W37" s="7"/>
      <x:c r="X37" s="7"/>
      <x:c r="Y37" s="7"/>
      <x:c r="Z37" s="7"/>
      <x:c r="AA37" s="7"/>
      <x:c r="AB37" s="17"/>
      <x:c r="AC37" s="52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17"/>
      <x:c r="AQ37" s="30"/>
      <x:c r="AR37" s="7"/>
      <x:c r="AS37" s="7"/>
      <x:c r="AT37" s="7"/>
      <x:c r="AU37" s="7"/>
      <x:c r="AV37" s="7"/>
      <x:c r="AW37" s="7"/>
      <x:c r="AX37" s="9"/>
      <x:c r="AY37" s="8"/>
      <x:c r="AZ37" s="9"/>
      <x:c r="BA37" s="9"/>
      <x:c r="BB37" s="9"/>
      <x:c r="BC37" s="7"/>
      <x:c r="BD37" s="17"/>
      <x:c r="BE37" s="30"/>
      <x:c r="BF37" s="7"/>
      <x:c r="BG37" s="7"/>
      <x:c r="BH37" s="7"/>
      <x:c r="BI37" s="7"/>
      <x:c r="BJ37" s="7"/>
      <x:c r="BK37" s="7"/>
      <x:c r="BL37" s="7"/>
      <x:c r="BM37" s="7"/>
      <x:c r="BN37" s="7"/>
      <x:c r="BO37" s="7"/>
      <x:c r="BP37" s="7"/>
      <x:c r="BQ37" s="7"/>
      <x:c r="BR37" s="17"/>
      <x:c r="BS37" s="30"/>
      <x:c r="BT37" s="7"/>
      <x:c r="BU37" s="7"/>
      <x:c r="BV37" s="7"/>
      <x:c r="BW37" s="7"/>
      <x:c r="BX37" s="7"/>
      <x:c r="BY37" s="7"/>
      <x:c r="BZ37" s="7"/>
      <x:c r="CA37" s="7"/>
      <x:c r="CB37" s="7"/>
      <x:c r="CC37" s="7"/>
      <x:c r="CD37" s="7"/>
      <x:c r="CE37" s="7"/>
      <x:c r="CF37" s="17"/>
      <x:c r="CG37" s="30"/>
      <x:c r="CH37" s="7"/>
      <x:c r="CI37" s="7"/>
      <x:c r="CJ37" s="7"/>
      <x:c r="CK37" s="7"/>
      <x:c r="CL37" s="7"/>
      <x:c r="CM37" s="7"/>
      <x:c r="CN37" s="7"/>
      <x:c r="CO37" s="7"/>
      <x:c r="CP37" s="7"/>
      <x:c r="CQ37" s="7"/>
      <x:c r="CR37" s="7"/>
      <x:c r="CS37" s="7"/>
      <x:c r="CT37" s="17"/>
      <x:c r="CU37" s="27"/>
    </x:row>
    <x:row r="38">
      <x:c r="A38" s="1" t="s">
        <x:v>52</x:v>
      </x:c>
      <x:c r="B38" s="1">
        <x:v>30</x:v>
      </x:c>
      <x:c r="C38" s="1" t="s">
        <x:v>107</x:v>
      </x:c>
      <x:c r="D38" s="4" t="s">
        <x:v>109</x:v>
      </x:c>
      <x:c r="E38" s="25" t="str">
        <x:f t="shared" si="0"/>
      </x:c>
      <x:c r="F38" s="146">
        <x:f t="shared" si="2"/>
        <x:v>30</x:v>
      </x:c>
      <x:c r="G38" s="134" t="str">
        <x:f t="shared" si="4"/>
      </x:c>
      <x:c r="H38" s="136" t="str">
        <x:f t="shared" si="3"/>
        <x:v>リリース準備と実施</x:v>
      </x:c>
      <x:c r="I38" s="32" t="s">
        <x:v>55</x:v>
      </x:c>
      <x:c r="J38" s="22" t="s">
        <x:v>55</x:v>
      </x:c>
      <x:c r="K38" s="29" t="s">
        <x:v>30</x:v>
      </x:c>
      <x:c r="L38" s="36">
        <x:v>46258</x:v>
      </x:c>
      <x:c r="M38" s="39">
        <x:v>46262</x:v>
      </x:c>
      <x:c r="N38" s="42" t="s">
        <x:v>66</x:v>
      </x:c>
      <x:c r="O38" s="32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22"/>
      <x:c r="AC38" s="54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22"/>
      <x:c r="AQ38" s="32"/>
      <x:c r="AR38" s="19"/>
      <x:c r="AS38" s="19"/>
      <x:c r="AT38" s="19"/>
      <x:c r="AU38" s="19"/>
      <x:c r="AV38" s="19"/>
      <x:c r="AW38" s="19"/>
      <x:c r="AX38" s="21"/>
      <x:c r="AY38" s="20"/>
      <x:c r="AZ38" s="21"/>
      <x:c r="BA38" s="21"/>
      <x:c r="BB38" s="21"/>
      <x:c r="BC38" s="19"/>
      <x:c r="BD38" s="22"/>
      <x:c r="BE38" s="32"/>
      <x:c r="BF38" s="19"/>
      <x:c r="BG38" s="19"/>
      <x:c r="BH38" s="19"/>
      <x:c r="BI38" s="19"/>
      <x:c r="BJ38" s="19"/>
      <x:c r="BK38" s="19"/>
      <x:c r="BL38" s="19"/>
      <x:c r="BM38" s="19"/>
      <x:c r="BN38" s="19"/>
      <x:c r="BO38" s="19"/>
      <x:c r="BP38" s="19"/>
      <x:c r="BQ38" s="19"/>
      <x:c r="BR38" s="22"/>
      <x:c r="BS38" s="32"/>
      <x:c r="BT38" s="19"/>
      <x:c r="BU38" s="19"/>
      <x:c r="BV38" s="19"/>
      <x:c r="BW38" s="19"/>
      <x:c r="BX38" s="19"/>
      <x:c r="BY38" s="19"/>
      <x:c r="BZ38" s="19"/>
      <x:c r="CA38" s="19"/>
      <x:c r="CB38" s="19"/>
      <x:c r="CC38" s="19"/>
      <x:c r="CD38" s="19"/>
      <x:c r="CE38" s="19"/>
      <x:c r="CF38" s="22"/>
      <x:c r="CG38" s="32"/>
      <x:c r="CH38" s="19"/>
      <x:c r="CI38" s="19"/>
      <x:c r="CJ38" s="19"/>
      <x:c r="CK38" s="19"/>
      <x:c r="CL38" s="19"/>
      <x:c r="CM38" s="19"/>
      <x:c r="CN38" s="19"/>
      <x:c r="CO38" s="19"/>
      <x:c r="CP38" s="19"/>
      <x:c r="CQ38" s="19"/>
      <x:c r="CR38" s="19"/>
      <x:c r="CS38" s="19"/>
      <x:c r="CT38" s="22"/>
      <x:c r="CU38" s="29"/>
    </x:row>
    <x:row r="39">
      <x:c r="B39" s="1" t="str">
        <x:f t="shared" ref="B39:B73" si="5">IF(C39&lt;&gt;"", ROW()-4, "")</x:f>
      </x:c>
      <x:c r="E39" s="1" t="str">
        <x:f t="shared" si="0"/>
      </x:c>
      <x:c r="F39" s="150" t="str">
        <x:f t="shared" si="0"/>
      </x:c>
      <x:c r="G39" s="1" t="str">
        <x:f t="shared" ref="G39:G83" si="6">IF(C39&lt;&gt;"", IF(C39=C38, "", C39), "")</x:f>
      </x:c>
      <x:c r="H39" s="4" t="str">
        <x:f t="shared" ref="H39:H83" si="7">IF(D39&lt;&gt;"", IF(D39=D38, "", D39), "")</x:f>
      </x:c>
    </x:row>
    <x:row r="40">
      <x:c r="B40" s="1" t="str">
        <x:f t="shared" si="5"/>
      </x:c>
      <x:c r="E40" s="1" t="str">
        <x:f t="shared" si="0"/>
      </x:c>
      <x:c r="F40" s="150" t="str">
        <x:f t="shared" si="0"/>
      </x:c>
      <x:c r="G40" s="1" t="str">
        <x:f t="shared" si="6"/>
      </x:c>
      <x:c r="H40" s="4" t="str">
        <x:f t="shared" si="7"/>
      </x:c>
    </x:row>
    <x:row r="41">
      <x:c r="B41" s="1" t="str">
        <x:f t="shared" si="5"/>
      </x:c>
      <x:c r="E41" s="1" t="str">
        <x:f t="shared" si="0"/>
      </x:c>
      <x:c r="F41" s="150" t="str">
        <x:f t="shared" si="0"/>
      </x:c>
      <x:c r="G41" s="1" t="str">
        <x:f t="shared" si="6"/>
      </x:c>
      <x:c r="H41" s="1"/>
    </x:row>
    <x:row r="42">
      <x:c r="B42" s="1" t="str">
        <x:f t="shared" si="5"/>
      </x:c>
      <x:c r="E42" s="1" t="str">
        <x:f t="shared" si="0"/>
      </x:c>
      <x:c r="F42" s="150" t="str">
        <x:f t="shared" si="0"/>
      </x:c>
      <x:c r="G42" s="1" t="str">
        <x:f t="shared" si="6"/>
      </x:c>
    </x:row>
    <x:row r="43">
      <x:c r="B43" s="1" t="str">
        <x:f t="shared" si="5"/>
      </x:c>
      <x:c r="E43" s="1" t="str">
        <x:f t="shared" si="0"/>
      </x:c>
      <x:c r="F43" s="150" t="str">
        <x:f t="shared" si="0"/>
      </x:c>
      <x:c r="G43" s="1" t="str">
        <x:f t="shared" si="6"/>
      </x:c>
    </x:row>
    <x:row r="44">
      <x:c r="B44" s="1" t="str">
        <x:f t="shared" si="5"/>
      </x:c>
      <x:c r="E44" s="1" t="str">
        <x:f t="shared" si="0"/>
      </x:c>
      <x:c r="F44" s="150" t="str">
        <x:f t="shared" si="0"/>
      </x:c>
      <x:c r="G44" s="1" t="str">
        <x:f t="shared" si="6"/>
      </x:c>
    </x:row>
    <x:row r="45">
      <x:c r="B45" s="1" t="str">
        <x:f t="shared" si="5"/>
      </x:c>
      <x:c r="E45" s="1" t="str">
        <x:f t="shared" si="0"/>
      </x:c>
      <x:c r="F45" s="150" t="str">
        <x:f t="shared" si="0"/>
      </x:c>
      <x:c r="G45" s="1" t="str">
        <x:f t="shared" si="6"/>
      </x:c>
      <x:c r="H45" s="4" t="str">
        <x:f t="shared" si="7"/>
      </x:c>
    </x:row>
    <x:row r="46">
      <x:c r="B46" s="1" t="str">
        <x:f t="shared" si="5"/>
      </x:c>
      <x:c r="E46" s="1" t="str">
        <x:f t="shared" si="0"/>
      </x:c>
      <x:c r="F46" s="150" t="str">
        <x:f t="shared" si="0"/>
      </x:c>
      <x:c r="G46" s="1" t="str">
        <x:f t="shared" si="6"/>
      </x:c>
      <x:c r="H46" s="4" t="str">
        <x:f t="shared" si="7"/>
      </x:c>
    </x:row>
    <x:row r="47">
      <x:c r="B47" s="1" t="str">
        <x:f t="shared" si="5"/>
      </x:c>
      <x:c r="E47" s="1" t="str">
        <x:f t="shared" si="0"/>
      </x:c>
      <x:c r="F47" s="150" t="str">
        <x:f t="shared" si="0"/>
      </x:c>
      <x:c r="G47" s="1" t="str">
        <x:f t="shared" si="6"/>
      </x:c>
      <x:c r="H47" s="4" t="str">
        <x:f t="shared" si="7"/>
      </x:c>
    </x:row>
    <x:row r="48">
      <x:c r="B48" s="1" t="str">
        <x:f t="shared" si="5"/>
      </x:c>
      <x:c r="E48" s="1" t="str">
        <x:f t="shared" si="0"/>
      </x:c>
      <x:c r="F48" s="150" t="str">
        <x:f t="shared" si="0"/>
      </x:c>
      <x:c r="G48" s="1" t="str">
        <x:f t="shared" si="6"/>
      </x:c>
      <x:c r="H48" s="4" t="str">
        <x:f t="shared" si="7"/>
      </x:c>
    </x:row>
    <x:row r="49">
      <x:c r="B49" s="1" t="str">
        <x:f t="shared" si="5"/>
      </x:c>
      <x:c r="E49" s="1" t="str">
        <x:f t="shared" si="0"/>
      </x:c>
      <x:c r="F49" s="150" t="str">
        <x:f t="shared" si="0"/>
      </x:c>
      <x:c r="G49" s="1" t="str">
        <x:f t="shared" si="6"/>
      </x:c>
      <x:c r="H49" s="4" t="str">
        <x:f t="shared" si="7"/>
      </x:c>
    </x:row>
    <x:row r="50">
      <x:c r="B50" s="1" t="str">
        <x:f t="shared" si="5"/>
      </x:c>
      <x:c r="E50" s="1" t="str">
        <x:f t="shared" si="0"/>
      </x:c>
      <x:c r="F50" s="150" t="str">
        <x:f t="shared" si="0"/>
      </x:c>
      <x:c r="G50" s="1" t="str">
        <x:f t="shared" si="6"/>
      </x:c>
      <x:c r="H50" s="4" t="str">
        <x:f t="shared" si="7"/>
      </x:c>
    </x:row>
    <x:row r="51">
      <x:c r="B51" s="1" t="str">
        <x:f t="shared" si="5"/>
      </x:c>
      <x:c r="E51" s="1" t="str">
        <x:f t="shared" si="0"/>
      </x:c>
      <x:c r="F51" s="150" t="str">
        <x:f t="shared" si="0"/>
      </x:c>
      <x:c r="G51" s="1" t="str">
        <x:f t="shared" si="6"/>
      </x:c>
      <x:c r="H51" s="4" t="str">
        <x:f t="shared" si="7"/>
      </x:c>
    </x:row>
    <x:row r="52">
      <x:c r="B52" s="1" t="str">
        <x:f t="shared" si="5"/>
      </x:c>
      <x:c r="E52" s="1" t="str">
        <x:f t="shared" si="0"/>
      </x:c>
      <x:c r="F52" s="150" t="str">
        <x:f t="shared" si="0"/>
      </x:c>
      <x:c r="G52" s="1" t="str">
        <x:f t="shared" si="6"/>
      </x:c>
      <x:c r="H52" s="4" t="str">
        <x:f t="shared" si="7"/>
      </x:c>
    </x:row>
    <x:row r="53">
      <x:c r="B53" s="1" t="str">
        <x:f t="shared" si="5"/>
      </x:c>
      <x:c r="E53" s="1" t="str">
        <x:f t="shared" si="0"/>
      </x:c>
      <x:c r="F53" s="150" t="str">
        <x:f t="shared" si="0"/>
      </x:c>
      <x:c r="G53" s="1" t="str">
        <x:f t="shared" si="6"/>
      </x:c>
      <x:c r="H53" s="4" t="str">
        <x:f t="shared" si="7"/>
      </x:c>
    </x:row>
    <x:row r="54">
      <x:c r="B54" s="1" t="str">
        <x:f t="shared" si="5"/>
      </x:c>
      <x:c r="E54" s="1" t="str">
        <x:f t="shared" si="0"/>
      </x:c>
      <x:c r="F54" s="150" t="str">
        <x:f t="shared" si="0"/>
      </x:c>
      <x:c r="G54" s="1" t="str">
        <x:f t="shared" si="6"/>
      </x:c>
      <x:c r="H54" s="4" t="str">
        <x:f t="shared" si="7"/>
      </x:c>
    </x:row>
    <x:row r="55">
      <x:c r="B55" s="1" t="str">
        <x:f t="shared" si="5"/>
      </x:c>
      <x:c r="E55" s="1" t="str">
        <x:f t="shared" si="0"/>
      </x:c>
      <x:c r="F55" s="150" t="str">
        <x:f t="shared" si="0"/>
      </x:c>
      <x:c r="G55" s="1" t="str">
        <x:f t="shared" si="6"/>
      </x:c>
      <x:c r="H55" s="4" t="str">
        <x:f t="shared" si="7"/>
      </x:c>
    </x:row>
    <x:row r="56">
      <x:c r="B56" s="1" t="str">
        <x:f t="shared" si="5"/>
      </x:c>
      <x:c r="E56" s="1" t="str">
        <x:f t="shared" si="0"/>
      </x:c>
      <x:c r="F56" s="150" t="str">
        <x:f t="shared" si="0"/>
      </x:c>
      <x:c r="G56" s="1" t="str">
        <x:f t="shared" si="6"/>
      </x:c>
      <x:c r="H56" s="4" t="str">
        <x:f t="shared" si="7"/>
      </x:c>
    </x:row>
    <x:row r="57">
      <x:c r="B57" s="1" t="str">
        <x:f t="shared" si="5"/>
      </x:c>
      <x:c r="E57" s="1" t="str">
        <x:f t="shared" si="0"/>
      </x:c>
      <x:c r="F57" s="150" t="str">
        <x:f t="shared" si="0"/>
      </x:c>
      <x:c r="G57" s="1" t="str">
        <x:f t="shared" si="6"/>
      </x:c>
      <x:c r="H57" s="4" t="str">
        <x:f t="shared" si="7"/>
      </x:c>
    </x:row>
    <x:row r="58">
      <x:c r="B58" s="1" t="str">
        <x:f t="shared" si="5"/>
      </x:c>
      <x:c r="E58" s="1" t="str">
        <x:f t="shared" si="0"/>
      </x:c>
      <x:c r="F58" s="150" t="str">
        <x:f t="shared" si="0"/>
      </x:c>
      <x:c r="G58" s="1" t="str">
        <x:f t="shared" si="6"/>
      </x:c>
      <x:c r="H58" s="4" t="str">
        <x:f t="shared" si="7"/>
      </x:c>
    </x:row>
    <x:row r="59">
      <x:c r="B59" s="1" t="str">
        <x:f t="shared" si="5"/>
      </x:c>
      <x:c r="E59" s="1" t="str">
        <x:f t="shared" si="0"/>
      </x:c>
      <x:c r="F59" s="150" t="str">
        <x:f t="shared" si="0"/>
      </x:c>
      <x:c r="G59" s="1" t="str">
        <x:f t="shared" si="6"/>
      </x:c>
      <x:c r="H59" s="4" t="str">
        <x:f t="shared" si="7"/>
      </x:c>
    </x:row>
    <x:row r="60">
      <x:c r="B60" s="1" t="str">
        <x:f t="shared" si="5"/>
      </x:c>
      <x:c r="E60" s="1" t="str">
        <x:f t="shared" si="0"/>
      </x:c>
      <x:c r="F60" s="150" t="str">
        <x:f t="shared" si="0"/>
      </x:c>
      <x:c r="G60" s="1" t="str">
        <x:f t="shared" si="6"/>
      </x:c>
      <x:c r="H60" s="4" t="str">
        <x:f t="shared" si="7"/>
      </x:c>
    </x:row>
    <x:row r="61">
      <x:c r="B61" s="1" t="str">
        <x:f t="shared" si="5"/>
      </x:c>
      <x:c r="E61" s="1" t="str">
        <x:f t="shared" si="0"/>
      </x:c>
      <x:c r="F61" s="150" t="str">
        <x:f t="shared" si="0"/>
      </x:c>
      <x:c r="G61" s="1" t="str">
        <x:f t="shared" si="6"/>
      </x:c>
      <x:c r="H61" s="4" t="str">
        <x:f t="shared" si="7"/>
      </x:c>
    </x:row>
    <x:row r="62">
      <x:c r="B62" s="1" t="str">
        <x:f t="shared" si="5"/>
      </x:c>
      <x:c r="E62" s="1" t="str">
        <x:f t="shared" si="0"/>
      </x:c>
      <x:c r="F62" s="150" t="str">
        <x:f t="shared" si="0"/>
      </x:c>
      <x:c r="G62" s="1" t="str">
        <x:f t="shared" si="6"/>
      </x:c>
      <x:c r="H62" s="4" t="str">
        <x:f t="shared" si="7"/>
      </x:c>
    </x:row>
    <x:row r="63">
      <x:c r="B63" s="1" t="str">
        <x:f t="shared" si="5"/>
      </x:c>
      <x:c r="E63" s="1" t="str">
        <x:f t="shared" si="0"/>
      </x:c>
      <x:c r="F63" s="150" t="str">
        <x:f t="shared" si="0"/>
      </x:c>
      <x:c r="G63" s="1" t="str">
        <x:f t="shared" si="6"/>
      </x:c>
      <x:c r="H63" s="4" t="str">
        <x:f t="shared" si="7"/>
      </x:c>
    </x:row>
    <x:row r="64">
      <x:c r="B64" s="1" t="str">
        <x:f t="shared" si="5"/>
      </x:c>
      <x:c r="E64" s="1" t="str">
        <x:f t="shared" si="0"/>
      </x:c>
      <x:c r="F64" s="150" t="str">
        <x:f t="shared" si="0"/>
      </x:c>
      <x:c r="G64" s="1" t="str">
        <x:f t="shared" si="6"/>
      </x:c>
      <x:c r="H64" s="4" t="str">
        <x:f t="shared" si="7"/>
      </x:c>
    </x:row>
    <x:row r="65">
      <x:c r="B65" s="1" t="str">
        <x:f t="shared" si="5"/>
      </x:c>
      <x:c r="E65" s="1" t="str">
        <x:f t="shared" si="0"/>
      </x:c>
      <x:c r="F65" s="150" t="str">
        <x:f t="shared" si="0"/>
      </x:c>
      <x:c r="G65" s="1" t="str">
        <x:f t="shared" si="6"/>
      </x:c>
      <x:c r="H65" s="4" t="str">
        <x:f t="shared" si="7"/>
      </x:c>
    </x:row>
    <x:row r="66">
      <x:c r="B66" s="1" t="str">
        <x:f t="shared" si="5"/>
      </x:c>
      <x:c r="E66" s="1" t="str">
        <x:f t="shared" si="0"/>
      </x:c>
      <x:c r="F66" s="150" t="str">
        <x:f t="shared" si="0"/>
      </x:c>
      <x:c r="G66" s="1" t="str">
        <x:f t="shared" si="6"/>
      </x:c>
      <x:c r="H66" s="4" t="str">
        <x:f t="shared" si="7"/>
      </x:c>
    </x:row>
    <x:row r="67">
      <x:c r="B67" s="1" t="str">
        <x:f t="shared" si="5"/>
      </x:c>
      <x:c r="E67" s="1" t="str">
        <x:f t="shared" si="0"/>
      </x:c>
      <x:c r="F67" s="150" t="str">
        <x:f t="shared" si="0"/>
      </x:c>
      <x:c r="G67" s="1" t="str">
        <x:f t="shared" si="6"/>
      </x:c>
      <x:c r="H67" s="4" t="str">
        <x:f t="shared" si="7"/>
      </x:c>
    </x:row>
    <x:row r="68">
      <x:c r="B68" s="1" t="str">
        <x:f t="shared" si="5"/>
      </x:c>
      <x:c r="E68" s="1" t="str">
        <x:f t="shared" si="0"/>
      </x:c>
      <x:c r="F68" s="150" t="str">
        <x:f t="shared" si="0"/>
      </x:c>
      <x:c r="G68" s="1" t="str">
        <x:f t="shared" si="6"/>
      </x:c>
      <x:c r="H68" s="4" t="str">
        <x:f t="shared" si="7"/>
      </x:c>
    </x:row>
    <x:row r="69">
      <x:c r="B69" s="1" t="str">
        <x:f t="shared" si="5"/>
      </x:c>
      <x:c r="E69" s="1" t="str">
        <x:f t="shared" si="0"/>
      </x:c>
      <x:c r="F69" s="150" t="str">
        <x:f t="shared" si="0"/>
      </x:c>
      <x:c r="G69" s="1" t="str">
        <x:f t="shared" si="6"/>
      </x:c>
      <x:c r="H69" s="4" t="str">
        <x:f t="shared" si="7"/>
      </x:c>
    </x:row>
    <x:row r="70">
      <x:c r="B70" s="1" t="str">
        <x:f t="shared" si="5"/>
      </x:c>
      <x:c r="E70" s="1" t="str">
        <x:f t="shared" si="0"/>
      </x:c>
      <x:c r="F70" s="150" t="str">
        <x:f t="shared" si="0"/>
      </x:c>
      <x:c r="G70" s="1" t="str">
        <x:f t="shared" si="6"/>
      </x:c>
      <x:c r="H70" s="4" t="str">
        <x:f t="shared" si="7"/>
      </x:c>
    </x:row>
    <x:row r="71">
      <x:c r="B71" s="1" t="str">
        <x:f t="shared" si="5"/>
      </x:c>
      <x:c r="E71" s="1" t="str">
        <x:f t="shared" si="0"/>
      </x:c>
      <x:c r="F71" s="150" t="str">
        <x:f t="shared" si="0"/>
      </x:c>
      <x:c r="G71" s="1" t="str">
        <x:f t="shared" si="6"/>
      </x:c>
      <x:c r="H71" s="4" t="str">
        <x:f t="shared" si="7"/>
      </x:c>
    </x:row>
    <x:row r="72">
      <x:c r="B72" s="1" t="str">
        <x:f t="shared" si="5"/>
      </x:c>
      <x:c r="E72" s="1" t="str">
        <x:f t="shared" si="0"/>
      </x:c>
      <x:c r="F72" s="150" t="str">
        <x:f t="shared" si="0"/>
      </x:c>
      <x:c r="G72" s="1" t="str">
        <x:f t="shared" si="6"/>
      </x:c>
      <x:c r="H72" s="4" t="str">
        <x:f t="shared" si="7"/>
      </x:c>
    </x:row>
    <x:row r="73">
      <x:c r="B73" s="1" t="str">
        <x:f t="shared" si="5"/>
      </x:c>
      <x:c r="E73" s="1" t="str">
        <x:f t="shared" si="0"/>
      </x:c>
      <x:c r="F73" s="150" t="str">
        <x:f t="shared" si="0"/>
      </x:c>
      <x:c r="G73" s="1" t="str">
        <x:f t="shared" si="6"/>
      </x:c>
      <x:c r="H73" s="4" t="str">
        <x:f t="shared" si="7"/>
      </x:c>
    </x:row>
    <x:row r="74">
      <x:c r="B74" s="1" t="str">
        <x:f t="shared" ref="B74:B137" si="8">IF(C74&lt;&gt;"", ROW()-4, "")</x:f>
      </x:c>
      <x:c r="E74" s="1" t="str">
        <x:f t="shared" ref="E74:F137" si="9">IF(A74&lt;&gt;"", IF(A74=A73, "", A74), "")</x:f>
      </x:c>
      <x:c r="F74" s="150" t="str">
        <x:f t="shared" si="9"/>
      </x:c>
      <x:c r="G74" s="1" t="str">
        <x:f t="shared" si="6"/>
      </x:c>
      <x:c r="H74" s="4" t="str">
        <x:f t="shared" si="7"/>
      </x:c>
    </x:row>
    <x:row r="75">
      <x:c r="B75" s="1" t="str">
        <x:f t="shared" si="8"/>
      </x:c>
      <x:c r="E75" s="1" t="str">
        <x:f t="shared" si="9"/>
      </x:c>
      <x:c r="F75" s="150" t="str">
        <x:f t="shared" si="9"/>
      </x:c>
      <x:c r="G75" s="1" t="str">
        <x:f t="shared" si="6"/>
      </x:c>
      <x:c r="H75" s="4" t="str">
        <x:f t="shared" si="7"/>
      </x:c>
    </x:row>
    <x:row r="76">
      <x:c r="B76" s="1" t="str">
        <x:f t="shared" si="8"/>
      </x:c>
      <x:c r="E76" s="1" t="str">
        <x:f t="shared" si="9"/>
      </x:c>
      <x:c r="F76" s="150" t="str">
        <x:f t="shared" si="9"/>
      </x:c>
      <x:c r="G76" s="1" t="str">
        <x:f t="shared" si="6"/>
      </x:c>
      <x:c r="H76" s="4" t="str">
        <x:f t="shared" si="7"/>
      </x:c>
    </x:row>
    <x:row r="77">
      <x:c r="B77" s="1" t="str">
        <x:f t="shared" si="8"/>
      </x:c>
      <x:c r="E77" s="1" t="str">
        <x:f t="shared" si="9"/>
      </x:c>
      <x:c r="F77" s="150" t="str">
        <x:f t="shared" si="9"/>
      </x:c>
      <x:c r="G77" s="1" t="str">
        <x:f t="shared" si="6"/>
      </x:c>
      <x:c r="H77" s="4" t="str">
        <x:f t="shared" si="7"/>
      </x:c>
    </x:row>
    <x:row r="78">
      <x:c r="B78" s="1" t="str">
        <x:f t="shared" si="8"/>
      </x:c>
      <x:c r="E78" s="1" t="str">
        <x:f t="shared" si="9"/>
      </x:c>
      <x:c r="F78" s="150" t="str">
        <x:f t="shared" si="9"/>
      </x:c>
      <x:c r="G78" s="1" t="str">
        <x:f t="shared" si="6"/>
      </x:c>
      <x:c r="H78" s="4" t="str">
        <x:f t="shared" si="7"/>
      </x:c>
    </x:row>
    <x:row r="79">
      <x:c r="B79" s="1" t="str">
        <x:f t="shared" si="8"/>
      </x:c>
      <x:c r="E79" s="1" t="str">
        <x:f t="shared" si="9"/>
      </x:c>
      <x:c r="F79" s="150" t="str">
        <x:f t="shared" si="9"/>
      </x:c>
      <x:c r="G79" s="1" t="str">
        <x:f t="shared" si="6"/>
      </x:c>
      <x:c r="H79" s="4" t="str">
        <x:f t="shared" si="7"/>
      </x:c>
    </x:row>
    <x:row r="80">
      <x:c r="B80" s="1" t="str">
        <x:f t="shared" si="8"/>
      </x:c>
      <x:c r="E80" s="1" t="str">
        <x:f t="shared" si="9"/>
      </x:c>
      <x:c r="F80" s="150" t="str">
        <x:f t="shared" si="9"/>
      </x:c>
      <x:c r="G80" s="1" t="str">
        <x:f t="shared" si="6"/>
      </x:c>
      <x:c r="H80" s="4" t="str">
        <x:f t="shared" si="7"/>
      </x:c>
    </x:row>
    <x:row r="81">
      <x:c r="B81" s="1" t="str">
        <x:f t="shared" si="8"/>
      </x:c>
      <x:c r="E81" s="1" t="str">
        <x:f t="shared" si="9"/>
      </x:c>
      <x:c r="F81" s="150" t="str">
        <x:f t="shared" si="9"/>
      </x:c>
      <x:c r="G81" s="1" t="str">
        <x:f t="shared" si="6"/>
      </x:c>
      <x:c r="H81" s="4" t="str">
        <x:f t="shared" si="7"/>
      </x:c>
    </x:row>
    <x:row r="82">
      <x:c r="B82" s="1" t="str">
        <x:f t="shared" si="8"/>
      </x:c>
      <x:c r="E82" s="1" t="str">
        <x:f t="shared" si="9"/>
      </x:c>
      <x:c r="F82" s="150" t="str">
        <x:f t="shared" si="9"/>
      </x:c>
      <x:c r="G82" s="1" t="str">
        <x:f t="shared" si="6"/>
      </x:c>
      <x:c r="H82" s="4" t="str">
        <x:f t="shared" si="7"/>
      </x:c>
    </x:row>
    <x:row r="83">
      <x:c r="B83" s="1" t="str">
        <x:f t="shared" si="8"/>
      </x:c>
      <x:c r="E83" s="1" t="str">
        <x:f t="shared" si="9"/>
      </x:c>
      <x:c r="F83" s="150" t="str">
        <x:f t="shared" si="9"/>
      </x:c>
      <x:c r="G83" s="1" t="str">
        <x:f t="shared" si="6"/>
      </x:c>
      <x:c r="H83" s="4" t="str">
        <x:f t="shared" si="7"/>
      </x:c>
    </x:row>
    <x:row r="84">
      <x:c r="B84" s="1" t="str">
        <x:f t="shared" si="8"/>
      </x:c>
      <x:c r="E84" s="1" t="str">
        <x:f t="shared" si="9"/>
      </x:c>
      <x:c r="F84" s="150" t="str">
        <x:f t="shared" si="9"/>
      </x:c>
      <x:c r="G84" s="1" t="str">
        <x:f t="shared" ref="G84:G111" si="10">IF(C84&lt;&gt;"", IF(C84=C83, "", C84), "")</x:f>
      </x:c>
      <x:c r="H84" s="4" t="str">
        <x:f t="shared" ref="H84:H111" si="11">IF(D84&lt;&gt;"", IF(D84=D83, "", D84), "")</x:f>
      </x:c>
    </x:row>
    <x:row r="85">
      <x:c r="B85" s="1" t="str">
        <x:f t="shared" si="8"/>
      </x:c>
      <x:c r="E85" s="1" t="str">
        <x:f t="shared" si="9"/>
      </x:c>
      <x:c r="F85" s="150" t="str">
        <x:f t="shared" si="9"/>
      </x:c>
      <x:c r="G85" s="1" t="str">
        <x:f t="shared" si="10"/>
      </x:c>
      <x:c r="H85" s="4" t="str">
        <x:f t="shared" si="11"/>
      </x:c>
    </x:row>
    <x:row r="86">
      <x:c r="B86" s="1" t="str">
        <x:f t="shared" si="8"/>
      </x:c>
      <x:c r="E86" s="1" t="str">
        <x:f t="shared" si="9"/>
      </x:c>
      <x:c r="F86" s="150" t="str">
        <x:f t="shared" si="9"/>
      </x:c>
      <x:c r="G86" s="1" t="str">
        <x:f t="shared" si="10"/>
      </x:c>
      <x:c r="H86" s="4" t="str">
        <x:f t="shared" si="11"/>
      </x:c>
    </x:row>
    <x:row r="87">
      <x:c r="B87" s="1" t="str">
        <x:f t="shared" si="8"/>
      </x:c>
      <x:c r="E87" s="1" t="str">
        <x:f t="shared" si="9"/>
      </x:c>
      <x:c r="F87" s="150" t="str">
        <x:f t="shared" si="9"/>
      </x:c>
      <x:c r="G87" s="1" t="str">
        <x:f t="shared" si="10"/>
      </x:c>
      <x:c r="H87" s="4" t="str">
        <x:f t="shared" si="11"/>
      </x:c>
    </x:row>
    <x:row r="88">
      <x:c r="B88" s="1" t="str">
        <x:f t="shared" si="8"/>
      </x:c>
      <x:c r="E88" s="1" t="str">
        <x:f t="shared" si="9"/>
      </x:c>
      <x:c r="F88" s="150" t="str">
        <x:f t="shared" ref="F88:F90" si="12">IF(B88&lt;&gt;"", IF(B88=B87, "", B88), "")</x:f>
      </x:c>
      <x:c r="G88" s="1" t="str">
        <x:f t="shared" si="10"/>
      </x:c>
      <x:c r="H88" s="4" t="str">
        <x:f t="shared" si="11"/>
      </x:c>
    </x:row>
    <x:row r="89">
      <x:c r="B89" s="1" t="str">
        <x:f t="shared" si="8"/>
      </x:c>
      <x:c r="E89" s="1" t="str">
        <x:f t="shared" si="9"/>
      </x:c>
      <x:c r="F89" s="150" t="str">
        <x:f t="shared" si="12"/>
      </x:c>
      <x:c r="G89" s="1" t="str">
        <x:f t="shared" si="10"/>
      </x:c>
      <x:c r="H89" s="4" t="str">
        <x:f t="shared" si="11"/>
      </x:c>
    </x:row>
    <x:row r="90">
      <x:c r="B90" s="1" t="str">
        <x:f t="shared" si="8"/>
      </x:c>
      <x:c r="E90" s="1" t="str">
        <x:f t="shared" si="9"/>
      </x:c>
      <x:c r="F90" s="150" t="str">
        <x:f t="shared" si="12"/>
      </x:c>
      <x:c r="G90" s="1" t="str">
        <x:f t="shared" si="10"/>
      </x:c>
      <x:c r="H90" s="4" t="str">
        <x:f t="shared" si="11"/>
      </x:c>
    </x:row>
    <x:row r="91">
      <x:c r="B91" s="1" t="str">
        <x:f t="shared" si="8"/>
      </x:c>
      <x:c r="E91" s="1" t="str">
        <x:f t="shared" si="9"/>
      </x:c>
      <x:c r="F91" s="150" t="str">
        <x:f t="shared" si="9"/>
      </x:c>
      <x:c r="G91" s="1" t="str">
        <x:f t="shared" si="10"/>
      </x:c>
      <x:c r="H91" s="4" t="str">
        <x:f t="shared" si="11"/>
      </x:c>
    </x:row>
    <x:row r="92">
      <x:c r="B92" s="1" t="str">
        <x:f t="shared" si="8"/>
      </x:c>
      <x:c r="E92" s="1" t="str">
        <x:f t="shared" si="9"/>
      </x:c>
      <x:c r="F92" s="150" t="str">
        <x:f t="shared" si="9"/>
      </x:c>
      <x:c r="G92" s="1" t="str">
        <x:f t="shared" si="10"/>
      </x:c>
      <x:c r="H92" s="4" t="str">
        <x:f t="shared" si="11"/>
      </x:c>
    </x:row>
    <x:row r="93">
      <x:c r="B93" s="1" t="str">
        <x:f t="shared" si="8"/>
      </x:c>
      <x:c r="E93" s="1" t="str">
        <x:f t="shared" si="9"/>
      </x:c>
      <x:c r="F93" s="150" t="str">
        <x:f t="shared" si="9"/>
      </x:c>
      <x:c r="G93" s="1" t="str">
        <x:f t="shared" si="10"/>
      </x:c>
      <x:c r="H93" s="4" t="str">
        <x:f t="shared" si="11"/>
      </x:c>
    </x:row>
    <x:row r="94">
      <x:c r="B94" s="1" t="str">
        <x:f t="shared" si="8"/>
      </x:c>
      <x:c r="E94" s="1" t="str">
        <x:f t="shared" si="9"/>
      </x:c>
      <x:c r="F94" s="150" t="str">
        <x:f t="shared" si="9"/>
      </x:c>
      <x:c r="G94" s="1" t="str">
        <x:f t="shared" si="10"/>
      </x:c>
      <x:c r="H94" s="4" t="str">
        <x:f t="shared" si="11"/>
      </x:c>
    </x:row>
    <x:row r="95">
      <x:c r="B95" s="1" t="str">
        <x:f t="shared" si="8"/>
      </x:c>
      <x:c r="E95" s="1" t="str">
        <x:f t="shared" si="9"/>
      </x:c>
      <x:c r="F95" s="150" t="str">
        <x:f t="shared" si="9"/>
      </x:c>
      <x:c r="G95" s="1" t="str">
        <x:f t="shared" si="10"/>
      </x:c>
      <x:c r="H95" s="4" t="str">
        <x:f t="shared" si="11"/>
      </x:c>
    </x:row>
    <x:row r="96">
      <x:c r="B96" s="1" t="str">
        <x:f t="shared" si="8"/>
      </x:c>
      <x:c r="E96" s="1" t="str">
        <x:f t="shared" si="9"/>
      </x:c>
      <x:c r="F96" s="150" t="str">
        <x:f t="shared" si="9"/>
      </x:c>
      <x:c r="G96" s="1" t="str">
        <x:f t="shared" si="10"/>
      </x:c>
      <x:c r="H96" s="4" t="str">
        <x:f t="shared" si="11"/>
      </x:c>
    </x:row>
    <x:row r="97">
      <x:c r="B97" s="1" t="str">
        <x:f t="shared" si="8"/>
      </x:c>
      <x:c r="E97" s="1" t="str">
        <x:f t="shared" si="9"/>
      </x:c>
      <x:c r="F97" s="150" t="str">
        <x:f t="shared" si="9"/>
      </x:c>
      <x:c r="G97" s="1" t="str">
        <x:f t="shared" si="10"/>
      </x:c>
      <x:c r="H97" s="4" t="str">
        <x:f t="shared" si="11"/>
      </x:c>
    </x:row>
    <x:row r="98">
      <x:c r="B98" s="1" t="str">
        <x:f t="shared" si="8"/>
      </x:c>
      <x:c r="E98" s="1" t="str">
        <x:f t="shared" si="9"/>
      </x:c>
      <x:c r="F98" s="150" t="str">
        <x:f t="shared" si="9"/>
      </x:c>
      <x:c r="G98" s="1" t="str">
        <x:f t="shared" si="10"/>
      </x:c>
      <x:c r="H98" s="4" t="str">
        <x:f t="shared" si="11"/>
      </x:c>
    </x:row>
    <x:row r="99">
      <x:c r="B99" s="1" t="str">
        <x:f t="shared" si="8"/>
      </x:c>
      <x:c r="E99" s="1" t="str">
        <x:f t="shared" si="9"/>
      </x:c>
      <x:c r="F99" s="150" t="str">
        <x:f t="shared" si="9"/>
      </x:c>
      <x:c r="G99" s="1" t="str">
        <x:f t="shared" si="10"/>
      </x:c>
      <x:c r="H99" s="4" t="str">
        <x:f t="shared" si="11"/>
      </x:c>
    </x:row>
    <x:row r="100">
      <x:c r="B100" s="1" t="str">
        <x:f t="shared" si="8"/>
      </x:c>
      <x:c r="E100" s="1" t="str">
        <x:f t="shared" si="9"/>
      </x:c>
      <x:c r="F100" s="150" t="str">
        <x:f t="shared" si="9"/>
      </x:c>
      <x:c r="G100" s="1" t="str">
        <x:f t="shared" si="10"/>
      </x:c>
      <x:c r="H100" s="4" t="str">
        <x:f t="shared" si="11"/>
      </x:c>
    </x:row>
    <x:row r="101">
      <x:c r="B101" s="1" t="str">
        <x:f t="shared" si="8"/>
      </x:c>
      <x:c r="E101" s="1" t="str">
        <x:f t="shared" si="9"/>
      </x:c>
      <x:c r="F101" s="150" t="str">
        <x:f t="shared" si="9"/>
      </x:c>
      <x:c r="G101" s="1" t="str">
        <x:f t="shared" si="10"/>
      </x:c>
      <x:c r="H101" s="4" t="str">
        <x:f t="shared" si="11"/>
      </x:c>
    </x:row>
    <x:row r="102">
      <x:c r="B102" s="1" t="str">
        <x:f t="shared" si="8"/>
      </x:c>
      <x:c r="E102" s="1" t="str">
        <x:f t="shared" si="9"/>
      </x:c>
      <x:c r="F102" s="150" t="str">
        <x:f t="shared" si="9"/>
      </x:c>
      <x:c r="G102" s="1" t="str">
        <x:f t="shared" si="10"/>
      </x:c>
      <x:c r="H102" s="4" t="str">
        <x:f t="shared" si="11"/>
      </x:c>
    </x:row>
    <x:row r="103">
      <x:c r="B103" s="1" t="str">
        <x:f t="shared" si="8"/>
      </x:c>
      <x:c r="E103" s="1" t="str">
        <x:f t="shared" si="9"/>
      </x:c>
      <x:c r="F103" s="150" t="str">
        <x:f t="shared" si="9"/>
      </x:c>
      <x:c r="G103" s="1" t="str">
        <x:f t="shared" si="10"/>
      </x:c>
      <x:c r="H103" s="4" t="str">
        <x:f t="shared" si="11"/>
      </x:c>
    </x:row>
    <x:row r="104">
      <x:c r="B104" s="1" t="str">
        <x:f t="shared" si="8"/>
      </x:c>
      <x:c r="E104" s="1" t="str">
        <x:f t="shared" si="9"/>
      </x:c>
      <x:c r="F104" s="150" t="str">
        <x:f t="shared" si="9"/>
      </x:c>
      <x:c r="G104" s="1" t="str">
        <x:f t="shared" si="10"/>
      </x:c>
      <x:c r="H104" s="4" t="str">
        <x:f t="shared" si="11"/>
      </x:c>
    </x:row>
    <x:row r="105">
      <x:c r="B105" s="1" t="str">
        <x:f t="shared" si="8"/>
      </x:c>
      <x:c r="E105" s="1" t="str">
        <x:f t="shared" si="9"/>
      </x:c>
      <x:c r="F105" s="150" t="str">
        <x:f t="shared" si="9"/>
      </x:c>
      <x:c r="G105" s="1" t="str">
        <x:f t="shared" si="10"/>
      </x:c>
      <x:c r="H105" s="4" t="str">
        <x:f t="shared" si="11"/>
      </x:c>
    </x:row>
    <x:row r="106">
      <x:c r="B106" s="1" t="str">
        <x:f t="shared" si="8"/>
      </x:c>
      <x:c r="E106" s="1" t="str">
        <x:f t="shared" si="9"/>
      </x:c>
      <x:c r="F106" s="150" t="str">
        <x:f t="shared" si="9"/>
      </x:c>
      <x:c r="G106" s="1" t="str">
        <x:f t="shared" si="10"/>
      </x:c>
      <x:c r="H106" s="4" t="str">
        <x:f t="shared" si="11"/>
      </x:c>
    </x:row>
    <x:row r="107">
      <x:c r="B107" s="1" t="str">
        <x:f t="shared" si="8"/>
      </x:c>
      <x:c r="E107" s="1" t="str">
        <x:f t="shared" si="9"/>
      </x:c>
      <x:c r="F107" s="150" t="str">
        <x:f t="shared" si="9"/>
      </x:c>
      <x:c r="G107" s="1" t="str">
        <x:f t="shared" si="10"/>
      </x:c>
      <x:c r="H107" s="4" t="str">
        <x:f t="shared" si="11"/>
      </x:c>
    </x:row>
    <x:row r="108">
      <x:c r="B108" s="1" t="str">
        <x:f t="shared" si="8"/>
      </x:c>
      <x:c r="E108" s="1" t="str">
        <x:f t="shared" si="9"/>
      </x:c>
      <x:c r="F108" s="150" t="str">
        <x:f t="shared" si="9"/>
      </x:c>
      <x:c r="G108" s="1" t="str">
        <x:f t="shared" si="10"/>
      </x:c>
      <x:c r="H108" s="4" t="str">
        <x:f t="shared" si="11"/>
      </x:c>
    </x:row>
    <x:row r="109">
      <x:c r="B109" s="1" t="str">
        <x:f t="shared" si="8"/>
      </x:c>
      <x:c r="E109" s="1" t="str">
        <x:f t="shared" si="9"/>
      </x:c>
      <x:c r="F109" s="150" t="str">
        <x:f t="shared" si="9"/>
      </x:c>
      <x:c r="G109" s="1" t="str">
        <x:f t="shared" si="10"/>
      </x:c>
      <x:c r="H109" s="4" t="str">
        <x:f t="shared" si="11"/>
      </x:c>
    </x:row>
    <x:row r="110">
      <x:c r="B110" s="1" t="str">
        <x:f t="shared" si="8"/>
      </x:c>
      <x:c r="E110" s="1" t="str">
        <x:f t="shared" si="9"/>
      </x:c>
      <x:c r="F110" s="150" t="str">
        <x:f t="shared" si="9"/>
      </x:c>
      <x:c r="G110" s="1" t="str">
        <x:f t="shared" si="10"/>
      </x:c>
      <x:c r="H110" s="4" t="str">
        <x:f t="shared" si="11"/>
      </x:c>
    </x:row>
    <x:row r="111">
      <x:c r="B111" s="1" t="str">
        <x:f t="shared" si="8"/>
      </x:c>
      <x:c r="E111" s="1" t="str">
        <x:f t="shared" si="9"/>
      </x:c>
      <x:c r="F111" s="150" t="str">
        <x:f t="shared" si="9"/>
      </x:c>
      <x:c r="G111" s="1" t="str">
        <x:f t="shared" si="10"/>
      </x:c>
      <x:c r="H111" s="4" t="str">
        <x:f t="shared" si="11"/>
      </x:c>
    </x:row>
    <x:row r="112">
      <x:c r="B112" s="1" t="str">
        <x:f t="shared" si="8"/>
      </x:c>
      <x:c r="E112" s="1" t="str">
        <x:f t="shared" si="9"/>
      </x:c>
      <x:c r="F112" s="150" t="str">
        <x:f t="shared" si="9"/>
      </x:c>
      <x:c r="G112" s="1" t="str">
        <x:f t="shared" ref="G112:G152" si="13">IF(C112&lt;&gt;"", IF(C112=C111, "", C112), "")</x:f>
      </x:c>
      <x:c r="H112" s="4" t="str">
        <x:f t="shared" ref="H112:H152" si="14">IF(D112&lt;&gt;"", IF(D112=D111, "", D112), "")</x:f>
      </x:c>
    </x:row>
    <x:row r="113">
      <x:c r="B113" s="1" t="str">
        <x:f t="shared" si="8"/>
      </x:c>
      <x:c r="E113" s="1" t="str">
        <x:f t="shared" si="9"/>
      </x:c>
      <x:c r="F113" s="150" t="str">
        <x:f t="shared" si="9"/>
      </x:c>
      <x:c r="G113" s="1" t="str">
        <x:f t="shared" si="13"/>
      </x:c>
      <x:c r="H113" s="4" t="str">
        <x:f t="shared" si="14"/>
      </x:c>
    </x:row>
    <x:row r="114">
      <x:c r="B114" s="1" t="str">
        <x:f t="shared" si="8"/>
      </x:c>
      <x:c r="E114" s="1" t="str">
        <x:f t="shared" si="9"/>
      </x:c>
      <x:c r="F114" s="150" t="str">
        <x:f t="shared" si="9"/>
      </x:c>
      <x:c r="G114" s="1" t="str">
        <x:f t="shared" si="13"/>
      </x:c>
      <x:c r="H114" s="4" t="str">
        <x:f t="shared" si="14"/>
      </x:c>
    </x:row>
    <x:row r="115">
      <x:c r="B115" s="1" t="str">
        <x:f t="shared" si="8"/>
      </x:c>
      <x:c r="E115" s="1" t="str">
        <x:f t="shared" si="9"/>
      </x:c>
      <x:c r="F115" s="150" t="str">
        <x:f t="shared" si="9"/>
      </x:c>
      <x:c r="G115" s="1" t="str">
        <x:f t="shared" si="13"/>
      </x:c>
      <x:c r="H115" s="4" t="str">
        <x:f t="shared" si="14"/>
      </x:c>
    </x:row>
    <x:row r="116">
      <x:c r="B116" s="1" t="str">
        <x:f t="shared" si="8"/>
      </x:c>
      <x:c r="E116" s="1" t="str">
        <x:f t="shared" si="9"/>
      </x:c>
      <x:c r="F116" s="150" t="str">
        <x:f t="shared" si="9"/>
      </x:c>
      <x:c r="G116" s="1" t="str">
        <x:f t="shared" si="13"/>
      </x:c>
      <x:c r="H116" s="4" t="str">
        <x:f t="shared" si="14"/>
      </x:c>
    </x:row>
    <x:row r="117">
      <x:c r="B117" s="1" t="str">
        <x:f t="shared" si="8"/>
      </x:c>
      <x:c r="E117" s="1" t="str">
        <x:f t="shared" si="9"/>
      </x:c>
      <x:c r="F117" s="150" t="str">
        <x:f t="shared" si="9"/>
      </x:c>
      <x:c r="G117" s="1" t="str">
        <x:f t="shared" si="13"/>
      </x:c>
      <x:c r="H117" s="4" t="str">
        <x:f t="shared" si="14"/>
      </x:c>
    </x:row>
    <x:row r="118">
      <x:c r="B118" s="1" t="str">
        <x:f t="shared" si="8"/>
      </x:c>
      <x:c r="E118" s="1" t="str">
        <x:f t="shared" si="9"/>
      </x:c>
      <x:c r="F118" s="150" t="str">
        <x:f t="shared" si="9"/>
      </x:c>
      <x:c r="G118" s="1" t="str">
        <x:f t="shared" si="13"/>
      </x:c>
      <x:c r="H118" s="4" t="str">
        <x:f t="shared" si="14"/>
      </x:c>
    </x:row>
    <x:row r="119">
      <x:c r="B119" s="1" t="str">
        <x:f t="shared" si="8"/>
      </x:c>
      <x:c r="E119" s="1" t="str">
        <x:f t="shared" si="9"/>
      </x:c>
      <x:c r="F119" s="150" t="str">
        <x:f t="shared" si="9"/>
      </x:c>
      <x:c r="G119" s="1" t="str">
        <x:f t="shared" si="13"/>
      </x:c>
      <x:c r="H119" s="4" t="str">
        <x:f t="shared" si="14"/>
      </x:c>
    </x:row>
    <x:row r="120">
      <x:c r="B120" s="1" t="str">
        <x:f t="shared" si="8"/>
      </x:c>
      <x:c r="E120" s="1" t="str">
        <x:f t="shared" si="9"/>
      </x:c>
      <x:c r="F120" s="150" t="str">
        <x:f t="shared" si="9"/>
      </x:c>
      <x:c r="G120" s="1" t="str">
        <x:f t="shared" si="13"/>
      </x:c>
      <x:c r="H120" s="4" t="str">
        <x:f t="shared" si="14"/>
      </x:c>
    </x:row>
    <x:row r="121">
      <x:c r="B121" s="1" t="str">
        <x:f t="shared" si="8"/>
      </x:c>
      <x:c r="E121" s="1" t="str">
        <x:f t="shared" si="9"/>
      </x:c>
      <x:c r="F121" s="150" t="str">
        <x:f t="shared" si="9"/>
      </x:c>
      <x:c r="G121" s="1" t="str">
        <x:f t="shared" si="13"/>
      </x:c>
      <x:c r="H121" s="4" t="str">
        <x:f t="shared" si="14"/>
      </x:c>
    </x:row>
    <x:row r="122">
      <x:c r="B122" s="1" t="str">
        <x:f t="shared" si="8"/>
      </x:c>
      <x:c r="E122" s="1" t="str">
        <x:f t="shared" si="9"/>
      </x:c>
      <x:c r="F122" s="150" t="str">
        <x:f t="shared" si="9"/>
      </x:c>
      <x:c r="G122" s="1" t="str">
        <x:f t="shared" si="13"/>
      </x:c>
      <x:c r="H122" s="4" t="str">
        <x:f t="shared" si="14"/>
      </x:c>
    </x:row>
    <x:row r="123">
      <x:c r="B123" s="1" t="str">
        <x:f t="shared" si="8"/>
      </x:c>
      <x:c r="E123" s="1" t="str">
        <x:f t="shared" si="9"/>
      </x:c>
      <x:c r="F123" s="150" t="str">
        <x:f t="shared" si="9"/>
      </x:c>
      <x:c r="G123" s="1" t="str">
        <x:f t="shared" si="13"/>
      </x:c>
      <x:c r="H123" s="4" t="str">
        <x:f t="shared" si="14"/>
      </x:c>
    </x:row>
    <x:row r="124">
      <x:c r="B124" s="1" t="str">
        <x:f t="shared" si="8"/>
      </x:c>
      <x:c r="E124" s="1" t="str">
        <x:f t="shared" si="9"/>
      </x:c>
      <x:c r="F124" s="150" t="str">
        <x:f t="shared" si="9"/>
      </x:c>
      <x:c r="G124" s="1" t="str">
        <x:f t="shared" si="13"/>
      </x:c>
      <x:c r="H124" s="4" t="str">
        <x:f t="shared" si="14"/>
      </x:c>
    </x:row>
    <x:row r="125">
      <x:c r="B125" s="1" t="str">
        <x:f t="shared" si="8"/>
      </x:c>
      <x:c r="E125" s="1" t="str">
        <x:f t="shared" si="9"/>
      </x:c>
      <x:c r="F125" s="150" t="str">
        <x:f t="shared" si="9"/>
      </x:c>
      <x:c r="G125" s="1" t="str">
        <x:f t="shared" si="13"/>
      </x:c>
      <x:c r="H125" s="4" t="str">
        <x:f t="shared" si="14"/>
      </x:c>
    </x:row>
    <x:row r="126">
      <x:c r="B126" s="1" t="str">
        <x:f t="shared" si="8"/>
      </x:c>
      <x:c r="E126" s="1" t="str">
        <x:f t="shared" si="9"/>
      </x:c>
      <x:c r="F126" s="150" t="str">
        <x:f t="shared" si="9"/>
      </x:c>
      <x:c r="G126" s="1" t="str">
        <x:f t="shared" si="13"/>
      </x:c>
      <x:c r="H126" s="4" t="str">
        <x:f t="shared" si="14"/>
      </x:c>
    </x:row>
    <x:row r="127">
      <x:c r="B127" s="1" t="str">
        <x:f t="shared" si="8"/>
      </x:c>
      <x:c r="E127" s="1" t="str">
        <x:f t="shared" si="9"/>
      </x:c>
      <x:c r="F127" s="150" t="str">
        <x:f t="shared" si="9"/>
      </x:c>
      <x:c r="G127" s="1" t="str">
        <x:f t="shared" si="13"/>
      </x:c>
      <x:c r="H127" s="4" t="str">
        <x:f t="shared" si="14"/>
      </x:c>
    </x:row>
    <x:row r="128">
      <x:c r="B128" s="1" t="str">
        <x:f t="shared" si="8"/>
      </x:c>
      <x:c r="E128" s="1" t="str">
        <x:f t="shared" si="9"/>
      </x:c>
      <x:c r="F128" s="150" t="str">
        <x:f t="shared" si="9"/>
      </x:c>
      <x:c r="G128" s="1" t="str">
        <x:f t="shared" si="13"/>
      </x:c>
      <x:c r="H128" s="4" t="str">
        <x:f t="shared" si="14"/>
      </x:c>
    </x:row>
    <x:row r="129">
      <x:c r="B129" s="1" t="str">
        <x:f t="shared" si="8"/>
      </x:c>
      <x:c r="E129" s="1" t="str">
        <x:f t="shared" si="9"/>
      </x:c>
      <x:c r="F129" s="150" t="str">
        <x:f t="shared" si="9"/>
      </x:c>
      <x:c r="G129" s="1" t="str">
        <x:f t="shared" si="13"/>
      </x:c>
      <x:c r="H129" s="4" t="str">
        <x:f t="shared" si="14"/>
      </x:c>
    </x:row>
    <x:row r="130">
      <x:c r="B130" s="1" t="str">
        <x:f t="shared" si="8"/>
      </x:c>
      <x:c r="E130" s="1" t="str">
        <x:f t="shared" si="9"/>
      </x:c>
      <x:c r="F130" s="150" t="str">
        <x:f t="shared" si="9"/>
      </x:c>
      <x:c r="G130" s="1" t="str">
        <x:f t="shared" si="13"/>
      </x:c>
      <x:c r="H130" s="4" t="str">
        <x:f t="shared" si="14"/>
      </x:c>
    </x:row>
    <x:row r="131">
      <x:c r="B131" s="1" t="str">
        <x:f t="shared" si="8"/>
      </x:c>
      <x:c r="E131" s="1" t="str">
        <x:f t="shared" si="9"/>
      </x:c>
      <x:c r="F131" s="150" t="str">
        <x:f t="shared" si="9"/>
      </x:c>
      <x:c r="G131" s="1" t="str">
        <x:f t="shared" si="13"/>
      </x:c>
      <x:c r="H131" s="4" t="str">
        <x:f t="shared" si="14"/>
      </x:c>
    </x:row>
    <x:row r="132">
      <x:c r="B132" s="1" t="str">
        <x:f t="shared" si="8"/>
      </x:c>
      <x:c r="E132" s="1" t="str">
        <x:f t="shared" si="9"/>
      </x:c>
      <x:c r="F132" s="150" t="str">
        <x:f t="shared" si="9"/>
      </x:c>
      <x:c r="G132" s="1" t="str">
        <x:f t="shared" si="13"/>
      </x:c>
      <x:c r="H132" s="4" t="str">
        <x:f t="shared" si="14"/>
      </x:c>
    </x:row>
    <x:row r="133">
      <x:c r="B133" s="1" t="str">
        <x:f t="shared" si="8"/>
      </x:c>
      <x:c r="E133" s="1" t="str">
        <x:f t="shared" si="9"/>
      </x:c>
      <x:c r="F133" s="150" t="str">
        <x:f t="shared" si="9"/>
      </x:c>
      <x:c r="G133" s="1" t="str">
        <x:f t="shared" si="13"/>
      </x:c>
      <x:c r="H133" s="4" t="str">
        <x:f t="shared" si="14"/>
      </x:c>
    </x:row>
    <x:row r="134">
      <x:c r="B134" s="1" t="str">
        <x:f t="shared" si="8"/>
      </x:c>
      <x:c r="E134" s="1" t="str">
        <x:f t="shared" si="9"/>
      </x:c>
      <x:c r="F134" s="150" t="str">
        <x:f t="shared" si="9"/>
      </x:c>
      <x:c r="G134" s="1" t="str">
        <x:f t="shared" si="13"/>
      </x:c>
      <x:c r="H134" s="4" t="str">
        <x:f t="shared" si="14"/>
      </x:c>
    </x:row>
    <x:row r="135">
      <x:c r="B135" s="1" t="str">
        <x:f t="shared" si="8"/>
      </x:c>
      <x:c r="E135" s="1" t="str">
        <x:f t="shared" si="9"/>
      </x:c>
      <x:c r="F135" s="150" t="str">
        <x:f t="shared" si="9"/>
      </x:c>
      <x:c r="G135" s="1" t="str">
        <x:f t="shared" si="13"/>
      </x:c>
      <x:c r="H135" s="4" t="str">
        <x:f t="shared" si="14"/>
      </x:c>
    </x:row>
    <x:row r="136">
      <x:c r="B136" s="1" t="str">
        <x:f t="shared" si="8"/>
      </x:c>
      <x:c r="E136" s="1" t="str">
        <x:f t="shared" si="9"/>
      </x:c>
      <x:c r="F136" s="150" t="str">
        <x:f t="shared" si="9"/>
      </x:c>
      <x:c r="G136" s="1" t="str">
        <x:f t="shared" si="13"/>
      </x:c>
      <x:c r="H136" s="4" t="str">
        <x:f t="shared" si="14"/>
      </x:c>
    </x:row>
    <x:row r="137">
      <x:c r="B137" s="1" t="str">
        <x:f t="shared" si="8"/>
      </x:c>
      <x:c r="E137" s="1" t="str">
        <x:f t="shared" si="9"/>
      </x:c>
      <x:c r="F137" s="150" t="str">
        <x:f t="shared" si="9"/>
      </x:c>
      <x:c r="G137" s="1" t="str">
        <x:f t="shared" si="13"/>
      </x:c>
      <x:c r="H137" s="4" t="str">
        <x:f t="shared" si="14"/>
      </x:c>
    </x:row>
    <x:row r="138">
      <x:c r="B138" s="1" t="str">
        <x:f t="shared" ref="B138:B201" si="15">IF(C138&lt;&gt;"", ROW()-4, "")</x:f>
      </x:c>
      <x:c r="E138" s="1" t="str">
        <x:f t="shared" ref="E138:F201" si="16">IF(A138&lt;&gt;"", IF(A138=A137, "", A138), "")</x:f>
      </x:c>
      <x:c r="F138" s="150" t="str">
        <x:f t="shared" si="16"/>
      </x:c>
      <x:c r="G138" s="1" t="str">
        <x:f t="shared" si="13"/>
      </x:c>
      <x:c r="H138" s="4" t="str">
        <x:f t="shared" si="14"/>
      </x:c>
    </x:row>
    <x:row r="139">
      <x:c r="B139" s="1" t="str">
        <x:f t="shared" si="15"/>
      </x:c>
      <x:c r="E139" s="1" t="str">
        <x:f t="shared" si="16"/>
      </x:c>
      <x:c r="F139" s="150" t="str">
        <x:f t="shared" si="16"/>
      </x:c>
      <x:c r="G139" s="1" t="str">
        <x:f t="shared" si="13"/>
      </x:c>
      <x:c r="H139" s="4" t="str">
        <x:f t="shared" si="14"/>
      </x:c>
    </x:row>
    <x:row r="140">
      <x:c r="B140" s="1" t="str">
        <x:f t="shared" si="15"/>
      </x:c>
      <x:c r="E140" s="1" t="str">
        <x:f t="shared" si="16"/>
      </x:c>
      <x:c r="F140" s="150" t="str">
        <x:f t="shared" si="16"/>
      </x:c>
      <x:c r="G140" s="1" t="str">
        <x:f t="shared" si="13"/>
      </x:c>
      <x:c r="H140" s="4" t="str">
        <x:f t="shared" si="14"/>
      </x:c>
    </x:row>
    <x:row r="141">
      <x:c r="B141" s="1" t="str">
        <x:f t="shared" si="15"/>
      </x:c>
      <x:c r="E141" s="1" t="str">
        <x:f t="shared" si="16"/>
      </x:c>
      <x:c r="F141" s="150" t="str">
        <x:f t="shared" si="16"/>
      </x:c>
      <x:c r="G141" s="1" t="str">
        <x:f t="shared" si="13"/>
      </x:c>
      <x:c r="H141" s="4" t="str">
        <x:f t="shared" si="14"/>
      </x:c>
    </x:row>
    <x:row r="142">
      <x:c r="B142" s="1" t="str">
        <x:f t="shared" si="15"/>
      </x:c>
      <x:c r="E142" s="1" t="str">
        <x:f t="shared" si="16"/>
      </x:c>
      <x:c r="F142" s="150" t="str">
        <x:f t="shared" si="16"/>
      </x:c>
      <x:c r="G142" s="1" t="str">
        <x:f t="shared" si="13"/>
      </x:c>
      <x:c r="H142" s="4" t="str">
        <x:f t="shared" si="14"/>
      </x:c>
    </x:row>
    <x:row r="143">
      <x:c r="B143" s="1" t="str">
        <x:f t="shared" si="15"/>
      </x:c>
      <x:c r="E143" s="1" t="str">
        <x:f t="shared" si="16"/>
      </x:c>
      <x:c r="F143" s="150" t="str">
        <x:f t="shared" si="16"/>
      </x:c>
      <x:c r="G143" s="1" t="str">
        <x:f t="shared" si="13"/>
      </x:c>
      <x:c r="H143" s="4" t="str">
        <x:f t="shared" si="14"/>
      </x:c>
    </x:row>
    <x:row r="144">
      <x:c r="B144" s="1" t="str">
        <x:f t="shared" si="15"/>
      </x:c>
      <x:c r="E144" s="1" t="str">
        <x:f t="shared" si="16"/>
      </x:c>
      <x:c r="F144" s="150" t="str">
        <x:f t="shared" si="16"/>
      </x:c>
      <x:c r="G144" s="1" t="str">
        <x:f t="shared" si="13"/>
      </x:c>
      <x:c r="H144" s="4" t="str">
        <x:f t="shared" si="14"/>
      </x:c>
    </x:row>
    <x:row r="145">
      <x:c r="B145" s="1" t="str">
        <x:f t="shared" si="15"/>
      </x:c>
      <x:c r="E145" s="1" t="str">
        <x:f t="shared" si="16"/>
      </x:c>
      <x:c r="F145" s="150" t="str">
        <x:f t="shared" si="16"/>
      </x:c>
      <x:c r="G145" s="1" t="str">
        <x:f t="shared" si="13"/>
      </x:c>
      <x:c r="H145" s="4" t="str">
        <x:f t="shared" si="14"/>
      </x:c>
    </x:row>
    <x:row r="146">
      <x:c r="B146" s="1" t="str">
        <x:f t="shared" si="15"/>
      </x:c>
      <x:c r="E146" s="1" t="str">
        <x:f t="shared" si="16"/>
      </x:c>
      <x:c r="F146" s="150" t="str">
        <x:f t="shared" si="16"/>
      </x:c>
      <x:c r="G146" s="1" t="str">
        <x:f t="shared" si="13"/>
      </x:c>
      <x:c r="H146" s="4" t="str">
        <x:f t="shared" si="14"/>
      </x:c>
    </x:row>
    <x:row r="147">
      <x:c r="B147" s="1" t="str">
        <x:f t="shared" si="15"/>
      </x:c>
      <x:c r="E147" s="1" t="str">
        <x:f t="shared" si="16"/>
      </x:c>
      <x:c r="F147" s="150" t="str">
        <x:f t="shared" si="16"/>
      </x:c>
      <x:c r="G147" s="1" t="str">
        <x:f t="shared" si="13"/>
      </x:c>
      <x:c r="H147" s="4" t="str">
        <x:f t="shared" si="14"/>
      </x:c>
    </x:row>
    <x:row r="148">
      <x:c r="B148" s="1" t="str">
        <x:f t="shared" si="15"/>
      </x:c>
      <x:c r="E148" s="1" t="str">
        <x:f t="shared" si="16"/>
      </x:c>
      <x:c r="F148" s="150" t="str">
        <x:f t="shared" si="16"/>
      </x:c>
      <x:c r="G148" s="1" t="str">
        <x:f t="shared" si="13"/>
      </x:c>
      <x:c r="H148" s="4" t="str">
        <x:f t="shared" si="14"/>
      </x:c>
    </x:row>
    <x:row r="149">
      <x:c r="B149" s="1" t="str">
        <x:f t="shared" si="15"/>
      </x:c>
      <x:c r="E149" s="1" t="str">
        <x:f t="shared" si="16"/>
      </x:c>
      <x:c r="F149" s="150" t="str">
        <x:f t="shared" si="16"/>
      </x:c>
      <x:c r="G149" s="1" t="str">
        <x:f t="shared" si="13"/>
      </x:c>
      <x:c r="H149" s="4" t="str">
        <x:f t="shared" si="14"/>
      </x:c>
    </x:row>
    <x:row r="150">
      <x:c r="B150" s="1" t="str">
        <x:f t="shared" si="15"/>
      </x:c>
      <x:c r="E150" s="1" t="str">
        <x:f t="shared" si="16"/>
      </x:c>
      <x:c r="F150" s="150" t="str">
        <x:f t="shared" si="16"/>
      </x:c>
      <x:c r="G150" s="1" t="str">
        <x:f t="shared" si="13"/>
      </x:c>
      <x:c r="H150" s="4" t="str">
        <x:f t="shared" si="14"/>
      </x:c>
    </x:row>
    <x:row r="151">
      <x:c r="B151" s="1" t="str">
        <x:f t="shared" si="15"/>
      </x:c>
      <x:c r="E151" s="1" t="str">
        <x:f t="shared" si="16"/>
      </x:c>
      <x:c r="F151" s="150" t="str">
        <x:f t="shared" si="16"/>
      </x:c>
      <x:c r="G151" s="1" t="str">
        <x:f t="shared" si="13"/>
      </x:c>
      <x:c r="H151" s="4" t="str">
        <x:f t="shared" si="14"/>
      </x:c>
    </x:row>
    <x:row r="152">
      <x:c r="B152" s="1" t="str">
        <x:f t="shared" si="15"/>
      </x:c>
      <x:c r="E152" s="1" t="str">
        <x:f t="shared" si="16"/>
      </x:c>
      <x:c r="F152" s="150" t="str">
        <x:f t="shared" si="16"/>
      </x:c>
      <x:c r="G152" s="1" t="str">
        <x:f t="shared" si="13"/>
      </x:c>
      <x:c r="H152" s="4" t="str">
        <x:f t="shared" si="14"/>
      </x:c>
    </x:row>
    <x:row r="153">
      <x:c r="B153" s="1" t="str">
        <x:f t="shared" si="15"/>
      </x:c>
      <x:c r="E153" s="1" t="str">
        <x:f t="shared" si="16"/>
      </x:c>
      <x:c r="F153" s="150" t="str">
        <x:f t="shared" si="16"/>
      </x:c>
      <x:c r="G153" s="1" t="str">
        <x:f t="shared" ref="G153:G216" si="17">IF(C153&lt;&gt;"", IF(C153=C152, "", C153), "")</x:f>
      </x:c>
      <x:c r="H153" s="4" t="str">
        <x:f t="shared" ref="H153:H216" si="18">IF(D153&lt;&gt;"", IF(D153=D152, "", D153), "")</x:f>
      </x:c>
    </x:row>
    <x:row r="154">
      <x:c r="B154" s="1" t="str">
        <x:f t="shared" si="15"/>
      </x:c>
      <x:c r="E154" s="1" t="str">
        <x:f t="shared" si="16"/>
      </x:c>
      <x:c r="F154" s="150" t="str">
        <x:f t="shared" si="16"/>
      </x:c>
      <x:c r="G154" s="1" t="str">
        <x:f t="shared" si="17"/>
      </x:c>
      <x:c r="H154" s="4" t="str">
        <x:f t="shared" si="18"/>
      </x:c>
    </x:row>
    <x:row r="155">
      <x:c r="B155" s="1" t="str">
        <x:f t="shared" si="15"/>
      </x:c>
      <x:c r="E155" s="1" t="str">
        <x:f t="shared" si="16"/>
      </x:c>
      <x:c r="F155" s="150" t="str">
        <x:f t="shared" si="16"/>
      </x:c>
      <x:c r="G155" s="1" t="str">
        <x:f t="shared" si="17"/>
      </x:c>
      <x:c r="H155" s="4" t="str">
        <x:f t="shared" si="18"/>
      </x:c>
    </x:row>
    <x:row r="156">
      <x:c r="B156" s="1" t="str">
        <x:f t="shared" si="15"/>
      </x:c>
      <x:c r="E156" s="1" t="str">
        <x:f t="shared" si="16"/>
      </x:c>
      <x:c r="F156" s="150" t="str">
        <x:f t="shared" si="16"/>
      </x:c>
      <x:c r="G156" s="1" t="str">
        <x:f t="shared" si="17"/>
      </x:c>
      <x:c r="H156" s="4" t="str">
        <x:f t="shared" si="18"/>
      </x:c>
    </x:row>
    <x:row r="157">
      <x:c r="B157" s="1" t="str">
        <x:f t="shared" si="15"/>
      </x:c>
      <x:c r="E157" s="1" t="str">
        <x:f t="shared" si="16"/>
      </x:c>
      <x:c r="F157" s="150" t="str">
        <x:f t="shared" si="16"/>
      </x:c>
      <x:c r="G157" s="1" t="str">
        <x:f t="shared" si="17"/>
      </x:c>
      <x:c r="H157" s="4" t="str">
        <x:f t="shared" si="18"/>
      </x:c>
    </x:row>
    <x:row r="158">
      <x:c r="B158" s="1" t="str">
        <x:f t="shared" si="15"/>
      </x:c>
      <x:c r="E158" s="1" t="str">
        <x:f t="shared" si="16"/>
      </x:c>
      <x:c r="F158" s="150" t="str">
        <x:f t="shared" si="16"/>
      </x:c>
      <x:c r="G158" s="1" t="str">
        <x:f t="shared" si="17"/>
      </x:c>
      <x:c r="H158" s="4" t="str">
        <x:f t="shared" si="18"/>
      </x:c>
    </x:row>
    <x:row r="159">
      <x:c r="B159" s="1" t="str">
        <x:f t="shared" si="15"/>
      </x:c>
      <x:c r="E159" s="1" t="str">
        <x:f t="shared" si="16"/>
      </x:c>
      <x:c r="F159" s="150" t="str">
        <x:f t="shared" si="16"/>
      </x:c>
      <x:c r="G159" s="1" t="str">
        <x:f t="shared" si="17"/>
      </x:c>
      <x:c r="H159" s="4" t="str">
        <x:f t="shared" si="18"/>
      </x:c>
    </x:row>
    <x:row r="160">
      <x:c r="B160" s="1" t="str">
        <x:f t="shared" si="15"/>
      </x:c>
      <x:c r="E160" s="1" t="str">
        <x:f t="shared" si="16"/>
      </x:c>
      <x:c r="F160" s="150" t="str">
        <x:f t="shared" si="16"/>
      </x:c>
      <x:c r="G160" s="1" t="str">
        <x:f t="shared" si="17"/>
      </x:c>
      <x:c r="H160" s="4" t="str">
        <x:f t="shared" si="18"/>
      </x:c>
    </x:row>
    <x:row r="161">
      <x:c r="B161" s="1" t="str">
        <x:f t="shared" si="15"/>
      </x:c>
      <x:c r="E161" s="1" t="str">
        <x:f t="shared" si="16"/>
      </x:c>
      <x:c r="F161" s="150" t="str">
        <x:f t="shared" si="16"/>
      </x:c>
      <x:c r="G161" s="1" t="str">
        <x:f t="shared" si="17"/>
      </x:c>
      <x:c r="H161" s="4" t="str">
        <x:f t="shared" si="18"/>
      </x:c>
    </x:row>
    <x:row r="162">
      <x:c r="B162" s="1" t="str">
        <x:f t="shared" si="15"/>
      </x:c>
      <x:c r="E162" s="1" t="str">
        <x:f t="shared" si="16"/>
      </x:c>
      <x:c r="F162" s="150" t="str">
        <x:f t="shared" si="16"/>
      </x:c>
      <x:c r="G162" s="1" t="str">
        <x:f t="shared" si="17"/>
      </x:c>
      <x:c r="H162" s="4" t="str">
        <x:f t="shared" si="18"/>
      </x:c>
    </x:row>
    <x:row r="163">
      <x:c r="B163" s="1" t="str">
        <x:f t="shared" si="15"/>
      </x:c>
      <x:c r="E163" s="1" t="str">
        <x:f t="shared" si="16"/>
      </x:c>
      <x:c r="F163" s="150" t="str">
        <x:f t="shared" si="16"/>
      </x:c>
      <x:c r="G163" s="1" t="str">
        <x:f t="shared" si="17"/>
      </x:c>
      <x:c r="H163" s="4" t="str">
        <x:f t="shared" si="18"/>
      </x:c>
    </x:row>
    <x:row r="164">
      <x:c r="B164" s="1" t="str">
        <x:f t="shared" si="15"/>
      </x:c>
      <x:c r="E164" s="1" t="str">
        <x:f t="shared" si="16"/>
      </x:c>
      <x:c r="F164" s="150" t="str">
        <x:f t="shared" si="16"/>
      </x:c>
      <x:c r="G164" s="1" t="str">
        <x:f t="shared" si="17"/>
      </x:c>
      <x:c r="H164" s="4" t="str">
        <x:f t="shared" si="18"/>
      </x:c>
    </x:row>
    <x:row r="165">
      <x:c r="B165" s="1" t="str">
        <x:f t="shared" si="15"/>
      </x:c>
      <x:c r="E165" s="1" t="str">
        <x:f t="shared" si="16"/>
      </x:c>
      <x:c r="F165" s="150" t="str">
        <x:f t="shared" si="16"/>
      </x:c>
      <x:c r="G165" s="1" t="str">
        <x:f t="shared" si="17"/>
      </x:c>
      <x:c r="H165" s="4" t="str">
        <x:f t="shared" si="18"/>
      </x:c>
    </x:row>
    <x:row r="166">
      <x:c r="B166" s="1" t="str">
        <x:f t="shared" si="15"/>
      </x:c>
      <x:c r="E166" s="1" t="str">
        <x:f t="shared" si="16"/>
      </x:c>
      <x:c r="F166" s="150" t="str">
        <x:f t="shared" si="16"/>
      </x:c>
      <x:c r="G166" s="1" t="str">
        <x:f t="shared" si="17"/>
      </x:c>
      <x:c r="H166" s="4" t="str">
        <x:f t="shared" si="18"/>
      </x:c>
    </x:row>
    <x:row r="167">
      <x:c r="B167" s="1" t="str">
        <x:f t="shared" si="15"/>
      </x:c>
      <x:c r="E167" s="1" t="str">
        <x:f t="shared" si="16"/>
      </x:c>
      <x:c r="F167" s="150" t="str">
        <x:f t="shared" si="16"/>
      </x:c>
      <x:c r="G167" s="1" t="str">
        <x:f t="shared" si="17"/>
      </x:c>
      <x:c r="H167" s="4" t="str">
        <x:f t="shared" si="18"/>
      </x:c>
    </x:row>
    <x:row r="168">
      <x:c r="B168" s="1" t="str">
        <x:f t="shared" si="15"/>
      </x:c>
      <x:c r="E168" s="1" t="str">
        <x:f t="shared" si="16"/>
      </x:c>
      <x:c r="F168" s="150" t="str">
        <x:f t="shared" si="16"/>
      </x:c>
      <x:c r="G168" s="1" t="str">
        <x:f t="shared" si="17"/>
      </x:c>
      <x:c r="H168" s="4" t="str">
        <x:f t="shared" si="18"/>
      </x:c>
    </x:row>
    <x:row r="169">
      <x:c r="B169" s="1" t="str">
        <x:f t="shared" si="15"/>
      </x:c>
      <x:c r="E169" s="1" t="str">
        <x:f t="shared" si="16"/>
      </x:c>
      <x:c r="F169" s="150" t="str">
        <x:f t="shared" si="16"/>
      </x:c>
      <x:c r="G169" s="1" t="str">
        <x:f t="shared" si="17"/>
      </x:c>
      <x:c r="H169" s="4" t="str">
        <x:f t="shared" si="18"/>
      </x:c>
    </x:row>
    <x:row r="170">
      <x:c r="B170" s="1" t="str">
        <x:f t="shared" si="15"/>
      </x:c>
      <x:c r="E170" s="1" t="str">
        <x:f t="shared" si="16"/>
      </x:c>
      <x:c r="F170" s="150" t="str">
        <x:f t="shared" si="16"/>
      </x:c>
      <x:c r="G170" s="1" t="str">
        <x:f t="shared" si="17"/>
      </x:c>
      <x:c r="H170" s="4" t="str">
        <x:f t="shared" si="18"/>
      </x:c>
    </x:row>
    <x:row r="171">
      <x:c r="B171" s="1" t="str">
        <x:f t="shared" si="15"/>
      </x:c>
      <x:c r="E171" s="1" t="str">
        <x:f t="shared" si="16"/>
      </x:c>
      <x:c r="F171" s="150" t="str">
        <x:f t="shared" si="16"/>
      </x:c>
      <x:c r="G171" s="1" t="str">
        <x:f t="shared" si="17"/>
      </x:c>
      <x:c r="H171" s="4" t="str">
        <x:f t="shared" si="18"/>
      </x:c>
    </x:row>
    <x:row r="172">
      <x:c r="B172" s="1" t="str">
        <x:f t="shared" si="15"/>
      </x:c>
      <x:c r="E172" s="1" t="str">
        <x:f t="shared" si="16"/>
      </x:c>
      <x:c r="F172" s="150" t="str">
        <x:f t="shared" si="16"/>
      </x:c>
      <x:c r="G172" s="1" t="str">
        <x:f t="shared" si="17"/>
      </x:c>
      <x:c r="H172" s="4" t="str">
        <x:f t="shared" si="18"/>
      </x:c>
    </x:row>
    <x:row r="173">
      <x:c r="B173" s="1" t="str">
        <x:f t="shared" si="15"/>
      </x:c>
      <x:c r="E173" s="1" t="str">
        <x:f t="shared" si="16"/>
      </x:c>
      <x:c r="F173" s="150" t="str">
        <x:f t="shared" si="16"/>
      </x:c>
      <x:c r="G173" s="1" t="str">
        <x:f t="shared" si="17"/>
      </x:c>
      <x:c r="H173" s="4" t="str">
        <x:f t="shared" si="18"/>
      </x:c>
    </x:row>
    <x:row r="174">
      <x:c r="B174" s="1" t="str">
        <x:f t="shared" si="15"/>
      </x:c>
      <x:c r="E174" s="1" t="str">
        <x:f t="shared" si="16"/>
      </x:c>
      <x:c r="F174" s="150" t="str">
        <x:f t="shared" si="16"/>
      </x:c>
      <x:c r="G174" s="1" t="str">
        <x:f t="shared" si="17"/>
      </x:c>
      <x:c r="H174" s="4" t="str">
        <x:f t="shared" si="18"/>
      </x:c>
    </x:row>
    <x:row r="175">
      <x:c r="B175" s="1" t="str">
        <x:f t="shared" si="15"/>
      </x:c>
      <x:c r="E175" s="1" t="str">
        <x:f t="shared" si="16"/>
      </x:c>
      <x:c r="F175" s="150" t="str">
        <x:f t="shared" ref="F175:F216" si="19">IF(B175&lt;&gt;"", IF(B175=B174, "", B175), "")</x:f>
      </x:c>
      <x:c r="G175" s="1" t="str">
        <x:f t="shared" si="17"/>
      </x:c>
      <x:c r="H175" s="4" t="str">
        <x:f t="shared" si="18"/>
      </x:c>
    </x:row>
    <x:row r="176">
      <x:c r="B176" s="1" t="str">
        <x:f t="shared" si="15"/>
      </x:c>
      <x:c r="E176" s="1" t="str">
        <x:f t="shared" si="16"/>
      </x:c>
      <x:c r="F176" s="150" t="str">
        <x:f t="shared" si="19"/>
      </x:c>
      <x:c r="G176" s="1" t="str">
        <x:f t="shared" si="17"/>
      </x:c>
      <x:c r="H176" s="4" t="str">
        <x:f t="shared" si="18"/>
      </x:c>
    </x:row>
    <x:row r="177">
      <x:c r="B177" s="1" t="str">
        <x:f t="shared" si="15"/>
      </x:c>
      <x:c r="E177" s="1" t="str">
        <x:f t="shared" si="16"/>
      </x:c>
      <x:c r="F177" s="150" t="str">
        <x:f t="shared" si="19"/>
      </x:c>
      <x:c r="G177" s="1" t="str">
        <x:f t="shared" si="17"/>
      </x:c>
      <x:c r="H177" s="4" t="str">
        <x:f t="shared" si="18"/>
      </x:c>
    </x:row>
    <x:row r="178">
      <x:c r="B178" s="1" t="str">
        <x:f t="shared" si="15"/>
      </x:c>
      <x:c r="E178" s="1" t="str">
        <x:f t="shared" si="16"/>
      </x:c>
      <x:c r="F178" s="150" t="str">
        <x:f t="shared" si="19"/>
      </x:c>
      <x:c r="G178" s="1" t="str">
        <x:f t="shared" si="17"/>
      </x:c>
      <x:c r="H178" s="4" t="str">
        <x:f t="shared" si="18"/>
      </x:c>
    </x:row>
    <x:row r="179">
      <x:c r="B179" s="1" t="str">
        <x:f t="shared" si="15"/>
      </x:c>
      <x:c r="E179" s="1" t="str">
        <x:f t="shared" si="16"/>
      </x:c>
      <x:c r="F179" s="150" t="str">
        <x:f t="shared" si="19"/>
      </x:c>
      <x:c r="G179" s="1" t="str">
        <x:f t="shared" si="17"/>
      </x:c>
      <x:c r="H179" s="4" t="str">
        <x:f t="shared" si="18"/>
      </x:c>
    </x:row>
    <x:row r="180">
      <x:c r="B180" s="1" t="str">
        <x:f t="shared" si="15"/>
      </x:c>
      <x:c r="E180" s="1" t="str">
        <x:f t="shared" si="16"/>
      </x:c>
      <x:c r="F180" s="150" t="str">
        <x:f t="shared" si="19"/>
      </x:c>
      <x:c r="G180" s="1" t="str">
        <x:f t="shared" si="17"/>
      </x:c>
      <x:c r="H180" s="4" t="str">
        <x:f t="shared" si="18"/>
      </x:c>
    </x:row>
    <x:row r="181">
      <x:c r="B181" s="1" t="str">
        <x:f t="shared" si="15"/>
      </x:c>
      <x:c r="E181" s="1" t="str">
        <x:f t="shared" si="16"/>
      </x:c>
      <x:c r="F181" s="150" t="str">
        <x:f t="shared" si="19"/>
      </x:c>
      <x:c r="G181" s="1" t="str">
        <x:f t="shared" si="17"/>
      </x:c>
      <x:c r="H181" s="4" t="str">
        <x:f t="shared" si="18"/>
      </x:c>
    </x:row>
    <x:row r="182">
      <x:c r="B182" s="1" t="str">
        <x:f t="shared" si="15"/>
      </x:c>
      <x:c r="E182" s="1" t="str">
        <x:f t="shared" si="16"/>
      </x:c>
      <x:c r="F182" s="150" t="str">
        <x:f t="shared" si="19"/>
      </x:c>
      <x:c r="G182" s="1" t="str">
        <x:f t="shared" si="17"/>
      </x:c>
      <x:c r="H182" s="4" t="str">
        <x:f t="shared" si="18"/>
      </x:c>
    </x:row>
    <x:row r="183">
      <x:c r="B183" s="1" t="str">
        <x:f t="shared" si="15"/>
      </x:c>
      <x:c r="E183" s="1" t="str">
        <x:f t="shared" si="16"/>
      </x:c>
      <x:c r="F183" s="150" t="str">
        <x:f t="shared" si="19"/>
      </x:c>
      <x:c r="G183" s="1" t="str">
        <x:f t="shared" si="17"/>
      </x:c>
      <x:c r="H183" s="4" t="str">
        <x:f t="shared" si="18"/>
      </x:c>
    </x:row>
    <x:row r="184">
      <x:c r="B184" s="1" t="str">
        <x:f t="shared" si="15"/>
      </x:c>
      <x:c r="E184" s="1" t="str">
        <x:f t="shared" si="16"/>
      </x:c>
      <x:c r="F184" s="150" t="str">
        <x:f t="shared" si="19"/>
      </x:c>
      <x:c r="G184" s="1" t="str">
        <x:f t="shared" si="17"/>
      </x:c>
      <x:c r="H184" s="4" t="str">
        <x:f t="shared" si="18"/>
      </x:c>
    </x:row>
    <x:row r="185">
      <x:c r="B185" s="1" t="str">
        <x:f t="shared" si="15"/>
      </x:c>
      <x:c r="E185" s="1" t="str">
        <x:f t="shared" si="16"/>
      </x:c>
      <x:c r="F185" s="150" t="str">
        <x:f t="shared" si="19"/>
      </x:c>
      <x:c r="G185" s="1" t="str">
        <x:f t="shared" si="17"/>
      </x:c>
      <x:c r="H185" s="4" t="str">
        <x:f t="shared" si="18"/>
      </x:c>
    </x:row>
    <x:row r="186">
      <x:c r="B186" s="1" t="str">
        <x:f t="shared" si="15"/>
      </x:c>
      <x:c r="E186" s="1" t="str">
        <x:f t="shared" si="16"/>
      </x:c>
      <x:c r="F186" s="150" t="str">
        <x:f t="shared" si="19"/>
      </x:c>
      <x:c r="G186" s="1" t="str">
        <x:f t="shared" si="17"/>
      </x:c>
      <x:c r="H186" s="4" t="str">
        <x:f t="shared" si="18"/>
      </x:c>
    </x:row>
    <x:row r="187">
      <x:c r="B187" s="1" t="str">
        <x:f t="shared" si="15"/>
      </x:c>
      <x:c r="E187" s="1" t="str">
        <x:f t="shared" si="16"/>
      </x:c>
      <x:c r="F187" s="150" t="str">
        <x:f t="shared" si="19"/>
      </x:c>
      <x:c r="G187" s="1" t="str">
        <x:f t="shared" si="17"/>
      </x:c>
      <x:c r="H187" s="4" t="str">
        <x:f t="shared" si="18"/>
      </x:c>
    </x:row>
    <x:row r="188">
      <x:c r="B188" s="1" t="str">
        <x:f t="shared" si="15"/>
      </x:c>
      <x:c r="E188" s="1" t="str">
        <x:f t="shared" si="16"/>
      </x:c>
      <x:c r="F188" s="150" t="str">
        <x:f t="shared" si="19"/>
      </x:c>
      <x:c r="G188" s="1" t="str">
        <x:f t="shared" si="17"/>
      </x:c>
      <x:c r="H188" s="4" t="str">
        <x:f t="shared" si="18"/>
      </x:c>
    </x:row>
    <x:row r="189">
      <x:c r="B189" s="1" t="str">
        <x:f t="shared" si="15"/>
      </x:c>
      <x:c r="E189" s="1" t="str">
        <x:f t="shared" si="16"/>
      </x:c>
      <x:c r="F189" s="150" t="str">
        <x:f t="shared" si="19"/>
      </x:c>
      <x:c r="G189" s="1" t="str">
        <x:f t="shared" si="17"/>
      </x:c>
      <x:c r="H189" s="4" t="str">
        <x:f t="shared" si="18"/>
      </x:c>
    </x:row>
    <x:row r="190">
      <x:c r="B190" s="1" t="str">
        <x:f t="shared" si="15"/>
      </x:c>
      <x:c r="E190" s="1" t="str">
        <x:f t="shared" si="16"/>
      </x:c>
      <x:c r="F190" s="150" t="str">
        <x:f t="shared" si="19"/>
      </x:c>
      <x:c r="G190" s="1" t="str">
        <x:f t="shared" si="17"/>
      </x:c>
      <x:c r="H190" s="4" t="str">
        <x:f t="shared" si="18"/>
      </x:c>
    </x:row>
    <x:row r="191">
      <x:c r="B191" s="1" t="str">
        <x:f t="shared" si="15"/>
      </x:c>
      <x:c r="E191" s="1" t="str">
        <x:f t="shared" si="16"/>
      </x:c>
      <x:c r="F191" s="150" t="str">
        <x:f t="shared" si="19"/>
      </x:c>
      <x:c r="G191" s="1" t="str">
        <x:f t="shared" si="17"/>
      </x:c>
      <x:c r="H191" s="4" t="str">
        <x:f t="shared" si="18"/>
      </x:c>
    </x:row>
    <x:row r="192">
      <x:c r="B192" s="1" t="str">
        <x:f t="shared" si="15"/>
      </x:c>
      <x:c r="E192" s="1" t="str">
        <x:f t="shared" si="16"/>
      </x:c>
      <x:c r="F192" s="150" t="str">
        <x:f t="shared" si="19"/>
      </x:c>
      <x:c r="G192" s="1" t="str">
        <x:f t="shared" si="17"/>
      </x:c>
      <x:c r="H192" s="4" t="str">
        <x:f t="shared" si="18"/>
      </x:c>
    </x:row>
    <x:row r="193">
      <x:c r="B193" s="1" t="str">
        <x:f t="shared" si="15"/>
      </x:c>
      <x:c r="E193" s="1" t="str">
        <x:f t="shared" si="16"/>
      </x:c>
      <x:c r="F193" s="150" t="str">
        <x:f t="shared" si="19"/>
      </x:c>
      <x:c r="G193" s="1" t="str">
        <x:f t="shared" si="17"/>
      </x:c>
      <x:c r="H193" s="4" t="str">
        <x:f t="shared" si="18"/>
      </x:c>
    </x:row>
    <x:row r="194">
      <x:c r="B194" s="1" t="str">
        <x:f t="shared" si="15"/>
      </x:c>
      <x:c r="E194" s="1" t="str">
        <x:f t="shared" si="16"/>
      </x:c>
      <x:c r="F194" s="150" t="str">
        <x:f t="shared" si="19"/>
      </x:c>
      <x:c r="G194" s="1" t="str">
        <x:f t="shared" si="17"/>
      </x:c>
      <x:c r="H194" s="4" t="str">
        <x:f t="shared" si="18"/>
      </x:c>
    </x:row>
    <x:row r="195">
      <x:c r="B195" s="1" t="str">
        <x:f t="shared" si="15"/>
      </x:c>
      <x:c r="E195" s="1" t="str">
        <x:f t="shared" si="16"/>
      </x:c>
      <x:c r="F195" s="150" t="str">
        <x:f t="shared" si="19"/>
      </x:c>
      <x:c r="G195" s="1" t="str">
        <x:f t="shared" si="17"/>
      </x:c>
      <x:c r="H195" s="4" t="str">
        <x:f t="shared" si="18"/>
      </x:c>
    </x:row>
    <x:row r="196">
      <x:c r="B196" s="1" t="str">
        <x:f t="shared" si="15"/>
      </x:c>
      <x:c r="E196" s="1" t="str">
        <x:f t="shared" si="16"/>
      </x:c>
      <x:c r="F196" s="150" t="str">
        <x:f t="shared" si="19"/>
      </x:c>
      <x:c r="G196" s="1" t="str">
        <x:f t="shared" si="17"/>
      </x:c>
      <x:c r="H196" s="4" t="str">
        <x:f t="shared" si="18"/>
      </x:c>
    </x:row>
    <x:row r="197">
      <x:c r="B197" s="1" t="str">
        <x:f t="shared" si="15"/>
      </x:c>
      <x:c r="E197" s="1" t="str">
        <x:f t="shared" si="16"/>
      </x:c>
      <x:c r="F197" s="150" t="str">
        <x:f t="shared" si="19"/>
      </x:c>
      <x:c r="G197" s="1" t="str">
        <x:f t="shared" si="17"/>
      </x:c>
      <x:c r="H197" s="4" t="str">
        <x:f t="shared" si="18"/>
      </x:c>
    </x:row>
    <x:row r="198">
      <x:c r="B198" s="1" t="str">
        <x:f t="shared" si="15"/>
      </x:c>
      <x:c r="E198" s="1" t="str">
        <x:f t="shared" si="16"/>
      </x:c>
      <x:c r="F198" s="150" t="str">
        <x:f t="shared" si="19"/>
      </x:c>
      <x:c r="G198" s="1" t="str">
        <x:f t="shared" si="17"/>
      </x:c>
      <x:c r="H198" s="4" t="str">
        <x:f t="shared" si="18"/>
      </x:c>
    </x:row>
    <x:row r="199">
      <x:c r="B199" s="1" t="str">
        <x:f t="shared" si="15"/>
      </x:c>
      <x:c r="E199" s="1" t="str">
        <x:f t="shared" si="16"/>
      </x:c>
      <x:c r="F199" s="150" t="str">
        <x:f t="shared" si="19"/>
      </x:c>
      <x:c r="G199" s="1" t="str">
        <x:f t="shared" si="17"/>
      </x:c>
      <x:c r="H199" s="4" t="str">
        <x:f t="shared" si="18"/>
      </x:c>
    </x:row>
    <x:row r="200">
      <x:c r="B200" s="1" t="str">
        <x:f t="shared" si="15"/>
      </x:c>
      <x:c r="E200" s="1" t="str">
        <x:f t="shared" si="16"/>
      </x:c>
      <x:c r="F200" s="150" t="str">
        <x:f t="shared" si="19"/>
      </x:c>
      <x:c r="G200" s="1" t="str">
        <x:f t="shared" si="17"/>
      </x:c>
      <x:c r="H200" s="4" t="str">
        <x:f t="shared" si="18"/>
      </x:c>
    </x:row>
    <x:row r="201">
      <x:c r="B201" s="1" t="str">
        <x:f t="shared" si="15"/>
      </x:c>
      <x:c r="E201" s="1" t="str">
        <x:f t="shared" si="16"/>
      </x:c>
      <x:c r="F201" s="150" t="str">
        <x:f t="shared" si="19"/>
      </x:c>
      <x:c r="G201" s="1" t="str">
        <x:f t="shared" si="17"/>
      </x:c>
      <x:c r="H201" s="4" t="str">
        <x:f t="shared" si="18"/>
      </x:c>
    </x:row>
    <x:row r="202">
      <x:c r="B202" s="1" t="str">
        <x:f t="shared" ref="B202:B203" si="20">IF(C202&lt;&gt;"", ROW()-4, "")</x:f>
      </x:c>
      <x:c r="E202" s="1" t="str">
        <x:f t="shared" ref="E202:E265" si="21">IF(A202&lt;&gt;"", IF(A202=A201, "", A202), "")</x:f>
      </x:c>
      <x:c r="F202" s="150" t="str">
        <x:f t="shared" si="19"/>
      </x:c>
      <x:c r="G202" s="1" t="str">
        <x:f t="shared" si="17"/>
      </x:c>
      <x:c r="H202" s="4" t="str">
        <x:f t="shared" si="18"/>
      </x:c>
    </x:row>
    <x:row r="203">
      <x:c r="B203" s="1" t="str">
        <x:f t="shared" si="20"/>
      </x:c>
      <x:c r="E203" s="1" t="str">
        <x:f t="shared" si="21"/>
      </x:c>
      <x:c r="F203" s="150" t="str">
        <x:f t="shared" si="19"/>
      </x:c>
      <x:c r="G203" s="1" t="str">
        <x:f t="shared" si="17"/>
      </x:c>
      <x:c r="H203" s="4" t="str">
        <x:f t="shared" si="18"/>
      </x:c>
    </x:row>
    <x:row r="204">
      <x:c r="E204" s="1" t="str">
        <x:f t="shared" si="21"/>
      </x:c>
      <x:c r="F204" s="150" t="str">
        <x:f t="shared" si="19"/>
      </x:c>
      <x:c r="G204" s="1" t="str">
        <x:f t="shared" si="17"/>
      </x:c>
      <x:c r="H204" s="4" t="str">
        <x:f t="shared" si="18"/>
      </x:c>
    </x:row>
    <x:row r="205">
      <x:c r="E205" s="1" t="str">
        <x:f t="shared" si="21"/>
      </x:c>
      <x:c r="F205" s="150" t="str">
        <x:f t="shared" si="19"/>
      </x:c>
      <x:c r="G205" s="1" t="str">
        <x:f t="shared" si="17"/>
      </x:c>
      <x:c r="H205" s="4" t="str">
        <x:f t="shared" si="18"/>
      </x:c>
    </x:row>
    <x:row r="206">
      <x:c r="E206" s="1" t="str">
        <x:f t="shared" si="21"/>
      </x:c>
      <x:c r="F206" s="150" t="str">
        <x:f t="shared" si="19"/>
      </x:c>
      <x:c r="G206" s="1" t="str">
        <x:f t="shared" si="17"/>
      </x:c>
      <x:c r="H206" s="4" t="str">
        <x:f t="shared" si="18"/>
      </x:c>
    </x:row>
    <x:row r="207">
      <x:c r="E207" s="1" t="str">
        <x:f t="shared" si="21"/>
      </x:c>
      <x:c r="F207" s="150" t="str">
        <x:f t="shared" si="19"/>
      </x:c>
      <x:c r="G207" s="1" t="str">
        <x:f t="shared" si="17"/>
      </x:c>
      <x:c r="H207" s="4" t="str">
        <x:f t="shared" si="18"/>
      </x:c>
    </x:row>
    <x:row r="208">
      <x:c r="E208" s="1" t="str">
        <x:f t="shared" si="21"/>
      </x:c>
      <x:c r="F208" s="150" t="str">
        <x:f t="shared" si="19"/>
      </x:c>
      <x:c r="G208" s="1" t="str">
        <x:f t="shared" si="17"/>
      </x:c>
      <x:c r="H208" s="4" t="str">
        <x:f t="shared" si="18"/>
      </x:c>
    </x:row>
    <x:row r="209">
      <x:c r="E209" s="1" t="str">
        <x:f t="shared" si="21"/>
      </x:c>
      <x:c r="F209" s="150" t="str">
        <x:f t="shared" si="19"/>
      </x:c>
      <x:c r="G209" s="1" t="str">
        <x:f t="shared" si="17"/>
      </x:c>
      <x:c r="H209" s="4" t="str">
        <x:f t="shared" si="18"/>
      </x:c>
    </x:row>
    <x:row r="210">
      <x:c r="E210" s="1" t="str">
        <x:f t="shared" si="21"/>
      </x:c>
      <x:c r="F210" s="150" t="str">
        <x:f t="shared" si="19"/>
      </x:c>
      <x:c r="G210" s="1" t="str">
        <x:f t="shared" si="17"/>
      </x:c>
      <x:c r="H210" s="4" t="str">
        <x:f t="shared" si="18"/>
      </x:c>
    </x:row>
    <x:row r="211">
      <x:c r="E211" s="1" t="str">
        <x:f t="shared" si="21"/>
      </x:c>
      <x:c r="F211" s="150" t="str">
        <x:f t="shared" si="19"/>
      </x:c>
      <x:c r="G211" s="1" t="str">
        <x:f t="shared" si="17"/>
      </x:c>
      <x:c r="H211" s="4" t="str">
        <x:f t="shared" si="18"/>
      </x:c>
    </x:row>
    <x:row r="212">
      <x:c r="E212" s="1" t="str">
        <x:f t="shared" si="21"/>
      </x:c>
      <x:c r="F212" s="150" t="str">
        <x:f t="shared" si="19"/>
      </x:c>
      <x:c r="G212" s="1" t="str">
        <x:f t="shared" si="17"/>
      </x:c>
      <x:c r="H212" s="4" t="str">
        <x:f t="shared" si="18"/>
      </x:c>
    </x:row>
    <x:row r="213">
      <x:c r="E213" s="1" t="str">
        <x:f t="shared" si="21"/>
      </x:c>
      <x:c r="F213" s="150" t="str">
        <x:f t="shared" si="19"/>
      </x:c>
      <x:c r="G213" s="1" t="str">
        <x:f t="shared" si="17"/>
      </x:c>
      <x:c r="H213" s="4" t="str">
        <x:f t="shared" si="18"/>
      </x:c>
    </x:row>
    <x:row r="214">
      <x:c r="E214" s="1" t="str">
        <x:f t="shared" si="21"/>
      </x:c>
      <x:c r="F214" s="150" t="str">
        <x:f t="shared" si="19"/>
      </x:c>
      <x:c r="G214" s="1" t="str">
        <x:f t="shared" si="17"/>
      </x:c>
      <x:c r="H214" s="4" t="str">
        <x:f t="shared" si="18"/>
      </x:c>
    </x:row>
    <x:row r="215">
      <x:c r="E215" s="1" t="str">
        <x:f t="shared" si="21"/>
      </x:c>
      <x:c r="F215" s="150" t="str">
        <x:f t="shared" si="19"/>
      </x:c>
      <x:c r="G215" s="1" t="str">
        <x:f t="shared" si="17"/>
      </x:c>
      <x:c r="H215" s="4" t="str">
        <x:f t="shared" si="18"/>
      </x:c>
    </x:row>
    <x:row r="216">
      <x:c r="E216" s="1" t="str">
        <x:f t="shared" si="21"/>
      </x:c>
      <x:c r="F216" s="150" t="str">
        <x:f t="shared" si="19"/>
      </x:c>
      <x:c r="G216" s="1" t="str">
        <x:f t="shared" si="17"/>
      </x:c>
      <x:c r="H216" s="4" t="str">
        <x:f t="shared" si="18"/>
      </x:c>
    </x:row>
    <x:row r="217">
      <x:c r="E217" s="1" t="str">
        <x:f t="shared" si="21"/>
      </x:c>
      <x:c r="F217" s="150" t="str">
        <x:f t="shared" ref="F217:F280" si="22">IF(B217&lt;&gt;"", IF(B217=B216, "", B217), "")</x:f>
      </x:c>
      <x:c r="G217" s="1" t="str">
        <x:f t="shared" ref="G217:G280" si="23">IF(C217&lt;&gt;"", IF(C217=C216, "", C217), "")</x:f>
      </x:c>
      <x:c r="H217" s="4" t="str">
        <x:f t="shared" ref="H217:H280" si="24">IF(D217&lt;&gt;"", IF(D217=D216, "", D217), "")</x:f>
      </x:c>
    </x:row>
    <x:row r="218">
      <x:c r="E218" s="1" t="str">
        <x:f t="shared" si="21"/>
      </x:c>
      <x:c r="F218" s="150" t="str">
        <x:f t="shared" si="22"/>
      </x:c>
      <x:c r="G218" s="1" t="str">
        <x:f t="shared" si="23"/>
      </x:c>
      <x:c r="H218" s="4" t="str">
        <x:f t="shared" si="24"/>
      </x:c>
    </x:row>
    <x:row r="219">
      <x:c r="E219" s="1" t="str">
        <x:f t="shared" si="21"/>
      </x:c>
      <x:c r="F219" s="150" t="str">
        <x:f t="shared" si="22"/>
      </x:c>
      <x:c r="G219" s="1" t="str">
        <x:f t="shared" si="23"/>
      </x:c>
      <x:c r="H219" s="4" t="str">
        <x:f t="shared" si="24"/>
      </x:c>
    </x:row>
    <x:row r="220">
      <x:c r="E220" s="1" t="str">
        <x:f t="shared" si="21"/>
      </x:c>
      <x:c r="F220" s="150" t="str">
        <x:f t="shared" si="22"/>
      </x:c>
      <x:c r="G220" s="1" t="str">
        <x:f t="shared" si="23"/>
      </x:c>
      <x:c r="H220" s="4" t="str">
        <x:f t="shared" si="24"/>
      </x:c>
    </x:row>
    <x:row r="221">
      <x:c r="E221" s="1" t="str">
        <x:f t="shared" si="21"/>
      </x:c>
      <x:c r="F221" s="150" t="str">
        <x:f t="shared" si="22"/>
      </x:c>
      <x:c r="G221" s="1" t="str">
        <x:f t="shared" si="23"/>
      </x:c>
      <x:c r="H221" s="4" t="str">
        <x:f t="shared" si="24"/>
      </x:c>
    </x:row>
    <x:row r="222">
      <x:c r="E222" s="1" t="str">
        <x:f t="shared" si="21"/>
      </x:c>
      <x:c r="F222" s="150" t="str">
        <x:f t="shared" si="22"/>
      </x:c>
      <x:c r="G222" s="1" t="str">
        <x:f t="shared" si="23"/>
      </x:c>
      <x:c r="H222" s="4" t="str">
        <x:f t="shared" si="24"/>
      </x:c>
    </x:row>
    <x:row r="223">
      <x:c r="E223" s="1" t="str">
        <x:f t="shared" si="21"/>
      </x:c>
      <x:c r="F223" s="150" t="str">
        <x:f t="shared" si="22"/>
      </x:c>
      <x:c r="G223" s="1" t="str">
        <x:f t="shared" si="23"/>
      </x:c>
      <x:c r="H223" s="4" t="str">
        <x:f t="shared" si="24"/>
      </x:c>
    </x:row>
    <x:row r="224">
      <x:c r="E224" s="1" t="str">
        <x:f t="shared" si="21"/>
      </x:c>
      <x:c r="F224" s="150" t="str">
        <x:f t="shared" si="22"/>
      </x:c>
      <x:c r="G224" s="1" t="str">
        <x:f t="shared" si="23"/>
      </x:c>
      <x:c r="H224" s="4" t="str">
        <x:f t="shared" si="24"/>
      </x:c>
    </x:row>
    <x:row r="225">
      <x:c r="E225" s="1" t="str">
        <x:f t="shared" si="21"/>
      </x:c>
      <x:c r="F225" s="150" t="str">
        <x:f t="shared" si="22"/>
      </x:c>
      <x:c r="G225" s="1" t="str">
        <x:f t="shared" si="23"/>
      </x:c>
      <x:c r="H225" s="4" t="str">
        <x:f t="shared" si="24"/>
      </x:c>
    </x:row>
    <x:row r="226">
      <x:c r="E226" s="1" t="str">
        <x:f t="shared" si="21"/>
      </x:c>
      <x:c r="F226" s="150" t="str">
        <x:f t="shared" si="22"/>
      </x:c>
      <x:c r="G226" s="1" t="str">
        <x:f t="shared" si="23"/>
      </x:c>
      <x:c r="H226" s="4" t="str">
        <x:f t="shared" si="24"/>
      </x:c>
    </x:row>
    <x:row r="227">
      <x:c r="E227" s="1" t="str">
        <x:f t="shared" si="21"/>
      </x:c>
      <x:c r="F227" s="150" t="str">
        <x:f t="shared" si="22"/>
      </x:c>
      <x:c r="G227" s="1" t="str">
        <x:f t="shared" si="23"/>
      </x:c>
      <x:c r="H227" s="4" t="str">
        <x:f t="shared" si="24"/>
      </x:c>
    </x:row>
    <x:row r="228">
      <x:c r="E228" s="1" t="str">
        <x:f t="shared" si="21"/>
      </x:c>
      <x:c r="F228" s="150" t="str">
        <x:f t="shared" si="22"/>
      </x:c>
      <x:c r="G228" s="1" t="str">
        <x:f t="shared" si="23"/>
      </x:c>
      <x:c r="H228" s="4" t="str">
        <x:f t="shared" si="24"/>
      </x:c>
    </x:row>
    <x:row r="229">
      <x:c r="E229" s="1" t="str">
        <x:f t="shared" si="21"/>
      </x:c>
      <x:c r="F229" s="150" t="str">
        <x:f t="shared" si="22"/>
      </x:c>
      <x:c r="G229" s="1" t="str">
        <x:f t="shared" si="23"/>
      </x:c>
      <x:c r="H229" s="4" t="str">
        <x:f t="shared" si="24"/>
      </x:c>
    </x:row>
    <x:row r="230">
      <x:c r="E230" s="1" t="str">
        <x:f t="shared" si="21"/>
      </x:c>
      <x:c r="F230" s="150" t="str">
        <x:f t="shared" si="22"/>
      </x:c>
      <x:c r="G230" s="1" t="str">
        <x:f t="shared" si="23"/>
      </x:c>
      <x:c r="H230" s="4" t="str">
        <x:f t="shared" si="24"/>
      </x:c>
    </x:row>
    <x:row r="231">
      <x:c r="E231" s="1" t="str">
        <x:f t="shared" si="21"/>
      </x:c>
      <x:c r="F231" s="150" t="str">
        <x:f t="shared" si="22"/>
      </x:c>
      <x:c r="G231" s="1" t="str">
        <x:f t="shared" si="23"/>
      </x:c>
      <x:c r="H231" s="4" t="str">
        <x:f t="shared" si="24"/>
      </x:c>
    </x:row>
    <x:row r="232">
      <x:c r="E232" s="1" t="str">
        <x:f t="shared" si="21"/>
      </x:c>
      <x:c r="F232" s="150" t="str">
        <x:f t="shared" si="22"/>
      </x:c>
      <x:c r="G232" s="1" t="str">
        <x:f t="shared" si="23"/>
      </x:c>
      <x:c r="H232" s="4" t="str">
        <x:f t="shared" si="24"/>
      </x:c>
    </x:row>
    <x:row r="233">
      <x:c r="E233" s="1" t="str">
        <x:f t="shared" si="21"/>
      </x:c>
      <x:c r="F233" s="150" t="str">
        <x:f t="shared" si="22"/>
      </x:c>
      <x:c r="G233" s="1" t="str">
        <x:f t="shared" si="23"/>
      </x:c>
      <x:c r="H233" s="4" t="str">
        <x:f t="shared" si="24"/>
      </x:c>
    </x:row>
    <x:row r="234">
      <x:c r="E234" s="1" t="str">
        <x:f t="shared" si="21"/>
      </x:c>
      <x:c r="F234" s="150" t="str">
        <x:f t="shared" si="22"/>
      </x:c>
      <x:c r="G234" s="1" t="str">
        <x:f t="shared" si="23"/>
      </x:c>
      <x:c r="H234" s="4" t="str">
        <x:f t="shared" si="24"/>
      </x:c>
    </x:row>
    <x:row r="235">
      <x:c r="E235" s="1" t="str">
        <x:f t="shared" si="21"/>
      </x:c>
      <x:c r="F235" s="150" t="str">
        <x:f t="shared" si="22"/>
      </x:c>
      <x:c r="G235" s="1" t="str">
        <x:f t="shared" si="23"/>
      </x:c>
      <x:c r="H235" s="4" t="str">
        <x:f t="shared" si="24"/>
      </x:c>
    </x:row>
    <x:row r="236">
      <x:c r="E236" s="1" t="str">
        <x:f t="shared" si="21"/>
      </x:c>
      <x:c r="F236" s="150" t="str">
        <x:f t="shared" si="22"/>
      </x:c>
      <x:c r="G236" s="1" t="str">
        <x:f t="shared" si="23"/>
      </x:c>
      <x:c r="H236" s="4" t="str">
        <x:f t="shared" si="24"/>
      </x:c>
    </x:row>
    <x:row r="237">
      <x:c r="E237" s="1" t="str">
        <x:f t="shared" si="21"/>
      </x:c>
      <x:c r="F237" s="150" t="str">
        <x:f t="shared" si="22"/>
      </x:c>
      <x:c r="G237" s="1" t="str">
        <x:f t="shared" si="23"/>
      </x:c>
      <x:c r="H237" s="4" t="str">
        <x:f t="shared" si="24"/>
      </x:c>
    </x:row>
    <x:row r="238">
      <x:c r="E238" s="1" t="str">
        <x:f t="shared" si="21"/>
      </x:c>
      <x:c r="F238" s="150" t="str">
        <x:f t="shared" si="22"/>
      </x:c>
      <x:c r="G238" s="1" t="str">
        <x:f t="shared" si="23"/>
      </x:c>
      <x:c r="H238" s="4" t="str">
        <x:f t="shared" si="24"/>
      </x:c>
    </x:row>
    <x:row r="239">
      <x:c r="E239" s="1" t="str">
        <x:f t="shared" si="21"/>
      </x:c>
      <x:c r="F239" s="150" t="str">
        <x:f t="shared" si="22"/>
      </x:c>
      <x:c r="G239" s="1" t="str">
        <x:f t="shared" si="23"/>
      </x:c>
      <x:c r="H239" s="4" t="str">
        <x:f t="shared" si="24"/>
      </x:c>
    </x:row>
    <x:row r="240">
      <x:c r="E240" s="1" t="str">
        <x:f t="shared" si="21"/>
      </x:c>
      <x:c r="F240" s="150" t="str">
        <x:f t="shared" si="22"/>
      </x:c>
      <x:c r="G240" s="1" t="str">
        <x:f t="shared" si="23"/>
      </x:c>
      <x:c r="H240" s="4" t="str">
        <x:f t="shared" si="24"/>
      </x:c>
    </x:row>
    <x:row r="241">
      <x:c r="E241" s="1" t="str">
        <x:f t="shared" si="21"/>
      </x:c>
      <x:c r="F241" s="150" t="str">
        <x:f t="shared" si="22"/>
      </x:c>
      <x:c r="G241" s="1" t="str">
        <x:f t="shared" si="23"/>
      </x:c>
      <x:c r="H241" s="4" t="str">
        <x:f t="shared" si="24"/>
      </x:c>
    </x:row>
    <x:row r="242">
      <x:c r="E242" s="1" t="str">
        <x:f t="shared" si="21"/>
      </x:c>
      <x:c r="F242" s="150" t="str">
        <x:f t="shared" si="22"/>
      </x:c>
      <x:c r="G242" s="1" t="str">
        <x:f t="shared" si="23"/>
      </x:c>
      <x:c r="H242" s="4" t="str">
        <x:f t="shared" si="24"/>
      </x:c>
    </x:row>
    <x:row r="243">
      <x:c r="E243" s="1" t="str">
        <x:f t="shared" si="21"/>
      </x:c>
      <x:c r="F243" s="150" t="str">
        <x:f t="shared" si="22"/>
      </x:c>
      <x:c r="G243" s="1" t="str">
        <x:f t="shared" si="23"/>
      </x:c>
      <x:c r="H243" s="4" t="str">
        <x:f t="shared" si="24"/>
      </x:c>
    </x:row>
    <x:row r="244">
      <x:c r="E244" s="1" t="str">
        <x:f t="shared" si="21"/>
      </x:c>
      <x:c r="F244" s="150" t="str">
        <x:f t="shared" si="22"/>
      </x:c>
      <x:c r="G244" s="1" t="str">
        <x:f t="shared" si="23"/>
      </x:c>
      <x:c r="H244" s="4" t="str">
        <x:f t="shared" si="24"/>
      </x:c>
    </x:row>
    <x:row r="245">
      <x:c r="E245" s="1" t="str">
        <x:f t="shared" si="21"/>
      </x:c>
      <x:c r="F245" s="150" t="str">
        <x:f t="shared" si="22"/>
      </x:c>
      <x:c r="G245" s="1" t="str">
        <x:f t="shared" si="23"/>
      </x:c>
      <x:c r="H245" s="4" t="str">
        <x:f t="shared" si="24"/>
      </x:c>
    </x:row>
    <x:row r="246">
      <x:c r="E246" s="1" t="str">
        <x:f t="shared" si="21"/>
      </x:c>
      <x:c r="F246" s="150" t="str">
        <x:f t="shared" si="22"/>
      </x:c>
      <x:c r="G246" s="1" t="str">
        <x:f t="shared" si="23"/>
      </x:c>
      <x:c r="H246" s="4" t="str">
        <x:f t="shared" si="24"/>
      </x:c>
    </x:row>
    <x:row r="247">
      <x:c r="E247" s="1" t="str">
        <x:f t="shared" si="21"/>
      </x:c>
      <x:c r="F247" s="150" t="str">
        <x:f t="shared" si="22"/>
      </x:c>
      <x:c r="G247" s="1" t="str">
        <x:f t="shared" si="23"/>
      </x:c>
      <x:c r="H247" s="4" t="str">
        <x:f t="shared" si="24"/>
      </x:c>
    </x:row>
    <x:row r="248">
      <x:c r="E248" s="1" t="str">
        <x:f t="shared" si="21"/>
      </x:c>
      <x:c r="F248" s="150" t="str">
        <x:f t="shared" si="22"/>
      </x:c>
      <x:c r="G248" s="1" t="str">
        <x:f t="shared" si="23"/>
      </x:c>
      <x:c r="H248" s="4" t="str">
        <x:f t="shared" si="24"/>
      </x:c>
    </x:row>
    <x:row r="249">
      <x:c r="E249" s="1" t="str">
        <x:f t="shared" si="21"/>
      </x:c>
      <x:c r="F249" s="150" t="str">
        <x:f t="shared" si="22"/>
      </x:c>
      <x:c r="G249" s="1" t="str">
        <x:f t="shared" si="23"/>
      </x:c>
      <x:c r="H249" s="4" t="str">
        <x:f t="shared" si="24"/>
      </x:c>
    </x:row>
    <x:row r="250">
      <x:c r="E250" s="1" t="str">
        <x:f t="shared" si="21"/>
      </x:c>
      <x:c r="F250" s="150" t="str">
        <x:f t="shared" si="22"/>
      </x:c>
      <x:c r="G250" s="1" t="str">
        <x:f t="shared" si="23"/>
      </x:c>
      <x:c r="H250" s="4" t="str">
        <x:f t="shared" si="24"/>
      </x:c>
    </x:row>
    <x:row r="251">
      <x:c r="E251" s="1" t="str">
        <x:f t="shared" si="21"/>
      </x:c>
      <x:c r="F251" s="150" t="str">
        <x:f t="shared" si="22"/>
      </x:c>
      <x:c r="G251" s="1" t="str">
        <x:f t="shared" si="23"/>
      </x:c>
      <x:c r="H251" s="4" t="str">
        <x:f t="shared" si="24"/>
      </x:c>
    </x:row>
    <x:row r="252">
      <x:c r="E252" s="1" t="str">
        <x:f t="shared" si="21"/>
      </x:c>
      <x:c r="F252" s="150" t="str">
        <x:f t="shared" si="22"/>
      </x:c>
      <x:c r="G252" s="1" t="str">
        <x:f t="shared" si="23"/>
      </x:c>
      <x:c r="H252" s="4" t="str">
        <x:f t="shared" si="24"/>
      </x:c>
    </x:row>
    <x:row r="253">
      <x:c r="E253" s="1" t="str">
        <x:f t="shared" si="21"/>
      </x:c>
      <x:c r="F253" s="150" t="str">
        <x:f t="shared" si="22"/>
      </x:c>
      <x:c r="G253" s="1" t="str">
        <x:f t="shared" si="23"/>
      </x:c>
      <x:c r="H253" s="4" t="str">
        <x:f t="shared" si="24"/>
      </x:c>
    </x:row>
    <x:row r="254">
      <x:c r="E254" s="1" t="str">
        <x:f t="shared" si="21"/>
      </x:c>
      <x:c r="F254" s="150" t="str">
        <x:f t="shared" si="22"/>
      </x:c>
      <x:c r="G254" s="1" t="str">
        <x:f t="shared" si="23"/>
      </x:c>
      <x:c r="H254" s="4" t="str">
        <x:f t="shared" si="24"/>
      </x:c>
    </x:row>
    <x:row r="255">
      <x:c r="E255" s="1" t="str">
        <x:f t="shared" si="21"/>
      </x:c>
      <x:c r="F255" s="150" t="str">
        <x:f t="shared" si="22"/>
      </x:c>
      <x:c r="G255" s="1" t="str">
        <x:f t="shared" si="23"/>
      </x:c>
      <x:c r="H255" s="4" t="str">
        <x:f t="shared" si="24"/>
      </x:c>
    </x:row>
    <x:row r="256">
      <x:c r="E256" s="1" t="str">
        <x:f t="shared" si="21"/>
      </x:c>
      <x:c r="F256" s="150" t="str">
        <x:f t="shared" si="22"/>
      </x:c>
      <x:c r="G256" s="1" t="str">
        <x:f t="shared" si="23"/>
      </x:c>
      <x:c r="H256" s="4" t="str">
        <x:f t="shared" si="24"/>
      </x:c>
    </x:row>
    <x:row r="257">
      <x:c r="E257" s="1" t="str">
        <x:f t="shared" si="21"/>
      </x:c>
      <x:c r="F257" s="150" t="str">
        <x:f t="shared" si="22"/>
      </x:c>
      <x:c r="G257" s="1" t="str">
        <x:f t="shared" si="23"/>
      </x:c>
      <x:c r="H257" s="4" t="str">
        <x:f t="shared" si="24"/>
      </x:c>
    </x:row>
    <x:row r="258">
      <x:c r="E258" s="1" t="str">
        <x:f t="shared" si="21"/>
      </x:c>
      <x:c r="F258" s="150" t="str">
        <x:f t="shared" si="22"/>
      </x:c>
      <x:c r="G258" s="1" t="str">
        <x:f t="shared" si="23"/>
      </x:c>
      <x:c r="H258" s="4" t="str">
        <x:f t="shared" si="24"/>
      </x:c>
    </x:row>
    <x:row r="259">
      <x:c r="E259" s="1" t="str">
        <x:f t="shared" si="21"/>
      </x:c>
      <x:c r="F259" s="150" t="str">
        <x:f t="shared" si="22"/>
      </x:c>
      <x:c r="G259" s="1" t="str">
        <x:f t="shared" si="23"/>
      </x:c>
      <x:c r="H259" s="4" t="str">
        <x:f t="shared" si="24"/>
      </x:c>
    </x:row>
    <x:row r="260">
      <x:c r="E260" s="1" t="str">
        <x:f t="shared" si="21"/>
      </x:c>
      <x:c r="F260" s="150" t="str">
        <x:f t="shared" si="22"/>
      </x:c>
      <x:c r="G260" s="1" t="str">
        <x:f t="shared" si="23"/>
      </x:c>
      <x:c r="H260" s="4" t="str">
        <x:f t="shared" si="24"/>
      </x:c>
    </x:row>
    <x:row r="261">
      <x:c r="E261" s="1" t="str">
        <x:f t="shared" si="21"/>
      </x:c>
      <x:c r="F261" s="150" t="str">
        <x:f t="shared" si="22"/>
      </x:c>
      <x:c r="G261" s="1" t="str">
        <x:f t="shared" si="23"/>
      </x:c>
      <x:c r="H261" s="4" t="str">
        <x:f t="shared" si="24"/>
      </x:c>
    </x:row>
    <x:row r="262">
      <x:c r="E262" s="1" t="str">
        <x:f t="shared" si="21"/>
      </x:c>
      <x:c r="F262" s="150" t="str">
        <x:f t="shared" si="22"/>
      </x:c>
      <x:c r="G262" s="1" t="str">
        <x:f t="shared" si="23"/>
      </x:c>
      <x:c r="H262" s="4" t="str">
        <x:f t="shared" si="24"/>
      </x:c>
    </x:row>
    <x:row r="263">
      <x:c r="E263" s="1" t="str">
        <x:f t="shared" si="21"/>
      </x:c>
      <x:c r="F263" s="150" t="str">
        <x:f t="shared" si="22"/>
      </x:c>
      <x:c r="G263" s="1" t="str">
        <x:f t="shared" si="23"/>
      </x:c>
      <x:c r="H263" s="4" t="str">
        <x:f t="shared" si="24"/>
      </x:c>
    </x:row>
    <x:row r="264">
      <x:c r="E264" s="1" t="str">
        <x:f t="shared" si="21"/>
      </x:c>
      <x:c r="F264" s="150" t="str">
        <x:f t="shared" si="22"/>
      </x:c>
      <x:c r="G264" s="1" t="str">
        <x:f t="shared" si="23"/>
      </x:c>
      <x:c r="H264" s="4" t="str">
        <x:f t="shared" si="24"/>
      </x:c>
    </x:row>
    <x:row r="265">
      <x:c r="E265" s="1" t="str">
        <x:f t="shared" si="21"/>
      </x:c>
      <x:c r="F265" s="150" t="str">
        <x:f t="shared" si="22"/>
      </x:c>
      <x:c r="G265" s="1" t="str">
        <x:f t="shared" si="23"/>
      </x:c>
      <x:c r="H265" s="4" t="str">
        <x:f t="shared" si="24"/>
      </x:c>
    </x:row>
    <x:row r="266">
      <x:c r="E266" s="1" t="str">
        <x:f t="shared" ref="E266:E297" si="25">IF(A266&lt;&gt;"", IF(A266=A265, "", A266), "")</x:f>
      </x:c>
      <x:c r="F266" s="150" t="str">
        <x:f t="shared" si="22"/>
      </x:c>
      <x:c r="G266" s="1" t="str">
        <x:f t="shared" si="23"/>
      </x:c>
      <x:c r="H266" s="4" t="str">
        <x:f t="shared" si="24"/>
      </x:c>
    </x:row>
    <x:row r="267">
      <x:c r="E267" s="1" t="str">
        <x:f t="shared" si="25"/>
      </x:c>
      <x:c r="F267" s="150" t="str">
        <x:f t="shared" si="22"/>
      </x:c>
      <x:c r="G267" s="1" t="str">
        <x:f t="shared" si="23"/>
      </x:c>
      <x:c r="H267" s="4" t="str">
        <x:f t="shared" si="24"/>
      </x:c>
    </x:row>
    <x:row r="268">
      <x:c r="E268" s="1" t="str">
        <x:f t="shared" si="25"/>
      </x:c>
      <x:c r="F268" s="150" t="str">
        <x:f t="shared" si="22"/>
      </x:c>
      <x:c r="G268" s="1" t="str">
        <x:f t="shared" si="23"/>
      </x:c>
      <x:c r="H268" s="4" t="str">
        <x:f t="shared" si="24"/>
      </x:c>
    </x:row>
    <x:row r="269">
      <x:c r="E269" s="1" t="str">
        <x:f t="shared" si="25"/>
      </x:c>
      <x:c r="F269" s="150" t="str">
        <x:f t="shared" si="22"/>
      </x:c>
      <x:c r="G269" s="1" t="str">
        <x:f t="shared" si="23"/>
      </x:c>
      <x:c r="H269" s="4" t="str">
        <x:f t="shared" si="24"/>
      </x:c>
    </x:row>
    <x:row r="270">
      <x:c r="E270" s="1" t="str">
        <x:f t="shared" si="25"/>
      </x:c>
      <x:c r="F270" s="150" t="str">
        <x:f t="shared" si="22"/>
      </x:c>
      <x:c r="G270" s="1" t="str">
        <x:f t="shared" si="23"/>
      </x:c>
      <x:c r="H270" s="4" t="str">
        <x:f t="shared" si="24"/>
      </x:c>
    </x:row>
    <x:row r="271">
      <x:c r="E271" s="1" t="str">
        <x:f t="shared" si="25"/>
      </x:c>
      <x:c r="F271" s="150" t="str">
        <x:f t="shared" si="22"/>
      </x:c>
      <x:c r="G271" s="1" t="str">
        <x:f t="shared" si="23"/>
      </x:c>
      <x:c r="H271" s="4" t="str">
        <x:f t="shared" si="24"/>
      </x:c>
    </x:row>
    <x:row r="272">
      <x:c r="E272" s="1" t="str">
        <x:f t="shared" si="25"/>
      </x:c>
      <x:c r="F272" s="150" t="str">
        <x:f t="shared" si="22"/>
      </x:c>
      <x:c r="G272" s="1" t="str">
        <x:f t="shared" si="23"/>
      </x:c>
      <x:c r="H272" s="4" t="str">
        <x:f t="shared" si="24"/>
      </x:c>
    </x:row>
    <x:row r="273">
      <x:c r="E273" s="1" t="str">
        <x:f t="shared" si="25"/>
      </x:c>
      <x:c r="F273" s="150" t="str">
        <x:f t="shared" si="22"/>
      </x:c>
      <x:c r="G273" s="1" t="str">
        <x:f t="shared" si="23"/>
      </x:c>
      <x:c r="H273" s="4" t="str">
        <x:f t="shared" si="24"/>
      </x:c>
    </x:row>
    <x:row r="274">
      <x:c r="E274" s="1" t="str">
        <x:f t="shared" si="25"/>
      </x:c>
      <x:c r="F274" s="150" t="str">
        <x:f t="shared" si="22"/>
      </x:c>
      <x:c r="G274" s="1" t="str">
        <x:f t="shared" si="23"/>
      </x:c>
      <x:c r="H274" s="4" t="str">
        <x:f t="shared" si="24"/>
      </x:c>
    </x:row>
    <x:row r="275">
      <x:c r="E275" s="1" t="str">
        <x:f t="shared" si="25"/>
      </x:c>
      <x:c r="F275" s="150" t="str">
        <x:f t="shared" si="22"/>
      </x:c>
      <x:c r="G275" s="1" t="str">
        <x:f t="shared" si="23"/>
      </x:c>
      <x:c r="H275" s="4" t="str">
        <x:f t="shared" si="24"/>
      </x:c>
    </x:row>
    <x:row r="276">
      <x:c r="E276" s="1" t="str">
        <x:f t="shared" si="25"/>
      </x:c>
      <x:c r="F276" s="150" t="str">
        <x:f t="shared" si="22"/>
      </x:c>
      <x:c r="G276" s="1" t="str">
        <x:f t="shared" si="23"/>
      </x:c>
      <x:c r="H276" s="4" t="str">
        <x:f t="shared" si="24"/>
      </x:c>
    </x:row>
    <x:row r="277">
      <x:c r="E277" s="1" t="str">
        <x:f t="shared" si="25"/>
      </x:c>
      <x:c r="F277" s="150" t="str">
        <x:f t="shared" si="22"/>
      </x:c>
      <x:c r="G277" s="1" t="str">
        <x:f t="shared" si="23"/>
      </x:c>
      <x:c r="H277" s="4" t="str">
        <x:f t="shared" si="24"/>
      </x:c>
    </x:row>
    <x:row r="278">
      <x:c r="E278" s="1" t="str">
        <x:f t="shared" si="25"/>
      </x:c>
      <x:c r="F278" s="150" t="str">
        <x:f t="shared" si="22"/>
      </x:c>
      <x:c r="G278" s="1" t="str">
        <x:f t="shared" si="23"/>
      </x:c>
      <x:c r="H278" s="4" t="str">
        <x:f t="shared" si="24"/>
      </x:c>
    </x:row>
    <x:row r="279">
      <x:c r="E279" s="1" t="str">
        <x:f t="shared" si="25"/>
      </x:c>
      <x:c r="F279" s="150" t="str">
        <x:f t="shared" si="22"/>
      </x:c>
      <x:c r="G279" s="1" t="str">
        <x:f t="shared" si="23"/>
      </x:c>
      <x:c r="H279" s="4" t="str">
        <x:f t="shared" si="24"/>
      </x:c>
    </x:row>
    <x:row r="280">
      <x:c r="E280" s="1" t="str">
        <x:f t="shared" si="25"/>
      </x:c>
      <x:c r="F280" s="150" t="str">
        <x:f t="shared" si="22"/>
      </x:c>
      <x:c r="G280" s="1" t="str">
        <x:f t="shared" si="23"/>
      </x:c>
      <x:c r="H280" s="4" t="str">
        <x:f t="shared" si="24"/>
      </x:c>
    </x:row>
    <x:row r="281">
      <x:c r="E281" s="1" t="str">
        <x:f t="shared" si="25"/>
      </x:c>
      <x:c r="F281" s="150" t="str">
        <x:f t="shared" ref="F281:F297" si="26">IF(B281&lt;&gt;"", IF(B281=B280, "", B281), "")</x:f>
      </x:c>
      <x:c r="G281" s="1" t="str">
        <x:f t="shared" ref="G281:G297" si="27">IF(C281&lt;&gt;"", IF(C281=C280, "", C281), "")</x:f>
      </x:c>
      <x:c r="H281" s="4" t="str">
        <x:f t="shared" ref="H281:H297" si="28">IF(D281&lt;&gt;"", IF(D281=D280, "", D281), "")</x:f>
      </x:c>
    </x:row>
    <x:row r="282">
      <x:c r="E282" s="1" t="str">
        <x:f t="shared" si="25"/>
      </x:c>
      <x:c r="F282" s="150" t="str">
        <x:f t="shared" si="26"/>
      </x:c>
      <x:c r="G282" s="1" t="str">
        <x:f t="shared" si="27"/>
      </x:c>
      <x:c r="H282" s="4" t="str">
        <x:f t="shared" si="28"/>
      </x:c>
    </x:row>
    <x:row r="283">
      <x:c r="E283" s="1" t="str">
        <x:f t="shared" si="25"/>
      </x:c>
      <x:c r="F283" s="150" t="str">
        <x:f t="shared" si="26"/>
      </x:c>
      <x:c r="G283" s="1" t="str">
        <x:f t="shared" si="27"/>
      </x:c>
      <x:c r="H283" s="4" t="str">
        <x:f t="shared" si="28"/>
      </x:c>
    </x:row>
    <x:row r="284">
      <x:c r="E284" s="1" t="str">
        <x:f t="shared" si="25"/>
      </x:c>
      <x:c r="F284" s="150" t="str">
        <x:f t="shared" si="26"/>
      </x:c>
      <x:c r="G284" s="1" t="str">
        <x:f t="shared" si="27"/>
      </x:c>
      <x:c r="H284" s="4" t="str">
        <x:f t="shared" si="28"/>
      </x:c>
    </x:row>
    <x:row r="285">
      <x:c r="E285" s="1" t="str">
        <x:f t="shared" si="25"/>
      </x:c>
      <x:c r="F285" s="150" t="str">
        <x:f t="shared" si="26"/>
      </x:c>
      <x:c r="G285" s="1" t="str">
        <x:f t="shared" si="27"/>
      </x:c>
      <x:c r="H285" s="4" t="str">
        <x:f t="shared" si="28"/>
      </x:c>
    </x:row>
    <x:row r="286">
      <x:c r="E286" s="1" t="str">
        <x:f t="shared" si="25"/>
      </x:c>
      <x:c r="F286" s="150" t="str">
        <x:f t="shared" si="26"/>
      </x:c>
      <x:c r="G286" s="1" t="str">
        <x:f t="shared" si="27"/>
      </x:c>
      <x:c r="H286" s="4" t="str">
        <x:f t="shared" si="28"/>
      </x:c>
    </x:row>
    <x:row r="287">
      <x:c r="E287" s="1" t="str">
        <x:f t="shared" si="25"/>
      </x:c>
      <x:c r="F287" s="150" t="str">
        <x:f t="shared" si="26"/>
      </x:c>
      <x:c r="G287" s="1" t="str">
        <x:f t="shared" si="27"/>
      </x:c>
      <x:c r="H287" s="4" t="str">
        <x:f t="shared" si="28"/>
      </x:c>
    </x:row>
    <x:row r="288">
      <x:c r="E288" s="1" t="str">
        <x:f t="shared" si="25"/>
      </x:c>
      <x:c r="F288" s="150" t="str">
        <x:f t="shared" si="26"/>
      </x:c>
      <x:c r="G288" s="1" t="str">
        <x:f t="shared" si="27"/>
      </x:c>
      <x:c r="H288" s="4" t="str">
        <x:f t="shared" si="28"/>
      </x:c>
    </x:row>
    <x:row r="289">
      <x:c r="E289" s="1" t="str">
        <x:f t="shared" si="25"/>
      </x:c>
      <x:c r="F289" s="150" t="str">
        <x:f t="shared" si="26"/>
      </x:c>
      <x:c r="G289" s="1" t="str">
        <x:f t="shared" si="27"/>
      </x:c>
      <x:c r="H289" s="4" t="str">
        <x:f t="shared" si="28"/>
      </x:c>
    </x:row>
    <x:row r="290">
      <x:c r="E290" s="1" t="str">
        <x:f t="shared" si="25"/>
      </x:c>
      <x:c r="F290" s="150" t="str">
        <x:f t="shared" si="26"/>
      </x:c>
      <x:c r="G290" s="1" t="str">
        <x:f t="shared" si="27"/>
      </x:c>
      <x:c r="H290" s="4" t="str">
        <x:f t="shared" si="28"/>
      </x:c>
    </x:row>
    <x:row r="291">
      <x:c r="E291" s="1" t="str">
        <x:f t="shared" si="25"/>
      </x:c>
      <x:c r="F291" s="150" t="str">
        <x:f t="shared" si="26"/>
      </x:c>
      <x:c r="G291" s="1" t="str">
        <x:f t="shared" si="27"/>
      </x:c>
      <x:c r="H291" s="4" t="str">
        <x:f t="shared" si="28"/>
      </x:c>
    </x:row>
    <x:row r="292">
      <x:c r="E292" s="1" t="str">
        <x:f t="shared" si="25"/>
      </x:c>
      <x:c r="F292" s="150" t="str">
        <x:f t="shared" si="26"/>
      </x:c>
      <x:c r="G292" s="1" t="str">
        <x:f t="shared" si="27"/>
      </x:c>
      <x:c r="H292" s="4" t="str">
        <x:f t="shared" si="28"/>
      </x:c>
    </x:row>
    <x:row r="293">
      <x:c r="E293" s="1" t="str">
        <x:f t="shared" si="25"/>
      </x:c>
      <x:c r="F293" s="150" t="str">
        <x:f t="shared" si="26"/>
      </x:c>
      <x:c r="G293" s="1" t="str">
        <x:f t="shared" si="27"/>
      </x:c>
      <x:c r="H293" s="4" t="str">
        <x:f t="shared" si="28"/>
      </x:c>
    </x:row>
    <x:row r="294">
      <x:c r="E294" s="1" t="str">
        <x:f t="shared" si="25"/>
      </x:c>
      <x:c r="F294" s="150" t="str">
        <x:f t="shared" si="26"/>
      </x:c>
      <x:c r="G294" s="1" t="str">
        <x:f t="shared" si="27"/>
      </x:c>
      <x:c r="H294" s="4" t="str">
        <x:f t="shared" si="28"/>
      </x:c>
    </x:row>
    <x:row r="295">
      <x:c r="E295" s="1" t="str">
        <x:f t="shared" si="25"/>
      </x:c>
      <x:c r="F295" s="150" t="str">
        <x:f t="shared" si="26"/>
      </x:c>
      <x:c r="G295" s="1" t="str">
        <x:f t="shared" si="27"/>
      </x:c>
      <x:c r="H295" s="4" t="str">
        <x:f t="shared" si="28"/>
      </x:c>
    </x:row>
    <x:row r="296">
      <x:c r="E296" s="1" t="str">
        <x:f t="shared" si="25"/>
      </x:c>
      <x:c r="F296" s="150" t="str">
        <x:f t="shared" si="26"/>
      </x:c>
      <x:c r="G296" s="1" t="str">
        <x:f t="shared" si="27"/>
      </x:c>
      <x:c r="H296" s="4" t="str">
        <x:f t="shared" si="28"/>
      </x:c>
    </x:row>
    <x:row r="297">
      <x:c r="E297" s="1" t="str">
        <x:f t="shared" si="25"/>
      </x:c>
      <x:c r="F297" s="150" t="str">
        <x:f t="shared" si="26"/>
      </x:c>
      <x:c r="G297" s="1" t="str">
        <x:f t="shared" si="27"/>
      </x:c>
      <x:c r="H297" s="4" t="str">
        <x:f t="shared" si="28"/>
      </x:c>
    </x:row>
  </x:sheetData>
  <x:conditionalFormatting sqref="H5:M38">
    <x:cfRule type="expression" dxfId="11" priority="25">
      <x:formula>$I5="DX道場"</x:formula>
    </x:cfRule>
  </x:conditionalFormatting>
  <x:conditionalFormatting sqref="N5:N1048576">
    <x:cfRule type="containsText" dxfId="10" priority="22" operator="containsText" text="準備中">
      <x:formula>NOT(ISERROR(SEARCH("準備中",N5)))</x:formula>
    </x:cfRule>
  </x:conditionalFormatting>
  <x:conditionalFormatting sqref="O3:CU38">
    <x:cfRule type="expression" dxfId="9" priority="15">
      <x:formula>AND(OR(O$4="土",O$4="日"))</x:formula>
    </x:cfRule>
  </x:conditionalFormatting>
  <x:conditionalFormatting sqref="O5:CU38">
    <x:cfRule type="expression" dxfId="8" priority="17">
      <x:formula>AND($I5="DX道場",O$3&gt;=$L5,O$3&lt;=$M5)</x:formula>
    </x:cfRule>
    <x:cfRule type="expression" dxfId="7" priority="20">
      <x:formula>AND($I5="インフラ",O$3&gt;=$L5,O$3&lt;=$M5)</x:formula>
    </x:cfRule>
  </x:conditionalFormatting>
  <x:conditionalFormatting sqref="F5:J38">
    <x:cfRule type="expression" dxfId="6" priority="4">
      <x:formula>NOT(ISNUMBER($F5))</x:formula>
    </x:cfRule>
  </x:conditionalFormatting>
  <x:conditionalFormatting sqref="J5:J38">
    <x:cfRule type="expression" dxfId="5" priority="3">
      <x:formula>AND($H5&lt;&gt;"",$J5="")</x:formula>
    </x:cfRule>
  </x:conditionalFormatting>
  <x:conditionalFormatting sqref="N5:N1048576">
    <x:cfRule type="containsText" dxfId="4" priority="23" operator="containsText" text="完了">
      <x:formula>NOT(ISERROR(SEARCH("完了",N5)))</x:formula>
    </x:cfRule>
  </x:conditionalFormatting>
  <x:conditionalFormatting sqref="N5:N1048576">
    <x:cfRule type="containsText" dxfId="3" priority="24" operator="containsText" text="進行中">
      <x:formula>NOT(ISERROR(SEARCH("進行中",N5)))</x:formula>
    </x:cfRule>
  </x:conditionalFormatting>
  <x:conditionalFormatting sqref="M10:M10">
    <x:cfRule type="containsText" dxfId="2" priority="1" operator="containsText" text="完了">
      <x:formula>NOT(ISERROR(SEARCH("完了",M10)))</x:formula>
    </x:cfRule>
  </x:conditionalFormatting>
  <x:conditionalFormatting sqref="M10:M10">
    <x:cfRule type="containsText" dxfId="1" priority="2" operator="containsText" text="進行中">
      <x:formula>NOT(ISERROR(SEARCH("進行中",M10)))</x:formula>
    </x:cfRule>
  </x:conditionalFormatting>
  <x:dataValidations count="2">
    <x:dataValidation type="list" allowBlank="1" showInputMessage="1" showErrorMessage="1" sqref="N5:N1048576">
      <x:formula1>"準備中,進行中,完了"</x:formula1>
    </x:dataValidation>
    <x:dataValidation type="list" allowBlank="1" showInputMessage="1" showErrorMessage="1" sqref="I5:I1048576">
      <x:formula1>"データ基盤,インフラ,DX道場"</x:formula1>
    </x:dataValidation>
  </x:dataValidations>
  <x:hyperlinks>
    <x:hyperlink xmlns:r="http://schemas.openxmlformats.org/officeDocument/2006/relationships" ref="K17" r:id="Raeedf49c03c0474d"/>
    <x:hyperlink xmlns:r="http://schemas.openxmlformats.org/officeDocument/2006/relationships" ref="K18" r:id="R99e4a7c51c824ec9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14.5" style="1" customWidth="1"/>
    <x:col min="2" max="2" width="9.375" style="1" customWidth="1"/>
    <x:col min="3" max="16384" width="9" style="1" customWidth="0"/>
  </x:cols>
  <x:sheetData>
    <x:row r="1">
      <x:c r="A1" s="112" t="s">
        <x:v>110</x:v>
      </x:c>
      <x:c r="B1" s="112" t="s">
        <x:v>111</x:v>
      </x:c>
      <x:c r="C1" s="112" t="s">
        <x:v>112</x:v>
      </x:c>
    </x:row>
    <x:row r="2">
      <x:c r="A2" s="112" t="s">
        <x:v>113</x:v>
      </x:c>
      <x:c r="B2" s="111">
        <x:v>46023</x:v>
      </x:c>
      <x:c r="C2" s="112" t="s">
        <x:v>48</x:v>
      </x:c>
    </x:row>
    <x:row r="3">
      <x:c r="A3" s="112" t="s">
        <x:v>114</x:v>
      </x:c>
      <x:c r="B3" s="111">
        <x:v>46034</x:v>
      </x:c>
      <x:c r="C3" s="112" t="s">
        <x:v>45</x:v>
      </x:c>
    </x:row>
    <x:row r="4">
      <x:c r="A4" s="112" t="s">
        <x:v>115</x:v>
      </x:c>
      <x:c r="B4" s="111">
        <x:v>46064</x:v>
      </x:c>
      <x:c r="C4" s="112" t="s">
        <x:v>47</x:v>
      </x:c>
    </x:row>
    <x:row r="5">
      <x:c r="A5" s="112" t="s">
        <x:v>116</x:v>
      </x:c>
      <x:c r="B5" s="111">
        <x:v>46076</x:v>
      </x:c>
      <x:c r="C5" s="112" t="s">
        <x:v>45</x:v>
      </x:c>
    </x:row>
    <x:row r="6">
      <x:c r="A6" s="112" t="s">
        <x:v>117</x:v>
      </x:c>
      <x:c r="B6" s="111">
        <x:v>46101</x:v>
      </x:c>
      <x:c r="C6" s="112" t="s">
        <x:v>49</x:v>
      </x:c>
    </x:row>
    <x:row r="7">
      <x:c r="A7" s="112" t="s">
        <x:v>118</x:v>
      </x:c>
      <x:c r="B7" s="111">
        <x:v>46141</x:v>
      </x:c>
      <x:c r="C7" s="112" t="s">
        <x:v>47</x:v>
      </x:c>
    </x:row>
    <x:row r="8">
      <x:c r="A8" s="112" t="s">
        <x:v>119</x:v>
      </x:c>
      <x:c r="B8" s="111">
        <x:v>46145</x:v>
      </x:c>
      <x:c r="C8" s="112" t="s">
        <x:v>51</x:v>
      </x:c>
    </x:row>
    <x:row r="9">
      <x:c r="A9" s="112" t="s">
        <x:v>120</x:v>
      </x:c>
      <x:c r="B9" s="111">
        <x:v>46146</x:v>
      </x:c>
      <x:c r="C9" s="112" t="s">
        <x:v>45</x:v>
      </x:c>
    </x:row>
    <x:row r="10">
      <x:c r="A10" s="112" t="s">
        <x:v>121</x:v>
      </x:c>
      <x:c r="B10" s="111">
        <x:v>46147</x:v>
      </x:c>
      <x:c r="C10" s="112" t="s">
        <x:v>46</x:v>
      </x:c>
    </x:row>
    <x:row r="11">
      <x:c r="A11" s="112" t="s">
        <x:v>122</x:v>
      </x:c>
      <x:c r="B11" s="111">
        <x:v>46148</x:v>
      </x:c>
      <x:c r="C11" s="112" t="s">
        <x:v>47</x:v>
      </x:c>
    </x:row>
    <x:row r="12">
      <x:c r="A12" s="112" t="s">
        <x:v>123</x:v>
      </x:c>
      <x:c r="B12" s="111">
        <x:v>46223</x:v>
      </x:c>
      <x:c r="C12" s="112" t="s">
        <x:v>45</x:v>
      </x:c>
    </x:row>
    <x:row r="13">
      <x:c r="A13" s="112" t="s">
        <x:v>124</x:v>
      </x:c>
      <x:c r="B13" s="111">
        <x:v>46245</x:v>
      </x:c>
      <x:c r="C13" s="112" t="s">
        <x:v>46</x:v>
      </x:c>
    </x:row>
    <x:row r="14">
      <x:c r="A14" s="112" t="s">
        <x:v>125</x:v>
      </x:c>
      <x:c r="B14" s="111">
        <x:v>46286</x:v>
      </x:c>
      <x:c r="C14" s="112" t="s">
        <x:v>45</x:v>
      </x:c>
    </x:row>
    <x:row r="15">
      <x:c r="A15" s="112" t="s">
        <x:v>126</x:v>
      </x:c>
      <x:c r="B15" s="111">
        <x:v>46287</x:v>
      </x:c>
      <x:c r="C15" s="112" t="s">
        <x:v>46</x:v>
      </x:c>
    </x:row>
    <x:row r="16">
      <x:c r="A16" s="112" t="s">
        <x:v>127</x:v>
      </x:c>
      <x:c r="B16" s="111">
        <x:v>46288</x:v>
      </x:c>
      <x:c r="C16" s="112" t="s">
        <x:v>47</x:v>
      </x:c>
    </x:row>
    <x:row r="17">
      <x:c r="A17" s="112" t="s">
        <x:v>128</x:v>
      </x:c>
      <x:c r="B17" s="111">
        <x:v>46307</x:v>
      </x:c>
      <x:c r="C17" s="112" t="s">
        <x:v>45</x:v>
      </x:c>
    </x:row>
    <x:row r="18">
      <x:c r="A18" s="112" t="s">
        <x:v>129</x:v>
      </x:c>
      <x:c r="B18" s="111">
        <x:v>46329</x:v>
      </x:c>
      <x:c r="C18" s="112" t="s">
        <x:v>46</x:v>
      </x:c>
    </x:row>
    <x:row r="19">
      <x:c r="A19" s="1" t="s">
        <x:v>130</x:v>
      </x:c>
      <x:c r="B19" s="113">
        <x:v>46349</x:v>
      </x:c>
      <x:c r="C19" s="1" t="s">
        <x:v>45</x:v>
      </x:c>
    </x:row>
    <x:row r="20">
      <x:c r="A20" s="1" t="s">
        <x:v>131</x:v>
      </x:c>
      <x:c r="B20" s="113">
        <x:v>46244</x:v>
      </x:c>
    </x:row>
    <x:row r="21">
      <x:c r="A21" s="1" t="s">
        <x:v>131</x:v>
      </x:c>
      <x:c r="B21" s="113">
        <x:v>46246</x:v>
      </x:c>
    </x:row>
    <x:row r="22">
      <x:c r="A22" s="1" t="s">
        <x:v>131</x:v>
      </x:c>
      <x:c r="B22" s="113">
        <x:v>46247</x:v>
      </x:c>
    </x:row>
    <x:row r="23">
      <x:c r="A23" s="1" t="s">
        <x:v>131</x:v>
      </x:c>
      <x:c r="B23" s="113">
        <x:v>46248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1" hidden="0" customWidth="1"/>
    <x:col min="3" max="3" width="22" hidden="0" customWidth="1"/>
    <x:col min="4" max="4" width="40" hidden="0" customWidth="1"/>
    <x:col min="5" max="5" width="11" hidden="0" customWidth="1"/>
    <x:col min="6" max="6" width="13" hidden="0" customWidth="1"/>
    <x:col min="7" max="7" width="20" hidden="0" customWidth="1"/>
    <x:col min="8" max="8" width="10" hidden="0" customWidth="1"/>
    <x:col min="9" max="9" width="10" hidden="0" customWidth="1"/>
    <x:col min="10" max="10" width="10" hidden="0" customWidth="1"/>
    <x:col min="11" max="11" width="45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8" customHeight="1">
      <x:c r="A1" s="403" t="str">
        <x:v>次期J Salesforce→Cloudera 恒久対応PoC WBS閲覧用</x:v>
      </x:c>
      <x:c r="B1" s="403"/>
      <x:c r="C1" s="403"/>
      <x:c r="D1" s="403"/>
      <x:c r="E1" s="403"/>
      <x:c r="F1" s="403"/>
      <x:c r="G1" s="403"/>
      <x:c r="H1" s="403"/>
      <x:c r="I1" s="403"/>
      <x:c r="J1" s="403"/>
      <x:c r="K1" s="403"/>
      <x:c r="L1" s="403"/>
      <x:c r="M1" s="403"/>
      <x:c r="N1" s="403"/>
      <x:c r="O1" s="403"/>
      <x:c r="P1" s="403"/>
      <x:c r="Q1" s="403"/>
      <x:c r="R1" s="403"/>
      <x:c r="S1" s="403"/>
      <x:c r="T1" s="403"/>
      <x:c r="U1" s="403"/>
      <x:c r="V1" s="403"/>
    </x:row>
    <x:row r="2" ht="34" customHeight="1">
      <x:c r="A2" s="411" t="str">
        <x:v>基準前提：TMTを先行対象とし、Salesforce(LPP)→イベント連携→Azure Event Consumer→Cloudera DWHのPoCを実施。9月中の上位報告を計画上の仮アンカーとし、対象Object/Field、Subscribe方式、Azureサービス、Cloudera受入方式、性能目標、正式日程・工数は未確定事項として管理します。</x:v>
      </x:c>
      <x:c r="B2" s="411"/>
      <x:c r="C2" s="411"/>
      <x:c r="D2" s="411"/>
      <x:c r="E2" s="411"/>
      <x:c r="F2" s="411"/>
      <x:c r="G2" s="411"/>
      <x:c r="H2" s="411"/>
      <x:c r="I2" s="411"/>
      <x:c r="J2" s="411"/>
      <x:c r="K2" s="411"/>
      <x:c r="L2" s="411"/>
      <x:c r="M2" s="411"/>
      <x:c r="N2" s="411"/>
      <x:c r="O2" s="411"/>
      <x:c r="P2" s="411"/>
      <x:c r="Q2" s="411"/>
      <x:c r="R2" s="411"/>
      <x:c r="S2" s="411"/>
      <x:c r="T2" s="411"/>
      <x:c r="U2" s="411"/>
      <x:c r="V2" s="411"/>
    </x:row>
    <x:row r="3" ht="34" customHeight="1">
      <x:c r="A3" s="420" t="str">
        <x:v>総タスク
68</x:v>
      </x:c>
      <x:c r="B3" s="420"/>
      <x:c r="D3" s="430" t="str">
        <x:v>仮完了
2026/9/30</x:v>
      </x:c>
      <x:c r="E3" s="430"/>
      <x:c r="G3" s="440" t="str">
        <x:v>絶対に必要
58</x:v>
      </x:c>
      <x:c r="H3" s="440"/>
      <x:c r="J3" s="450" t="str">
        <x:v>暫定省略可
6</x:v>
      </x:c>
      <x:c r="K3" s="450"/>
      <x:c r="M3" s="460" t="str">
        <x:v>スコープ外・後続
4</x:v>
      </x:c>
      <x:c r="N3" s="460"/>
      <x:c r="P3" s="470" t="str">
        <x:v>並行可能
63</x:v>
      </x:c>
      <x:c r="Q3" s="470"/>
      <x:c r="S3" s="480" t="str">
        <x:v>基準工数
未算定</x:v>
      </x:c>
      <x:c r="T3" s="480"/>
    </x:row>
    <x:row r="5">
      <x:c r="A5" s="489" t="str">
        <x:v>タスク一覧</x:v>
      </x:c>
      <x:c r="B5" s="489"/>
      <x:c r="C5" s="489"/>
      <x:c r="D5" s="489"/>
      <x:c r="E5" s="489"/>
      <x:c r="F5" s="489"/>
      <x:c r="G5" s="489"/>
      <x:c r="H5" s="489"/>
      <x:c r="I5" s="489"/>
      <x:c r="J5" s="489"/>
      <x:c r="K5" s="489"/>
      <x:c r="L5" s="489" t="str">
        <x:v>週次ガント（各列は週初日）</x:v>
      </x:c>
      <x:c r="M5" s="489"/>
      <x:c r="N5" s="489"/>
      <x:c r="O5" s="489"/>
      <x:c r="P5" s="489"/>
      <x:c r="Q5" s="489"/>
      <x:c r="R5" s="489"/>
      <x:c r="S5" s="489"/>
      <x:c r="T5" s="489"/>
      <x:c r="U5" s="489"/>
      <x:c r="V5" s="489"/>
    </x:row>
    <x:row r="6">
      <x:c r="A6" s="499" t="str">
        <x:v>No.</x:v>
      </x:c>
      <x:c r="B6" s="499" t="str">
        <x:v>ID</x:v>
      </x:c>
      <x:c r="C6" s="499" t="str">
        <x:v>中項目</x:v>
      </x:c>
      <x:c r="D6" s="499" t="str">
        <x:v>小項目</x:v>
      </x:c>
      <x:c r="E6" s="499" t="str">
        <x:v>区分</x:v>
      </x:c>
      <x:c r="F6" s="499" t="str">
        <x:v>チーム</x:v>
      </x:c>
      <x:c r="G6" s="499" t="str">
        <x:v>担当者</x:v>
      </x:c>
      <x:c r="H6" s="499" t="str">
        <x:v>開始日</x:v>
      </x:c>
      <x:c r="I6" s="499" t="str">
        <x:v>終了日</x:v>
      </x:c>
      <x:c r="J6" s="499" t="str">
        <x:v>ステータス</x:v>
      </x:c>
      <x:c r="K6" s="499" t="str">
        <x:v>備考</x:v>
      </x:c>
      <x:c r="L6" s="500" t="n">
        <x:v>46258</x:v>
      </x:c>
      <x:c r="M6" s="500" t="n">
        <x:v>46265</x:v>
      </x:c>
      <x:c r="N6" s="500" t="n">
        <x:v>46272</x:v>
      </x:c>
      <x:c r="O6" s="500" t="n">
        <x:v>46279</x:v>
      </x:c>
      <x:c r="P6" s="508" t="n">
        <x:v>46286</x:v>
      </x:c>
      <x:c r="Q6" s="500" t="n">
        <x:v>46293</x:v>
      </x:c>
      <x:c r="R6" s="500" t="n">
        <x:v>46300</x:v>
      </x:c>
      <x:c r="S6" s="508" t="n">
        <x:v>46307</x:v>
      </x:c>
      <x:c r="T6" s="500" t="n">
        <x:v>46314</x:v>
      </x:c>
      <x:c r="U6" s="500" t="n">
        <x:v>46321</x:v>
      </x:c>
      <x:c r="V6" s="500" t="n">
        <x:v>46328</x:v>
      </x:c>
    </x:row>
    <x:row r="7" ht="24" customHeight="1">
      <x:c r="A7" s="510" t="n">
        <x:v>1</x:v>
      </x:c>
      <x:c r="B7" s="510" t="str">
        <x:v>PM-01</x:v>
      </x:c>
      <x:c r="C7" s="510" t="str">
        <x:v>プロジェクト管理</x:v>
      </x:c>
      <x:c r="D7" s="510" t="str">
        <x:v>WBS・大日程の作成／更新</x:v>
      </x:c>
      <x:c r="E7" s="510" t="str">
        <x:v>通常</x:v>
      </x:c>
      <x:c r="F7" s="510" t="str">
        <x:v>データ基盤</x:v>
      </x:c>
      <x:c r="G7" s="510" t="str">
        <x:v>ワタル</x:v>
      </x:c>
      <x:c r="H7" s="511" t="n">
        <x:v>46259</x:v>
      </x:c>
      <x:c r="I7" s="511" t="n">
        <x:v>46295</x:v>
      </x:c>
      <x:c r="J7" s="510" t="str">
        <x:v>進行中</x:v>
      </x:c>
      <x:c r="K7" s="372" t="str">
        <x:v>【絶対に必要｜並行可】 9月中報告から逆算。正式納期は要確認</x:v>
      </x:c>
      <x:c r="L7" s="546" t="n">
        <x:f>IF(OR($H7="",$I7=""),"",IF(AND($H7&lt;=L$6+6,$I7&gt;=L$6),1,""))</x:f>
        <x:v>1</x:v>
      </x:c>
      <x:c r="M7" s="546" t="n">
        <x:f>IF(OR($H7="",$I7=""),"",IF(AND($H7&lt;=M$6+6,$I7&gt;=M$6),1,""))</x:f>
        <x:v>1</x:v>
      </x:c>
      <x:c r="N7" s="546" t="n">
        <x:f>IF(OR($H7="",$I7=""),"",IF(AND($H7&lt;=N$6+6,$I7&gt;=N$6),1,""))</x:f>
        <x:v>1</x:v>
      </x:c>
      <x:c r="O7" s="546" t="n">
        <x:f>IF(OR($H7="",$I7=""),"",IF(AND($H7&lt;=O$6+6,$I7&gt;=O$6),1,""))</x:f>
        <x:v>1</x:v>
      </x:c>
      <x:c r="P7" s="546" t="n">
        <x:f>IF(OR($H7="",$I7=""),"",IF(AND($H7&lt;=P$6+6,$I7&gt;=P$6),1,""))</x:f>
        <x:v>1</x:v>
      </x:c>
      <x:c r="Q7" s="546" t="n">
        <x:f>IF(OR($H7="",$I7=""),"",IF(AND($H7&lt;=Q$6+6,$I7&gt;=Q$6),1,""))</x:f>
        <x:v>1</x:v>
      </x:c>
      <x:c r="R7" s="546" t="str">
        <x:f>IF(OR($H7="",$I7=""),"",IF(AND($H7&lt;=R$6+6,$I7&gt;=R$6),1,""))</x:f>
      </x:c>
      <x:c r="S7" s="546" t="str">
        <x:f>IF(OR($H7="",$I7=""),"",IF(AND($H7&lt;=S$6+6,$I7&gt;=S$6),1,""))</x:f>
      </x:c>
      <x:c r="T7" s="546" t="str">
        <x:f>IF(OR($H7="",$I7=""),"",IF(AND($H7&lt;=T$6+6,$I7&gt;=T$6),1,""))</x:f>
      </x:c>
      <x:c r="U7" s="546" t="str">
        <x:f>IF(OR($H7="",$I7=""),"",IF(AND($H7&lt;=U$6+6,$I7&gt;=U$6),1,""))</x:f>
      </x:c>
      <x:c r="V7" s="546" t="str">
        <x:f>IF(OR($H7="",$I7=""),"",IF(AND($H7&lt;=V$6+6,$I7&gt;=V$6),1,""))</x:f>
      </x:c>
    </x:row>
    <x:row r="8" ht="24" customHeight="1">
      <x:c r="A8" s="510" t="n">
        <x:v>2</x:v>
      </x:c>
      <x:c r="B8" s="510" t="str">
        <x:v>PM-02</x:v>
      </x:c>
      <x:c r="C8" s="510" t="str">
        <x:v>プロジェクト管理</x:v>
      </x:c>
      <x:c r="D8" s="510" t="str">
        <x:v>進捗・課題・リスク管理</x:v>
      </x:c>
      <x:c r="E8" s="510" t="str">
        <x:v>通常</x:v>
      </x:c>
      <x:c r="F8" s="510" t="str">
        <x:v>データ基盤</x:v>
      </x:c>
      <x:c r="G8" s="510" t="str">
        <x:v>ワタル</x:v>
      </x:c>
      <x:c r="H8" s="511" t="n">
        <x:v>46259</x:v>
      </x:c>
      <x:c r="I8" s="511" t="n">
        <x:v>46295</x:v>
      </x:c>
      <x:c r="J8" s="510" t="str">
        <x:v>準備中</x:v>
      </x:c>
      <x:c r="K8" s="372" t="str">
        <x:v>【絶対に必要｜並行可】 継続タスク</x:v>
      </x:c>
      <x:c r="L8" s="546" t="n">
        <x:f>IF(OR($H8="",$I8=""),"",IF(AND($H8&lt;=L$6+6,$I8&gt;=L$6),1,""))</x:f>
        <x:v>1</x:v>
      </x:c>
      <x:c r="M8" s="546" t="n">
        <x:f>IF(OR($H8="",$I8=""),"",IF(AND($H8&lt;=M$6+6,$I8&gt;=M$6),1,""))</x:f>
        <x:v>1</x:v>
      </x:c>
      <x:c r="N8" s="546" t="n">
        <x:f>IF(OR($H8="",$I8=""),"",IF(AND($H8&lt;=N$6+6,$I8&gt;=N$6),1,""))</x:f>
        <x:v>1</x:v>
      </x:c>
      <x:c r="O8" s="546" t="n">
        <x:f>IF(OR($H8="",$I8=""),"",IF(AND($H8&lt;=O$6+6,$I8&gt;=O$6),1,""))</x:f>
        <x:v>1</x:v>
      </x:c>
      <x:c r="P8" s="546" t="n">
        <x:f>IF(OR($H8="",$I8=""),"",IF(AND($H8&lt;=P$6+6,$I8&gt;=P$6),1,""))</x:f>
        <x:v>1</x:v>
      </x:c>
      <x:c r="Q8" s="546" t="n">
        <x:f>IF(OR($H8="",$I8=""),"",IF(AND($H8&lt;=Q$6+6,$I8&gt;=Q$6),1,""))</x:f>
        <x:v>1</x:v>
      </x:c>
      <x:c r="R8" s="546" t="str">
        <x:f>IF(OR($H8="",$I8=""),"",IF(AND($H8&lt;=R$6+6,$I8&gt;=R$6),1,""))</x:f>
      </x:c>
      <x:c r="S8" s="546" t="str">
        <x:f>IF(OR($H8="",$I8=""),"",IF(AND($H8&lt;=S$6+6,$I8&gt;=S$6),1,""))</x:f>
      </x:c>
      <x:c r="T8" s="546" t="str">
        <x:f>IF(OR($H8="",$I8=""),"",IF(AND($H8&lt;=T$6+6,$I8&gt;=T$6),1,""))</x:f>
      </x:c>
      <x:c r="U8" s="546" t="str">
        <x:f>IF(OR($H8="",$I8=""),"",IF(AND($H8&lt;=U$6+6,$I8&gt;=U$6),1,""))</x:f>
      </x:c>
      <x:c r="V8" s="546" t="str">
        <x:f>IF(OR($H8="",$I8=""),"",IF(AND($H8&lt;=V$6+6,$I8&gt;=V$6),1,""))</x:f>
      </x:c>
    </x:row>
    <x:row r="9" ht="24" customHeight="1">
      <x:c r="A9" s="510" t="n">
        <x:v>3</x:v>
      </x:c>
      <x:c r="B9" s="510" t="str">
        <x:v>PM-03</x:v>
      </x:c>
      <x:c r="C9" s="510" t="str">
        <x:v>プロジェクト管理</x:v>
      </x:c>
      <x:c r="D9" s="510" t="str">
        <x:v>Salesforce・Azure・Cloudera関係者調整</x:v>
      </x:c>
      <x:c r="E9" s="510" t="str">
        <x:v>通常</x:v>
      </x:c>
      <x:c r="F9" s="510" t="str">
        <x:v>データ基盤</x:v>
      </x:c>
      <x:c r="G9" s="510" t="str">
        <x:v>ワタル</x:v>
      </x:c>
      <x:c r="H9" s="511" t="n">
        <x:v>46259</x:v>
      </x:c>
      <x:c r="I9" s="511" t="n">
        <x:v>46295</x:v>
      </x:c>
      <x:c r="J9" s="510" t="str">
        <x:v>準備中</x:v>
      </x:c>
      <x:c r="K9" s="372" t="str">
        <x:v>【絶対に必要｜並行可】 外部依存事項を管理</x:v>
      </x:c>
      <x:c r="L9" s="546" t="n">
        <x:f>IF(OR($H9="",$I9=""),"",IF(AND($H9&lt;=L$6+6,$I9&gt;=L$6),1,""))</x:f>
        <x:v>1</x:v>
      </x:c>
      <x:c r="M9" s="546" t="n">
        <x:f>IF(OR($H9="",$I9=""),"",IF(AND($H9&lt;=M$6+6,$I9&gt;=M$6),1,""))</x:f>
        <x:v>1</x:v>
      </x:c>
      <x:c r="N9" s="546" t="n">
        <x:f>IF(OR($H9="",$I9=""),"",IF(AND($H9&lt;=N$6+6,$I9&gt;=N$6),1,""))</x:f>
        <x:v>1</x:v>
      </x:c>
      <x:c r="O9" s="546" t="n">
        <x:f>IF(OR($H9="",$I9=""),"",IF(AND($H9&lt;=O$6+6,$I9&gt;=O$6),1,""))</x:f>
        <x:v>1</x:v>
      </x:c>
      <x:c r="P9" s="546" t="n">
        <x:f>IF(OR($H9="",$I9=""),"",IF(AND($H9&lt;=P$6+6,$I9&gt;=P$6),1,""))</x:f>
        <x:v>1</x:v>
      </x:c>
      <x:c r="Q9" s="546" t="n">
        <x:f>IF(OR($H9="",$I9=""),"",IF(AND($H9&lt;=Q$6+6,$I9&gt;=Q$6),1,""))</x:f>
        <x:v>1</x:v>
      </x:c>
      <x:c r="R9" s="546" t="str">
        <x:f>IF(OR($H9="",$I9=""),"",IF(AND($H9&lt;=R$6+6,$I9&gt;=R$6),1,""))</x:f>
      </x:c>
      <x:c r="S9" s="546" t="str">
        <x:f>IF(OR($H9="",$I9=""),"",IF(AND($H9&lt;=S$6+6,$I9&gt;=S$6),1,""))</x:f>
      </x:c>
      <x:c r="T9" s="546" t="str">
        <x:f>IF(OR($H9="",$I9=""),"",IF(AND($H9&lt;=T$6+6,$I9&gt;=T$6),1,""))</x:f>
      </x:c>
      <x:c r="U9" s="546" t="str">
        <x:f>IF(OR($H9="",$I9=""),"",IF(AND($H9&lt;=U$6+6,$I9&gt;=U$6),1,""))</x:f>
      </x:c>
      <x:c r="V9" s="546" t="str">
        <x:f>IF(OR($H9="",$I9=""),"",IF(AND($H9&lt;=V$6+6,$I9&gt;=V$6),1,""))</x:f>
      </x:c>
    </x:row>
    <x:row r="10" ht="24" customHeight="1">
      <x:c r="A10" s="510" t="n">
        <x:v>4</x:v>
      </x:c>
      <x:c r="B10" s="510" t="str">
        <x:v>PM-04</x:v>
      </x:c>
      <x:c r="C10" s="510" t="str">
        <x:v>プロジェクト管理</x:v>
      </x:c>
      <x:c r="D10" s="510" t="str">
        <x:v>成果物・設計レビュー管理</x:v>
      </x:c>
      <x:c r="E10" s="510" t="str">
        <x:v>通常</x:v>
      </x:c>
      <x:c r="F10" s="510" t="str">
        <x:v>データ基盤</x:v>
      </x:c>
      <x:c r="G10" s="510" t="str">
        <x:v>ワタル</x:v>
      </x:c>
      <x:c r="H10" s="511" t="n">
        <x:v>46265</x:v>
      </x:c>
      <x:c r="I10" s="511" t="n">
        <x:v>46294</x:v>
      </x:c>
      <x:c r="J10" s="510" t="str">
        <x:v>準備中</x:v>
      </x:c>
      <x:c r="K10" s="372" t="str">
        <x:v>【絶対に必要｜一部並行可】</x:v>
      </x:c>
      <x:c r="L10" s="546" t="str">
        <x:f>IF(OR($H10="",$I10=""),"",IF(AND($H10&lt;=L$6+6,$I10&gt;=L$6),1,""))</x:f>
      </x:c>
      <x:c r="M10" s="546" t="n">
        <x:f>IF(OR($H10="",$I10=""),"",IF(AND($H10&lt;=M$6+6,$I10&gt;=M$6),1,""))</x:f>
        <x:v>1</x:v>
      </x:c>
      <x:c r="N10" s="546" t="n">
        <x:f>IF(OR($H10="",$I10=""),"",IF(AND($H10&lt;=N$6+6,$I10&gt;=N$6),1,""))</x:f>
        <x:v>1</x:v>
      </x:c>
      <x:c r="O10" s="546" t="n">
        <x:f>IF(OR($H10="",$I10=""),"",IF(AND($H10&lt;=O$6+6,$I10&gt;=O$6),1,""))</x:f>
        <x:v>1</x:v>
      </x:c>
      <x:c r="P10" s="546" t="n">
        <x:f>IF(OR($H10="",$I10=""),"",IF(AND($H10&lt;=P$6+6,$I10&gt;=P$6),1,""))</x:f>
        <x:v>1</x:v>
      </x:c>
      <x:c r="Q10" s="546" t="n">
        <x:f>IF(OR($H10="",$I10=""),"",IF(AND($H10&lt;=Q$6+6,$I10&gt;=Q$6),1,""))</x:f>
        <x:v>1</x:v>
      </x:c>
      <x:c r="R10" s="546" t="str">
        <x:f>IF(OR($H10="",$I10=""),"",IF(AND($H10&lt;=R$6+6,$I10&gt;=R$6),1,""))</x:f>
      </x:c>
      <x:c r="S10" s="546" t="str">
        <x:f>IF(OR($H10="",$I10=""),"",IF(AND($H10&lt;=S$6+6,$I10&gt;=S$6),1,""))</x:f>
      </x:c>
      <x:c r="T10" s="546" t="str">
        <x:f>IF(OR($H10="",$I10=""),"",IF(AND($H10&lt;=T$6+6,$I10&gt;=T$6),1,""))</x:f>
      </x:c>
      <x:c r="U10" s="546" t="str">
        <x:f>IF(OR($H10="",$I10=""),"",IF(AND($H10&lt;=U$6+6,$I10&gt;=U$6),1,""))</x:f>
      </x:c>
      <x:c r="V10" s="546" t="str">
        <x:f>IF(OR($H10="",$I10=""),"",IF(AND($H10&lt;=V$6+6,$I10&gt;=V$6),1,""))</x:f>
      </x:c>
    </x:row>
    <x:row r="11" ht="24" customHeight="1">
      <x:c r="A11" s="510" t="n">
        <x:v>5</x:v>
      </x:c>
      <x:c r="B11" s="510" t="str">
        <x:v>PM-05</x:v>
      </x:c>
      <x:c r="C11" s="510" t="str">
        <x:v>プロジェクト管理</x:v>
      </x:c>
      <x:c r="D11" s="510" t="str">
        <x:v>PoC完了判定・Go／No-Go管理</x:v>
      </x:c>
      <x:c r="E11" s="510" t="str">
        <x:v>通常</x:v>
      </x:c>
      <x:c r="F11" s="510" t="str">
        <x:v>データ基盤</x:v>
      </x:c>
      <x:c r="G11" s="510" t="str">
        <x:v>ワタル</x:v>
      </x:c>
      <x:c r="H11" s="511" t="n">
        <x:v>46289</x:v>
      </x:c>
      <x:c r="I11" s="511" t="n">
        <x:v>46295</x:v>
      </x:c>
      <x:c r="J11" s="510" t="str">
        <x:v>準備中</x:v>
      </x:c>
      <x:c r="K11" s="372" t="str">
        <x:v>【絶対に必要｜一部並行可】 230組織展開判断の材料整理</x:v>
      </x:c>
      <x:c r="L11" s="546" t="str">
        <x:f>IF(OR($H11="",$I11=""),"",IF(AND($H11&lt;=L$6+6,$I11&gt;=L$6),1,""))</x:f>
      </x:c>
      <x:c r="M11" s="546" t="str">
        <x:f>IF(OR($H11="",$I11=""),"",IF(AND($H11&lt;=M$6+6,$I11&gt;=M$6),1,""))</x:f>
      </x:c>
      <x:c r="N11" s="546" t="str">
        <x:f>IF(OR($H11="",$I11=""),"",IF(AND($H11&lt;=N$6+6,$I11&gt;=N$6),1,""))</x:f>
      </x:c>
      <x:c r="O11" s="546" t="str">
        <x:f>IF(OR($H11="",$I11=""),"",IF(AND($H11&lt;=O$6+6,$I11&gt;=O$6),1,""))</x:f>
      </x:c>
      <x:c r="P11" s="546" t="n">
        <x:f>IF(OR($H11="",$I11=""),"",IF(AND($H11&lt;=P$6+6,$I11&gt;=P$6),1,""))</x:f>
        <x:v>1</x:v>
      </x:c>
      <x:c r="Q11" s="546" t="n">
        <x:f>IF(OR($H11="",$I11=""),"",IF(AND($H11&lt;=Q$6+6,$I11&gt;=Q$6),1,""))</x:f>
        <x:v>1</x:v>
      </x:c>
      <x:c r="R11" s="546" t="str">
        <x:f>IF(OR($H11="",$I11=""),"",IF(AND($H11&lt;=R$6+6,$I11&gt;=R$6),1,""))</x:f>
      </x:c>
      <x:c r="S11" s="546" t="str">
        <x:f>IF(OR($H11="",$I11=""),"",IF(AND($H11&lt;=S$6+6,$I11&gt;=S$6),1,""))</x:f>
      </x:c>
      <x:c r="T11" s="546" t="str">
        <x:f>IF(OR($H11="",$I11=""),"",IF(AND($H11&lt;=T$6+6,$I11&gt;=T$6),1,""))</x:f>
      </x:c>
      <x:c r="U11" s="546" t="str">
        <x:f>IF(OR($H11="",$I11=""),"",IF(AND($H11&lt;=U$6+6,$I11&gt;=U$6),1,""))</x:f>
      </x:c>
      <x:c r="V11" s="546" t="str">
        <x:f>IF(OR($H11="",$I11=""),"",IF(AND($H11&lt;=V$6+6,$I11&gt;=V$6),1,""))</x:f>
      </x:c>
    </x:row>
    <x:row r="12" ht="24" customHeight="1">
      <x:c r="A12" s="514" t="n">
        <x:v>6</x:v>
      </x:c>
      <x:c r="B12" s="514" t="str">
        <x:v>REQ-01</x:v>
      </x:c>
      <x:c r="C12" s="514" t="str">
        <x:v>前提・業務要件</x:v>
      </x:c>
      <x:c r="D12" s="514" t="str">
        <x:v>TMT先行PoCの目的・スコープ確定</x:v>
      </x:c>
      <x:c r="E12" s="514" t="str">
        <x:v>通常</x:v>
      </x:c>
      <x:c r="F12" s="514" t="str">
        <x:v>データ基盤</x:v>
      </x:c>
      <x:c r="G12" s="514" t="str">
        <x:v>ワタル</x:v>
      </x:c>
      <x:c r="H12" s="515" t="n">
        <x:v>46259</x:v>
      </x:c>
      <x:c r="I12" s="515" t="n">
        <x:v>46261</x:v>
      </x:c>
      <x:c r="J12" s="514" t="str">
        <x:v>進行中</x:v>
      </x:c>
      <x:c r="K12" s="372" t="str">
        <x:v>【絶対に必要｜並行可】 STEP1=TMT、STEP2=230組織</x:v>
      </x:c>
      <x:c r="L12" s="546" t="n">
        <x:f>IF(OR($H12="",$I12=""),"",IF(AND($H12&lt;=L$6+6,$I12&gt;=L$6),1,""))</x:f>
        <x:v>1</x:v>
      </x:c>
      <x:c r="M12" s="546" t="str">
        <x:f>IF(OR($H12="",$I12=""),"",IF(AND($H12&lt;=M$6+6,$I12&gt;=M$6),1,""))</x:f>
      </x:c>
      <x:c r="N12" s="546" t="str">
        <x:f>IF(OR($H12="",$I12=""),"",IF(AND($H12&lt;=N$6+6,$I12&gt;=N$6),1,""))</x:f>
      </x:c>
      <x:c r="O12" s="546" t="str">
        <x:f>IF(OR($H12="",$I12=""),"",IF(AND($H12&lt;=O$6+6,$I12&gt;=O$6),1,""))</x:f>
      </x:c>
      <x:c r="P12" s="546" t="str">
        <x:f>IF(OR($H12="",$I12=""),"",IF(AND($H12&lt;=P$6+6,$I12&gt;=P$6),1,""))</x:f>
      </x:c>
      <x:c r="Q12" s="546" t="str">
        <x:f>IF(OR($H12="",$I12=""),"",IF(AND($H12&lt;=Q$6+6,$I12&gt;=Q$6),1,""))</x:f>
      </x:c>
      <x:c r="R12" s="546" t="str">
        <x:f>IF(OR($H12="",$I12=""),"",IF(AND($H12&lt;=R$6+6,$I12&gt;=R$6),1,""))</x:f>
      </x:c>
      <x:c r="S12" s="546" t="str">
        <x:f>IF(OR($H12="",$I12=""),"",IF(AND($H12&lt;=S$6+6,$I12&gt;=S$6),1,""))</x:f>
      </x:c>
      <x:c r="T12" s="546" t="str">
        <x:f>IF(OR($H12="",$I12=""),"",IF(AND($H12&lt;=T$6+6,$I12&gt;=T$6),1,""))</x:f>
      </x:c>
      <x:c r="U12" s="546" t="str">
        <x:f>IF(OR($H12="",$I12=""),"",IF(AND($H12&lt;=U$6+6,$I12&gt;=U$6),1,""))</x:f>
      </x:c>
      <x:c r="V12" s="546" t="str">
        <x:f>IF(OR($H12="",$I12=""),"",IF(AND($H12&lt;=V$6+6,$I12&gt;=V$6),1,""))</x:f>
      </x:c>
    </x:row>
    <x:row r="13" ht="24" customHeight="1">
      <x:c r="A13" s="514" t="n">
        <x:v>7</x:v>
      </x:c>
      <x:c r="B13" s="514" t="str">
        <x:v>REQ-02</x:v>
      </x:c>
      <x:c r="C13" s="514" t="str">
        <x:v>前提・業務要件</x:v>
      </x:c>
      <x:c r="D13" s="514" t="str">
        <x:v>PoC開始点・終了点の確定</x:v>
      </x:c>
      <x:c r="E13" s="514" t="str">
        <x:v>通常</x:v>
      </x:c>
      <x:c r="F13" s="514" t="str">
        <x:v>データ基盤</x:v>
      </x:c>
      <x:c r="G13" s="514" t="str">
        <x:v>ワタル</x:v>
      </x:c>
      <x:c r="H13" s="515" t="n">
        <x:v>46259</x:v>
      </x:c>
      <x:c r="I13" s="515" t="n">
        <x:v>46261</x:v>
      </x:c>
      <x:c r="J13" s="514" t="str">
        <x:v>進行中</x:v>
      </x:c>
      <x:c r="K13" s="372" t="str">
        <x:v>【絶対に必要｜並行可】 Salesforce(LPP)→Cloudera DWHを基本範囲</x:v>
      </x:c>
      <x:c r="L13" s="546" t="n">
        <x:f>IF(OR($H13="",$I13=""),"",IF(AND($H13&lt;=L$6+6,$I13&gt;=L$6),1,""))</x:f>
        <x:v>1</x:v>
      </x:c>
      <x:c r="M13" s="546" t="str">
        <x:f>IF(OR($H13="",$I13=""),"",IF(AND($H13&lt;=M$6+6,$I13&gt;=M$6),1,""))</x:f>
      </x:c>
      <x:c r="N13" s="546" t="str">
        <x:f>IF(OR($H13="",$I13=""),"",IF(AND($H13&lt;=N$6+6,$I13&gt;=N$6),1,""))</x:f>
      </x:c>
      <x:c r="O13" s="546" t="str">
        <x:f>IF(OR($H13="",$I13=""),"",IF(AND($H13&lt;=O$6+6,$I13&gt;=O$6),1,""))</x:f>
      </x:c>
      <x:c r="P13" s="546" t="str">
        <x:f>IF(OR($H13="",$I13=""),"",IF(AND($H13&lt;=P$6+6,$I13&gt;=P$6),1,""))</x:f>
      </x:c>
      <x:c r="Q13" s="546" t="str">
        <x:f>IF(OR($H13="",$I13=""),"",IF(AND($H13&lt;=Q$6+6,$I13&gt;=Q$6),1,""))</x:f>
      </x:c>
      <x:c r="R13" s="546" t="str">
        <x:f>IF(OR($H13="",$I13=""),"",IF(AND($H13&lt;=R$6+6,$I13&gt;=R$6),1,""))</x:f>
      </x:c>
      <x:c r="S13" s="546" t="str">
        <x:f>IF(OR($H13="",$I13=""),"",IF(AND($H13&lt;=S$6+6,$I13&gt;=S$6),1,""))</x:f>
      </x:c>
      <x:c r="T13" s="546" t="str">
        <x:f>IF(OR($H13="",$I13=""),"",IF(AND($H13&lt;=T$6+6,$I13&gt;=T$6),1,""))</x:f>
      </x:c>
      <x:c r="U13" s="546" t="str">
        <x:f>IF(OR($H13="",$I13=""),"",IF(AND($H13&lt;=U$6+6,$I13&gt;=U$6),1,""))</x:f>
      </x:c>
      <x:c r="V13" s="546" t="str">
        <x:f>IF(OR($H13="",$I13=""),"",IF(AND($H13&lt;=V$6+6,$I13&gt;=V$6),1,""))</x:f>
      </x:c>
    </x:row>
    <x:row r="14" ht="24" customHeight="1">
      <x:c r="A14" s="514" t="n">
        <x:v>8</x:v>
      </x:c>
      <x:c r="B14" s="514" t="str">
        <x:v>REQ-03</x:v>
      </x:c>
      <x:c r="C14" s="514" t="str">
        <x:v>前提・業務要件</x:v>
      </x:c>
      <x:c r="D14" s="514" t="str">
        <x:v>ポイント施策の業務目的・利用データ粒度確認</x:v>
      </x:c>
      <x:c r="E14" s="514" t="str">
        <x:v>通常</x:v>
      </x:c>
      <x:c r="F14" s="514" t="str">
        <x:v>データ基盤</x:v>
      </x:c>
      <x:c r="G14" s="514" t="str">
        <x:v>ワタル</x:v>
      </x:c>
      <x:c r="H14" s="515" t="n">
        <x:v>46259</x:v>
      </x:c>
      <x:c r="I14" s="515" t="n">
        <x:v>46265</x:v>
      </x:c>
      <x:c r="J14" s="514" t="str">
        <x:v>準備中</x:v>
      </x:c>
      <x:c r="K14" s="372" t="str">
        <x:v>【絶対に必要｜並行可】 ポイントDBまでPoC対象か要確認</x:v>
      </x:c>
      <x:c r="L14" s="546" t="n">
        <x:f>IF(OR($H14="",$I14=""),"",IF(AND($H14&lt;=L$6+6,$I14&gt;=L$6),1,""))</x:f>
        <x:v>1</x:v>
      </x:c>
      <x:c r="M14" s="546" t="n">
        <x:f>IF(OR($H14="",$I14=""),"",IF(AND($H14&lt;=M$6+6,$I14&gt;=M$6),1,""))</x:f>
        <x:v>1</x:v>
      </x:c>
      <x:c r="N14" s="546" t="str">
        <x:f>IF(OR($H14="",$I14=""),"",IF(AND($H14&lt;=N$6+6,$I14&gt;=N$6),1,""))</x:f>
      </x:c>
      <x:c r="O14" s="546" t="str">
        <x:f>IF(OR($H14="",$I14=""),"",IF(AND($H14&lt;=O$6+6,$I14&gt;=O$6),1,""))</x:f>
      </x:c>
      <x:c r="P14" s="546" t="str">
        <x:f>IF(OR($H14="",$I14=""),"",IF(AND($H14&lt;=P$6+6,$I14&gt;=P$6),1,""))</x:f>
      </x:c>
      <x:c r="Q14" s="546" t="str">
        <x:f>IF(OR($H14="",$I14=""),"",IF(AND($H14&lt;=Q$6+6,$I14&gt;=Q$6),1,""))</x:f>
      </x:c>
      <x:c r="R14" s="546" t="str">
        <x:f>IF(OR($H14="",$I14=""),"",IF(AND($H14&lt;=R$6+6,$I14&gt;=R$6),1,""))</x:f>
      </x:c>
      <x:c r="S14" s="546" t="str">
        <x:f>IF(OR($H14="",$I14=""),"",IF(AND($H14&lt;=S$6+6,$I14&gt;=S$6),1,""))</x:f>
      </x:c>
      <x:c r="T14" s="546" t="str">
        <x:f>IF(OR($H14="",$I14=""),"",IF(AND($H14&lt;=T$6+6,$I14&gt;=T$6),1,""))</x:f>
      </x:c>
      <x:c r="U14" s="546" t="str">
        <x:f>IF(OR($H14="",$I14=""),"",IF(AND($H14&lt;=U$6+6,$I14&gt;=U$6),1,""))</x:f>
      </x:c>
      <x:c r="V14" s="546" t="str">
        <x:f>IF(OR($H14="",$I14=""),"",IF(AND($H14&lt;=V$6+6,$I14&gt;=V$6),1,""))</x:f>
      </x:c>
    </x:row>
    <x:row r="15" ht="24" customHeight="1">
      <x:c r="A15" s="514" t="n">
        <x:v>9</x:v>
      </x:c>
      <x:c r="B15" s="514" t="str">
        <x:v>REQ-04</x:v>
      </x:c>
      <x:c r="C15" s="514" t="str">
        <x:v>前提・業務要件</x:v>
      </x:c>
      <x:c r="D15" s="514" t="str">
        <x:v>ニアリアルタイムの許容遅延確認</x:v>
      </x:c>
      <x:c r="E15" s="514" t="str">
        <x:v>通常</x:v>
      </x:c>
      <x:c r="F15" s="514" t="str">
        <x:v>データ基盤</x:v>
      </x:c>
      <x:c r="G15" s="514" t="str">
        <x:v>ワタル</x:v>
      </x:c>
      <x:c r="H15" s="515" t="n">
        <x:v>46260</x:v>
      </x:c>
      <x:c r="I15" s="515" t="n">
        <x:v>46266</x:v>
      </x:c>
      <x:c r="J15" s="514" t="str">
        <x:v>準備中</x:v>
      </x:c>
      <x:c r="K15" s="372" t="str">
        <x:v>【絶対に必要｜並行可】 数値基準は未確定</x:v>
      </x:c>
      <x:c r="L15" s="546" t="n">
        <x:f>IF(OR($H15="",$I15=""),"",IF(AND($H15&lt;=L$6+6,$I15&gt;=L$6),1,""))</x:f>
        <x:v>1</x:v>
      </x:c>
      <x:c r="M15" s="546" t="n">
        <x:f>IF(OR($H15="",$I15=""),"",IF(AND($H15&lt;=M$6+6,$I15&gt;=M$6),1,""))</x:f>
        <x:v>1</x:v>
      </x:c>
      <x:c r="N15" s="546" t="str">
        <x:f>IF(OR($H15="",$I15=""),"",IF(AND($H15&lt;=N$6+6,$I15&gt;=N$6),1,""))</x:f>
      </x:c>
      <x:c r="O15" s="546" t="str">
        <x:f>IF(OR($H15="",$I15=""),"",IF(AND($H15&lt;=O$6+6,$I15&gt;=O$6),1,""))</x:f>
      </x:c>
      <x:c r="P15" s="546" t="str">
        <x:f>IF(OR($H15="",$I15=""),"",IF(AND($H15&lt;=P$6+6,$I15&gt;=P$6),1,""))</x:f>
      </x:c>
      <x:c r="Q15" s="546" t="str">
        <x:f>IF(OR($H15="",$I15=""),"",IF(AND($H15&lt;=Q$6+6,$I15&gt;=Q$6),1,""))</x:f>
      </x:c>
      <x:c r="R15" s="546" t="str">
        <x:f>IF(OR($H15="",$I15=""),"",IF(AND($H15&lt;=R$6+6,$I15&gt;=R$6),1,""))</x:f>
      </x:c>
      <x:c r="S15" s="546" t="str">
        <x:f>IF(OR($H15="",$I15=""),"",IF(AND($H15&lt;=S$6+6,$I15&gt;=S$6),1,""))</x:f>
      </x:c>
      <x:c r="T15" s="546" t="str">
        <x:f>IF(OR($H15="",$I15=""),"",IF(AND($H15&lt;=T$6+6,$I15&gt;=T$6),1,""))</x:f>
      </x:c>
      <x:c r="U15" s="546" t="str">
        <x:f>IF(OR($H15="",$I15=""),"",IF(AND($H15&lt;=U$6+6,$I15&gt;=U$6),1,""))</x:f>
      </x:c>
      <x:c r="V15" s="546" t="str">
        <x:f>IF(OR($H15="",$I15=""),"",IF(AND($H15&lt;=V$6+6,$I15&gt;=V$6),1,""))</x:f>
      </x:c>
    </x:row>
    <x:row r="16" ht="24" customHeight="1">
      <x:c r="A16" s="514" t="n">
        <x:v>10</x:v>
      </x:c>
      <x:c r="B16" s="514" t="str">
        <x:v>REQ-05</x:v>
      </x:c>
      <x:c r="C16" s="514" t="str">
        <x:v>前提・業務要件</x:v>
      </x:c>
      <x:c r="D16" s="514" t="str">
        <x:v>対象顧客範囲・未取引客の扱い確認</x:v>
      </x:c>
      <x:c r="E16" s="514" t="str">
        <x:v>通常</x:v>
      </x:c>
      <x:c r="F16" s="514" t="str">
        <x:v>データ基盤</x:v>
      </x:c>
      <x:c r="G16" s="514" t="str">
        <x:v>ワタル</x:v>
      </x:c>
      <x:c r="H16" s="515" t="n">
        <x:v>46260</x:v>
      </x:c>
      <x:c r="I16" s="515" t="n">
        <x:v>46266</x:v>
      </x:c>
      <x:c r="J16" s="514" t="str">
        <x:v>準備中</x:v>
      </x:c>
      <x:c r="K16" s="372" t="str">
        <x:v>【絶対に必要｜並行可】</x:v>
      </x:c>
      <x:c r="L16" s="546" t="n">
        <x:f>IF(OR($H16="",$I16=""),"",IF(AND($H16&lt;=L$6+6,$I16&gt;=L$6),1,""))</x:f>
        <x:v>1</x:v>
      </x:c>
      <x:c r="M16" s="546" t="n">
        <x:f>IF(OR($H16="",$I16=""),"",IF(AND($H16&lt;=M$6+6,$I16&gt;=M$6),1,""))</x:f>
        <x:v>1</x:v>
      </x:c>
      <x:c r="N16" s="546" t="str">
        <x:f>IF(OR($H16="",$I16=""),"",IF(AND($H16&lt;=N$6+6,$I16&gt;=N$6),1,""))</x:f>
      </x:c>
      <x:c r="O16" s="546" t="str">
        <x:f>IF(OR($H16="",$I16=""),"",IF(AND($H16&lt;=O$6+6,$I16&gt;=O$6),1,""))</x:f>
      </x:c>
      <x:c r="P16" s="546" t="str">
        <x:f>IF(OR($H16="",$I16=""),"",IF(AND($H16&lt;=P$6+6,$I16&gt;=P$6),1,""))</x:f>
      </x:c>
      <x:c r="Q16" s="546" t="str">
        <x:f>IF(OR($H16="",$I16=""),"",IF(AND($H16&lt;=Q$6+6,$I16&gt;=Q$6),1,""))</x:f>
      </x:c>
      <x:c r="R16" s="546" t="str">
        <x:f>IF(OR($H16="",$I16=""),"",IF(AND($H16&lt;=R$6+6,$I16&gt;=R$6),1,""))</x:f>
      </x:c>
      <x:c r="S16" s="546" t="str">
        <x:f>IF(OR($H16="",$I16=""),"",IF(AND($H16&lt;=S$6+6,$I16&gt;=S$6),1,""))</x:f>
      </x:c>
      <x:c r="T16" s="546" t="str">
        <x:f>IF(OR($H16="",$I16=""),"",IF(AND($H16&lt;=T$6+6,$I16&gt;=T$6),1,""))</x:f>
      </x:c>
      <x:c r="U16" s="546" t="str">
        <x:f>IF(OR($H16="",$I16=""),"",IF(AND($H16&lt;=U$6+6,$I16&gt;=U$6),1,""))</x:f>
      </x:c>
      <x:c r="V16" s="546" t="str">
        <x:f>IF(OR($H16="",$I16=""),"",IF(AND($H16&lt;=V$6+6,$I16&gt;=V$6),1,""))</x:f>
      </x:c>
    </x:row>
    <x:row r="17" ht="24" customHeight="1">
      <x:c r="A17" s="514" t="n">
        <x:v>11</x:v>
      </x:c>
      <x:c r="B17" s="514" t="str">
        <x:v>REQ-06</x:v>
      </x:c>
      <x:c r="C17" s="514" t="str">
        <x:v>前提・業務要件</x:v>
      </x:c>
      <x:c r="D17" s="514" t="str">
        <x:v>対象変更種別（作成・更新・削除等）確認</x:v>
      </x:c>
      <x:c r="E17" s="514" t="str">
        <x:v>通常</x:v>
      </x:c>
      <x:c r="F17" s="514" t="str">
        <x:v>データ基盤</x:v>
      </x:c>
      <x:c r="G17" s="514" t="str">
        <x:v>ワタル</x:v>
      </x:c>
      <x:c r="H17" s="515" t="n">
        <x:v>46260</x:v>
      </x:c>
      <x:c r="I17" s="515" t="n">
        <x:v>46266</x:v>
      </x:c>
      <x:c r="J17" s="514" t="str">
        <x:v>準備中</x:v>
      </x:c>
      <x:c r="K17" s="372" t="str">
        <x:v>【絶対に必要｜並行可】</x:v>
      </x:c>
      <x:c r="L17" s="546" t="n">
        <x:f>IF(OR($H17="",$I17=""),"",IF(AND($H17&lt;=L$6+6,$I17&gt;=L$6),1,""))</x:f>
        <x:v>1</x:v>
      </x:c>
      <x:c r="M17" s="546" t="n">
        <x:f>IF(OR($H17="",$I17=""),"",IF(AND($H17&lt;=M$6+6,$I17&gt;=M$6),1,""))</x:f>
        <x:v>1</x:v>
      </x:c>
      <x:c r="N17" s="546" t="str">
        <x:f>IF(OR($H17="",$I17=""),"",IF(AND($H17&lt;=N$6+6,$I17&gt;=N$6),1,""))</x:f>
      </x:c>
      <x:c r="O17" s="546" t="str">
        <x:f>IF(OR($H17="",$I17=""),"",IF(AND($H17&lt;=O$6+6,$I17&gt;=O$6),1,""))</x:f>
      </x:c>
      <x:c r="P17" s="546" t="str">
        <x:f>IF(OR($H17="",$I17=""),"",IF(AND($H17&lt;=P$6+6,$I17&gt;=P$6),1,""))</x:f>
      </x:c>
      <x:c r="Q17" s="546" t="str">
        <x:f>IF(OR($H17="",$I17=""),"",IF(AND($H17&lt;=Q$6+6,$I17&gt;=Q$6),1,""))</x:f>
      </x:c>
      <x:c r="R17" s="546" t="str">
        <x:f>IF(OR($H17="",$I17=""),"",IF(AND($H17&lt;=R$6+6,$I17&gt;=R$6),1,""))</x:f>
      </x:c>
      <x:c r="S17" s="546" t="str">
        <x:f>IF(OR($H17="",$I17=""),"",IF(AND($H17&lt;=S$6+6,$I17&gt;=S$6),1,""))</x:f>
      </x:c>
      <x:c r="T17" s="546" t="str">
        <x:f>IF(OR($H17="",$I17=""),"",IF(AND($H17&lt;=T$6+6,$I17&gt;=T$6),1,""))</x:f>
      </x:c>
      <x:c r="U17" s="546" t="str">
        <x:f>IF(OR($H17="",$I17=""),"",IF(AND($H17&lt;=U$6+6,$I17&gt;=U$6),1,""))</x:f>
      </x:c>
      <x:c r="V17" s="546" t="str">
        <x:f>IF(OR($H17="",$I17=""),"",IF(AND($H17&lt;=V$6+6,$I17&gt;=V$6),1,""))</x:f>
      </x:c>
    </x:row>
    <x:row r="18" ht="24" customHeight="1">
      <x:c r="A18" s="514" t="n">
        <x:v>12</x:v>
      </x:c>
      <x:c r="B18" s="514" t="str">
        <x:v>REQ-07</x:v>
      </x:c>
      <x:c r="C18" s="514" t="str">
        <x:v>前提・業務要件</x:v>
      </x:c>
      <x:c r="D18" s="514" t="str">
        <x:v>PoC成功条件・証跡要件の合意</x:v>
      </x:c>
      <x:c r="E18" s="514" t="str">
        <x:v>通常</x:v>
      </x:c>
      <x:c r="F18" s="514" t="str">
        <x:v>データ基盤</x:v>
      </x:c>
      <x:c r="G18" s="514" t="str">
        <x:v>ワタル</x:v>
      </x:c>
      <x:c r="H18" s="515" t="n">
        <x:v>46265</x:v>
      </x:c>
      <x:c r="I18" s="515" t="n">
        <x:v>46268</x:v>
      </x:c>
      <x:c r="J18" s="514" t="str">
        <x:v>準備中</x:v>
      </x:c>
      <x:c r="K18" s="372" t="str">
        <x:v>【絶対に必要｜一部並行可】</x:v>
      </x:c>
      <x:c r="L18" s="546" t="str">
        <x:f>IF(OR($H18="",$I18=""),"",IF(AND($H18&lt;=L$6+6,$I18&gt;=L$6),1,""))</x:f>
      </x:c>
      <x:c r="M18" s="546" t="n">
        <x:f>IF(OR($H18="",$I18=""),"",IF(AND($H18&lt;=M$6+6,$I18&gt;=M$6),1,""))</x:f>
        <x:v>1</x:v>
      </x:c>
      <x:c r="N18" s="546" t="str">
        <x:f>IF(OR($H18="",$I18=""),"",IF(AND($H18&lt;=N$6+6,$I18&gt;=N$6),1,""))</x:f>
      </x:c>
      <x:c r="O18" s="546" t="str">
        <x:f>IF(OR($H18="",$I18=""),"",IF(AND($H18&lt;=O$6+6,$I18&gt;=O$6),1,""))</x:f>
      </x:c>
      <x:c r="P18" s="546" t="str">
        <x:f>IF(OR($H18="",$I18=""),"",IF(AND($H18&lt;=P$6+6,$I18&gt;=P$6),1,""))</x:f>
      </x:c>
      <x:c r="Q18" s="546" t="str">
        <x:f>IF(OR($H18="",$I18=""),"",IF(AND($H18&lt;=Q$6+6,$I18&gt;=Q$6),1,""))</x:f>
      </x:c>
      <x:c r="R18" s="546" t="str">
        <x:f>IF(OR($H18="",$I18=""),"",IF(AND($H18&lt;=R$6+6,$I18&gt;=R$6),1,""))</x:f>
      </x:c>
      <x:c r="S18" s="546" t="str">
        <x:f>IF(OR($H18="",$I18=""),"",IF(AND($H18&lt;=S$6+6,$I18&gt;=S$6),1,""))</x:f>
      </x:c>
      <x:c r="T18" s="546" t="str">
        <x:f>IF(OR($H18="",$I18=""),"",IF(AND($H18&lt;=T$6+6,$I18&gt;=T$6),1,""))</x:f>
      </x:c>
      <x:c r="U18" s="546" t="str">
        <x:f>IF(OR($H18="",$I18=""),"",IF(AND($H18&lt;=U$6+6,$I18&gt;=U$6),1,""))</x:f>
      </x:c>
      <x:c r="V18" s="546" t="str">
        <x:f>IF(OR($H18="",$I18=""),"",IF(AND($H18&lt;=V$6+6,$I18&gt;=V$6),1,""))</x:f>
      </x:c>
    </x:row>
    <x:row r="19" ht="24" customHeight="1">
      <x:c r="A19" s="514" t="n">
        <x:v>13</x:v>
      </x:c>
      <x:c r="B19" s="514" t="str">
        <x:v>REQ-08</x:v>
      </x:c>
      <x:c r="C19" s="514" t="str">
        <x:v>前提・業務要件</x:v>
      </x:c>
      <x:c r="D19" s="514" t="str">
        <x:v>業務要件・PoC前提一覧の文書化</x:v>
      </x:c>
      <x:c r="E19" s="514" t="str">
        <x:v>通常</x:v>
      </x:c>
      <x:c r="F19" s="514" t="str">
        <x:v>データ基盤</x:v>
      </x:c>
      <x:c r="G19" s="514" t="str">
        <x:v>ワタル</x:v>
      </x:c>
      <x:c r="H19" s="515" t="n">
        <x:v>46266</x:v>
      </x:c>
      <x:c r="I19" s="515" t="n">
        <x:v>46269</x:v>
      </x:c>
      <x:c r="J19" s="514" t="str">
        <x:v>準備中</x:v>
      </x:c>
      <x:c r="K19" s="372" t="str">
        <x:v>【暫定省略可｜並行可】 最低限はWBS/議事メモで代替可</x:v>
      </x:c>
      <x:c r="L19" s="546" t="str">
        <x:f>IF(OR($H19="",$I19=""),"",IF(AND($H19&lt;=L$6+6,$I19&gt;=L$6),1,""))</x:f>
      </x:c>
      <x:c r="M19" s="546" t="n">
        <x:f>IF(OR($H19="",$I19=""),"",IF(AND($H19&lt;=M$6+6,$I19&gt;=M$6),1,""))</x:f>
        <x:v>1</x:v>
      </x:c>
      <x:c r="N19" s="546" t="str">
        <x:f>IF(OR($H19="",$I19=""),"",IF(AND($H19&lt;=N$6+6,$I19&gt;=N$6),1,""))</x:f>
      </x:c>
      <x:c r="O19" s="546" t="str">
        <x:f>IF(OR($H19="",$I19=""),"",IF(AND($H19&lt;=O$6+6,$I19&gt;=O$6),1,""))</x:f>
      </x:c>
      <x:c r="P19" s="546" t="str">
        <x:f>IF(OR($H19="",$I19=""),"",IF(AND($H19&lt;=P$6+6,$I19&gt;=P$6),1,""))</x:f>
      </x:c>
      <x:c r="Q19" s="546" t="str">
        <x:f>IF(OR($H19="",$I19=""),"",IF(AND($H19&lt;=Q$6+6,$I19&gt;=Q$6),1,""))</x:f>
      </x:c>
      <x:c r="R19" s="546" t="str">
        <x:f>IF(OR($H19="",$I19=""),"",IF(AND($H19&lt;=R$6+6,$I19&gt;=R$6),1,""))</x:f>
      </x:c>
      <x:c r="S19" s="546" t="str">
        <x:f>IF(OR($H19="",$I19=""),"",IF(AND($H19&lt;=S$6+6,$I19&gt;=S$6),1,""))</x:f>
      </x:c>
      <x:c r="T19" s="546" t="str">
        <x:f>IF(OR($H19="",$I19=""),"",IF(AND($H19&lt;=T$6+6,$I19&gt;=T$6),1,""))</x:f>
      </x:c>
      <x:c r="U19" s="546" t="str">
        <x:f>IF(OR($H19="",$I19=""),"",IF(AND($H19&lt;=U$6+6,$I19&gt;=U$6),1,""))</x:f>
      </x:c>
      <x:c r="V19" s="546" t="str">
        <x:f>IF(OR($H19="",$I19=""),"",IF(AND($H19&lt;=V$6+6,$I19&gt;=V$6),1,""))</x:f>
      </x:c>
    </x:row>
    <x:row r="20" ht="24" customHeight="1">
      <x:c r="A20" s="518" t="n">
        <x:v>14</x:v>
      </x:c>
      <x:c r="B20" s="518" t="str">
        <x:v>SFD-01</x:v>
      </x:c>
      <x:c r="C20" s="518" t="str">
        <x:v>Salesforce前提・データ調査</x:v>
      </x:c>
      <x:c r="D20" s="518" t="str">
        <x:v>TMT Salesforce Org・Edition・契約条件確認</x:v>
      </x:c>
      <x:c r="E20" s="518" t="str">
        <x:v>通常</x:v>
      </x:c>
      <x:c r="F20" s="518" t="str">
        <x:v>データ基盤</x:v>
      </x:c>
      <x:c r="G20" s="518" t="str">
        <x:v>要確認（Salesforce側）</x:v>
      </x:c>
      <x:c r="H20" s="519" t="n">
        <x:v>46259</x:v>
      </x:c>
      <x:c r="I20" s="519" t="n">
        <x:v>46265</x:v>
      </x:c>
      <x:c r="J20" s="518" t="str">
        <x:v>準備中</x:v>
      </x:c>
      <x:c r="K20" s="372" t="str">
        <x:v>【絶対に必要｜並行可】 CDC/Event関連の利用条件</x:v>
      </x:c>
      <x:c r="L20" s="546" t="n">
        <x:f>IF(OR($H20="",$I20=""),"",IF(AND($H20&lt;=L$6+6,$I20&gt;=L$6),1,""))</x:f>
        <x:v>1</x:v>
      </x:c>
      <x:c r="M20" s="546" t="n">
        <x:f>IF(OR($H20="",$I20=""),"",IF(AND($H20&lt;=M$6+6,$I20&gt;=M$6),1,""))</x:f>
        <x:v>1</x:v>
      </x:c>
      <x:c r="N20" s="546" t="str">
        <x:f>IF(OR($H20="",$I20=""),"",IF(AND($H20&lt;=N$6+6,$I20&gt;=N$6),1,""))</x:f>
      </x:c>
      <x:c r="O20" s="546" t="str">
        <x:f>IF(OR($H20="",$I20=""),"",IF(AND($H20&lt;=O$6+6,$I20&gt;=O$6),1,""))</x:f>
      </x:c>
      <x:c r="P20" s="546" t="str">
        <x:f>IF(OR($H20="",$I20=""),"",IF(AND($H20&lt;=P$6+6,$I20&gt;=P$6),1,""))</x:f>
      </x:c>
      <x:c r="Q20" s="546" t="str">
        <x:f>IF(OR($H20="",$I20=""),"",IF(AND($H20&lt;=Q$6+6,$I20&gt;=Q$6),1,""))</x:f>
      </x:c>
      <x:c r="R20" s="546" t="str">
        <x:f>IF(OR($H20="",$I20=""),"",IF(AND($H20&lt;=R$6+6,$I20&gt;=R$6),1,""))</x:f>
      </x:c>
      <x:c r="S20" s="546" t="str">
        <x:f>IF(OR($H20="",$I20=""),"",IF(AND($H20&lt;=S$6+6,$I20&gt;=S$6),1,""))</x:f>
      </x:c>
      <x:c r="T20" s="546" t="str">
        <x:f>IF(OR($H20="",$I20=""),"",IF(AND($H20&lt;=T$6+6,$I20&gt;=T$6),1,""))</x:f>
      </x:c>
      <x:c r="U20" s="546" t="str">
        <x:f>IF(OR($H20="",$I20=""),"",IF(AND($H20&lt;=U$6+6,$I20&gt;=U$6),1,""))</x:f>
      </x:c>
      <x:c r="V20" s="546" t="str">
        <x:f>IF(OR($H20="",$I20=""),"",IF(AND($H20&lt;=V$6+6,$I20&gt;=V$6),1,""))</x:f>
      </x:c>
    </x:row>
    <x:row r="21" ht="24" customHeight="1">
      <x:c r="A21" s="518" t="n">
        <x:v>15</x:v>
      </x:c>
      <x:c r="B21" s="518" t="str">
        <x:v>SFD-02</x:v>
      </x:c>
      <x:c r="C21" s="518" t="str">
        <x:v>Salesforce前提・データ調査</x:v>
      </x:c>
      <x:c r="D21" s="518" t="str">
        <x:v>既存CDC利用オブジェクトの確認</x:v>
      </x:c>
      <x:c r="E21" s="518" t="str">
        <x:v>通常</x:v>
      </x:c>
      <x:c r="F21" s="518" t="str">
        <x:v>データ基盤</x:v>
      </x:c>
      <x:c r="G21" s="518" t="str">
        <x:v>要確認（Salesforce側）</x:v>
      </x:c>
      <x:c r="H21" s="519" t="n">
        <x:v>46259</x:v>
      </x:c>
      <x:c r="I21" s="519" t="n">
        <x:v>46265</x:v>
      </x:c>
      <x:c r="J21" s="518" t="str">
        <x:v>準備中</x:v>
      </x:c>
      <x:c r="K21" s="372" t="str">
        <x:v>【絶対に必要｜並行可】</x:v>
      </x:c>
      <x:c r="L21" s="546" t="n">
        <x:f>IF(OR($H21="",$I21=""),"",IF(AND($H21&lt;=L$6+6,$I21&gt;=L$6),1,""))</x:f>
        <x:v>1</x:v>
      </x:c>
      <x:c r="M21" s="546" t="n">
        <x:f>IF(OR($H21="",$I21=""),"",IF(AND($H21&lt;=M$6+6,$I21&gt;=M$6),1,""))</x:f>
        <x:v>1</x:v>
      </x:c>
      <x:c r="N21" s="546" t="str">
        <x:f>IF(OR($H21="",$I21=""),"",IF(AND($H21&lt;=N$6+6,$I21&gt;=N$6),1,""))</x:f>
      </x:c>
      <x:c r="O21" s="546" t="str">
        <x:f>IF(OR($H21="",$I21=""),"",IF(AND($H21&lt;=O$6+6,$I21&gt;=O$6),1,""))</x:f>
      </x:c>
      <x:c r="P21" s="546" t="str">
        <x:f>IF(OR($H21="",$I21=""),"",IF(AND($H21&lt;=P$6+6,$I21&gt;=P$6),1,""))</x:f>
      </x:c>
      <x:c r="Q21" s="546" t="str">
        <x:f>IF(OR($H21="",$I21=""),"",IF(AND($H21&lt;=Q$6+6,$I21&gt;=Q$6),1,""))</x:f>
      </x:c>
      <x:c r="R21" s="546" t="str">
        <x:f>IF(OR($H21="",$I21=""),"",IF(AND($H21&lt;=R$6+6,$I21&gt;=R$6),1,""))</x:f>
      </x:c>
      <x:c r="S21" s="546" t="str">
        <x:f>IF(OR($H21="",$I21=""),"",IF(AND($H21&lt;=S$6+6,$I21&gt;=S$6),1,""))</x:f>
      </x:c>
      <x:c r="T21" s="546" t="str">
        <x:f>IF(OR($H21="",$I21=""),"",IF(AND($H21&lt;=T$6+6,$I21&gt;=T$6),1,""))</x:f>
      </x:c>
      <x:c r="U21" s="546" t="str">
        <x:f>IF(OR($H21="",$I21=""),"",IF(AND($H21&lt;=U$6+6,$I21&gt;=U$6),1,""))</x:f>
      </x:c>
      <x:c r="V21" s="546" t="str">
        <x:f>IF(OR($H21="",$I21=""),"",IF(AND($H21&lt;=V$6+6,$I21&gt;=V$6),1,""))</x:f>
      </x:c>
    </x:row>
    <x:row r="22" ht="24" customHeight="1">
      <x:c r="A22" s="518" t="n">
        <x:v>16</x:v>
      </x:c>
      <x:c r="B22" s="518" t="str">
        <x:v>SFD-03</x:v>
      </x:c>
      <x:c r="C22" s="518" t="str">
        <x:v>Salesforce前提・データ調査</x:v>
      </x:c>
      <x:c r="D22" s="518" t="str">
        <x:v>PoC対象Objectの確定</x:v>
      </x:c>
      <x:c r="E22" s="518" t="str">
        <x:v>通常</x:v>
      </x:c>
      <x:c r="F22" s="518" t="str">
        <x:v>データ基盤</x:v>
      </x:c>
      <x:c r="G22" s="518" t="str">
        <x:v>要確認（業務／Salesforce側）</x:v>
      </x:c>
      <x:c r="H22" s="519" t="n">
        <x:v>46259</x:v>
      </x:c>
      <x:c r="I22" s="519" t="n">
        <x:v>46266</x:v>
      </x:c>
      <x:c r="J22" s="518" t="str">
        <x:v>準備中</x:v>
      </x:c>
      <x:c r="K22" s="372" t="str">
        <x:v>【絶対に必要｜並行可】 活動4オブジェクトは候補であり確定扱いしない</x:v>
      </x:c>
      <x:c r="L22" s="546" t="n">
        <x:f>IF(OR($H22="",$I22=""),"",IF(AND($H22&lt;=L$6+6,$I22&gt;=L$6),1,""))</x:f>
        <x:v>1</x:v>
      </x:c>
      <x:c r="M22" s="546" t="n">
        <x:f>IF(OR($H22="",$I22=""),"",IF(AND($H22&lt;=M$6+6,$I22&gt;=M$6),1,""))</x:f>
        <x:v>1</x:v>
      </x:c>
      <x:c r="N22" s="546" t="str">
        <x:f>IF(OR($H22="",$I22=""),"",IF(AND($H22&lt;=N$6+6,$I22&gt;=N$6),1,""))</x:f>
      </x:c>
      <x:c r="O22" s="546" t="str">
        <x:f>IF(OR($H22="",$I22=""),"",IF(AND($H22&lt;=O$6+6,$I22&gt;=O$6),1,""))</x:f>
      </x:c>
      <x:c r="P22" s="546" t="str">
        <x:f>IF(OR($H22="",$I22=""),"",IF(AND($H22&lt;=P$6+6,$I22&gt;=P$6),1,""))</x:f>
      </x:c>
      <x:c r="Q22" s="546" t="str">
        <x:f>IF(OR($H22="",$I22=""),"",IF(AND($H22&lt;=Q$6+6,$I22&gt;=Q$6),1,""))</x:f>
      </x:c>
      <x:c r="R22" s="546" t="str">
        <x:f>IF(OR($H22="",$I22=""),"",IF(AND($H22&lt;=R$6+6,$I22&gt;=R$6),1,""))</x:f>
      </x:c>
      <x:c r="S22" s="546" t="str">
        <x:f>IF(OR($H22="",$I22=""),"",IF(AND($H22&lt;=S$6+6,$I22&gt;=S$6),1,""))</x:f>
      </x:c>
      <x:c r="T22" s="546" t="str">
        <x:f>IF(OR($H22="",$I22=""),"",IF(AND($H22&lt;=T$6+6,$I22&gt;=T$6),1,""))</x:f>
      </x:c>
      <x:c r="U22" s="546" t="str">
        <x:f>IF(OR($H22="",$I22=""),"",IF(AND($H22&lt;=U$6+6,$I22&gt;=U$6),1,""))</x:f>
      </x:c>
      <x:c r="V22" s="546" t="str">
        <x:f>IF(OR($H22="",$I22=""),"",IF(AND($H22&lt;=V$6+6,$I22&gt;=V$6),1,""))</x:f>
      </x:c>
    </x:row>
    <x:row r="23" ht="24" customHeight="1">
      <x:c r="A23" s="518" t="n">
        <x:v>17</x:v>
      </x:c>
      <x:c r="B23" s="518" t="str">
        <x:v>SFD-04</x:v>
      </x:c>
      <x:c r="C23" s="518" t="str">
        <x:v>Salesforce前提・データ調査</x:v>
      </x:c>
      <x:c r="D23" s="518" t="str">
        <x:v>PoC対象Fieldの確定</x:v>
      </x:c>
      <x:c r="E23" s="518" t="str">
        <x:v>通常</x:v>
      </x:c>
      <x:c r="F23" s="518" t="str">
        <x:v>データ基盤</x:v>
      </x:c>
      <x:c r="G23" s="518" t="str">
        <x:v>要確認（業務／Salesforce側）</x:v>
      </x:c>
      <x:c r="H23" s="519" t="n">
        <x:v>46260</x:v>
      </x:c>
      <x:c r="I23" s="519" t="n">
        <x:v>46267</x:v>
      </x:c>
      <x:c r="J23" s="518" t="str">
        <x:v>準備中</x:v>
      </x:c>
      <x:c r="K23" s="372" t="str">
        <x:v>【絶対に必要｜並行可】</x:v>
      </x:c>
      <x:c r="L23" s="546" t="n">
        <x:f>IF(OR($H23="",$I23=""),"",IF(AND($H23&lt;=L$6+6,$I23&gt;=L$6),1,""))</x:f>
        <x:v>1</x:v>
      </x:c>
      <x:c r="M23" s="546" t="n">
        <x:f>IF(OR($H23="",$I23=""),"",IF(AND($H23&lt;=M$6+6,$I23&gt;=M$6),1,""))</x:f>
        <x:v>1</x:v>
      </x:c>
      <x:c r="N23" s="546" t="str">
        <x:f>IF(OR($H23="",$I23=""),"",IF(AND($H23&lt;=N$6+6,$I23&gt;=N$6),1,""))</x:f>
      </x:c>
      <x:c r="O23" s="546" t="str">
        <x:f>IF(OR($H23="",$I23=""),"",IF(AND($H23&lt;=O$6+6,$I23&gt;=O$6),1,""))</x:f>
      </x:c>
      <x:c r="P23" s="546" t="str">
        <x:f>IF(OR($H23="",$I23=""),"",IF(AND($H23&lt;=P$6+6,$I23&gt;=P$6),1,""))</x:f>
      </x:c>
      <x:c r="Q23" s="546" t="str">
        <x:f>IF(OR($H23="",$I23=""),"",IF(AND($H23&lt;=Q$6+6,$I23&gt;=Q$6),1,""))</x:f>
      </x:c>
      <x:c r="R23" s="546" t="str">
        <x:f>IF(OR($H23="",$I23=""),"",IF(AND($H23&lt;=R$6+6,$I23&gt;=R$6),1,""))</x:f>
      </x:c>
      <x:c r="S23" s="546" t="str">
        <x:f>IF(OR($H23="",$I23=""),"",IF(AND($H23&lt;=S$6+6,$I23&gt;=S$6),1,""))</x:f>
      </x:c>
      <x:c r="T23" s="546" t="str">
        <x:f>IF(OR($H23="",$I23=""),"",IF(AND($H23&lt;=T$6+6,$I23&gt;=T$6),1,""))</x:f>
      </x:c>
      <x:c r="U23" s="546" t="str">
        <x:f>IF(OR($H23="",$I23=""),"",IF(AND($H23&lt;=U$6+6,$I23&gt;=U$6),1,""))</x:f>
      </x:c>
      <x:c r="V23" s="546" t="str">
        <x:f>IF(OR($H23="",$I23=""),"",IF(AND($H23&lt;=V$6+6,$I23&gt;=V$6),1,""))</x:f>
      </x:c>
    </x:row>
    <x:row r="24" ht="24" customHeight="1">
      <x:c r="A24" s="518" t="n">
        <x:v>18</x:v>
      </x:c>
      <x:c r="B24" s="518" t="str">
        <x:v>SFD-05</x:v>
      </x:c>
      <x:c r="C24" s="518" t="str">
        <x:v>Salesforce前提・データ調査</x:v>
      </x:c>
      <x:c r="D24" s="518" t="str">
        <x:v>対象Object間の参照関係・識別キー確認</x:v>
      </x:c>
      <x:c r="E24" s="518" t="str">
        <x:v>通常</x:v>
      </x:c>
      <x:c r="F24" s="518" t="str">
        <x:v>データ基盤</x:v>
      </x:c>
      <x:c r="G24" s="518" t="str">
        <x:v>要確認（Salesforce側）</x:v>
      </x:c>
      <x:c r="H24" s="519" t="n">
        <x:v>46260</x:v>
      </x:c>
      <x:c r="I24" s="519" t="n">
        <x:v>46267</x:v>
      </x:c>
      <x:c r="J24" s="518" t="str">
        <x:v>準備中</x:v>
      </x:c>
      <x:c r="K24" s="372" t="str">
        <x:v>【絶対に必要｜並行可】</x:v>
      </x:c>
      <x:c r="L24" s="546" t="n">
        <x:f>IF(OR($H24="",$I24=""),"",IF(AND($H24&lt;=L$6+6,$I24&gt;=L$6),1,""))</x:f>
        <x:v>1</x:v>
      </x:c>
      <x:c r="M24" s="546" t="n">
        <x:f>IF(OR($H24="",$I24=""),"",IF(AND($H24&lt;=M$6+6,$I24&gt;=M$6),1,""))</x:f>
        <x:v>1</x:v>
      </x:c>
      <x:c r="N24" s="546" t="str">
        <x:f>IF(OR($H24="",$I24=""),"",IF(AND($H24&lt;=N$6+6,$I24&gt;=N$6),1,""))</x:f>
      </x:c>
      <x:c r="O24" s="546" t="str">
        <x:f>IF(OR($H24="",$I24=""),"",IF(AND($H24&lt;=O$6+6,$I24&gt;=O$6),1,""))</x:f>
      </x:c>
      <x:c r="P24" s="546" t="str">
        <x:f>IF(OR($H24="",$I24=""),"",IF(AND($H24&lt;=P$6+6,$I24&gt;=P$6),1,""))</x:f>
      </x:c>
      <x:c r="Q24" s="546" t="str">
        <x:f>IF(OR($H24="",$I24=""),"",IF(AND($H24&lt;=Q$6+6,$I24&gt;=Q$6),1,""))</x:f>
      </x:c>
      <x:c r="R24" s="546" t="str">
        <x:f>IF(OR($H24="",$I24=""),"",IF(AND($H24&lt;=R$6+6,$I24&gt;=R$6),1,""))</x:f>
      </x:c>
      <x:c r="S24" s="546" t="str">
        <x:f>IF(OR($H24="",$I24=""),"",IF(AND($H24&lt;=S$6+6,$I24&gt;=S$6),1,""))</x:f>
      </x:c>
      <x:c r="T24" s="546" t="str">
        <x:f>IF(OR($H24="",$I24=""),"",IF(AND($H24&lt;=T$6+6,$I24&gt;=T$6),1,""))</x:f>
      </x:c>
      <x:c r="U24" s="546" t="str">
        <x:f>IF(OR($H24="",$I24=""),"",IF(AND($H24&lt;=U$6+6,$I24&gt;=U$6),1,""))</x:f>
      </x:c>
      <x:c r="V24" s="546" t="str">
        <x:f>IF(OR($H24="",$I24=""),"",IF(AND($H24&lt;=V$6+6,$I24&gt;=V$6),1,""))</x:f>
      </x:c>
    </x:row>
    <x:row r="25" ht="24" customHeight="1">
      <x:c r="A25" s="518" t="n">
        <x:v>19</x:v>
      </x:c>
      <x:c r="B25" s="518" t="str">
        <x:v>SFD-06</x:v>
      </x:c>
      <x:c r="C25" s="518" t="str">
        <x:v>Salesforce前提・データ調査</x:v>
      </x:c>
      <x:c r="D25" s="518" t="str">
        <x:v>通常日・最大日・ピーク時の更新件数調査</x:v>
      </x:c>
      <x:c r="E25" s="518" t="str">
        <x:v>通常</x:v>
      </x:c>
      <x:c r="F25" s="518" t="str">
        <x:v>データ基盤</x:v>
      </x:c>
      <x:c r="G25" s="518" t="str">
        <x:v>要確認（Salesforce側）</x:v>
      </x:c>
      <x:c r="H25" s="519" t="n">
        <x:v>46260</x:v>
      </x:c>
      <x:c r="I25" s="519" t="n">
        <x:v>46268</x:v>
      </x:c>
      <x:c r="J25" s="518" t="str">
        <x:v>準備中</x:v>
      </x:c>
      <x:c r="K25" s="372" t="str">
        <x:v>【絶対に必要｜並行可】 5万件/日超の可能性は資料記載、実数要確認</x:v>
      </x:c>
      <x:c r="L25" s="546" t="n">
        <x:f>IF(OR($H25="",$I25=""),"",IF(AND($H25&lt;=L$6+6,$I25&gt;=L$6),1,""))</x:f>
        <x:v>1</x:v>
      </x:c>
      <x:c r="M25" s="546" t="n">
        <x:f>IF(OR($H25="",$I25=""),"",IF(AND($H25&lt;=M$6+6,$I25&gt;=M$6),1,""))</x:f>
        <x:v>1</x:v>
      </x:c>
      <x:c r="N25" s="546" t="str">
        <x:f>IF(OR($H25="",$I25=""),"",IF(AND($H25&lt;=N$6+6,$I25&gt;=N$6),1,""))</x:f>
      </x:c>
      <x:c r="O25" s="546" t="str">
        <x:f>IF(OR($H25="",$I25=""),"",IF(AND($H25&lt;=O$6+6,$I25&gt;=O$6),1,""))</x:f>
      </x:c>
      <x:c r="P25" s="546" t="str">
        <x:f>IF(OR($H25="",$I25=""),"",IF(AND($H25&lt;=P$6+6,$I25&gt;=P$6),1,""))</x:f>
      </x:c>
      <x:c r="Q25" s="546" t="str">
        <x:f>IF(OR($H25="",$I25=""),"",IF(AND($H25&lt;=Q$6+6,$I25&gt;=Q$6),1,""))</x:f>
      </x:c>
      <x:c r="R25" s="546" t="str">
        <x:f>IF(OR($H25="",$I25=""),"",IF(AND($H25&lt;=R$6+6,$I25&gt;=R$6),1,""))</x:f>
      </x:c>
      <x:c r="S25" s="546" t="str">
        <x:f>IF(OR($H25="",$I25=""),"",IF(AND($H25&lt;=S$6+6,$I25&gt;=S$6),1,""))</x:f>
      </x:c>
      <x:c r="T25" s="546" t="str">
        <x:f>IF(OR($H25="",$I25=""),"",IF(AND($H25&lt;=T$6+6,$I25&gt;=T$6),1,""))</x:f>
      </x:c>
      <x:c r="U25" s="546" t="str">
        <x:f>IF(OR($H25="",$I25=""),"",IF(AND($H25&lt;=U$6+6,$I25&gt;=U$6),1,""))</x:f>
      </x:c>
      <x:c r="V25" s="546" t="str">
        <x:f>IF(OR($H25="",$I25=""),"",IF(AND($H25&lt;=V$6+6,$I25&gt;=V$6),1,""))</x:f>
      </x:c>
    </x:row>
    <x:row r="26" ht="24" customHeight="1">
      <x:c r="A26" s="518" t="n">
        <x:v>20</x:v>
      </x:c>
      <x:c r="B26" s="518" t="str">
        <x:v>SFD-07</x:v>
      </x:c>
      <x:c r="C26" s="518" t="str">
        <x:v>Salesforce前提・データ調査</x:v>
      </x:c>
      <x:c r="D26" s="518" t="str">
        <x:v>イベント配信数・公開数の契約上限確認</x:v>
      </x:c>
      <x:c r="E26" s="518" t="str">
        <x:v>通常</x:v>
      </x:c>
      <x:c r="F26" s="518" t="str">
        <x:v>データ基盤</x:v>
      </x:c>
      <x:c r="G26" s="518" t="str">
        <x:v>要確認（Salesforce側）</x:v>
      </x:c>
      <x:c r="H26" s="519" t="n">
        <x:v>46265</x:v>
      </x:c>
      <x:c r="I26" s="519" t="n">
        <x:v>46268</x:v>
      </x:c>
      <x:c r="J26" s="518" t="str">
        <x:v>準備中</x:v>
      </x:c>
      <x:c r="K26" s="372" t="str">
        <x:v>【絶対に必要｜並行可】</x:v>
      </x:c>
      <x:c r="L26" s="546" t="str">
        <x:f>IF(OR($H26="",$I26=""),"",IF(AND($H26&lt;=L$6+6,$I26&gt;=L$6),1,""))</x:f>
      </x:c>
      <x:c r="M26" s="546" t="n">
        <x:f>IF(OR($H26="",$I26=""),"",IF(AND($H26&lt;=M$6+6,$I26&gt;=M$6),1,""))</x:f>
        <x:v>1</x:v>
      </x:c>
      <x:c r="N26" s="546" t="str">
        <x:f>IF(OR($H26="",$I26=""),"",IF(AND($H26&lt;=N$6+6,$I26&gt;=N$6),1,""))</x:f>
      </x:c>
      <x:c r="O26" s="546" t="str">
        <x:f>IF(OR($H26="",$I26=""),"",IF(AND($H26&lt;=O$6+6,$I26&gt;=O$6),1,""))</x:f>
      </x:c>
      <x:c r="P26" s="546" t="str">
        <x:f>IF(OR($H26="",$I26=""),"",IF(AND($H26&lt;=P$6+6,$I26&gt;=P$6),1,""))</x:f>
      </x:c>
      <x:c r="Q26" s="546" t="str">
        <x:f>IF(OR($H26="",$I26=""),"",IF(AND($H26&lt;=Q$6+6,$I26&gt;=Q$6),1,""))</x:f>
      </x:c>
      <x:c r="R26" s="546" t="str">
        <x:f>IF(OR($H26="",$I26=""),"",IF(AND($H26&lt;=R$6+6,$I26&gt;=R$6),1,""))</x:f>
      </x:c>
      <x:c r="S26" s="546" t="str">
        <x:f>IF(OR($H26="",$I26=""),"",IF(AND($H26&lt;=S$6+6,$I26&gt;=S$6),1,""))</x:f>
      </x:c>
      <x:c r="T26" s="546" t="str">
        <x:f>IF(OR($H26="",$I26=""),"",IF(AND($H26&lt;=T$6+6,$I26&gt;=T$6),1,""))</x:f>
      </x:c>
      <x:c r="U26" s="546" t="str">
        <x:f>IF(OR($H26="",$I26=""),"",IF(AND($H26&lt;=U$6+6,$I26&gt;=U$6),1,""))</x:f>
      </x:c>
      <x:c r="V26" s="546" t="str">
        <x:f>IF(OR($H26="",$I26=""),"",IF(AND($H26&lt;=V$6+6,$I26&gt;=V$6),1,""))</x:f>
      </x:c>
    </x:row>
    <x:row r="27" ht="24" customHeight="1">
      <x:c r="A27" s="518" t="n">
        <x:v>21</x:v>
      </x:c>
      <x:c r="B27" s="518" t="str">
        <x:v>SFD-08</x:v>
      </x:c>
      <x:c r="C27" s="518" t="str">
        <x:v>Salesforce前提・データ調査</x:v>
      </x:c>
      <x:c r="D27" s="518" t="str">
        <x:v>追加ライセンス要否・適用条件確認</x:v>
      </x:c>
      <x:c r="E27" s="518" t="str">
        <x:v>通常</x:v>
      </x:c>
      <x:c r="F27" s="518" t="str">
        <x:v>データ基盤</x:v>
      </x:c>
      <x:c r="G27" s="518" t="str">
        <x:v>要確認（Salesforce側）</x:v>
      </x:c>
      <x:c r="H27" s="519" t="n">
        <x:v>46266</x:v>
      </x:c>
      <x:c r="I27" s="519" t="n">
        <x:v>46269</x:v>
      </x:c>
      <x:c r="J27" s="518" t="str">
        <x:v>準備中</x:v>
      </x:c>
      <x:c r="K27" s="372" t="str">
        <x:v>【絶対に必要｜一部並行可】 資料掲載価格は契約確定額として扱わない</x:v>
      </x:c>
      <x:c r="L27" s="546" t="str">
        <x:f>IF(OR($H27="",$I27=""),"",IF(AND($H27&lt;=L$6+6,$I27&gt;=L$6),1,""))</x:f>
      </x:c>
      <x:c r="M27" s="546" t="n">
        <x:f>IF(OR($H27="",$I27=""),"",IF(AND($H27&lt;=M$6+6,$I27&gt;=M$6),1,""))</x:f>
        <x:v>1</x:v>
      </x:c>
      <x:c r="N27" s="546" t="str">
        <x:f>IF(OR($H27="",$I27=""),"",IF(AND($H27&lt;=N$6+6,$I27&gt;=N$6),1,""))</x:f>
      </x:c>
      <x:c r="O27" s="546" t="str">
        <x:f>IF(OR($H27="",$I27=""),"",IF(AND($H27&lt;=O$6+6,$I27&gt;=O$6),1,""))</x:f>
      </x:c>
      <x:c r="P27" s="546" t="str">
        <x:f>IF(OR($H27="",$I27=""),"",IF(AND($H27&lt;=P$6+6,$I27&gt;=P$6),1,""))</x:f>
      </x:c>
      <x:c r="Q27" s="546" t="str">
        <x:f>IF(OR($H27="",$I27=""),"",IF(AND($H27&lt;=Q$6+6,$I27&gt;=Q$6),1,""))</x:f>
      </x:c>
      <x:c r="R27" s="546" t="str">
        <x:f>IF(OR($H27="",$I27=""),"",IF(AND($H27&lt;=R$6+6,$I27&gt;=R$6),1,""))</x:f>
      </x:c>
      <x:c r="S27" s="546" t="str">
        <x:f>IF(OR($H27="",$I27=""),"",IF(AND($H27&lt;=S$6+6,$I27&gt;=S$6),1,""))</x:f>
      </x:c>
      <x:c r="T27" s="546" t="str">
        <x:f>IF(OR($H27="",$I27=""),"",IF(AND($H27&lt;=T$6+6,$I27&gt;=T$6),1,""))</x:f>
      </x:c>
      <x:c r="U27" s="546" t="str">
        <x:f>IF(OR($H27="",$I27=""),"",IF(AND($H27&lt;=U$6+6,$I27&gt;=U$6),1,""))</x:f>
      </x:c>
      <x:c r="V27" s="546" t="str">
        <x:f>IF(OR($H27="",$I27=""),"",IF(AND($H27&lt;=V$6+6,$I27&gt;=V$6),1,""))</x:f>
      </x:c>
    </x:row>
    <x:row r="28" ht="24" customHeight="1">
      <x:c r="A28" s="518" t="n">
        <x:v>22</x:v>
      </x:c>
      <x:c r="B28" s="518" t="str">
        <x:v>SFD-09</x:v>
      </x:c>
      <x:c r="C28" s="518" t="str">
        <x:v>Salesforce前提・データ調査</x:v>
      </x:c>
      <x:c r="D28" s="518" t="str">
        <x:v>周辺Object・追加項目の補足調査</x:v>
      </x:c>
      <x:c r="E28" s="518" t="str">
        <x:v>通常</x:v>
      </x:c>
      <x:c r="F28" s="518" t="str">
        <x:v>データ基盤</x:v>
      </x:c>
      <x:c r="G28" s="518" t="str">
        <x:v>要確認</x:v>
      </x:c>
      <x:c r="H28" s="519" t="n">
        <x:v>46267</x:v>
      </x:c>
      <x:c r="I28" s="519" t="n">
        <x:v>46269</x:v>
      </x:c>
      <x:c r="J28" s="518" t="str">
        <x:v>準備中</x:v>
      </x:c>
      <x:c r="K28" s="372" t="str">
        <x:v>【暫定省略可｜並行可】</x:v>
      </x:c>
      <x:c r="L28" s="546" t="str">
        <x:f>IF(OR($H28="",$I28=""),"",IF(AND($H28&lt;=L$6+6,$I28&gt;=L$6),1,""))</x:f>
      </x:c>
      <x:c r="M28" s="546" t="n">
        <x:f>IF(OR($H28="",$I28=""),"",IF(AND($H28&lt;=M$6+6,$I28&gt;=M$6),1,""))</x:f>
        <x:v>1</x:v>
      </x:c>
      <x:c r="N28" s="546" t="str">
        <x:f>IF(OR($H28="",$I28=""),"",IF(AND($H28&lt;=N$6+6,$I28&gt;=N$6),1,""))</x:f>
      </x:c>
      <x:c r="O28" s="546" t="str">
        <x:f>IF(OR($H28="",$I28=""),"",IF(AND($H28&lt;=O$6+6,$I28&gt;=O$6),1,""))</x:f>
      </x:c>
      <x:c r="P28" s="546" t="str">
        <x:f>IF(OR($H28="",$I28=""),"",IF(AND($H28&lt;=P$6+6,$I28&gt;=P$6),1,""))</x:f>
      </x:c>
      <x:c r="Q28" s="546" t="str">
        <x:f>IF(OR($H28="",$I28=""),"",IF(AND($H28&lt;=Q$6+6,$I28&gt;=Q$6),1,""))</x:f>
      </x:c>
      <x:c r="R28" s="546" t="str">
        <x:f>IF(OR($H28="",$I28=""),"",IF(AND($H28&lt;=R$6+6,$I28&gt;=R$6),1,""))</x:f>
      </x:c>
      <x:c r="S28" s="546" t="str">
        <x:f>IF(OR($H28="",$I28=""),"",IF(AND($H28&lt;=S$6+6,$I28&gt;=S$6),1,""))</x:f>
      </x:c>
      <x:c r="T28" s="546" t="str">
        <x:f>IF(OR($H28="",$I28=""),"",IF(AND($H28&lt;=T$6+6,$I28&gt;=T$6),1,""))</x:f>
      </x:c>
      <x:c r="U28" s="546" t="str">
        <x:f>IF(OR($H28="",$I28=""),"",IF(AND($H28&lt;=U$6+6,$I28&gt;=U$6),1,""))</x:f>
      </x:c>
      <x:c r="V28" s="546" t="str">
        <x:f>IF(OR($H28="",$I28=""),"",IF(AND($H28&lt;=V$6+6,$I28&gt;=V$6),1,""))</x:f>
      </x:c>
    </x:row>
    <x:row r="29" ht="24" customHeight="1">
      <x:c r="A29" s="522" t="n">
        <x:v>23</x:v>
      </x:c>
      <x:c r="B29" s="522" t="str">
        <x:v>ARC-01</x:v>
      </x:c>
      <x:c r="C29" s="522" t="str">
        <x:v>技術方式・アーキテクチャ</x:v>
      </x:c>
      <x:c r="D29" s="522" t="str">
        <x:v>CDCとPlatform Eventの使い分け確認</x:v>
      </x:c>
      <x:c r="E29" s="522" t="str">
        <x:v>通常</x:v>
      </x:c>
      <x:c r="F29" s="522" t="str">
        <x:v>データ基盤</x:v>
      </x:c>
      <x:c r="G29" s="522" t="str">
        <x:v>ワタル／要確認</x:v>
      </x:c>
      <x:c r="H29" s="523" t="n">
        <x:v>46265</x:v>
      </x:c>
      <x:c r="I29" s="523" t="n">
        <x:v>46268</x:v>
      </x:c>
      <x:c r="J29" s="522" t="str">
        <x:v>準備中</x:v>
      </x:c>
      <x:c r="K29" s="372" t="str">
        <x:v>【絶対に必要｜並行可】 Change Event直接Subscribeか別Platform Eventか確認</x:v>
      </x:c>
      <x:c r="L29" s="546" t="str">
        <x:f>IF(OR($H29="",$I29=""),"",IF(AND($H29&lt;=L$6+6,$I29&gt;=L$6),1,""))</x:f>
      </x:c>
      <x:c r="M29" s="546" t="n">
        <x:f>IF(OR($H29="",$I29=""),"",IF(AND($H29&lt;=M$6+6,$I29&gt;=M$6),1,""))</x:f>
        <x:v>1</x:v>
      </x:c>
      <x:c r="N29" s="546" t="str">
        <x:f>IF(OR($H29="",$I29=""),"",IF(AND($H29&lt;=N$6+6,$I29&gt;=N$6),1,""))</x:f>
      </x:c>
      <x:c r="O29" s="546" t="str">
        <x:f>IF(OR($H29="",$I29=""),"",IF(AND($H29&lt;=O$6+6,$I29&gt;=O$6),1,""))</x:f>
      </x:c>
      <x:c r="P29" s="546" t="str">
        <x:f>IF(OR($H29="",$I29=""),"",IF(AND($H29&lt;=P$6+6,$I29&gt;=P$6),1,""))</x:f>
      </x:c>
      <x:c r="Q29" s="546" t="str">
        <x:f>IF(OR($H29="",$I29=""),"",IF(AND($H29&lt;=Q$6+6,$I29&gt;=Q$6),1,""))</x:f>
      </x:c>
      <x:c r="R29" s="546" t="str">
        <x:f>IF(OR($H29="",$I29=""),"",IF(AND($H29&lt;=R$6+6,$I29&gt;=R$6),1,""))</x:f>
      </x:c>
      <x:c r="S29" s="546" t="str">
        <x:f>IF(OR($H29="",$I29=""),"",IF(AND($H29&lt;=S$6+6,$I29&gt;=S$6),1,""))</x:f>
      </x:c>
      <x:c r="T29" s="546" t="str">
        <x:f>IF(OR($H29="",$I29=""),"",IF(AND($H29&lt;=T$6+6,$I29&gt;=T$6),1,""))</x:f>
      </x:c>
      <x:c r="U29" s="546" t="str">
        <x:f>IF(OR($H29="",$I29=""),"",IF(AND($H29&lt;=U$6+6,$I29&gt;=U$6),1,""))</x:f>
      </x:c>
      <x:c r="V29" s="546" t="str">
        <x:f>IF(OR($H29="",$I29=""),"",IF(AND($H29&lt;=V$6+6,$I29&gt;=V$6),1,""))</x:f>
      </x:c>
    </x:row>
    <x:row r="30" ht="24" customHeight="1">
      <x:c r="A30" s="522" t="n">
        <x:v>24</x:v>
      </x:c>
      <x:c r="B30" s="522" t="str">
        <x:v>ARC-02</x:v>
      </x:c>
      <x:c r="C30" s="522" t="str">
        <x:v>技術方式・アーキテクチャ</x:v>
      </x:c>
      <x:c r="D30" s="522" t="str">
        <x:v>Subscribe方式候補比較（Pub/Sub API等）</x:v>
      </x:c>
      <x:c r="E30" s="522" t="str">
        <x:v>通常</x:v>
      </x:c>
      <x:c r="F30" s="522" t="str">
        <x:v>データ基盤</x:v>
      </x:c>
      <x:c r="G30" s="522" t="str">
        <x:v>ワタル／要確認</x:v>
      </x:c>
      <x:c r="H30" s="523" t="n">
        <x:v>46265</x:v>
      </x:c>
      <x:c r="I30" s="523" t="n">
        <x:v>46269</x:v>
      </x:c>
      <x:c r="J30" s="522" t="str">
        <x:v>準備中</x:v>
      </x:c>
      <x:c r="K30" s="372" t="str">
        <x:v>【絶対に必要｜並行可】</x:v>
      </x:c>
      <x:c r="L30" s="546" t="str">
        <x:f>IF(OR($H30="",$I30=""),"",IF(AND($H30&lt;=L$6+6,$I30&gt;=L$6),1,""))</x:f>
      </x:c>
      <x:c r="M30" s="546" t="n">
        <x:f>IF(OR($H30="",$I30=""),"",IF(AND($H30&lt;=M$6+6,$I30&gt;=M$6),1,""))</x:f>
        <x:v>1</x:v>
      </x:c>
      <x:c r="N30" s="546" t="str">
        <x:f>IF(OR($H30="",$I30=""),"",IF(AND($H30&lt;=N$6+6,$I30&gt;=N$6),1,""))</x:f>
      </x:c>
      <x:c r="O30" s="546" t="str">
        <x:f>IF(OR($H30="",$I30=""),"",IF(AND($H30&lt;=O$6+6,$I30&gt;=O$6),1,""))</x:f>
      </x:c>
      <x:c r="P30" s="546" t="str">
        <x:f>IF(OR($H30="",$I30=""),"",IF(AND($H30&lt;=P$6+6,$I30&gt;=P$6),1,""))</x:f>
      </x:c>
      <x:c r="Q30" s="546" t="str">
        <x:f>IF(OR($H30="",$I30=""),"",IF(AND($H30&lt;=Q$6+6,$I30&gt;=Q$6),1,""))</x:f>
      </x:c>
      <x:c r="R30" s="546" t="str">
        <x:f>IF(OR($H30="",$I30=""),"",IF(AND($H30&lt;=R$6+6,$I30&gt;=R$6),1,""))</x:f>
      </x:c>
      <x:c r="S30" s="546" t="str">
        <x:f>IF(OR($H30="",$I30=""),"",IF(AND($H30&lt;=S$6+6,$I30&gt;=S$6),1,""))</x:f>
      </x:c>
      <x:c r="T30" s="546" t="str">
        <x:f>IF(OR($H30="",$I30=""),"",IF(AND($H30&lt;=T$6+6,$I30&gt;=T$6),1,""))</x:f>
      </x:c>
      <x:c r="U30" s="546" t="str">
        <x:f>IF(OR($H30="",$I30=""),"",IF(AND($H30&lt;=U$6+6,$I30&gt;=U$6),1,""))</x:f>
      </x:c>
      <x:c r="V30" s="546" t="str">
        <x:f>IF(OR($H30="",$I30=""),"",IF(AND($H30&lt;=V$6+6,$I30&gt;=V$6),1,""))</x:f>
      </x:c>
    </x:row>
    <x:row r="31" ht="24" customHeight="1">
      <x:c r="A31" s="522" t="n">
        <x:v>25</x:v>
      </x:c>
      <x:c r="B31" s="522" t="str">
        <x:v>ARC-03</x:v>
      </x:c>
      <x:c r="C31" s="522" t="str">
        <x:v>技術方式・アーキテクチャ</x:v>
      </x:c>
      <x:c r="D31" s="522" t="str">
        <x:v>Salesforce→Azure認証方式の決定</x:v>
      </x:c>
      <x:c r="E31" s="522" t="str">
        <x:v>通常</x:v>
      </x:c>
      <x:c r="F31" s="522" t="str">
        <x:v>インフラ</x:v>
      </x:c>
      <x:c r="G31" s="522" t="str">
        <x:v>要確認</x:v>
      </x:c>
      <x:c r="H31" s="523" t="n">
        <x:v>46266</x:v>
      </x:c>
      <x:c r="I31" s="523" t="n">
        <x:v>46269</x:v>
      </x:c>
      <x:c r="J31" s="522" t="str">
        <x:v>準備中</x:v>
      </x:c>
      <x:c r="K31" s="372" t="str">
        <x:v>【絶対に必要｜並行可】</x:v>
      </x:c>
      <x:c r="L31" s="546" t="str">
        <x:f>IF(OR($H31="",$I31=""),"",IF(AND($H31&lt;=L$6+6,$I31&gt;=L$6),1,""))</x:f>
      </x:c>
      <x:c r="M31" s="546" t="n">
        <x:f>IF(OR($H31="",$I31=""),"",IF(AND($H31&lt;=M$6+6,$I31&gt;=M$6),1,""))</x:f>
        <x:v>1</x:v>
      </x:c>
      <x:c r="N31" s="546" t="str">
        <x:f>IF(OR($H31="",$I31=""),"",IF(AND($H31&lt;=N$6+6,$I31&gt;=N$6),1,""))</x:f>
      </x:c>
      <x:c r="O31" s="546" t="str">
        <x:f>IF(OR($H31="",$I31=""),"",IF(AND($H31&lt;=O$6+6,$I31&gt;=O$6),1,""))</x:f>
      </x:c>
      <x:c r="P31" s="546" t="str">
        <x:f>IF(OR($H31="",$I31=""),"",IF(AND($H31&lt;=P$6+6,$I31&gt;=P$6),1,""))</x:f>
      </x:c>
      <x:c r="Q31" s="546" t="str">
        <x:f>IF(OR($H31="",$I31=""),"",IF(AND($H31&lt;=Q$6+6,$I31&gt;=Q$6),1,""))</x:f>
      </x:c>
      <x:c r="R31" s="546" t="str">
        <x:f>IF(OR($H31="",$I31=""),"",IF(AND($H31&lt;=R$6+6,$I31&gt;=R$6),1,""))</x:f>
      </x:c>
      <x:c r="S31" s="546" t="str">
        <x:f>IF(OR($H31="",$I31=""),"",IF(AND($H31&lt;=S$6+6,$I31&gt;=S$6),1,""))</x:f>
      </x:c>
      <x:c r="T31" s="546" t="str">
        <x:f>IF(OR($H31="",$I31=""),"",IF(AND($H31&lt;=T$6+6,$I31&gt;=T$6),1,""))</x:f>
      </x:c>
      <x:c r="U31" s="546" t="str">
        <x:f>IF(OR($H31="",$I31=""),"",IF(AND($H31&lt;=U$6+6,$I31&gt;=U$6),1,""))</x:f>
      </x:c>
      <x:c r="V31" s="546" t="str">
        <x:f>IF(OR($H31="",$I31=""),"",IF(AND($H31&lt;=V$6+6,$I31&gt;=V$6),1,""))</x:f>
      </x:c>
    </x:row>
    <x:row r="32" ht="24" customHeight="1">
      <x:c r="A32" s="522" t="n">
        <x:v>26</x:v>
      </x:c>
      <x:c r="B32" s="522" t="str">
        <x:v>ARC-04</x:v>
      </x:c>
      <x:c r="C32" s="522" t="str">
        <x:v>技術方式・アーキテクチャ</x:v>
      </x:c>
      <x:c r="D32" s="522" t="str">
        <x:v>Azure Event Consumer方式の決定</x:v>
      </x:c>
      <x:c r="E32" s="522" t="str">
        <x:v>通常</x:v>
      </x:c>
      <x:c r="F32" s="522" t="str">
        <x:v>データ基盤</x:v>
      </x:c>
      <x:c r="G32" s="522" t="str">
        <x:v>要確認</x:v>
      </x:c>
      <x:c r="H32" s="523" t="n">
        <x:v>46266</x:v>
      </x:c>
      <x:c r="I32" s="523" t="n">
        <x:v>46272</x:v>
      </x:c>
      <x:c r="J32" s="522" t="str">
        <x:v>準備中</x:v>
      </x:c>
      <x:c r="K32" s="372" t="str">
        <x:v>【絶対に必要｜並行可】 Azureサービスは現資料で未確定</x:v>
      </x:c>
      <x:c r="L32" s="546" t="str">
        <x:f>IF(OR($H32="",$I32=""),"",IF(AND($H32&lt;=L$6+6,$I32&gt;=L$6),1,""))</x:f>
      </x:c>
      <x:c r="M32" s="546" t="n">
        <x:f>IF(OR($H32="",$I32=""),"",IF(AND($H32&lt;=M$6+6,$I32&gt;=M$6),1,""))</x:f>
        <x:v>1</x:v>
      </x:c>
      <x:c r="N32" s="546" t="n">
        <x:f>IF(OR($H32="",$I32=""),"",IF(AND($H32&lt;=N$6+6,$I32&gt;=N$6),1,""))</x:f>
        <x:v>1</x:v>
      </x:c>
      <x:c r="O32" s="546" t="str">
        <x:f>IF(OR($H32="",$I32=""),"",IF(AND($H32&lt;=O$6+6,$I32&gt;=O$6),1,""))</x:f>
      </x:c>
      <x:c r="P32" s="546" t="str">
        <x:f>IF(OR($H32="",$I32=""),"",IF(AND($H32&lt;=P$6+6,$I32&gt;=P$6),1,""))</x:f>
      </x:c>
      <x:c r="Q32" s="546" t="str">
        <x:f>IF(OR($H32="",$I32=""),"",IF(AND($H32&lt;=Q$6+6,$I32&gt;=Q$6),1,""))</x:f>
      </x:c>
      <x:c r="R32" s="546" t="str">
        <x:f>IF(OR($H32="",$I32=""),"",IF(AND($H32&lt;=R$6+6,$I32&gt;=R$6),1,""))</x:f>
      </x:c>
      <x:c r="S32" s="546" t="str">
        <x:f>IF(OR($H32="",$I32=""),"",IF(AND($H32&lt;=S$6+6,$I32&gt;=S$6),1,""))</x:f>
      </x:c>
      <x:c r="T32" s="546" t="str">
        <x:f>IF(OR($H32="",$I32=""),"",IF(AND($H32&lt;=T$6+6,$I32&gt;=T$6),1,""))</x:f>
      </x:c>
      <x:c r="U32" s="546" t="str">
        <x:f>IF(OR($H32="",$I32=""),"",IF(AND($H32&lt;=U$6+6,$I32&gt;=U$6),1,""))</x:f>
      </x:c>
      <x:c r="V32" s="546" t="str">
        <x:f>IF(OR($H32="",$I32=""),"",IF(AND($H32&lt;=V$6+6,$I32&gt;=V$6),1,""))</x:f>
      </x:c>
    </x:row>
    <x:row r="33" ht="24" customHeight="1">
      <x:c r="A33" s="522" t="n">
        <x:v>27</x:v>
      </x:c>
      <x:c r="B33" s="522" t="str">
        <x:v>ARC-05</x:v>
      </x:c>
      <x:c r="C33" s="522" t="str">
        <x:v>技術方式・アーキテクチャ</x:v>
      </x:c>
      <x:c r="D33" s="522" t="str">
        <x:v>Azure→Cloudera連携方式の決定</x:v>
      </x:c>
      <x:c r="E33" s="522" t="str">
        <x:v>通常</x:v>
      </x:c>
      <x:c r="F33" s="522" t="str">
        <x:v>Cloudera</x:v>
      </x:c>
      <x:c r="G33" s="522" t="str">
        <x:v>要確認</x:v>
      </x:c>
      <x:c r="H33" s="523" t="n">
        <x:v>46266</x:v>
      </x:c>
      <x:c r="I33" s="523" t="n">
        <x:v>46272</x:v>
      </x:c>
      <x:c r="J33" s="522" t="str">
        <x:v>準備中</x:v>
      </x:c>
      <x:c r="K33" s="372" t="str">
        <x:v>【絶対に必要｜並行可】 Cloudera側受入条件を確認</x:v>
      </x:c>
      <x:c r="L33" s="546" t="str">
        <x:f>IF(OR($H33="",$I33=""),"",IF(AND($H33&lt;=L$6+6,$I33&gt;=L$6),1,""))</x:f>
      </x:c>
      <x:c r="M33" s="546" t="n">
        <x:f>IF(OR($H33="",$I33=""),"",IF(AND($H33&lt;=M$6+6,$I33&gt;=M$6),1,""))</x:f>
        <x:v>1</x:v>
      </x:c>
      <x:c r="N33" s="546" t="n">
        <x:f>IF(OR($H33="",$I33=""),"",IF(AND($H33&lt;=N$6+6,$I33&gt;=N$6),1,""))</x:f>
        <x:v>1</x:v>
      </x:c>
      <x:c r="O33" s="546" t="str">
        <x:f>IF(OR($H33="",$I33=""),"",IF(AND($H33&lt;=O$6+6,$I33&gt;=O$6),1,""))</x:f>
      </x:c>
      <x:c r="P33" s="546" t="str">
        <x:f>IF(OR($H33="",$I33=""),"",IF(AND($H33&lt;=P$6+6,$I33&gt;=P$6),1,""))</x:f>
      </x:c>
      <x:c r="Q33" s="546" t="str">
        <x:f>IF(OR($H33="",$I33=""),"",IF(AND($H33&lt;=Q$6+6,$I33&gt;=Q$6),1,""))</x:f>
      </x:c>
      <x:c r="R33" s="546" t="str">
        <x:f>IF(OR($H33="",$I33=""),"",IF(AND($H33&lt;=R$6+6,$I33&gt;=R$6),1,""))</x:f>
      </x:c>
      <x:c r="S33" s="546" t="str">
        <x:f>IF(OR($H33="",$I33=""),"",IF(AND($H33&lt;=S$6+6,$I33&gt;=S$6),1,""))</x:f>
      </x:c>
      <x:c r="T33" s="546" t="str">
        <x:f>IF(OR($H33="",$I33=""),"",IF(AND($H33&lt;=T$6+6,$I33&gt;=T$6),1,""))</x:f>
      </x:c>
      <x:c r="U33" s="546" t="str">
        <x:f>IF(OR($H33="",$I33=""),"",IF(AND($H33&lt;=U$6+6,$I33&gt;=U$6),1,""))</x:f>
      </x:c>
      <x:c r="V33" s="546" t="str">
        <x:f>IF(OR($H33="",$I33=""),"",IF(AND($H33&lt;=V$6+6,$I33&gt;=V$6),1,""))</x:f>
      </x:c>
    </x:row>
    <x:row r="34" ht="24" customHeight="1">
      <x:c r="A34" s="522" t="n">
        <x:v>28</x:v>
      </x:c>
      <x:c r="B34" s="522" t="str">
        <x:v>ARC-06</x:v>
      </x:c>
      <x:c r="C34" s="522" t="str">
        <x:v>技術方式・アーキテクチャ</x:v>
      </x:c>
      <x:c r="D34" s="522" t="str">
        <x:v>E2E構成図・責務分界の作成</x:v>
      </x:c>
      <x:c r="E34" s="522" t="str">
        <x:v>通常</x:v>
      </x:c>
      <x:c r="F34" s="522" t="str">
        <x:v>データ基盤</x:v>
      </x:c>
      <x:c r="G34" s="522" t="str">
        <x:v>ワタル／要確認</x:v>
      </x:c>
      <x:c r="H34" s="523" t="n">
        <x:v>46268</x:v>
      </x:c>
      <x:c r="I34" s="523" t="n">
        <x:v>46273</x:v>
      </x:c>
      <x:c r="J34" s="522" t="str">
        <x:v>準備中</x:v>
      </x:c>
      <x:c r="K34" s="372" t="str">
        <x:v>【絶対に必要｜一部並行可】</x:v>
      </x:c>
      <x:c r="L34" s="546" t="str">
        <x:f>IF(OR($H34="",$I34=""),"",IF(AND($H34&lt;=L$6+6,$I34&gt;=L$6),1,""))</x:f>
      </x:c>
      <x:c r="M34" s="546" t="n">
        <x:f>IF(OR($H34="",$I34=""),"",IF(AND($H34&lt;=M$6+6,$I34&gt;=M$6),1,""))</x:f>
        <x:v>1</x:v>
      </x:c>
      <x:c r="N34" s="546" t="n">
        <x:f>IF(OR($H34="",$I34=""),"",IF(AND($H34&lt;=N$6+6,$I34&gt;=N$6),1,""))</x:f>
        <x:v>1</x:v>
      </x:c>
      <x:c r="O34" s="546" t="str">
        <x:f>IF(OR($H34="",$I34=""),"",IF(AND($H34&lt;=O$6+6,$I34&gt;=O$6),1,""))</x:f>
      </x:c>
      <x:c r="P34" s="546" t="str">
        <x:f>IF(OR($H34="",$I34=""),"",IF(AND($H34&lt;=P$6+6,$I34&gt;=P$6),1,""))</x:f>
      </x:c>
      <x:c r="Q34" s="546" t="str">
        <x:f>IF(OR($H34="",$I34=""),"",IF(AND($H34&lt;=Q$6+6,$I34&gt;=Q$6),1,""))</x:f>
      </x:c>
      <x:c r="R34" s="546" t="str">
        <x:f>IF(OR($H34="",$I34=""),"",IF(AND($H34&lt;=R$6+6,$I34&gt;=R$6),1,""))</x:f>
      </x:c>
      <x:c r="S34" s="546" t="str">
        <x:f>IF(OR($H34="",$I34=""),"",IF(AND($H34&lt;=S$6+6,$I34&gt;=S$6),1,""))</x:f>
      </x:c>
      <x:c r="T34" s="546" t="str">
        <x:f>IF(OR($H34="",$I34=""),"",IF(AND($H34&lt;=T$6+6,$I34&gt;=T$6),1,""))</x:f>
      </x:c>
      <x:c r="U34" s="546" t="str">
        <x:f>IF(OR($H34="",$I34=""),"",IF(AND($H34&lt;=U$6+6,$I34&gt;=U$6),1,""))</x:f>
      </x:c>
      <x:c r="V34" s="546" t="str">
        <x:f>IF(OR($H34="",$I34=""),"",IF(AND($H34&lt;=V$6+6,$I34&gt;=V$6),1,""))</x:f>
      </x:c>
    </x:row>
    <x:row r="35" ht="24" customHeight="1">
      <x:c r="A35" s="522" t="n">
        <x:v>29</x:v>
      </x:c>
      <x:c r="B35" s="522" t="str">
        <x:v>ARC-07</x:v>
      </x:c>
      <x:c r="C35" s="522" t="str">
        <x:v>技術方式・アーキテクチャ</x:v>
      </x:c>
      <x:c r="D35" s="522" t="str">
        <x:v>データ形式・識別情報・マッピング方針整理</x:v>
      </x:c>
      <x:c r="E35" s="522" t="str">
        <x:v>通常</x:v>
      </x:c>
      <x:c r="F35" s="522" t="str">
        <x:v>データ基盤</x:v>
      </x:c>
      <x:c r="G35" s="522" t="str">
        <x:v>要確認</x:v>
      </x:c>
      <x:c r="H35" s="523" t="n">
        <x:v>46268</x:v>
      </x:c>
      <x:c r="I35" s="523" t="n">
        <x:v>46273</x:v>
      </x:c>
      <x:c r="J35" s="522" t="str">
        <x:v>準備中</x:v>
      </x:c>
      <x:c r="K35" s="372" t="str">
        <x:v>【絶対に必要｜並行可】</x:v>
      </x:c>
      <x:c r="L35" s="546" t="str">
        <x:f>IF(OR($H35="",$I35=""),"",IF(AND($H35&lt;=L$6+6,$I35&gt;=L$6),1,""))</x:f>
      </x:c>
      <x:c r="M35" s="546" t="n">
        <x:f>IF(OR($H35="",$I35=""),"",IF(AND($H35&lt;=M$6+6,$I35&gt;=M$6),1,""))</x:f>
        <x:v>1</x:v>
      </x:c>
      <x:c r="N35" s="546" t="n">
        <x:f>IF(OR($H35="",$I35=""),"",IF(AND($H35&lt;=N$6+6,$I35&gt;=N$6),1,""))</x:f>
        <x:v>1</x:v>
      </x:c>
      <x:c r="O35" s="546" t="str">
        <x:f>IF(OR($H35="",$I35=""),"",IF(AND($H35&lt;=O$6+6,$I35&gt;=O$6),1,""))</x:f>
      </x:c>
      <x:c r="P35" s="546" t="str">
        <x:f>IF(OR($H35="",$I35=""),"",IF(AND($H35&lt;=P$6+6,$I35&gt;=P$6),1,""))</x:f>
      </x:c>
      <x:c r="Q35" s="546" t="str">
        <x:f>IF(OR($H35="",$I35=""),"",IF(AND($H35&lt;=Q$6+6,$I35&gt;=Q$6),1,""))</x:f>
      </x:c>
      <x:c r="R35" s="546" t="str">
        <x:f>IF(OR($H35="",$I35=""),"",IF(AND($H35&lt;=R$6+6,$I35&gt;=R$6),1,""))</x:f>
      </x:c>
      <x:c r="S35" s="546" t="str">
        <x:f>IF(OR($H35="",$I35=""),"",IF(AND($H35&lt;=S$6+6,$I35&gt;=S$6),1,""))</x:f>
      </x:c>
      <x:c r="T35" s="546" t="str">
        <x:f>IF(OR($H35="",$I35=""),"",IF(AND($H35&lt;=T$6+6,$I35&gt;=T$6),1,""))</x:f>
      </x:c>
      <x:c r="U35" s="546" t="str">
        <x:f>IF(OR($H35="",$I35=""),"",IF(AND($H35&lt;=U$6+6,$I35&gt;=U$6),1,""))</x:f>
      </x:c>
      <x:c r="V35" s="546" t="str">
        <x:f>IF(OR($H35="",$I35=""),"",IF(AND($H35&lt;=V$6+6,$I35&gt;=V$6),1,""))</x:f>
      </x:c>
    </x:row>
    <x:row r="36" ht="24" customHeight="1">
      <x:c r="A36" s="522" t="n">
        <x:v>30</x:v>
      </x:c>
      <x:c r="B36" s="522" t="str">
        <x:v>ARC-08</x:v>
      </x:c>
      <x:c r="C36" s="522" t="str">
        <x:v>技術方式・アーキテクチャ</x:v>
      </x:c>
      <x:c r="D36" s="522" t="str">
        <x:v>監視・ログ・処理履歴のPoC方針整理</x:v>
      </x:c>
      <x:c r="E36" s="522" t="str">
        <x:v>通常</x:v>
      </x:c>
      <x:c r="F36" s="522" t="str">
        <x:v>データ基盤</x:v>
      </x:c>
      <x:c r="G36" s="522" t="str">
        <x:v>ワタル／要確認</x:v>
      </x:c>
      <x:c r="H36" s="523" t="n">
        <x:v>46269</x:v>
      </x:c>
      <x:c r="I36" s="523" t="n">
        <x:v>46273</x:v>
      </x:c>
      <x:c r="J36" s="522" t="str">
        <x:v>準備中</x:v>
      </x:c>
      <x:c r="K36" s="372" t="str">
        <x:v>【暫定省略可｜並行可】 本番監視の完成はSTEP1対象外</x:v>
      </x:c>
      <x:c r="L36" s="546" t="str">
        <x:f>IF(OR($H36="",$I36=""),"",IF(AND($H36&lt;=L$6+6,$I36&gt;=L$6),1,""))</x:f>
      </x:c>
      <x:c r="M36" s="546" t="n">
        <x:f>IF(OR($H36="",$I36=""),"",IF(AND($H36&lt;=M$6+6,$I36&gt;=M$6),1,""))</x:f>
        <x:v>1</x:v>
      </x:c>
      <x:c r="N36" s="546" t="n">
        <x:f>IF(OR($H36="",$I36=""),"",IF(AND($H36&lt;=N$6+6,$I36&gt;=N$6),1,""))</x:f>
        <x:v>1</x:v>
      </x:c>
      <x:c r="O36" s="546" t="str">
        <x:f>IF(OR($H36="",$I36=""),"",IF(AND($H36&lt;=O$6+6,$I36&gt;=O$6),1,""))</x:f>
      </x:c>
      <x:c r="P36" s="546" t="str">
        <x:f>IF(OR($H36="",$I36=""),"",IF(AND($H36&lt;=P$6+6,$I36&gt;=P$6),1,""))</x:f>
      </x:c>
      <x:c r="Q36" s="546" t="str">
        <x:f>IF(OR($H36="",$I36=""),"",IF(AND($H36&lt;=Q$6+6,$I36&gt;=Q$6),1,""))</x:f>
      </x:c>
      <x:c r="R36" s="546" t="str">
        <x:f>IF(OR($H36="",$I36=""),"",IF(AND($H36&lt;=R$6+6,$I36&gt;=R$6),1,""))</x:f>
      </x:c>
      <x:c r="S36" s="546" t="str">
        <x:f>IF(OR($H36="",$I36=""),"",IF(AND($H36&lt;=S$6+6,$I36&gt;=S$6),1,""))</x:f>
      </x:c>
      <x:c r="T36" s="546" t="str">
        <x:f>IF(OR($H36="",$I36=""),"",IF(AND($H36&lt;=T$6+6,$I36&gt;=T$6),1,""))</x:f>
      </x:c>
      <x:c r="U36" s="546" t="str">
        <x:f>IF(OR($H36="",$I36=""),"",IF(AND($H36&lt;=U$6+6,$I36&gt;=U$6),1,""))</x:f>
      </x:c>
      <x:c r="V36" s="546" t="str">
        <x:f>IF(OR($H36="",$I36=""),"",IF(AND($H36&lt;=V$6+6,$I36&gt;=V$6),1,""))</x:f>
      </x:c>
    </x:row>
    <x:row r="37" ht="24" customHeight="1">
      <x:c r="A37" s="526" t="n">
        <x:v>31</x:v>
      </x:c>
      <x:c r="B37" s="526" t="str">
        <x:v>SEC-01</x:v>
      </x:c>
      <x:c r="C37" s="526" t="str">
        <x:v>Security・NW・環境準備</x:v>
      </x:c>
      <x:c r="D37" s="526" t="str">
        <x:v>Salesforce側PoC権限・認証情報の準備</x:v>
      </x:c>
      <x:c r="E37" s="526" t="str">
        <x:v>通常</x:v>
      </x:c>
      <x:c r="F37" s="526" t="str">
        <x:v>インフラ</x:v>
      </x:c>
      <x:c r="G37" s="526" t="str">
        <x:v>要確認</x:v>
      </x:c>
      <x:c r="H37" s="527" t="n">
        <x:v>46265</x:v>
      </x:c>
      <x:c r="I37" s="527" t="n">
        <x:v>46269</x:v>
      </x:c>
      <x:c r="J37" s="526" t="str">
        <x:v>準備中</x:v>
      </x:c>
      <x:c r="K37" s="372" t="str">
        <x:v>【絶対に必要｜並行可】 秘密情報の受渡方法を含む</x:v>
      </x:c>
      <x:c r="L37" s="546" t="str">
        <x:f>IF(OR($H37="",$I37=""),"",IF(AND($H37&lt;=L$6+6,$I37&gt;=L$6),1,""))</x:f>
      </x:c>
      <x:c r="M37" s="546" t="n">
        <x:f>IF(OR($H37="",$I37=""),"",IF(AND($H37&lt;=M$6+6,$I37&gt;=M$6),1,""))</x:f>
        <x:v>1</x:v>
      </x:c>
      <x:c r="N37" s="546" t="str">
        <x:f>IF(OR($H37="",$I37=""),"",IF(AND($H37&lt;=N$6+6,$I37&gt;=N$6),1,""))</x:f>
      </x:c>
      <x:c r="O37" s="546" t="str">
        <x:f>IF(OR($H37="",$I37=""),"",IF(AND($H37&lt;=O$6+6,$I37&gt;=O$6),1,""))</x:f>
      </x:c>
      <x:c r="P37" s="546" t="str">
        <x:f>IF(OR($H37="",$I37=""),"",IF(AND($H37&lt;=P$6+6,$I37&gt;=P$6),1,""))</x:f>
      </x:c>
      <x:c r="Q37" s="546" t="str">
        <x:f>IF(OR($H37="",$I37=""),"",IF(AND($H37&lt;=Q$6+6,$I37&gt;=Q$6),1,""))</x:f>
      </x:c>
      <x:c r="R37" s="546" t="str">
        <x:f>IF(OR($H37="",$I37=""),"",IF(AND($H37&lt;=R$6+6,$I37&gt;=R$6),1,""))</x:f>
      </x:c>
      <x:c r="S37" s="546" t="str">
        <x:f>IF(OR($H37="",$I37=""),"",IF(AND($H37&lt;=S$6+6,$I37&gt;=S$6),1,""))</x:f>
      </x:c>
      <x:c r="T37" s="546" t="str">
        <x:f>IF(OR($H37="",$I37=""),"",IF(AND($H37&lt;=T$6+6,$I37&gt;=T$6),1,""))</x:f>
      </x:c>
      <x:c r="U37" s="546" t="str">
        <x:f>IF(OR($H37="",$I37=""),"",IF(AND($H37&lt;=U$6+6,$I37&gt;=U$6),1,""))</x:f>
      </x:c>
      <x:c r="V37" s="546" t="str">
        <x:f>IF(OR($H37="",$I37=""),"",IF(AND($H37&lt;=V$6+6,$I37&gt;=V$6),1,""))</x:f>
      </x:c>
    </x:row>
    <x:row r="38" ht="24" customHeight="1">
      <x:c r="A38" s="526" t="n">
        <x:v>32</x:v>
      </x:c>
      <x:c r="B38" s="526" t="str">
        <x:v>SEC-02</x:v>
      </x:c>
      <x:c r="C38" s="526" t="str">
        <x:v>Security・NW・環境準備</x:v>
      </x:c>
      <x:c r="D38" s="526" t="str">
        <x:v>Salesforce→Azureネットワーク制約確認</x:v>
      </x:c>
      <x:c r="E38" s="526" t="str">
        <x:v>通常</x:v>
      </x:c>
      <x:c r="F38" s="526" t="str">
        <x:v>インフラ</x:v>
      </x:c>
      <x:c r="G38" s="526" t="str">
        <x:v>要確認</x:v>
      </x:c>
      <x:c r="H38" s="527" t="n">
        <x:v>46265</x:v>
      </x:c>
      <x:c r="I38" s="527" t="n">
        <x:v>46269</x:v>
      </x:c>
      <x:c r="J38" s="526" t="str">
        <x:v>準備中</x:v>
      </x:c>
      <x:c r="K38" s="372" t="str">
        <x:v>【絶対に必要｜並行可】</x:v>
      </x:c>
      <x:c r="L38" s="546" t="str">
        <x:f>IF(OR($H38="",$I38=""),"",IF(AND($H38&lt;=L$6+6,$I38&gt;=L$6),1,""))</x:f>
      </x:c>
      <x:c r="M38" s="546" t="n">
        <x:f>IF(OR($H38="",$I38=""),"",IF(AND($H38&lt;=M$6+6,$I38&gt;=M$6),1,""))</x:f>
        <x:v>1</x:v>
      </x:c>
      <x:c r="N38" s="546" t="str">
        <x:f>IF(OR($H38="",$I38=""),"",IF(AND($H38&lt;=N$6+6,$I38&gt;=N$6),1,""))</x:f>
      </x:c>
      <x:c r="O38" s="546" t="str">
        <x:f>IF(OR($H38="",$I38=""),"",IF(AND($H38&lt;=O$6+6,$I38&gt;=O$6),1,""))</x:f>
      </x:c>
      <x:c r="P38" s="546" t="str">
        <x:f>IF(OR($H38="",$I38=""),"",IF(AND($H38&lt;=P$6+6,$I38&gt;=P$6),1,""))</x:f>
      </x:c>
      <x:c r="Q38" s="546" t="str">
        <x:f>IF(OR($H38="",$I38=""),"",IF(AND($H38&lt;=Q$6+6,$I38&gt;=Q$6),1,""))</x:f>
      </x:c>
      <x:c r="R38" s="546" t="str">
        <x:f>IF(OR($H38="",$I38=""),"",IF(AND($H38&lt;=R$6+6,$I38&gt;=R$6),1,""))</x:f>
      </x:c>
      <x:c r="S38" s="546" t="str">
        <x:f>IF(OR($H38="",$I38=""),"",IF(AND($H38&lt;=S$6+6,$I38&gt;=S$6),1,""))</x:f>
      </x:c>
      <x:c r="T38" s="546" t="str">
        <x:f>IF(OR($H38="",$I38=""),"",IF(AND($H38&lt;=T$6+6,$I38&gt;=T$6),1,""))</x:f>
      </x:c>
      <x:c r="U38" s="546" t="str">
        <x:f>IF(OR($H38="",$I38=""),"",IF(AND($H38&lt;=U$6+6,$I38&gt;=U$6),1,""))</x:f>
      </x:c>
      <x:c r="V38" s="546" t="str">
        <x:f>IF(OR($H38="",$I38=""),"",IF(AND($H38&lt;=V$6+6,$I38&gt;=V$6),1,""))</x:f>
      </x:c>
    </x:row>
    <x:row r="39" ht="24" customHeight="1">
      <x:c r="A39" s="526" t="n">
        <x:v>33</x:v>
      </x:c>
      <x:c r="B39" s="526" t="str">
        <x:v>SEC-03</x:v>
      </x:c>
      <x:c r="C39" s="526" t="str">
        <x:v>Security・NW・環境準備</x:v>
      </x:c>
      <x:c r="D39" s="526" t="str">
        <x:v>Azure側受信環境の準備</x:v>
      </x:c>
      <x:c r="E39" s="526" t="str">
        <x:v>通常</x:v>
      </x:c>
      <x:c r="F39" s="526" t="str">
        <x:v>インフラ</x:v>
      </x:c>
      <x:c r="G39" s="526" t="str">
        <x:v>要確認</x:v>
      </x:c>
      <x:c r="H39" s="527" t="n">
        <x:v>46268</x:v>
      </x:c>
      <x:c r="I39" s="527" t="n">
        <x:v>46273</x:v>
      </x:c>
      <x:c r="J39" s="526" t="str">
        <x:v>準備中</x:v>
      </x:c>
      <x:c r="K39" s="372" t="str">
        <x:v>【絶対に必要｜一部並行可】</x:v>
      </x:c>
      <x:c r="L39" s="546" t="str">
        <x:f>IF(OR($H39="",$I39=""),"",IF(AND($H39&lt;=L$6+6,$I39&gt;=L$6),1,""))</x:f>
      </x:c>
      <x:c r="M39" s="546" t="n">
        <x:f>IF(OR($H39="",$I39=""),"",IF(AND($H39&lt;=M$6+6,$I39&gt;=M$6),1,""))</x:f>
        <x:v>1</x:v>
      </x:c>
      <x:c r="N39" s="546" t="n">
        <x:f>IF(OR($H39="",$I39=""),"",IF(AND($H39&lt;=N$6+6,$I39&gt;=N$6),1,""))</x:f>
        <x:v>1</x:v>
      </x:c>
      <x:c r="O39" s="546" t="str">
        <x:f>IF(OR($H39="",$I39=""),"",IF(AND($H39&lt;=O$6+6,$I39&gt;=O$6),1,""))</x:f>
      </x:c>
      <x:c r="P39" s="546" t="str">
        <x:f>IF(OR($H39="",$I39=""),"",IF(AND($H39&lt;=P$6+6,$I39&gt;=P$6),1,""))</x:f>
      </x:c>
      <x:c r="Q39" s="546" t="str">
        <x:f>IF(OR($H39="",$I39=""),"",IF(AND($H39&lt;=Q$6+6,$I39&gt;=Q$6),1,""))</x:f>
      </x:c>
      <x:c r="R39" s="546" t="str">
        <x:f>IF(OR($H39="",$I39=""),"",IF(AND($H39&lt;=R$6+6,$I39&gt;=R$6),1,""))</x:f>
      </x:c>
      <x:c r="S39" s="546" t="str">
        <x:f>IF(OR($H39="",$I39=""),"",IF(AND($H39&lt;=S$6+6,$I39&gt;=S$6),1,""))</x:f>
      </x:c>
      <x:c r="T39" s="546" t="str">
        <x:f>IF(OR($H39="",$I39=""),"",IF(AND($H39&lt;=T$6+6,$I39&gt;=T$6),1,""))</x:f>
      </x:c>
      <x:c r="U39" s="546" t="str">
        <x:f>IF(OR($H39="",$I39=""),"",IF(AND($H39&lt;=U$6+6,$I39&gt;=U$6),1,""))</x:f>
      </x:c>
      <x:c r="V39" s="546" t="str">
        <x:f>IF(OR($H39="",$I39=""),"",IF(AND($H39&lt;=V$6+6,$I39&gt;=V$6),1,""))</x:f>
      </x:c>
    </x:row>
    <x:row r="40" ht="24" customHeight="1">
      <x:c r="A40" s="526" t="n">
        <x:v>34</x:v>
      </x:c>
      <x:c r="B40" s="526" t="str">
        <x:v>SEC-04</x:v>
      </x:c>
      <x:c r="C40" s="526" t="str">
        <x:v>Security・NW・環境準備</x:v>
      </x:c>
      <x:c r="D40" s="526" t="str">
        <x:v>Cloudera側PoC受入環境・接続先の準備</x:v>
      </x:c>
      <x:c r="E40" s="526" t="str">
        <x:v>通常</x:v>
      </x:c>
      <x:c r="F40" s="526" t="str">
        <x:v>Cloudera</x:v>
      </x:c>
      <x:c r="G40" s="526" t="str">
        <x:v>要確認</x:v>
      </x:c>
      <x:c r="H40" s="527" t="n">
        <x:v>46268</x:v>
      </x:c>
      <x:c r="I40" s="527" t="n">
        <x:v>46273</x:v>
      </x:c>
      <x:c r="J40" s="526" t="str">
        <x:v>準備中</x:v>
      </x:c>
      <x:c r="K40" s="372" t="str">
        <x:v>【絶対に必要｜一部並行可】</x:v>
      </x:c>
      <x:c r="L40" s="546" t="str">
        <x:f>IF(OR($H40="",$I40=""),"",IF(AND($H40&lt;=L$6+6,$I40&gt;=L$6),1,""))</x:f>
      </x:c>
      <x:c r="M40" s="546" t="n">
        <x:f>IF(OR($H40="",$I40=""),"",IF(AND($H40&lt;=M$6+6,$I40&gt;=M$6),1,""))</x:f>
        <x:v>1</x:v>
      </x:c>
      <x:c r="N40" s="546" t="n">
        <x:f>IF(OR($H40="",$I40=""),"",IF(AND($H40&lt;=N$6+6,$I40&gt;=N$6),1,""))</x:f>
        <x:v>1</x:v>
      </x:c>
      <x:c r="O40" s="546" t="str">
        <x:f>IF(OR($H40="",$I40=""),"",IF(AND($H40&lt;=O$6+6,$I40&gt;=O$6),1,""))</x:f>
      </x:c>
      <x:c r="P40" s="546" t="str">
        <x:f>IF(OR($H40="",$I40=""),"",IF(AND($H40&lt;=P$6+6,$I40&gt;=P$6),1,""))</x:f>
      </x:c>
      <x:c r="Q40" s="546" t="str">
        <x:f>IF(OR($H40="",$I40=""),"",IF(AND($H40&lt;=Q$6+6,$I40&gt;=Q$6),1,""))</x:f>
      </x:c>
      <x:c r="R40" s="546" t="str">
        <x:f>IF(OR($H40="",$I40=""),"",IF(AND($H40&lt;=R$6+6,$I40&gt;=R$6),1,""))</x:f>
      </x:c>
      <x:c r="S40" s="546" t="str">
        <x:f>IF(OR($H40="",$I40=""),"",IF(AND($H40&lt;=S$6+6,$I40&gt;=S$6),1,""))</x:f>
      </x:c>
      <x:c r="T40" s="546" t="str">
        <x:f>IF(OR($H40="",$I40=""),"",IF(AND($H40&lt;=T$6+6,$I40&gt;=T$6),1,""))</x:f>
      </x:c>
      <x:c r="U40" s="546" t="str">
        <x:f>IF(OR($H40="",$I40=""),"",IF(AND($H40&lt;=U$6+6,$I40&gt;=U$6),1,""))</x:f>
      </x:c>
      <x:c r="V40" s="546" t="str">
        <x:f>IF(OR($H40="",$I40=""),"",IF(AND($H40&lt;=V$6+6,$I40&gt;=V$6),1,""))</x:f>
      </x:c>
    </x:row>
    <x:row r="41" ht="24" customHeight="1">
      <x:c r="A41" s="526" t="n">
        <x:v>35</x:v>
      </x:c>
      <x:c r="B41" s="526" t="str">
        <x:v>SEC-05</x:v>
      </x:c>
      <x:c r="C41" s="526" t="str">
        <x:v>Security・NW・環境準備</x:v>
      </x:c>
      <x:c r="D41" s="526" t="str">
        <x:v>Secret・Credential管理方法の設定</x:v>
      </x:c>
      <x:c r="E41" s="526" t="str">
        <x:v>通常</x:v>
      </x:c>
      <x:c r="F41" s="526" t="str">
        <x:v>インフラ</x:v>
      </x:c>
      <x:c r="G41" s="526" t="str">
        <x:v>要確認</x:v>
      </x:c>
      <x:c r="H41" s="527" t="n">
        <x:v>46269</x:v>
      </x:c>
      <x:c r="I41" s="527" t="n">
        <x:v>46274</x:v>
      </x:c>
      <x:c r="J41" s="526" t="str">
        <x:v>準備中</x:v>
      </x:c>
      <x:c r="K41" s="372" t="str">
        <x:v>【絶対に必要｜並行可】</x:v>
      </x:c>
      <x:c r="L41" s="546" t="str">
        <x:f>IF(OR($H41="",$I41=""),"",IF(AND($H41&lt;=L$6+6,$I41&gt;=L$6),1,""))</x:f>
      </x:c>
      <x:c r="M41" s="546" t="n">
        <x:f>IF(OR($H41="",$I41=""),"",IF(AND($H41&lt;=M$6+6,$I41&gt;=M$6),1,""))</x:f>
        <x:v>1</x:v>
      </x:c>
      <x:c r="N41" s="546" t="n">
        <x:f>IF(OR($H41="",$I41=""),"",IF(AND($H41&lt;=N$6+6,$I41&gt;=N$6),1,""))</x:f>
        <x:v>1</x:v>
      </x:c>
      <x:c r="O41" s="546" t="str">
        <x:f>IF(OR($H41="",$I41=""),"",IF(AND($H41&lt;=O$6+6,$I41&gt;=O$6),1,""))</x:f>
      </x:c>
      <x:c r="P41" s="546" t="str">
        <x:f>IF(OR($H41="",$I41=""),"",IF(AND($H41&lt;=P$6+6,$I41&gt;=P$6),1,""))</x:f>
      </x:c>
      <x:c r="Q41" s="546" t="str">
        <x:f>IF(OR($H41="",$I41=""),"",IF(AND($H41&lt;=Q$6+6,$I41&gt;=Q$6),1,""))</x:f>
      </x:c>
      <x:c r="R41" s="546" t="str">
        <x:f>IF(OR($H41="",$I41=""),"",IF(AND($H41&lt;=R$6+6,$I41&gt;=R$6),1,""))</x:f>
      </x:c>
      <x:c r="S41" s="546" t="str">
        <x:f>IF(OR($H41="",$I41=""),"",IF(AND($H41&lt;=S$6+6,$I41&gt;=S$6),1,""))</x:f>
      </x:c>
      <x:c r="T41" s="546" t="str">
        <x:f>IF(OR($H41="",$I41=""),"",IF(AND($H41&lt;=T$6+6,$I41&gt;=T$6),1,""))</x:f>
      </x:c>
      <x:c r="U41" s="546" t="str">
        <x:f>IF(OR($H41="",$I41=""),"",IF(AND($H41&lt;=U$6+6,$I41&gt;=U$6),1,""))</x:f>
      </x:c>
      <x:c r="V41" s="546" t="str">
        <x:f>IF(OR($H41="",$I41=""),"",IF(AND($H41&lt;=V$6+6,$I41&gt;=V$6),1,""))</x:f>
      </x:c>
    </x:row>
    <x:row r="42" ht="24" customHeight="1">
      <x:c r="A42" s="526" t="n">
        <x:v>36</x:v>
      </x:c>
      <x:c r="B42" s="526" t="str">
        <x:v>SEC-06</x:v>
      </x:c>
      <x:c r="C42" s="526" t="str">
        <x:v>Security・NW・環境準備</x:v>
      </x:c>
      <x:c r="D42" s="526" t="str">
        <x:v>接続・権限・疎通の事前確認</x:v>
      </x:c>
      <x:c r="E42" s="526" t="str">
        <x:v>通常</x:v>
      </x:c>
      <x:c r="F42" s="526" t="str">
        <x:v>インフラ</x:v>
      </x:c>
      <x:c r="G42" s="526" t="str">
        <x:v>要確認</x:v>
      </x:c>
      <x:c r="H42" s="527" t="n">
        <x:v>46272</x:v>
      </x:c>
      <x:c r="I42" s="527" t="n">
        <x:v>46274</x:v>
      </x:c>
      <x:c r="J42" s="526" t="str">
        <x:v>準備中</x:v>
      </x:c>
      <x:c r="K42" s="372" t="str">
        <x:v>【絶対に必要｜一部並行可】</x:v>
      </x:c>
      <x:c r="L42" s="546" t="str">
        <x:f>IF(OR($H42="",$I42=""),"",IF(AND($H42&lt;=L$6+6,$I42&gt;=L$6),1,""))</x:f>
      </x:c>
      <x:c r="M42" s="546" t="str">
        <x:f>IF(OR($H42="",$I42=""),"",IF(AND($H42&lt;=M$6+6,$I42&gt;=M$6),1,""))</x:f>
      </x:c>
      <x:c r="N42" s="546" t="n">
        <x:f>IF(OR($H42="",$I42=""),"",IF(AND($H42&lt;=N$6+6,$I42&gt;=N$6),1,""))</x:f>
        <x:v>1</x:v>
      </x:c>
      <x:c r="O42" s="546" t="str">
        <x:f>IF(OR($H42="",$I42=""),"",IF(AND($H42&lt;=O$6+6,$I42&gt;=O$6),1,""))</x:f>
      </x:c>
      <x:c r="P42" s="546" t="str">
        <x:f>IF(OR($H42="",$I42=""),"",IF(AND($H42&lt;=P$6+6,$I42&gt;=P$6),1,""))</x:f>
      </x:c>
      <x:c r="Q42" s="546" t="str">
        <x:f>IF(OR($H42="",$I42=""),"",IF(AND($H42&lt;=Q$6+6,$I42&gt;=Q$6),1,""))</x:f>
      </x:c>
      <x:c r="R42" s="546" t="str">
        <x:f>IF(OR($H42="",$I42=""),"",IF(AND($H42&lt;=R$6+6,$I42&gt;=R$6),1,""))</x:f>
      </x:c>
      <x:c r="S42" s="546" t="str">
        <x:f>IF(OR($H42="",$I42=""),"",IF(AND($H42&lt;=S$6+6,$I42&gt;=S$6),1,""))</x:f>
      </x:c>
      <x:c r="T42" s="546" t="str">
        <x:f>IF(OR($H42="",$I42=""),"",IF(AND($H42&lt;=T$6+6,$I42&gt;=T$6),1,""))</x:f>
      </x:c>
      <x:c r="U42" s="546" t="str">
        <x:f>IF(OR($H42="",$I42=""),"",IF(AND($H42&lt;=U$6+6,$I42&gt;=U$6),1,""))</x:f>
      </x:c>
      <x:c r="V42" s="546" t="str">
        <x:f>IF(OR($H42="",$I42=""),"",IF(AND($H42&lt;=V$6+6,$I42&gt;=V$6),1,""))</x:f>
      </x:c>
    </x:row>
    <x:row r="43" ht="24" customHeight="1">
      <x:c r="A43" s="510" t="n">
        <x:v>37</x:v>
      </x:c>
      <x:c r="B43" s="510" t="str">
        <x:v>DEV-01</x:v>
      </x:c>
      <x:c r="C43" s="510" t="str">
        <x:v>PoC構築</x:v>
      </x:c>
      <x:c r="D43" s="510" t="str">
        <x:v>Salesforce CDC/Event設定</x:v>
      </x:c>
      <x:c r="E43" s="510" t="str">
        <x:v>通常</x:v>
      </x:c>
      <x:c r="F43" s="510" t="str">
        <x:v>データ基盤</x:v>
      </x:c>
      <x:c r="G43" s="510" t="str">
        <x:v>要確認（Salesforce側）</x:v>
      </x:c>
      <x:c r="H43" s="511" t="n">
        <x:v>46272</x:v>
      </x:c>
      <x:c r="I43" s="511" t="n">
        <x:v>46275</x:v>
      </x:c>
      <x:c r="J43" s="510" t="str">
        <x:v>準備中</x:v>
      </x:c>
      <x:c r="K43" s="372" t="str">
        <x:v>【絶対に必要｜一部並行可】</x:v>
      </x:c>
      <x:c r="L43" s="546" t="str">
        <x:f>IF(OR($H43="",$I43=""),"",IF(AND($H43&lt;=L$6+6,$I43&gt;=L$6),1,""))</x:f>
      </x:c>
      <x:c r="M43" s="546" t="str">
        <x:f>IF(OR($H43="",$I43=""),"",IF(AND($H43&lt;=M$6+6,$I43&gt;=M$6),1,""))</x:f>
      </x:c>
      <x:c r="N43" s="546" t="n">
        <x:f>IF(OR($H43="",$I43=""),"",IF(AND($H43&lt;=N$6+6,$I43&gt;=N$6),1,""))</x:f>
        <x:v>1</x:v>
      </x:c>
      <x:c r="O43" s="546" t="str">
        <x:f>IF(OR($H43="",$I43=""),"",IF(AND($H43&lt;=O$6+6,$I43&gt;=O$6),1,""))</x:f>
      </x:c>
      <x:c r="P43" s="546" t="str">
        <x:f>IF(OR($H43="",$I43=""),"",IF(AND($H43&lt;=P$6+6,$I43&gt;=P$6),1,""))</x:f>
      </x:c>
      <x:c r="Q43" s="546" t="str">
        <x:f>IF(OR($H43="",$I43=""),"",IF(AND($H43&lt;=Q$6+6,$I43&gt;=Q$6),1,""))</x:f>
      </x:c>
      <x:c r="R43" s="546" t="str">
        <x:f>IF(OR($H43="",$I43=""),"",IF(AND($H43&lt;=R$6+6,$I43&gt;=R$6),1,""))</x:f>
      </x:c>
      <x:c r="S43" s="546" t="str">
        <x:f>IF(OR($H43="",$I43=""),"",IF(AND($H43&lt;=S$6+6,$I43&gt;=S$6),1,""))</x:f>
      </x:c>
      <x:c r="T43" s="546" t="str">
        <x:f>IF(OR($H43="",$I43=""),"",IF(AND($H43&lt;=T$6+6,$I43&gt;=T$6),1,""))</x:f>
      </x:c>
      <x:c r="U43" s="546" t="str">
        <x:f>IF(OR($H43="",$I43=""),"",IF(AND($H43&lt;=U$6+6,$I43&gt;=U$6),1,""))</x:f>
      </x:c>
      <x:c r="V43" s="546" t="str">
        <x:f>IF(OR($H43="",$I43=""),"",IF(AND($H43&lt;=V$6+6,$I43&gt;=V$6),1,""))</x:f>
      </x:c>
    </x:row>
    <x:row r="44" ht="24" customHeight="1">
      <x:c r="A44" s="510" t="n">
        <x:v>38</x:v>
      </x:c>
      <x:c r="B44" s="510" t="str">
        <x:v>DEV-02</x:v>
      </x:c>
      <x:c r="C44" s="510" t="str">
        <x:v>PoC構築</x:v>
      </x:c>
      <x:c r="D44" s="510" t="str">
        <x:v>Azure Event Consumer最小実装</x:v>
      </x:c>
      <x:c r="E44" s="510" t="str">
        <x:v>通常</x:v>
      </x:c>
      <x:c r="F44" s="510" t="str">
        <x:v>データ基盤</x:v>
      </x:c>
      <x:c r="G44" s="510" t="str">
        <x:v>要確認</x:v>
      </x:c>
      <x:c r="H44" s="511" t="n">
        <x:v>46272</x:v>
      </x:c>
      <x:c r="I44" s="511" t="n">
        <x:v>46276</x:v>
      </x:c>
      <x:c r="J44" s="510" t="str">
        <x:v>準備中</x:v>
      </x:c>
      <x:c r="K44" s="372" t="str">
        <x:v>【絶対に必要｜並行可】</x:v>
      </x:c>
      <x:c r="L44" s="546" t="str">
        <x:f>IF(OR($H44="",$I44=""),"",IF(AND($H44&lt;=L$6+6,$I44&gt;=L$6),1,""))</x:f>
      </x:c>
      <x:c r="M44" s="546" t="str">
        <x:f>IF(OR($H44="",$I44=""),"",IF(AND($H44&lt;=M$6+6,$I44&gt;=M$6),1,""))</x:f>
      </x:c>
      <x:c r="N44" s="546" t="n">
        <x:f>IF(OR($H44="",$I44=""),"",IF(AND($H44&lt;=N$6+6,$I44&gt;=N$6),1,""))</x:f>
        <x:v>1</x:v>
      </x:c>
      <x:c r="O44" s="546" t="str">
        <x:f>IF(OR($H44="",$I44=""),"",IF(AND($H44&lt;=O$6+6,$I44&gt;=O$6),1,""))</x:f>
      </x:c>
      <x:c r="P44" s="546" t="str">
        <x:f>IF(OR($H44="",$I44=""),"",IF(AND($H44&lt;=P$6+6,$I44&gt;=P$6),1,""))</x:f>
      </x:c>
      <x:c r="Q44" s="546" t="str">
        <x:f>IF(OR($H44="",$I44=""),"",IF(AND($H44&lt;=Q$6+6,$I44&gt;=Q$6),1,""))</x:f>
      </x:c>
      <x:c r="R44" s="546" t="str">
        <x:f>IF(OR($H44="",$I44=""),"",IF(AND($H44&lt;=R$6+6,$I44&gt;=R$6),1,""))</x:f>
      </x:c>
      <x:c r="S44" s="546" t="str">
        <x:f>IF(OR($H44="",$I44=""),"",IF(AND($H44&lt;=S$6+6,$I44&gt;=S$6),1,""))</x:f>
      </x:c>
      <x:c r="T44" s="546" t="str">
        <x:f>IF(OR($H44="",$I44=""),"",IF(AND($H44&lt;=T$6+6,$I44&gt;=T$6),1,""))</x:f>
      </x:c>
      <x:c r="U44" s="546" t="str">
        <x:f>IF(OR($H44="",$I44=""),"",IF(AND($H44&lt;=U$6+6,$I44&gt;=U$6),1,""))</x:f>
      </x:c>
      <x:c r="V44" s="546" t="str">
        <x:f>IF(OR($H44="",$I44=""),"",IF(AND($H44&lt;=V$6+6,$I44&gt;=V$6),1,""))</x:f>
      </x:c>
    </x:row>
    <x:row r="45" ht="24" customHeight="1">
      <x:c r="A45" s="510" t="n">
        <x:v>39</x:v>
      </x:c>
      <x:c r="B45" s="510" t="str">
        <x:v>DEV-03</x:v>
      </x:c>
      <x:c r="C45" s="510" t="str">
        <x:v>PoC構築</x:v>
      </x:c>
      <x:c r="D45" s="510" t="str">
        <x:v>イベント受信ログ・Evidence取得機能の準備</x:v>
      </x:c>
      <x:c r="E45" s="510" t="str">
        <x:v>通常</x:v>
      </x:c>
      <x:c r="F45" s="510" t="str">
        <x:v>データ基盤</x:v>
      </x:c>
      <x:c r="G45" s="510" t="str">
        <x:v>要確認</x:v>
      </x:c>
      <x:c r="H45" s="511" t="n">
        <x:v>46273</x:v>
      </x:c>
      <x:c r="I45" s="511" t="n">
        <x:v>46276</x:v>
      </x:c>
      <x:c r="J45" s="510" t="str">
        <x:v>準備中</x:v>
      </x:c>
      <x:c r="K45" s="372" t="str">
        <x:v>【絶対に必要｜並行可】</x:v>
      </x:c>
      <x:c r="L45" s="546" t="str">
        <x:f>IF(OR($H45="",$I45=""),"",IF(AND($H45&lt;=L$6+6,$I45&gt;=L$6),1,""))</x:f>
      </x:c>
      <x:c r="M45" s="546" t="str">
        <x:f>IF(OR($H45="",$I45=""),"",IF(AND($H45&lt;=M$6+6,$I45&gt;=M$6),1,""))</x:f>
      </x:c>
      <x:c r="N45" s="546" t="n">
        <x:f>IF(OR($H45="",$I45=""),"",IF(AND($H45&lt;=N$6+6,$I45&gt;=N$6),1,""))</x:f>
        <x:v>1</x:v>
      </x:c>
      <x:c r="O45" s="546" t="str">
        <x:f>IF(OR($H45="",$I45=""),"",IF(AND($H45&lt;=O$6+6,$I45&gt;=O$6),1,""))</x:f>
      </x:c>
      <x:c r="P45" s="546" t="str">
        <x:f>IF(OR($H45="",$I45=""),"",IF(AND($H45&lt;=P$6+6,$I45&gt;=P$6),1,""))</x:f>
      </x:c>
      <x:c r="Q45" s="546" t="str">
        <x:f>IF(OR($H45="",$I45=""),"",IF(AND($H45&lt;=Q$6+6,$I45&gt;=Q$6),1,""))</x:f>
      </x:c>
      <x:c r="R45" s="546" t="str">
        <x:f>IF(OR($H45="",$I45=""),"",IF(AND($H45&lt;=R$6+6,$I45&gt;=R$6),1,""))</x:f>
      </x:c>
      <x:c r="S45" s="546" t="str">
        <x:f>IF(OR($H45="",$I45=""),"",IF(AND($H45&lt;=S$6+6,$I45&gt;=S$6),1,""))</x:f>
      </x:c>
      <x:c r="T45" s="546" t="str">
        <x:f>IF(OR($H45="",$I45=""),"",IF(AND($H45&lt;=T$6+6,$I45&gt;=T$6),1,""))</x:f>
      </x:c>
      <x:c r="U45" s="546" t="str">
        <x:f>IF(OR($H45="",$I45=""),"",IF(AND($H45&lt;=U$6+6,$I45&gt;=U$6),1,""))</x:f>
      </x:c>
      <x:c r="V45" s="546" t="str">
        <x:f>IF(OR($H45="",$I45=""),"",IF(AND($H45&lt;=V$6+6,$I45&gt;=V$6),1,""))</x:f>
      </x:c>
    </x:row>
    <x:row r="46" ht="24" customHeight="1">
      <x:c r="A46" s="510" t="n">
        <x:v>40</x:v>
      </x:c>
      <x:c r="B46" s="510" t="str">
        <x:v>DEV-04</x:v>
      </x:c>
      <x:c r="C46" s="510" t="str">
        <x:v>PoC構築</x:v>
      </x:c>
      <x:c r="D46" s="510" t="str">
        <x:v>Azure→Cloudera連携処理の最小実装</x:v>
      </x:c>
      <x:c r="E46" s="510" t="str">
        <x:v>通常</x:v>
      </x:c>
      <x:c r="F46" s="510" t="str">
        <x:v>Cloudera</x:v>
      </x:c>
      <x:c r="G46" s="510" t="str">
        <x:v>要確認</x:v>
      </x:c>
      <x:c r="H46" s="511" t="n">
        <x:v>46273</x:v>
      </x:c>
      <x:c r="I46" s="511" t="n">
        <x:v>46279</x:v>
      </x:c>
      <x:c r="J46" s="510" t="str">
        <x:v>準備中</x:v>
      </x:c>
      <x:c r="K46" s="372" t="str">
        <x:v>【絶対に必要｜並行可】</x:v>
      </x:c>
      <x:c r="L46" s="546" t="str">
        <x:f>IF(OR($H46="",$I46=""),"",IF(AND($H46&lt;=L$6+6,$I46&gt;=L$6),1,""))</x:f>
      </x:c>
      <x:c r="M46" s="546" t="str">
        <x:f>IF(OR($H46="",$I46=""),"",IF(AND($H46&lt;=M$6+6,$I46&gt;=M$6),1,""))</x:f>
      </x:c>
      <x:c r="N46" s="546" t="n">
        <x:f>IF(OR($H46="",$I46=""),"",IF(AND($H46&lt;=N$6+6,$I46&gt;=N$6),1,""))</x:f>
        <x:v>1</x:v>
      </x:c>
      <x:c r="O46" s="546" t="n">
        <x:f>IF(OR($H46="",$I46=""),"",IF(AND($H46&lt;=O$6+6,$I46&gt;=O$6),1,""))</x:f>
        <x:v>1</x:v>
      </x:c>
      <x:c r="P46" s="546" t="str">
        <x:f>IF(OR($H46="",$I46=""),"",IF(AND($H46&lt;=P$6+6,$I46&gt;=P$6),1,""))</x:f>
      </x:c>
      <x:c r="Q46" s="546" t="str">
        <x:f>IF(OR($H46="",$I46=""),"",IF(AND($H46&lt;=Q$6+6,$I46&gt;=Q$6),1,""))</x:f>
      </x:c>
      <x:c r="R46" s="546" t="str">
        <x:f>IF(OR($H46="",$I46=""),"",IF(AND($H46&lt;=R$6+6,$I46&gt;=R$6),1,""))</x:f>
      </x:c>
      <x:c r="S46" s="546" t="str">
        <x:f>IF(OR($H46="",$I46=""),"",IF(AND($H46&lt;=S$6+6,$I46&gt;=S$6),1,""))</x:f>
      </x:c>
      <x:c r="T46" s="546" t="str">
        <x:f>IF(OR($H46="",$I46=""),"",IF(AND($H46&lt;=T$6+6,$I46&gt;=T$6),1,""))</x:f>
      </x:c>
      <x:c r="U46" s="546" t="str">
        <x:f>IF(OR($H46="",$I46=""),"",IF(AND($H46&lt;=U$6+6,$I46&gt;=U$6),1,""))</x:f>
      </x:c>
      <x:c r="V46" s="546" t="str">
        <x:f>IF(OR($H46="",$I46=""),"",IF(AND($H46&lt;=V$6+6,$I46&gt;=V$6),1,""))</x:f>
      </x:c>
    </x:row>
    <x:row r="47" ht="24" customHeight="1">
      <x:c r="A47" s="510" t="n">
        <x:v>41</x:v>
      </x:c>
      <x:c r="B47" s="510" t="str">
        <x:v>DEV-05</x:v>
      </x:c>
      <x:c r="C47" s="510" t="str">
        <x:v>PoC構築</x:v>
      </x:c>
      <x:c r="D47" s="510" t="str">
        <x:v>Cloudera側データ確認先・受入処理準備</x:v>
      </x:c>
      <x:c r="E47" s="510" t="str">
        <x:v>通常</x:v>
      </x:c>
      <x:c r="F47" s="510" t="str">
        <x:v>Cloudera</x:v>
      </x:c>
      <x:c r="G47" s="510" t="str">
        <x:v>要確認</x:v>
      </x:c>
      <x:c r="H47" s="511" t="n">
        <x:v>46273</x:v>
      </x:c>
      <x:c r="I47" s="511" t="n">
        <x:v>46279</x:v>
      </x:c>
      <x:c r="J47" s="510" t="str">
        <x:v>準備中</x:v>
      </x:c>
      <x:c r="K47" s="372" t="str">
        <x:v>【絶対に必要｜並行可】</x:v>
      </x:c>
      <x:c r="L47" s="546" t="str">
        <x:f>IF(OR($H47="",$I47=""),"",IF(AND($H47&lt;=L$6+6,$I47&gt;=L$6),1,""))</x:f>
      </x:c>
      <x:c r="M47" s="546" t="str">
        <x:f>IF(OR($H47="",$I47=""),"",IF(AND($H47&lt;=M$6+6,$I47&gt;=M$6),1,""))</x:f>
      </x:c>
      <x:c r="N47" s="546" t="n">
        <x:f>IF(OR($H47="",$I47=""),"",IF(AND($H47&lt;=N$6+6,$I47&gt;=N$6),1,""))</x:f>
        <x:v>1</x:v>
      </x:c>
      <x:c r="O47" s="546" t="n">
        <x:f>IF(OR($H47="",$I47=""),"",IF(AND($H47&lt;=O$6+6,$I47&gt;=O$6),1,""))</x:f>
        <x:v>1</x:v>
      </x:c>
      <x:c r="P47" s="546" t="str">
        <x:f>IF(OR($H47="",$I47=""),"",IF(AND($H47&lt;=P$6+6,$I47&gt;=P$6),1,""))</x:f>
      </x:c>
      <x:c r="Q47" s="546" t="str">
        <x:f>IF(OR($H47="",$I47=""),"",IF(AND($H47&lt;=Q$6+6,$I47&gt;=Q$6),1,""))</x:f>
      </x:c>
      <x:c r="R47" s="546" t="str">
        <x:f>IF(OR($H47="",$I47=""),"",IF(AND($H47&lt;=R$6+6,$I47&gt;=R$6),1,""))</x:f>
      </x:c>
      <x:c r="S47" s="546" t="str">
        <x:f>IF(OR($H47="",$I47=""),"",IF(AND($H47&lt;=S$6+6,$I47&gt;=S$6),1,""))</x:f>
      </x:c>
      <x:c r="T47" s="546" t="str">
        <x:f>IF(OR($H47="",$I47=""),"",IF(AND($H47&lt;=T$6+6,$I47&gt;=T$6),1,""))</x:f>
      </x:c>
      <x:c r="U47" s="546" t="str">
        <x:f>IF(OR($H47="",$I47=""),"",IF(AND($H47&lt;=U$6+6,$I47&gt;=U$6),1,""))</x:f>
      </x:c>
      <x:c r="V47" s="546" t="str">
        <x:f>IF(OR($H47="",$I47=""),"",IF(AND($H47&lt;=V$6+6,$I47&gt;=V$6),1,""))</x:f>
      </x:c>
    </x:row>
    <x:row r="48" ht="24" customHeight="1">
      <x:c r="A48" s="510" t="n">
        <x:v>42</x:v>
      </x:c>
      <x:c r="B48" s="510" t="str">
        <x:v>DEV-06</x:v>
      </x:c>
      <x:c r="C48" s="510" t="str">
        <x:v>PoC構築</x:v>
      </x:c>
      <x:c r="D48" s="510" t="str">
        <x:v>単一レコードでの最小E2E疎通</x:v>
      </x:c>
      <x:c r="E48" s="510" t="str">
        <x:v>通常</x:v>
      </x:c>
      <x:c r="F48" s="510" t="str">
        <x:v>データ基盤</x:v>
      </x:c>
      <x:c r="G48" s="510" t="str">
        <x:v>ワタル／要確認</x:v>
      </x:c>
      <x:c r="H48" s="511" t="n">
        <x:v>46275</x:v>
      </x:c>
      <x:c r="I48" s="511" t="n">
        <x:v>46279</x:v>
      </x:c>
      <x:c r="J48" s="510" t="str">
        <x:v>準備中</x:v>
      </x:c>
      <x:c r="K48" s="372" t="str">
        <x:v>【絶対に必要｜一部並行可】</x:v>
      </x:c>
      <x:c r="L48" s="546" t="str">
        <x:f>IF(OR($H48="",$I48=""),"",IF(AND($H48&lt;=L$6+6,$I48&gt;=L$6),1,""))</x:f>
      </x:c>
      <x:c r="M48" s="546" t="str">
        <x:f>IF(OR($H48="",$I48=""),"",IF(AND($H48&lt;=M$6+6,$I48&gt;=M$6),1,""))</x:f>
      </x:c>
      <x:c r="N48" s="546" t="n">
        <x:f>IF(OR($H48="",$I48=""),"",IF(AND($H48&lt;=N$6+6,$I48&gt;=N$6),1,""))</x:f>
        <x:v>1</x:v>
      </x:c>
      <x:c r="O48" s="546" t="n">
        <x:f>IF(OR($H48="",$I48=""),"",IF(AND($H48&lt;=O$6+6,$I48&gt;=O$6),1,""))</x:f>
        <x:v>1</x:v>
      </x:c>
      <x:c r="P48" s="546" t="str">
        <x:f>IF(OR($H48="",$I48=""),"",IF(AND($H48&lt;=P$6+6,$I48&gt;=P$6),1,""))</x:f>
      </x:c>
      <x:c r="Q48" s="546" t="str">
        <x:f>IF(OR($H48="",$I48=""),"",IF(AND($H48&lt;=Q$6+6,$I48&gt;=Q$6),1,""))</x:f>
      </x:c>
      <x:c r="R48" s="546" t="str">
        <x:f>IF(OR($H48="",$I48=""),"",IF(AND($H48&lt;=R$6+6,$I48&gt;=R$6),1,""))</x:f>
      </x:c>
      <x:c r="S48" s="546" t="str">
        <x:f>IF(OR($H48="",$I48=""),"",IF(AND($H48&lt;=S$6+6,$I48&gt;=S$6),1,""))</x:f>
      </x:c>
      <x:c r="T48" s="546" t="str">
        <x:f>IF(OR($H48="",$I48=""),"",IF(AND($H48&lt;=T$6+6,$I48&gt;=T$6),1,""))</x:f>
      </x:c>
      <x:c r="U48" s="546" t="str">
        <x:f>IF(OR($H48="",$I48=""),"",IF(AND($H48&lt;=U$6+6,$I48&gt;=U$6),1,""))</x:f>
      </x:c>
      <x:c r="V48" s="546" t="str">
        <x:f>IF(OR($H48="",$I48=""),"",IF(AND($H48&lt;=V$6+6,$I48&gt;=V$6),1,""))</x:f>
      </x:c>
    </x:row>
    <x:row r="49" ht="24" customHeight="1">
      <x:c r="A49" s="510" t="n">
        <x:v>43</x:v>
      </x:c>
      <x:c r="B49" s="510" t="str">
        <x:v>DEV-07</x:v>
      </x:c>
      <x:c r="C49" s="510" t="str">
        <x:v>PoC構築</x:v>
      </x:c>
      <x:c r="D49" s="510" t="str">
        <x:v>PoC構成・設定値の記録</x:v>
      </x:c>
      <x:c r="E49" s="510" t="str">
        <x:v>通常</x:v>
      </x:c>
      <x:c r="F49" s="510" t="str">
        <x:v>データ基盤</x:v>
      </x:c>
      <x:c r="G49" s="510" t="str">
        <x:v>ワタル</x:v>
      </x:c>
      <x:c r="H49" s="511" t="n">
        <x:v>46276</x:v>
      </x:c>
      <x:c r="I49" s="511" t="n">
        <x:v>46280</x:v>
      </x:c>
      <x:c r="J49" s="510" t="str">
        <x:v>準備中</x:v>
      </x:c>
      <x:c r="K49" s="372" t="str">
        <x:v>【暫定省略可｜並行可】</x:v>
      </x:c>
      <x:c r="L49" s="546" t="str">
        <x:f>IF(OR($H49="",$I49=""),"",IF(AND($H49&lt;=L$6+6,$I49&gt;=L$6),1,""))</x:f>
      </x:c>
      <x:c r="M49" s="546" t="str">
        <x:f>IF(OR($H49="",$I49=""),"",IF(AND($H49&lt;=M$6+6,$I49&gt;=M$6),1,""))</x:f>
      </x:c>
      <x:c r="N49" s="546" t="n">
        <x:f>IF(OR($H49="",$I49=""),"",IF(AND($H49&lt;=N$6+6,$I49&gt;=N$6),1,""))</x:f>
        <x:v>1</x:v>
      </x:c>
      <x:c r="O49" s="546" t="n">
        <x:f>IF(OR($H49="",$I49=""),"",IF(AND($H49&lt;=O$6+6,$I49&gt;=O$6),1,""))</x:f>
        <x:v>1</x:v>
      </x:c>
      <x:c r="P49" s="546" t="str">
        <x:f>IF(OR($H49="",$I49=""),"",IF(AND($H49&lt;=P$6+6,$I49&gt;=P$6),1,""))</x:f>
      </x:c>
      <x:c r="Q49" s="546" t="str">
        <x:f>IF(OR($H49="",$I49=""),"",IF(AND($H49&lt;=Q$6+6,$I49&gt;=Q$6),1,""))</x:f>
      </x:c>
      <x:c r="R49" s="546" t="str">
        <x:f>IF(OR($H49="",$I49=""),"",IF(AND($H49&lt;=R$6+6,$I49&gt;=R$6),1,""))</x:f>
      </x:c>
      <x:c r="S49" s="546" t="str">
        <x:f>IF(OR($H49="",$I49=""),"",IF(AND($H49&lt;=S$6+6,$I49&gt;=S$6),1,""))</x:f>
      </x:c>
      <x:c r="T49" s="546" t="str">
        <x:f>IF(OR($H49="",$I49=""),"",IF(AND($H49&lt;=T$6+6,$I49&gt;=T$6),1,""))</x:f>
      </x:c>
      <x:c r="U49" s="546" t="str">
        <x:f>IF(OR($H49="",$I49=""),"",IF(AND($H49&lt;=U$6+6,$I49&gt;=U$6),1,""))</x:f>
      </x:c>
      <x:c r="V49" s="546" t="str">
        <x:f>IF(OR($H49="",$I49=""),"",IF(AND($H49&lt;=V$6+6,$I49&gt;=V$6),1,""))</x:f>
      </x:c>
    </x:row>
    <x:row r="50" ht="24" customHeight="1">
      <x:c r="A50" s="530" t="n">
        <x:v>44</x:v>
      </x:c>
      <x:c r="B50" s="530" t="str">
        <x:v>FT-01</x:v>
      </x:c>
      <x:c r="C50" s="530" t="str">
        <x:v>機能・E2E検証</x:v>
      </x:c>
      <x:c r="D50" s="530" t="str">
        <x:v>TC-01 接続・認証／Subscribe開始確認</x:v>
      </x:c>
      <x:c r="E50" s="530" t="str">
        <x:v>通常</x:v>
      </x:c>
      <x:c r="F50" s="530" t="str">
        <x:v>データ基盤</x:v>
      </x:c>
      <x:c r="G50" s="530" t="str">
        <x:v>ワタル／要確認</x:v>
      </x:c>
      <x:c r="H50" s="531" t="n">
        <x:v>46275</x:v>
      </x:c>
      <x:c r="I50" s="531" t="n">
        <x:v>46279</x:v>
      </x:c>
      <x:c r="J50" s="530" t="str">
        <x:v>準備中</x:v>
      </x:c>
      <x:c r="K50" s="372" t="str">
        <x:v>【絶対に必要｜並行可】</x:v>
      </x:c>
      <x:c r="L50" s="546" t="str">
        <x:f>IF(OR($H50="",$I50=""),"",IF(AND($H50&lt;=L$6+6,$I50&gt;=L$6),1,""))</x:f>
      </x:c>
      <x:c r="M50" s="546" t="str">
        <x:f>IF(OR($H50="",$I50=""),"",IF(AND($H50&lt;=M$6+6,$I50&gt;=M$6),1,""))</x:f>
      </x:c>
      <x:c r="N50" s="546" t="n">
        <x:f>IF(OR($H50="",$I50=""),"",IF(AND($H50&lt;=N$6+6,$I50&gt;=N$6),1,""))</x:f>
        <x:v>1</x:v>
      </x:c>
      <x:c r="O50" s="546" t="n">
        <x:f>IF(OR($H50="",$I50=""),"",IF(AND($H50&lt;=O$6+6,$I50&gt;=O$6),1,""))</x:f>
        <x:v>1</x:v>
      </x:c>
      <x:c r="P50" s="546" t="str">
        <x:f>IF(OR($H50="",$I50=""),"",IF(AND($H50&lt;=P$6+6,$I50&gt;=P$6),1,""))</x:f>
      </x:c>
      <x:c r="Q50" s="546" t="str">
        <x:f>IF(OR($H50="",$I50=""),"",IF(AND($H50&lt;=Q$6+6,$I50&gt;=Q$6),1,""))</x:f>
      </x:c>
      <x:c r="R50" s="546" t="str">
        <x:f>IF(OR($H50="",$I50=""),"",IF(AND($H50&lt;=R$6+6,$I50&gt;=R$6),1,""))</x:f>
      </x:c>
      <x:c r="S50" s="546" t="str">
        <x:f>IF(OR($H50="",$I50=""),"",IF(AND($H50&lt;=S$6+6,$I50&gt;=S$6),1,""))</x:f>
      </x:c>
      <x:c r="T50" s="546" t="str">
        <x:f>IF(OR($H50="",$I50=""),"",IF(AND($H50&lt;=T$6+6,$I50&gt;=T$6),1,""))</x:f>
      </x:c>
      <x:c r="U50" s="546" t="str">
        <x:f>IF(OR($H50="",$I50=""),"",IF(AND($H50&lt;=U$6+6,$I50&gt;=U$6),1,""))</x:f>
      </x:c>
      <x:c r="V50" s="546" t="str">
        <x:f>IF(OR($H50="",$I50=""),"",IF(AND($H50&lt;=V$6+6,$I50&gt;=V$6),1,""))</x:f>
      </x:c>
    </x:row>
    <x:row r="51" ht="24" customHeight="1">
      <x:c r="A51" s="530" t="n">
        <x:v>45</x:v>
      </x:c>
      <x:c r="B51" s="530" t="str">
        <x:v>FT-02</x:v>
      </x:c>
      <x:c r="C51" s="530" t="str">
        <x:v>機能・E2E検証</x:v>
      </x:c>
      <x:c r="D51" s="530" t="str">
        <x:v>TC-02 単一変更イベント受信確認</x:v>
      </x:c>
      <x:c r="E51" s="530" t="str">
        <x:v>通常</x:v>
      </x:c>
      <x:c r="F51" s="530" t="str">
        <x:v>データ基盤</x:v>
      </x:c>
      <x:c r="G51" s="530" t="str">
        <x:v>ワタル／要確認</x:v>
      </x:c>
      <x:c r="H51" s="531" t="n">
        <x:v>46275</x:v>
      </x:c>
      <x:c r="I51" s="531" t="n">
        <x:v>46279</x:v>
      </x:c>
      <x:c r="J51" s="530" t="str">
        <x:v>準備中</x:v>
      </x:c>
      <x:c r="K51" s="372" t="str">
        <x:v>【絶対に必要｜一部並行可】</x:v>
      </x:c>
      <x:c r="L51" s="546" t="str">
        <x:f>IF(OR($H51="",$I51=""),"",IF(AND($H51&lt;=L$6+6,$I51&gt;=L$6),1,""))</x:f>
      </x:c>
      <x:c r="M51" s="546" t="str">
        <x:f>IF(OR($H51="",$I51=""),"",IF(AND($H51&lt;=M$6+6,$I51&gt;=M$6),1,""))</x:f>
      </x:c>
      <x:c r="N51" s="546" t="n">
        <x:f>IF(OR($H51="",$I51=""),"",IF(AND($H51&lt;=N$6+6,$I51&gt;=N$6),1,""))</x:f>
        <x:v>1</x:v>
      </x:c>
      <x:c r="O51" s="546" t="n">
        <x:f>IF(OR($H51="",$I51=""),"",IF(AND($H51&lt;=O$6+6,$I51&gt;=O$6),1,""))</x:f>
        <x:v>1</x:v>
      </x:c>
      <x:c r="P51" s="546" t="str">
        <x:f>IF(OR($H51="",$I51=""),"",IF(AND($H51&lt;=P$6+6,$I51&gt;=P$6),1,""))</x:f>
      </x:c>
      <x:c r="Q51" s="546" t="str">
        <x:f>IF(OR($H51="",$I51=""),"",IF(AND($H51&lt;=Q$6+6,$I51&gt;=Q$6),1,""))</x:f>
      </x:c>
      <x:c r="R51" s="546" t="str">
        <x:f>IF(OR($H51="",$I51=""),"",IF(AND($H51&lt;=R$6+6,$I51&gt;=R$6),1,""))</x:f>
      </x:c>
      <x:c r="S51" s="546" t="str">
        <x:f>IF(OR($H51="",$I51=""),"",IF(AND($H51&lt;=S$6+6,$I51&gt;=S$6),1,""))</x:f>
      </x:c>
      <x:c r="T51" s="546" t="str">
        <x:f>IF(OR($H51="",$I51=""),"",IF(AND($H51&lt;=T$6+6,$I51&gt;=T$6),1,""))</x:f>
      </x:c>
      <x:c r="U51" s="546" t="str">
        <x:f>IF(OR($H51="",$I51=""),"",IF(AND($H51&lt;=U$6+6,$I51&gt;=U$6),1,""))</x:f>
      </x:c>
      <x:c r="V51" s="546" t="str">
        <x:f>IF(OR($H51="",$I51=""),"",IF(AND($H51&lt;=V$6+6,$I51&gt;=V$6),1,""))</x:f>
      </x:c>
    </x:row>
    <x:row r="52" ht="24" customHeight="1">
      <x:c r="A52" s="530" t="n">
        <x:v>46</x:v>
      </x:c>
      <x:c r="B52" s="530" t="str">
        <x:v>FT-03</x:v>
      </x:c>
      <x:c r="C52" s="530" t="str">
        <x:v>機能・E2E検証</x:v>
      </x:c>
      <x:c r="D52" s="530" t="str">
        <x:v>TC-03 イベント内容・対象識別確認</x:v>
      </x:c>
      <x:c r="E52" s="530" t="str">
        <x:v>通常</x:v>
      </x:c>
      <x:c r="F52" s="530" t="str">
        <x:v>データ基盤</x:v>
      </x:c>
      <x:c r="G52" s="530" t="str">
        <x:v>ワタル／要確認</x:v>
      </x:c>
      <x:c r="H52" s="531" t="n">
        <x:v>46276</x:v>
      </x:c>
      <x:c r="I52" s="531" t="n">
        <x:v>46280</x:v>
      </x:c>
      <x:c r="J52" s="530" t="str">
        <x:v>準備中</x:v>
      </x:c>
      <x:c r="K52" s="372" t="str">
        <x:v>【絶対に必要｜一部並行可】</x:v>
      </x:c>
      <x:c r="L52" s="546" t="str">
        <x:f>IF(OR($H52="",$I52=""),"",IF(AND($H52&lt;=L$6+6,$I52&gt;=L$6),1,""))</x:f>
      </x:c>
      <x:c r="M52" s="546" t="str">
        <x:f>IF(OR($H52="",$I52=""),"",IF(AND($H52&lt;=M$6+6,$I52&gt;=M$6),1,""))</x:f>
      </x:c>
      <x:c r="N52" s="546" t="n">
        <x:f>IF(OR($H52="",$I52=""),"",IF(AND($H52&lt;=N$6+6,$I52&gt;=N$6),1,""))</x:f>
        <x:v>1</x:v>
      </x:c>
      <x:c r="O52" s="546" t="n">
        <x:f>IF(OR($H52="",$I52=""),"",IF(AND($H52&lt;=O$6+6,$I52&gt;=O$6),1,""))</x:f>
        <x:v>1</x:v>
      </x:c>
      <x:c r="P52" s="546" t="str">
        <x:f>IF(OR($H52="",$I52=""),"",IF(AND($H52&lt;=P$6+6,$I52&gt;=P$6),1,""))</x:f>
      </x:c>
      <x:c r="Q52" s="546" t="str">
        <x:f>IF(OR($H52="",$I52=""),"",IF(AND($H52&lt;=Q$6+6,$I52&gt;=Q$6),1,""))</x:f>
      </x:c>
      <x:c r="R52" s="546" t="str">
        <x:f>IF(OR($H52="",$I52=""),"",IF(AND($H52&lt;=R$6+6,$I52&gt;=R$6),1,""))</x:f>
      </x:c>
      <x:c r="S52" s="546" t="str">
        <x:f>IF(OR($H52="",$I52=""),"",IF(AND($H52&lt;=S$6+6,$I52&gt;=S$6),1,""))</x:f>
      </x:c>
      <x:c r="T52" s="546" t="str">
        <x:f>IF(OR($H52="",$I52=""),"",IF(AND($H52&lt;=T$6+6,$I52&gt;=T$6),1,""))</x:f>
      </x:c>
      <x:c r="U52" s="546" t="str">
        <x:f>IF(OR($H52="",$I52=""),"",IF(AND($H52&lt;=U$6+6,$I52&gt;=U$6),1,""))</x:f>
      </x:c>
      <x:c r="V52" s="546" t="str">
        <x:f>IF(OR($H52="",$I52=""),"",IF(AND($H52&lt;=V$6+6,$I52&gt;=V$6),1,""))</x:f>
      </x:c>
    </x:row>
    <x:row r="53" ht="24" customHeight="1">
      <x:c r="A53" s="530" t="n">
        <x:v>47</x:v>
      </x:c>
      <x:c r="B53" s="530" t="str">
        <x:v>FT-04</x:v>
      </x:c>
      <x:c r="C53" s="530" t="str">
        <x:v>機能・E2E検証</x:v>
      </x:c>
      <x:c r="D53" s="530" t="str">
        <x:v>TC-04 Salesforce→Cloudera E2E確認</x:v>
      </x:c>
      <x:c r="E53" s="530" t="str">
        <x:v>通常</x:v>
      </x:c>
      <x:c r="F53" s="530" t="str">
        <x:v>データ基盤</x:v>
      </x:c>
      <x:c r="G53" s="530" t="str">
        <x:v>ワタル／要確認</x:v>
      </x:c>
      <x:c r="H53" s="531" t="n">
        <x:v>46279</x:v>
      </x:c>
      <x:c r="I53" s="531" t="n">
        <x:v>46281</x:v>
      </x:c>
      <x:c r="J53" s="530" t="str">
        <x:v>準備中</x:v>
      </x:c>
      <x:c r="K53" s="372" t="str">
        <x:v>【絶対に必要｜並行可】</x:v>
      </x:c>
      <x:c r="L53" s="546" t="str">
        <x:f>IF(OR($H53="",$I53=""),"",IF(AND($H53&lt;=L$6+6,$I53&gt;=L$6),1,""))</x:f>
      </x:c>
      <x:c r="M53" s="546" t="str">
        <x:f>IF(OR($H53="",$I53=""),"",IF(AND($H53&lt;=M$6+6,$I53&gt;=M$6),1,""))</x:f>
      </x:c>
      <x:c r="N53" s="546" t="str">
        <x:f>IF(OR($H53="",$I53=""),"",IF(AND($H53&lt;=N$6+6,$I53&gt;=N$6),1,""))</x:f>
      </x:c>
      <x:c r="O53" s="546" t="n">
        <x:f>IF(OR($H53="",$I53=""),"",IF(AND($H53&lt;=O$6+6,$I53&gt;=O$6),1,""))</x:f>
        <x:v>1</x:v>
      </x:c>
      <x:c r="P53" s="546" t="str">
        <x:f>IF(OR($H53="",$I53=""),"",IF(AND($H53&lt;=P$6+6,$I53&gt;=P$6),1,""))</x:f>
      </x:c>
      <x:c r="Q53" s="546" t="str">
        <x:f>IF(OR($H53="",$I53=""),"",IF(AND($H53&lt;=Q$6+6,$I53&gt;=Q$6),1,""))</x:f>
      </x:c>
      <x:c r="R53" s="546" t="str">
        <x:f>IF(OR($H53="",$I53=""),"",IF(AND($H53&lt;=R$6+6,$I53&gt;=R$6),1,""))</x:f>
      </x:c>
      <x:c r="S53" s="546" t="str">
        <x:f>IF(OR($H53="",$I53=""),"",IF(AND($H53&lt;=S$6+6,$I53&gt;=S$6),1,""))</x:f>
      </x:c>
      <x:c r="T53" s="546" t="str">
        <x:f>IF(OR($H53="",$I53=""),"",IF(AND($H53&lt;=T$6+6,$I53&gt;=T$6),1,""))</x:f>
      </x:c>
      <x:c r="U53" s="546" t="str">
        <x:f>IF(OR($H53="",$I53=""),"",IF(AND($H53&lt;=U$6+6,$I53&gt;=U$6),1,""))</x:f>
      </x:c>
      <x:c r="V53" s="546" t="str">
        <x:f>IF(OR($H53="",$I53=""),"",IF(AND($H53&lt;=V$6+6,$I53&gt;=V$6),1,""))</x:f>
      </x:c>
    </x:row>
    <x:row r="54" ht="24" customHeight="1">
      <x:c r="A54" s="530" t="n">
        <x:v>48</x:v>
      </x:c>
      <x:c r="B54" s="530" t="str">
        <x:v>FT-05</x:v>
      </x:c>
      <x:c r="C54" s="530" t="str">
        <x:v>機能・E2E検証</x:v>
      </x:c>
      <x:c r="D54" s="530" t="str">
        <x:v>E2E件数・値・重複の整合性確認</x:v>
      </x:c>
      <x:c r="E54" s="530" t="str">
        <x:v>通常</x:v>
      </x:c>
      <x:c r="F54" s="530" t="str">
        <x:v>データ基盤</x:v>
      </x:c>
      <x:c r="G54" s="530" t="str">
        <x:v>ワタル／要確認</x:v>
      </x:c>
      <x:c r="H54" s="531" t="n">
        <x:v>46279</x:v>
      </x:c>
      <x:c r="I54" s="531" t="n">
        <x:v>46282</x:v>
      </x:c>
      <x:c r="J54" s="530" t="str">
        <x:v>準備中</x:v>
      </x:c>
      <x:c r="K54" s="372" t="str">
        <x:v>【絶対に必要｜一部並行可】</x:v>
      </x:c>
      <x:c r="L54" s="546" t="str">
        <x:f>IF(OR($H54="",$I54=""),"",IF(AND($H54&lt;=L$6+6,$I54&gt;=L$6),1,""))</x:f>
      </x:c>
      <x:c r="M54" s="546" t="str">
        <x:f>IF(OR($H54="",$I54=""),"",IF(AND($H54&lt;=M$6+6,$I54&gt;=M$6),1,""))</x:f>
      </x:c>
      <x:c r="N54" s="546" t="str">
        <x:f>IF(OR($H54="",$I54=""),"",IF(AND($H54&lt;=N$6+6,$I54&gt;=N$6),1,""))</x:f>
      </x:c>
      <x:c r="O54" s="546" t="n">
        <x:f>IF(OR($H54="",$I54=""),"",IF(AND($H54&lt;=O$6+6,$I54&gt;=O$6),1,""))</x:f>
        <x:v>1</x:v>
      </x:c>
      <x:c r="P54" s="546" t="str">
        <x:f>IF(OR($H54="",$I54=""),"",IF(AND($H54&lt;=P$6+6,$I54&gt;=P$6),1,""))</x:f>
      </x:c>
      <x:c r="Q54" s="546" t="str">
        <x:f>IF(OR($H54="",$I54=""),"",IF(AND($H54&lt;=Q$6+6,$I54&gt;=Q$6),1,""))</x:f>
      </x:c>
      <x:c r="R54" s="546" t="str">
        <x:f>IF(OR($H54="",$I54=""),"",IF(AND($H54&lt;=R$6+6,$I54&gt;=R$6),1,""))</x:f>
      </x:c>
      <x:c r="S54" s="546" t="str">
        <x:f>IF(OR($H54="",$I54=""),"",IF(AND($H54&lt;=S$6+6,$I54&gt;=S$6),1,""))</x:f>
      </x:c>
      <x:c r="T54" s="546" t="str">
        <x:f>IF(OR($H54="",$I54=""),"",IF(AND($H54&lt;=T$6+6,$I54&gt;=T$6),1,""))</x:f>
      </x:c>
      <x:c r="U54" s="546" t="str">
        <x:f>IF(OR($H54="",$I54=""),"",IF(AND($H54&lt;=U$6+6,$I54&gt;=U$6),1,""))</x:f>
      </x:c>
      <x:c r="V54" s="546" t="str">
        <x:f>IF(OR($H54="",$I54=""),"",IF(AND($H54&lt;=V$6+6,$I54&gt;=V$6),1,""))</x:f>
      </x:c>
    </x:row>
    <x:row r="55" ht="24" customHeight="1">
      <x:c r="A55" s="530" t="n">
        <x:v>49</x:v>
      </x:c>
      <x:c r="B55" s="530" t="str">
        <x:v>FT-06</x:v>
      </x:c>
      <x:c r="C55" s="530" t="str">
        <x:v>機能・E2E検証</x:v>
      </x:c>
      <x:c r="D55" s="530" t="str">
        <x:v>TC-05 Salesforce→Cloudera遅延測定</x:v>
      </x:c>
      <x:c r="E55" s="530" t="str">
        <x:v>通常</x:v>
      </x:c>
      <x:c r="F55" s="530" t="str">
        <x:v>データ基盤</x:v>
      </x:c>
      <x:c r="G55" s="530" t="str">
        <x:v>ワタル／要確認</x:v>
      </x:c>
      <x:c r="H55" s="531" t="n">
        <x:v>46280</x:v>
      </x:c>
      <x:c r="I55" s="531" t="n">
        <x:v>46282</x:v>
      </x:c>
      <x:c r="J55" s="530" t="str">
        <x:v>準備中</x:v>
      </x:c>
      <x:c r="K55" s="372" t="str">
        <x:v>【絶対に必要｜並行可】</x:v>
      </x:c>
      <x:c r="L55" s="546" t="str">
        <x:f>IF(OR($H55="",$I55=""),"",IF(AND($H55&lt;=L$6+6,$I55&gt;=L$6),1,""))</x:f>
      </x:c>
      <x:c r="M55" s="546" t="str">
        <x:f>IF(OR($H55="",$I55=""),"",IF(AND($H55&lt;=M$6+6,$I55&gt;=M$6),1,""))</x:f>
      </x:c>
      <x:c r="N55" s="546" t="str">
        <x:f>IF(OR($H55="",$I55=""),"",IF(AND($H55&lt;=N$6+6,$I55&gt;=N$6),1,""))</x:f>
      </x:c>
      <x:c r="O55" s="546" t="n">
        <x:f>IF(OR($H55="",$I55=""),"",IF(AND($H55&lt;=O$6+6,$I55&gt;=O$6),1,""))</x:f>
        <x:v>1</x:v>
      </x:c>
      <x:c r="P55" s="546" t="str">
        <x:f>IF(OR($H55="",$I55=""),"",IF(AND($H55&lt;=P$6+6,$I55&gt;=P$6),1,""))</x:f>
      </x:c>
      <x:c r="Q55" s="546" t="str">
        <x:f>IF(OR($H55="",$I55=""),"",IF(AND($H55&lt;=Q$6+6,$I55&gt;=Q$6),1,""))</x:f>
      </x:c>
      <x:c r="R55" s="546" t="str">
        <x:f>IF(OR($H55="",$I55=""),"",IF(AND($H55&lt;=R$6+6,$I55&gt;=R$6),1,""))</x:f>
      </x:c>
      <x:c r="S55" s="546" t="str">
        <x:f>IF(OR($H55="",$I55=""),"",IF(AND($H55&lt;=S$6+6,$I55&gt;=S$6),1,""))</x:f>
      </x:c>
      <x:c r="T55" s="546" t="str">
        <x:f>IF(OR($H55="",$I55=""),"",IF(AND($H55&lt;=T$6+6,$I55&gt;=T$6),1,""))</x:f>
      </x:c>
      <x:c r="U55" s="546" t="str">
        <x:f>IF(OR($H55="",$I55=""),"",IF(AND($H55&lt;=U$6+6,$I55&gt;=U$6),1,""))</x:f>
      </x:c>
      <x:c r="V55" s="546" t="str">
        <x:f>IF(OR($H55="",$I55=""),"",IF(AND($H55&lt;=V$6+6,$I55&gt;=V$6),1,""))</x:f>
      </x:c>
    </x:row>
    <x:row r="56" ht="24" customHeight="1">
      <x:c r="A56" s="530" t="n">
        <x:v>50</x:v>
      </x:c>
      <x:c r="B56" s="530" t="str">
        <x:v>FT-07</x:v>
      </x:c>
      <x:c r="C56" s="530" t="str">
        <x:v>機能・E2E検証</x:v>
      </x:c>
      <x:c r="D56" s="530" t="str">
        <x:v>機能・E2E試験結果／Evidence整理</x:v>
      </x:c>
      <x:c r="E56" s="530" t="str">
        <x:v>通常</x:v>
      </x:c>
      <x:c r="F56" s="530" t="str">
        <x:v>データ基盤</x:v>
      </x:c>
      <x:c r="G56" s="530" t="str">
        <x:v>ワタル</x:v>
      </x:c>
      <x:c r="H56" s="531" t="n">
        <x:v>46281</x:v>
      </x:c>
      <x:c r="I56" s="531" t="n">
        <x:v>46283</x:v>
      </x:c>
      <x:c r="J56" s="530" t="str">
        <x:v>準備中</x:v>
      </x:c>
      <x:c r="K56" s="372" t="str">
        <x:v>【絶対に必要｜並行可】</x:v>
      </x:c>
      <x:c r="L56" s="546" t="str">
        <x:f>IF(OR($H56="",$I56=""),"",IF(AND($H56&lt;=L$6+6,$I56&gt;=L$6),1,""))</x:f>
      </x:c>
      <x:c r="M56" s="546" t="str">
        <x:f>IF(OR($H56="",$I56=""),"",IF(AND($H56&lt;=M$6+6,$I56&gt;=M$6),1,""))</x:f>
      </x:c>
      <x:c r="N56" s="546" t="str">
        <x:f>IF(OR($H56="",$I56=""),"",IF(AND($H56&lt;=N$6+6,$I56&gt;=N$6),1,""))</x:f>
      </x:c>
      <x:c r="O56" s="546" t="n">
        <x:f>IF(OR($H56="",$I56=""),"",IF(AND($H56&lt;=O$6+6,$I56&gt;=O$6),1,""))</x:f>
        <x:v>1</x:v>
      </x:c>
      <x:c r="P56" s="546" t="str">
        <x:f>IF(OR($H56="",$I56=""),"",IF(AND($H56&lt;=P$6+6,$I56&gt;=P$6),1,""))</x:f>
      </x:c>
      <x:c r="Q56" s="546" t="str">
        <x:f>IF(OR($H56="",$I56=""),"",IF(AND($H56&lt;=Q$6+6,$I56&gt;=Q$6),1,""))</x:f>
      </x:c>
      <x:c r="R56" s="546" t="str">
        <x:f>IF(OR($H56="",$I56=""),"",IF(AND($H56&lt;=R$6+6,$I56&gt;=R$6),1,""))</x:f>
      </x:c>
      <x:c r="S56" s="546" t="str">
        <x:f>IF(OR($H56="",$I56=""),"",IF(AND($H56&lt;=S$6+6,$I56&gt;=S$6),1,""))</x:f>
      </x:c>
      <x:c r="T56" s="546" t="str">
        <x:f>IF(OR($H56="",$I56=""),"",IF(AND($H56&lt;=T$6+6,$I56&gt;=T$6),1,""))</x:f>
      </x:c>
      <x:c r="U56" s="546" t="str">
        <x:f>IF(OR($H56="",$I56=""),"",IF(AND($H56&lt;=U$6+6,$I56&gt;=U$6),1,""))</x:f>
      </x:c>
      <x:c r="V56" s="546" t="str">
        <x:f>IF(OR($H56="",$I56=""),"",IF(AND($H56&lt;=V$6+6,$I56&gt;=V$6),1,""))</x:f>
      </x:c>
    </x:row>
    <x:row r="57" ht="24" customHeight="1">
      <x:c r="A57" s="534" t="n">
        <x:v>51</x:v>
      </x:c>
      <x:c r="B57" s="534" t="str">
        <x:v>PT-01</x:v>
      </x:c>
      <x:c r="C57" s="534" t="str">
        <x:v>性能・障害検証</x:v>
      </x:c>
      <x:c r="D57" s="534" t="str">
        <x:v>TMT実績を基に性能試験条件を確定</x:v>
      </x:c>
      <x:c r="E57" s="534" t="str">
        <x:v>通常</x:v>
      </x:c>
      <x:c r="F57" s="534" t="str">
        <x:v>データ基盤</x:v>
      </x:c>
      <x:c r="G57" s="534" t="str">
        <x:v>ワタル／要確認</x:v>
      </x:c>
      <x:c r="H57" s="535" t="n">
        <x:v>46279</x:v>
      </x:c>
      <x:c r="I57" s="535" t="n">
        <x:v>46281</x:v>
      </x:c>
      <x:c r="J57" s="534" t="str">
        <x:v>準備中</x:v>
      </x:c>
      <x:c r="K57" s="372" t="str">
        <x:v>【絶対に必要｜並行可】</x:v>
      </x:c>
      <x:c r="L57" s="546" t="str">
        <x:f>IF(OR($H57="",$I57=""),"",IF(AND($H57&lt;=L$6+6,$I57&gt;=L$6),1,""))</x:f>
      </x:c>
      <x:c r="M57" s="546" t="str">
        <x:f>IF(OR($H57="",$I57=""),"",IF(AND($H57&lt;=M$6+6,$I57&gt;=M$6),1,""))</x:f>
      </x:c>
      <x:c r="N57" s="546" t="str">
        <x:f>IF(OR($H57="",$I57=""),"",IF(AND($H57&lt;=N$6+6,$I57&gt;=N$6),1,""))</x:f>
      </x:c>
      <x:c r="O57" s="546" t="n">
        <x:f>IF(OR($H57="",$I57=""),"",IF(AND($H57&lt;=O$6+6,$I57&gt;=O$6),1,""))</x:f>
        <x:v>1</x:v>
      </x:c>
      <x:c r="P57" s="546" t="str">
        <x:f>IF(OR($H57="",$I57=""),"",IF(AND($H57&lt;=P$6+6,$I57&gt;=P$6),1,""))</x:f>
      </x:c>
      <x:c r="Q57" s="546" t="str">
        <x:f>IF(OR($H57="",$I57=""),"",IF(AND($H57&lt;=Q$6+6,$I57&gt;=Q$6),1,""))</x:f>
      </x:c>
      <x:c r="R57" s="546" t="str">
        <x:f>IF(OR($H57="",$I57=""),"",IF(AND($H57&lt;=R$6+6,$I57&gt;=R$6),1,""))</x:f>
      </x:c>
      <x:c r="S57" s="546" t="str">
        <x:f>IF(OR($H57="",$I57=""),"",IF(AND($H57&lt;=S$6+6,$I57&gt;=S$6),1,""))</x:f>
      </x:c>
      <x:c r="T57" s="546" t="str">
        <x:f>IF(OR($H57="",$I57=""),"",IF(AND($H57&lt;=T$6+6,$I57&gt;=T$6),1,""))</x:f>
      </x:c>
      <x:c r="U57" s="546" t="str">
        <x:f>IF(OR($H57="",$I57=""),"",IF(AND($H57&lt;=U$6+6,$I57&gt;=U$6),1,""))</x:f>
      </x:c>
      <x:c r="V57" s="546" t="str">
        <x:f>IF(OR($H57="",$I57=""),"",IF(AND($H57&lt;=V$6+6,$I57&gt;=V$6),1,""))</x:f>
      </x:c>
    </x:row>
    <x:row r="58" ht="24" customHeight="1">
      <x:c r="A58" s="534" t="n">
        <x:v>52</x:v>
      </x:c>
      <x:c r="B58" s="534" t="str">
        <x:v>PT-02</x:v>
      </x:c>
      <x:c r="C58" s="534" t="str">
        <x:v>性能・障害検証</x:v>
      </x:c>
      <x:c r="D58" s="534" t="str">
        <x:v>TC-06 通常負荷試験</x:v>
      </x:c>
      <x:c r="E58" s="534" t="str">
        <x:v>通常</x:v>
      </x:c>
      <x:c r="F58" s="534" t="str">
        <x:v>データ基盤</x:v>
      </x:c>
      <x:c r="G58" s="534" t="str">
        <x:v>ワタル／要確認</x:v>
      </x:c>
      <x:c r="H58" s="535" t="n">
        <x:v>46281</x:v>
      </x:c>
      <x:c r="I58" s="535" t="n">
        <x:v>46283</x:v>
      </x:c>
      <x:c r="J58" s="534" t="str">
        <x:v>準備中</x:v>
      </x:c>
      <x:c r="K58" s="372" t="str">
        <x:v>【絶対に必要｜一部並行可】</x:v>
      </x:c>
      <x:c r="L58" s="546" t="str">
        <x:f>IF(OR($H58="",$I58=""),"",IF(AND($H58&lt;=L$6+6,$I58&gt;=L$6),1,""))</x:f>
      </x:c>
      <x:c r="M58" s="546" t="str">
        <x:f>IF(OR($H58="",$I58=""),"",IF(AND($H58&lt;=M$6+6,$I58&gt;=M$6),1,""))</x:f>
      </x:c>
      <x:c r="N58" s="546" t="str">
        <x:f>IF(OR($H58="",$I58=""),"",IF(AND($H58&lt;=N$6+6,$I58&gt;=N$6),1,""))</x:f>
      </x:c>
      <x:c r="O58" s="546" t="n">
        <x:f>IF(OR($H58="",$I58=""),"",IF(AND($H58&lt;=O$6+6,$I58&gt;=O$6),1,""))</x:f>
        <x:v>1</x:v>
      </x:c>
      <x:c r="P58" s="546" t="str">
        <x:f>IF(OR($H58="",$I58=""),"",IF(AND($H58&lt;=P$6+6,$I58&gt;=P$6),1,""))</x:f>
      </x:c>
      <x:c r="Q58" s="546" t="str">
        <x:f>IF(OR($H58="",$I58=""),"",IF(AND($H58&lt;=Q$6+6,$I58&gt;=Q$6),1,""))</x:f>
      </x:c>
      <x:c r="R58" s="546" t="str">
        <x:f>IF(OR($H58="",$I58=""),"",IF(AND($H58&lt;=R$6+6,$I58&gt;=R$6),1,""))</x:f>
      </x:c>
      <x:c r="S58" s="546" t="str">
        <x:f>IF(OR($H58="",$I58=""),"",IF(AND($H58&lt;=S$6+6,$I58&gt;=S$6),1,""))</x:f>
      </x:c>
      <x:c r="T58" s="546" t="str">
        <x:f>IF(OR($H58="",$I58=""),"",IF(AND($H58&lt;=T$6+6,$I58&gt;=T$6),1,""))</x:f>
      </x:c>
      <x:c r="U58" s="546" t="str">
        <x:f>IF(OR($H58="",$I58=""),"",IF(AND($H58&lt;=U$6+6,$I58&gt;=U$6),1,""))</x:f>
      </x:c>
      <x:c r="V58" s="546" t="str">
        <x:f>IF(OR($H58="",$I58=""),"",IF(AND($H58&lt;=V$6+6,$I58&gt;=V$6),1,""))</x:f>
      </x:c>
    </x:row>
    <x:row r="59" ht="24" customHeight="1">
      <x:c r="A59" s="534" t="n">
        <x:v>53</x:v>
      </x:c>
      <x:c r="B59" s="534" t="str">
        <x:v>PT-03</x:v>
      </x:c>
      <x:c r="C59" s="534" t="str">
        <x:v>性能・障害検証</x:v>
      </x:c>
      <x:c r="D59" s="534" t="str">
        <x:v>TC-07 ピーク負荷試験</x:v>
      </x:c>
      <x:c r="E59" s="534" t="str">
        <x:v>通常</x:v>
      </x:c>
      <x:c r="F59" s="534" t="str">
        <x:v>データ基盤</x:v>
      </x:c>
      <x:c r="G59" s="534" t="str">
        <x:v>ワタル／要確認</x:v>
      </x:c>
      <x:c r="H59" s="535" t="n">
        <x:v>46282</x:v>
      </x:c>
      <x:c r="I59" s="535" t="n">
        <x:v>46283</x:v>
      </x:c>
      <x:c r="J59" s="534" t="str">
        <x:v>準備中</x:v>
      </x:c>
      <x:c r="K59" s="372" t="str">
        <x:v>【絶対に必要｜一部並行可】</x:v>
      </x:c>
      <x:c r="L59" s="546" t="str">
        <x:f>IF(OR($H59="",$I59=""),"",IF(AND($H59&lt;=L$6+6,$I59&gt;=L$6),1,""))</x:f>
      </x:c>
      <x:c r="M59" s="546" t="str">
        <x:f>IF(OR($H59="",$I59=""),"",IF(AND($H59&lt;=M$6+6,$I59&gt;=M$6),1,""))</x:f>
      </x:c>
      <x:c r="N59" s="546" t="str">
        <x:f>IF(OR($H59="",$I59=""),"",IF(AND($H59&lt;=N$6+6,$I59&gt;=N$6),1,""))</x:f>
      </x:c>
      <x:c r="O59" s="546" t="n">
        <x:f>IF(OR($H59="",$I59=""),"",IF(AND($H59&lt;=O$6+6,$I59&gt;=O$6),1,""))</x:f>
        <x:v>1</x:v>
      </x:c>
      <x:c r="P59" s="546" t="str">
        <x:f>IF(OR($H59="",$I59=""),"",IF(AND($H59&lt;=P$6+6,$I59&gt;=P$6),1,""))</x:f>
      </x:c>
      <x:c r="Q59" s="546" t="str">
        <x:f>IF(OR($H59="",$I59=""),"",IF(AND($H59&lt;=Q$6+6,$I59&gt;=Q$6),1,""))</x:f>
      </x:c>
      <x:c r="R59" s="546" t="str">
        <x:f>IF(OR($H59="",$I59=""),"",IF(AND($H59&lt;=R$6+6,$I59&gt;=R$6),1,""))</x:f>
      </x:c>
      <x:c r="S59" s="546" t="str">
        <x:f>IF(OR($H59="",$I59=""),"",IF(AND($H59&lt;=S$6+6,$I59&gt;=S$6),1,""))</x:f>
      </x:c>
      <x:c r="T59" s="546" t="str">
        <x:f>IF(OR($H59="",$I59=""),"",IF(AND($H59&lt;=T$6+6,$I59&gt;=T$6),1,""))</x:f>
      </x:c>
      <x:c r="U59" s="546" t="str">
        <x:f>IF(OR($H59="",$I59=""),"",IF(AND($H59&lt;=U$6+6,$I59&gt;=U$6),1,""))</x:f>
      </x:c>
      <x:c r="V59" s="546" t="str">
        <x:f>IF(OR($H59="",$I59=""),"",IF(AND($H59&lt;=V$6+6,$I59&gt;=V$6),1,""))</x:f>
      </x:c>
    </x:row>
    <x:row r="60" ht="24" customHeight="1">
      <x:c r="A60" s="534" t="n">
        <x:v>54</x:v>
      </x:c>
      <x:c r="B60" s="534" t="str">
        <x:v>PT-04</x:v>
      </x:c>
      <x:c r="C60" s="534" t="str">
        <x:v>性能・障害検証</x:v>
      </x:c>
      <x:c r="D60" s="534" t="str">
        <x:v>TC-08/10 受信側停止・接続断／再接続確認</x:v>
      </x:c>
      <x:c r="E60" s="534" t="str">
        <x:v>通常</x:v>
      </x:c>
      <x:c r="F60" s="534" t="str">
        <x:v>データ基盤</x:v>
      </x:c>
      <x:c r="G60" s="534" t="str">
        <x:v>ワタル／要確認</x:v>
      </x:c>
      <x:c r="H60" s="535" t="n">
        <x:v>46282</x:v>
      </x:c>
      <x:c r="I60" s="535" t="n">
        <x:v>46283</x:v>
      </x:c>
      <x:c r="J60" s="534" t="str">
        <x:v>準備中</x:v>
      </x:c>
      <x:c r="K60" s="372" t="str">
        <x:v>【絶対に必要｜一部並行可】</x:v>
      </x:c>
      <x:c r="L60" s="546" t="str">
        <x:f>IF(OR($H60="",$I60=""),"",IF(AND($H60&lt;=L$6+6,$I60&gt;=L$6),1,""))</x:f>
      </x:c>
      <x:c r="M60" s="546" t="str">
        <x:f>IF(OR($H60="",$I60=""),"",IF(AND($H60&lt;=M$6+6,$I60&gt;=M$6),1,""))</x:f>
      </x:c>
      <x:c r="N60" s="546" t="str">
        <x:f>IF(OR($H60="",$I60=""),"",IF(AND($H60&lt;=N$6+6,$I60&gt;=N$6),1,""))</x:f>
      </x:c>
      <x:c r="O60" s="546" t="n">
        <x:f>IF(OR($H60="",$I60=""),"",IF(AND($H60&lt;=O$6+6,$I60&gt;=O$6),1,""))</x:f>
        <x:v>1</x:v>
      </x:c>
      <x:c r="P60" s="546" t="str">
        <x:f>IF(OR($H60="",$I60=""),"",IF(AND($H60&lt;=P$6+6,$I60&gt;=P$6),1,""))</x:f>
      </x:c>
      <x:c r="Q60" s="546" t="str">
        <x:f>IF(OR($H60="",$I60=""),"",IF(AND($H60&lt;=Q$6+6,$I60&gt;=Q$6),1,""))</x:f>
      </x:c>
      <x:c r="R60" s="546" t="str">
        <x:f>IF(OR($H60="",$I60=""),"",IF(AND($H60&lt;=R$6+6,$I60&gt;=R$6),1,""))</x:f>
      </x:c>
      <x:c r="S60" s="546" t="str">
        <x:f>IF(OR($H60="",$I60=""),"",IF(AND($H60&lt;=S$6+6,$I60&gt;=S$6),1,""))</x:f>
      </x:c>
      <x:c r="T60" s="546" t="str">
        <x:f>IF(OR($H60="",$I60=""),"",IF(AND($H60&lt;=T$6+6,$I60&gt;=T$6),1,""))</x:f>
      </x:c>
      <x:c r="U60" s="546" t="str">
        <x:f>IF(OR($H60="",$I60=""),"",IF(AND($H60&lt;=U$6+6,$I60&gt;=U$6),1,""))</x:f>
      </x:c>
      <x:c r="V60" s="546" t="str">
        <x:f>IF(OR($H60="",$I60=""),"",IF(AND($H60&lt;=V$6+6,$I60&gt;=V$6),1,""))</x:f>
      </x:c>
    </x:row>
    <x:row r="61" ht="24" customHeight="1">
      <x:c r="A61" s="534" t="n">
        <x:v>55</x:v>
      </x:c>
      <x:c r="B61" s="534" t="str">
        <x:v>PT-05</x:v>
      </x:c>
      <x:c r="C61" s="534" t="str">
        <x:v>性能・障害検証</x:v>
      </x:c>
      <x:c r="D61" s="534" t="str">
        <x:v>TC-09 Cloudera連携失敗時の再処理確認</x:v>
      </x:c>
      <x:c r="E61" s="534" t="str">
        <x:v>通常</x:v>
      </x:c>
      <x:c r="F61" s="534" t="str">
        <x:v>Cloudera</x:v>
      </x:c>
      <x:c r="G61" s="534" t="str">
        <x:v>要確認</x:v>
      </x:c>
      <x:c r="H61" s="535" t="n">
        <x:v>46283</x:v>
      </x:c>
      <x:c r="I61" s="535" t="n">
        <x:v>46283</x:v>
      </x:c>
      <x:c r="J61" s="534" t="str">
        <x:v>準備中</x:v>
      </x:c>
      <x:c r="K61" s="372" t="str">
        <x:v>【絶対に必要｜一部並行可】</x:v>
      </x:c>
      <x:c r="L61" s="546" t="str">
        <x:f>IF(OR($H61="",$I61=""),"",IF(AND($H61&lt;=L$6+6,$I61&gt;=L$6),1,""))</x:f>
      </x:c>
      <x:c r="M61" s="546" t="str">
        <x:f>IF(OR($H61="",$I61=""),"",IF(AND($H61&lt;=M$6+6,$I61&gt;=M$6),1,""))</x:f>
      </x:c>
      <x:c r="N61" s="546" t="str">
        <x:f>IF(OR($H61="",$I61=""),"",IF(AND($H61&lt;=N$6+6,$I61&gt;=N$6),1,""))</x:f>
      </x:c>
      <x:c r="O61" s="546" t="n">
        <x:f>IF(OR($H61="",$I61=""),"",IF(AND($H61&lt;=O$6+6,$I61&gt;=O$6),1,""))</x:f>
        <x:v>1</x:v>
      </x:c>
      <x:c r="P61" s="546" t="str">
        <x:f>IF(OR($H61="",$I61=""),"",IF(AND($H61&lt;=P$6+6,$I61&gt;=P$6),1,""))</x:f>
      </x:c>
      <x:c r="Q61" s="546" t="str">
        <x:f>IF(OR($H61="",$I61=""),"",IF(AND($H61&lt;=Q$6+6,$I61&gt;=Q$6),1,""))</x:f>
      </x:c>
      <x:c r="R61" s="546" t="str">
        <x:f>IF(OR($H61="",$I61=""),"",IF(AND($H61&lt;=R$6+6,$I61&gt;=R$6),1,""))</x:f>
      </x:c>
      <x:c r="S61" s="546" t="str">
        <x:f>IF(OR($H61="",$I61=""),"",IF(AND($H61&lt;=S$6+6,$I61&gt;=S$6),1,""))</x:f>
      </x:c>
      <x:c r="T61" s="546" t="str">
        <x:f>IF(OR($H61="",$I61=""),"",IF(AND($H61&lt;=T$6+6,$I61&gt;=T$6),1,""))</x:f>
      </x:c>
      <x:c r="U61" s="546" t="str">
        <x:f>IF(OR($H61="",$I61=""),"",IF(AND($H61&lt;=U$6+6,$I61&gt;=U$6),1,""))</x:f>
      </x:c>
      <x:c r="V61" s="546" t="str">
        <x:f>IF(OR($H61="",$I61=""),"",IF(AND($H61&lt;=V$6+6,$I61&gt;=V$6),1,""))</x:f>
      </x:c>
    </x:row>
    <x:row r="62" ht="24" customHeight="1">
      <x:c r="A62" s="534" t="n">
        <x:v>56</x:v>
      </x:c>
      <x:c r="B62" s="534" t="str">
        <x:v>PT-06</x:v>
      </x:c>
      <x:c r="C62" s="534" t="str">
        <x:v>性能・障害検証</x:v>
      </x:c>
      <x:c r="D62" s="534" t="str">
        <x:v>TC-11 Replayによるイベント再取得確認</x:v>
      </x:c>
      <x:c r="E62" s="534" t="str">
        <x:v>通常</x:v>
      </x:c>
      <x:c r="F62" s="534" t="str">
        <x:v>データ基盤</x:v>
      </x:c>
      <x:c r="G62" s="534" t="str">
        <x:v>ワタル／要確認</x:v>
      </x:c>
      <x:c r="H62" s="535" t="n">
        <x:v>46289</x:v>
      </x:c>
      <x:c r="I62" s="535" t="n">
        <x:v>46289</x:v>
      </x:c>
      <x:c r="J62" s="534" t="str">
        <x:v>準備中</x:v>
      </x:c>
      <x:c r="K62" s="372" t="str">
        <x:v>【暫定省略可｜並行可】 採用方式・要件に応じて実施</x:v>
      </x:c>
      <x:c r="L62" s="546" t="str">
        <x:f>IF(OR($H62="",$I62=""),"",IF(AND($H62&lt;=L$6+6,$I62&gt;=L$6),1,""))</x:f>
      </x:c>
      <x:c r="M62" s="546" t="str">
        <x:f>IF(OR($H62="",$I62=""),"",IF(AND($H62&lt;=M$6+6,$I62&gt;=M$6),1,""))</x:f>
      </x:c>
      <x:c r="N62" s="546" t="str">
        <x:f>IF(OR($H62="",$I62=""),"",IF(AND($H62&lt;=N$6+6,$I62&gt;=N$6),1,""))</x:f>
      </x:c>
      <x:c r="O62" s="546" t="str">
        <x:f>IF(OR($H62="",$I62=""),"",IF(AND($H62&lt;=O$6+6,$I62&gt;=O$6),1,""))</x:f>
      </x:c>
      <x:c r="P62" s="546" t="n">
        <x:f>IF(OR($H62="",$I62=""),"",IF(AND($H62&lt;=P$6+6,$I62&gt;=P$6),1,""))</x:f>
        <x:v>1</x:v>
      </x:c>
      <x:c r="Q62" s="546" t="str">
        <x:f>IF(OR($H62="",$I62=""),"",IF(AND($H62&lt;=Q$6+6,$I62&gt;=Q$6),1,""))</x:f>
      </x:c>
      <x:c r="R62" s="546" t="str">
        <x:f>IF(OR($H62="",$I62=""),"",IF(AND($H62&lt;=R$6+6,$I62&gt;=R$6),1,""))</x:f>
      </x:c>
      <x:c r="S62" s="546" t="str">
        <x:f>IF(OR($H62="",$I62=""),"",IF(AND($H62&lt;=S$6+6,$I62&gt;=S$6),1,""))</x:f>
      </x:c>
      <x:c r="T62" s="546" t="str">
        <x:f>IF(OR($H62="",$I62=""),"",IF(AND($H62&lt;=T$6+6,$I62&gt;=T$6),1,""))</x:f>
      </x:c>
      <x:c r="U62" s="546" t="str">
        <x:f>IF(OR($H62="",$I62=""),"",IF(AND($H62&lt;=U$6+6,$I62&gt;=U$6),1,""))</x:f>
      </x:c>
      <x:c r="V62" s="546" t="str">
        <x:f>IF(OR($H62="",$I62=""),"",IF(AND($H62&lt;=V$6+6,$I62&gt;=V$6),1,""))</x:f>
      </x:c>
    </x:row>
    <x:row r="63" ht="24" customHeight="1">
      <x:c r="A63" s="534" t="n">
        <x:v>57</x:v>
      </x:c>
      <x:c r="B63" s="534" t="str">
        <x:v>PT-07</x:v>
      </x:c>
      <x:c r="C63" s="534" t="str">
        <x:v>性能・障害検証</x:v>
      </x:c>
      <x:c r="D63" s="534" t="str">
        <x:v>TC-12 重複受信・二重処理挙動確認</x:v>
      </x:c>
      <x:c r="E63" s="534" t="str">
        <x:v>通常</x:v>
      </x:c>
      <x:c r="F63" s="534" t="str">
        <x:v>データ基盤</x:v>
      </x:c>
      <x:c r="G63" s="534" t="str">
        <x:v>ワタル／要確認</x:v>
      </x:c>
      <x:c r="H63" s="535" t="n">
        <x:v>46289</x:v>
      </x:c>
      <x:c r="I63" s="535" t="n">
        <x:v>46290</x:v>
      </x:c>
      <x:c r="J63" s="534" t="str">
        <x:v>準備中</x:v>
      </x:c>
      <x:c r="K63" s="372" t="str">
        <x:v>【暫定省略可｜並行可】 採用方式・要件に応じて実施</x:v>
      </x:c>
      <x:c r="L63" s="546" t="str">
        <x:f>IF(OR($H63="",$I63=""),"",IF(AND($H63&lt;=L$6+6,$I63&gt;=L$6),1,""))</x:f>
      </x:c>
      <x:c r="M63" s="546" t="str">
        <x:f>IF(OR($H63="",$I63=""),"",IF(AND($H63&lt;=M$6+6,$I63&gt;=M$6),1,""))</x:f>
      </x:c>
      <x:c r="N63" s="546" t="str">
        <x:f>IF(OR($H63="",$I63=""),"",IF(AND($H63&lt;=N$6+6,$I63&gt;=N$6),1,""))</x:f>
      </x:c>
      <x:c r="O63" s="546" t="str">
        <x:f>IF(OR($H63="",$I63=""),"",IF(AND($H63&lt;=O$6+6,$I63&gt;=O$6),1,""))</x:f>
      </x:c>
      <x:c r="P63" s="546" t="n">
        <x:f>IF(OR($H63="",$I63=""),"",IF(AND($H63&lt;=P$6+6,$I63&gt;=P$6),1,""))</x:f>
        <x:v>1</x:v>
      </x:c>
      <x:c r="Q63" s="546" t="str">
        <x:f>IF(OR($H63="",$I63=""),"",IF(AND($H63&lt;=Q$6+6,$I63&gt;=Q$6),1,""))</x:f>
      </x:c>
      <x:c r="R63" s="546" t="str">
        <x:f>IF(OR($H63="",$I63=""),"",IF(AND($H63&lt;=R$6+6,$I63&gt;=R$6),1,""))</x:f>
      </x:c>
      <x:c r="S63" s="546" t="str">
        <x:f>IF(OR($H63="",$I63=""),"",IF(AND($H63&lt;=S$6+6,$I63&gt;=S$6),1,""))</x:f>
      </x:c>
      <x:c r="T63" s="546" t="str">
        <x:f>IF(OR($H63="",$I63=""),"",IF(AND($H63&lt;=T$6+6,$I63&gt;=T$6),1,""))</x:f>
      </x:c>
      <x:c r="U63" s="546" t="str">
        <x:f>IF(OR($H63="",$I63=""),"",IF(AND($H63&lt;=U$6+6,$I63&gt;=U$6),1,""))</x:f>
      </x:c>
      <x:c r="V63" s="546" t="str">
        <x:f>IF(OR($H63="",$I63=""),"",IF(AND($H63&lt;=V$6+6,$I63&gt;=V$6),1,""))</x:f>
      </x:c>
    </x:row>
    <x:row r="64" ht="24" customHeight="1">
      <x:c r="A64" s="534" t="n">
        <x:v>58</x:v>
      </x:c>
      <x:c r="B64" s="534" t="str">
        <x:v>PT-08</x:v>
      </x:c>
      <x:c r="C64" s="534" t="str">
        <x:v>性能・障害検証</x:v>
      </x:c>
      <x:c r="D64" s="534" t="str">
        <x:v>不具合修正・再試験・予備期間</x:v>
      </x:c>
      <x:c r="E64" s="534" t="str">
        <x:v>通常</x:v>
      </x:c>
      <x:c r="F64" s="534" t="str">
        <x:v>データ基盤</x:v>
      </x:c>
      <x:c r="G64" s="534" t="str">
        <x:v>要確認</x:v>
      </x:c>
      <x:c r="H64" s="535" t="n">
        <x:v>46289</x:v>
      </x:c>
      <x:c r="I64" s="535" t="n">
        <x:v>46290</x:v>
      </x:c>
      <x:c r="J64" s="534" t="str">
        <x:v>準備中</x:v>
      </x:c>
      <x:c r="K64" s="372" t="str">
        <x:v>【絶対に必要｜一部並行可】</x:v>
      </x:c>
      <x:c r="L64" s="546" t="str">
        <x:f>IF(OR($H64="",$I64=""),"",IF(AND($H64&lt;=L$6+6,$I64&gt;=L$6),1,""))</x:f>
      </x:c>
      <x:c r="M64" s="546" t="str">
        <x:f>IF(OR($H64="",$I64=""),"",IF(AND($H64&lt;=M$6+6,$I64&gt;=M$6),1,""))</x:f>
      </x:c>
      <x:c r="N64" s="546" t="str">
        <x:f>IF(OR($H64="",$I64=""),"",IF(AND($H64&lt;=N$6+6,$I64&gt;=N$6),1,""))</x:f>
      </x:c>
      <x:c r="O64" s="546" t="str">
        <x:f>IF(OR($H64="",$I64=""),"",IF(AND($H64&lt;=O$6+6,$I64&gt;=O$6),1,""))</x:f>
      </x:c>
      <x:c r="P64" s="546" t="n">
        <x:f>IF(OR($H64="",$I64=""),"",IF(AND($H64&lt;=P$6+6,$I64&gt;=P$6),1,""))</x:f>
        <x:v>1</x:v>
      </x:c>
      <x:c r="Q64" s="546" t="str">
        <x:f>IF(OR($H64="",$I64=""),"",IF(AND($H64&lt;=Q$6+6,$I64&gt;=Q$6),1,""))</x:f>
      </x:c>
      <x:c r="R64" s="546" t="str">
        <x:f>IF(OR($H64="",$I64=""),"",IF(AND($H64&lt;=R$6+6,$I64&gt;=R$6),1,""))</x:f>
      </x:c>
      <x:c r="S64" s="546" t="str">
        <x:f>IF(OR($H64="",$I64=""),"",IF(AND($H64&lt;=S$6+6,$I64&gt;=S$6),1,""))</x:f>
      </x:c>
      <x:c r="T64" s="546" t="str">
        <x:f>IF(OR($H64="",$I64=""),"",IF(AND($H64&lt;=T$6+6,$I64&gt;=T$6),1,""))</x:f>
      </x:c>
      <x:c r="U64" s="546" t="str">
        <x:f>IF(OR($H64="",$I64=""),"",IF(AND($H64&lt;=U$6+6,$I64&gt;=U$6),1,""))</x:f>
      </x:c>
      <x:c r="V64" s="546" t="str">
        <x:f>IF(OR($H64="",$I64=""),"",IF(AND($H64&lt;=V$6+6,$I64&gt;=V$6),1,""))</x:f>
      </x:c>
    </x:row>
    <x:row r="65" ht="24" customHeight="1">
      <x:c r="A65" s="538" t="n">
        <x:v>59</x:v>
      </x:c>
      <x:c r="B65" s="538" t="str">
        <x:v>REP-01</x:v>
      </x:c>
      <x:c r="C65" s="538" t="str">
        <x:v>結果評価・報告</x:v>
      </x:c>
      <x:c r="D65" s="538" t="str">
        <x:v>PoC結果の○／△／×／未判定整理</x:v>
      </x:c>
      <x:c r="E65" s="538" t="str">
        <x:v>通常</x:v>
      </x:c>
      <x:c r="F65" s="538" t="str">
        <x:v>データ基盤</x:v>
      </x:c>
      <x:c r="G65" s="538" t="str">
        <x:v>ワタル</x:v>
      </x:c>
      <x:c r="H65" s="539" t="n">
        <x:v>46289</x:v>
      </x:c>
      <x:c r="I65" s="539" t="n">
        <x:v>46293</x:v>
      </x:c>
      <x:c r="J65" s="538" t="str">
        <x:v>準備中</x:v>
      </x:c>
      <x:c r="K65" s="372" t="str">
        <x:v>【絶対に必要｜並行可】</x:v>
      </x:c>
      <x:c r="L65" s="546" t="str">
        <x:f>IF(OR($H65="",$I65=""),"",IF(AND($H65&lt;=L$6+6,$I65&gt;=L$6),1,""))</x:f>
      </x:c>
      <x:c r="M65" s="546" t="str">
        <x:f>IF(OR($H65="",$I65=""),"",IF(AND($H65&lt;=M$6+6,$I65&gt;=M$6),1,""))</x:f>
      </x:c>
      <x:c r="N65" s="546" t="str">
        <x:f>IF(OR($H65="",$I65=""),"",IF(AND($H65&lt;=N$6+6,$I65&gt;=N$6),1,""))</x:f>
      </x:c>
      <x:c r="O65" s="546" t="str">
        <x:f>IF(OR($H65="",$I65=""),"",IF(AND($H65&lt;=O$6+6,$I65&gt;=O$6),1,""))</x:f>
      </x:c>
      <x:c r="P65" s="546" t="n">
        <x:f>IF(OR($H65="",$I65=""),"",IF(AND($H65&lt;=P$6+6,$I65&gt;=P$6),1,""))</x:f>
        <x:v>1</x:v>
      </x:c>
      <x:c r="Q65" s="546" t="n">
        <x:f>IF(OR($H65="",$I65=""),"",IF(AND($H65&lt;=Q$6+6,$I65&gt;=Q$6),1,""))</x:f>
        <x:v>1</x:v>
      </x:c>
      <x:c r="R65" s="546" t="str">
        <x:f>IF(OR($H65="",$I65=""),"",IF(AND($H65&lt;=R$6+6,$I65&gt;=R$6),1,""))</x:f>
      </x:c>
      <x:c r="S65" s="546" t="str">
        <x:f>IF(OR($H65="",$I65=""),"",IF(AND($H65&lt;=S$6+6,$I65&gt;=S$6),1,""))</x:f>
      </x:c>
      <x:c r="T65" s="546" t="str">
        <x:f>IF(OR($H65="",$I65=""),"",IF(AND($H65&lt;=T$6+6,$I65&gt;=T$6),1,""))</x:f>
      </x:c>
      <x:c r="U65" s="546" t="str">
        <x:f>IF(OR($H65="",$I65=""),"",IF(AND($H65&lt;=U$6+6,$I65&gt;=U$6),1,""))</x:f>
      </x:c>
      <x:c r="V65" s="546" t="str">
        <x:f>IF(OR($H65="",$I65=""),"",IF(AND($H65&lt;=V$6+6,$I65&gt;=V$6),1,""))</x:f>
      </x:c>
    </x:row>
    <x:row r="66" ht="24" customHeight="1">
      <x:c r="A66" s="538" t="n">
        <x:v>60</x:v>
      </x:c>
      <x:c r="B66" s="538" t="str">
        <x:v>REP-02</x:v>
      </x:c>
      <x:c r="C66" s="538" t="str">
        <x:v>結果評価・報告</x:v>
      </x:c>
      <x:c r="D66" s="538" t="str">
        <x:v>Salesforce利用量・追加ライセンス／コスト条件整理</x:v>
      </x:c>
      <x:c r="E66" s="538" t="str">
        <x:v>通常</x:v>
      </x:c>
      <x:c r="F66" s="538" t="str">
        <x:v>データ基盤</x:v>
      </x:c>
      <x:c r="G66" s="538" t="str">
        <x:v>ワタル／要確認</x:v>
      </x:c>
      <x:c r="H66" s="539" t="n">
        <x:v>46289</x:v>
      </x:c>
      <x:c r="I66" s="539" t="n">
        <x:v>46293</x:v>
      </x:c>
      <x:c r="J66" s="538" t="str">
        <x:v>準備中</x:v>
      </x:c>
      <x:c r="K66" s="372" t="str">
        <x:v>【絶対に必要｜並行可】</x:v>
      </x:c>
      <x:c r="L66" s="546" t="str">
        <x:f>IF(OR($H66="",$I66=""),"",IF(AND($H66&lt;=L$6+6,$I66&gt;=L$6),1,""))</x:f>
      </x:c>
      <x:c r="M66" s="546" t="str">
        <x:f>IF(OR($H66="",$I66=""),"",IF(AND($H66&lt;=M$6+6,$I66&gt;=M$6),1,""))</x:f>
      </x:c>
      <x:c r="N66" s="546" t="str">
        <x:f>IF(OR($H66="",$I66=""),"",IF(AND($H66&lt;=N$6+6,$I66&gt;=N$6),1,""))</x:f>
      </x:c>
      <x:c r="O66" s="546" t="str">
        <x:f>IF(OR($H66="",$I66=""),"",IF(AND($H66&lt;=O$6+6,$I66&gt;=O$6),1,""))</x:f>
      </x:c>
      <x:c r="P66" s="546" t="n">
        <x:f>IF(OR($H66="",$I66=""),"",IF(AND($H66&lt;=P$6+6,$I66&gt;=P$6),1,""))</x:f>
        <x:v>1</x:v>
      </x:c>
      <x:c r="Q66" s="546" t="n">
        <x:f>IF(OR($H66="",$I66=""),"",IF(AND($H66&lt;=Q$6+6,$I66&gt;=Q$6),1,""))</x:f>
        <x:v>1</x:v>
      </x:c>
      <x:c r="R66" s="546" t="str">
        <x:f>IF(OR($H66="",$I66=""),"",IF(AND($H66&lt;=R$6+6,$I66&gt;=R$6),1,""))</x:f>
      </x:c>
      <x:c r="S66" s="546" t="str">
        <x:f>IF(OR($H66="",$I66=""),"",IF(AND($H66&lt;=S$6+6,$I66&gt;=S$6),1,""))</x:f>
      </x:c>
      <x:c r="T66" s="546" t="str">
        <x:f>IF(OR($H66="",$I66=""),"",IF(AND($H66&lt;=T$6+6,$I66&gt;=T$6),1,""))</x:f>
      </x:c>
      <x:c r="U66" s="546" t="str">
        <x:f>IF(OR($H66="",$I66=""),"",IF(AND($H66&lt;=U$6+6,$I66&gt;=U$6),1,""))</x:f>
      </x:c>
      <x:c r="V66" s="546" t="str">
        <x:f>IF(OR($H66="",$I66=""),"",IF(AND($H66&lt;=V$6+6,$I66&gt;=V$6),1,""))</x:f>
      </x:c>
    </x:row>
    <x:row r="67" ht="24" customHeight="1">
      <x:c r="A67" s="538" t="n">
        <x:v>61</x:v>
      </x:c>
      <x:c r="B67" s="538" t="str">
        <x:v>REP-03</x:v>
      </x:c>
      <x:c r="C67" s="538" t="str">
        <x:v>結果評価・報告</x:v>
      </x:c>
      <x:c r="D67" s="538" t="str">
        <x:v>230組織展開時の技術・運用・ライセンス課題整理</x:v>
      </x:c>
      <x:c r="E67" s="538" t="str">
        <x:v>通常</x:v>
      </x:c>
      <x:c r="F67" s="538" t="str">
        <x:v>データ基盤</x:v>
      </x:c>
      <x:c r="G67" s="538" t="str">
        <x:v>ワタル</x:v>
      </x:c>
      <x:c r="H67" s="539" t="n">
        <x:v>46289</x:v>
      </x:c>
      <x:c r="I67" s="539" t="n">
        <x:v>46294</x:v>
      </x:c>
      <x:c r="J67" s="538" t="str">
        <x:v>準備中</x:v>
      </x:c>
      <x:c r="K67" s="372" t="str">
        <x:v>【絶対に必要｜並行可】</x:v>
      </x:c>
      <x:c r="L67" s="546" t="str">
        <x:f>IF(OR($H67="",$I67=""),"",IF(AND($H67&lt;=L$6+6,$I67&gt;=L$6),1,""))</x:f>
      </x:c>
      <x:c r="M67" s="546" t="str">
        <x:f>IF(OR($H67="",$I67=""),"",IF(AND($H67&lt;=M$6+6,$I67&gt;=M$6),1,""))</x:f>
      </x:c>
      <x:c r="N67" s="546" t="str">
        <x:f>IF(OR($H67="",$I67=""),"",IF(AND($H67&lt;=N$6+6,$I67&gt;=N$6),1,""))</x:f>
      </x:c>
      <x:c r="O67" s="546" t="str">
        <x:f>IF(OR($H67="",$I67=""),"",IF(AND($H67&lt;=O$6+6,$I67&gt;=O$6),1,""))</x:f>
      </x:c>
      <x:c r="P67" s="546" t="n">
        <x:f>IF(OR($H67="",$I67=""),"",IF(AND($H67&lt;=P$6+6,$I67&gt;=P$6),1,""))</x:f>
        <x:v>1</x:v>
      </x:c>
      <x:c r="Q67" s="546" t="n">
        <x:f>IF(OR($H67="",$I67=""),"",IF(AND($H67&lt;=Q$6+6,$I67&gt;=Q$6),1,""))</x:f>
        <x:v>1</x:v>
      </x:c>
      <x:c r="R67" s="546" t="str">
        <x:f>IF(OR($H67="",$I67=""),"",IF(AND($H67&lt;=R$6+6,$I67&gt;=R$6),1,""))</x:f>
      </x:c>
      <x:c r="S67" s="546" t="str">
        <x:f>IF(OR($H67="",$I67=""),"",IF(AND($H67&lt;=S$6+6,$I67&gt;=S$6),1,""))</x:f>
      </x:c>
      <x:c r="T67" s="546" t="str">
        <x:f>IF(OR($H67="",$I67=""),"",IF(AND($H67&lt;=T$6+6,$I67&gt;=T$6),1,""))</x:f>
      </x:c>
      <x:c r="U67" s="546" t="str">
        <x:f>IF(OR($H67="",$I67=""),"",IF(AND($H67&lt;=U$6+6,$I67&gt;=U$6),1,""))</x:f>
      </x:c>
      <x:c r="V67" s="546" t="str">
        <x:f>IF(OR($H67="",$I67=""),"",IF(AND($H67&lt;=V$6+6,$I67&gt;=V$6),1,""))</x:f>
      </x:c>
    </x:row>
    <x:row r="68" ht="24" customHeight="1">
      <x:c r="A68" s="538" t="n">
        <x:v>62</x:v>
      </x:c>
      <x:c r="B68" s="538" t="str">
        <x:v>REP-04</x:v>
      </x:c>
      <x:c r="C68" s="538" t="str">
        <x:v>結果評価・報告</x:v>
      </x:c>
      <x:c r="D68" s="538" t="str">
        <x:v>恒久対応の実現可否・残課題・次アクション整理</x:v>
      </x:c>
      <x:c r="E68" s="538" t="str">
        <x:v>通常</x:v>
      </x:c>
      <x:c r="F68" s="538" t="str">
        <x:v>データ基盤</x:v>
      </x:c>
      <x:c r="G68" s="538" t="str">
        <x:v>ワタル</x:v>
      </x:c>
      <x:c r="H68" s="539" t="n">
        <x:v>46290</x:v>
      </x:c>
      <x:c r="I68" s="539" t="n">
        <x:v>46294</x:v>
      </x:c>
      <x:c r="J68" s="538" t="str">
        <x:v>準備中</x:v>
      </x:c>
      <x:c r="K68" s="372" t="str">
        <x:v>【絶対に必要｜一部並行可】</x:v>
      </x:c>
      <x:c r="L68" s="546" t="str">
        <x:f>IF(OR($H68="",$I68=""),"",IF(AND($H68&lt;=L$6+6,$I68&gt;=L$6),1,""))</x:f>
      </x:c>
      <x:c r="M68" s="546" t="str">
        <x:f>IF(OR($H68="",$I68=""),"",IF(AND($H68&lt;=M$6+6,$I68&gt;=M$6),1,""))</x:f>
      </x:c>
      <x:c r="N68" s="546" t="str">
        <x:f>IF(OR($H68="",$I68=""),"",IF(AND($H68&lt;=N$6+6,$I68&gt;=N$6),1,""))</x:f>
      </x:c>
      <x:c r="O68" s="546" t="str">
        <x:f>IF(OR($H68="",$I68=""),"",IF(AND($H68&lt;=O$6+6,$I68&gt;=O$6),1,""))</x:f>
      </x:c>
      <x:c r="P68" s="546" t="n">
        <x:f>IF(OR($H68="",$I68=""),"",IF(AND($H68&lt;=P$6+6,$I68&gt;=P$6),1,""))</x:f>
        <x:v>1</x:v>
      </x:c>
      <x:c r="Q68" s="546" t="n">
        <x:f>IF(OR($H68="",$I68=""),"",IF(AND($H68&lt;=Q$6+6,$I68&gt;=Q$6),1,""))</x:f>
        <x:v>1</x:v>
      </x:c>
      <x:c r="R68" s="546" t="str">
        <x:f>IF(OR($H68="",$I68=""),"",IF(AND($H68&lt;=R$6+6,$I68&gt;=R$6),1,""))</x:f>
      </x:c>
      <x:c r="S68" s="546" t="str">
        <x:f>IF(OR($H68="",$I68=""),"",IF(AND($H68&lt;=S$6+6,$I68&gt;=S$6),1,""))</x:f>
      </x:c>
      <x:c r="T68" s="546" t="str">
        <x:f>IF(OR($H68="",$I68=""),"",IF(AND($H68&lt;=T$6+6,$I68&gt;=T$6),1,""))</x:f>
      </x:c>
      <x:c r="U68" s="546" t="str">
        <x:f>IF(OR($H68="",$I68=""),"",IF(AND($H68&lt;=U$6+6,$I68&gt;=U$6),1,""))</x:f>
      </x:c>
      <x:c r="V68" s="546" t="str">
        <x:f>IF(OR($H68="",$I68=""),"",IF(AND($H68&lt;=V$6+6,$I68&gt;=V$6),1,""))</x:f>
      </x:c>
    </x:row>
    <x:row r="69" ht="24" customHeight="1">
      <x:c r="A69" s="538" t="n">
        <x:v>63</x:v>
      </x:c>
      <x:c r="B69" s="538" t="str">
        <x:v>REP-05</x:v>
      </x:c>
      <x:c r="C69" s="538" t="str">
        <x:v>結果評価・報告</x:v>
      </x:c>
      <x:c r="D69" s="538" t="str">
        <x:v>上位報告資料の作成・レビュー</x:v>
      </x:c>
      <x:c r="E69" s="538" t="str">
        <x:v>通常</x:v>
      </x:c>
      <x:c r="F69" s="538" t="str">
        <x:v>データ基盤</x:v>
      </x:c>
      <x:c r="G69" s="538" t="str">
        <x:v>ワタル</x:v>
      </x:c>
      <x:c r="H69" s="539" t="n">
        <x:v>46293</x:v>
      </x:c>
      <x:c r="I69" s="539" t="n">
        <x:v>46295</x:v>
      </x:c>
      <x:c r="J69" s="538" t="str">
        <x:v>準備中</x:v>
      </x:c>
      <x:c r="K69" s="372" t="str">
        <x:v>【絶対に必要｜一部並行可】</x:v>
      </x:c>
      <x:c r="L69" s="546" t="str">
        <x:f>IF(OR($H69="",$I69=""),"",IF(AND($H69&lt;=L$6+6,$I69&gt;=L$6),1,""))</x:f>
      </x:c>
      <x:c r="M69" s="546" t="str">
        <x:f>IF(OR($H69="",$I69=""),"",IF(AND($H69&lt;=M$6+6,$I69&gt;=M$6),1,""))</x:f>
      </x:c>
      <x:c r="N69" s="546" t="str">
        <x:f>IF(OR($H69="",$I69=""),"",IF(AND($H69&lt;=N$6+6,$I69&gt;=N$6),1,""))</x:f>
      </x:c>
      <x:c r="O69" s="546" t="str">
        <x:f>IF(OR($H69="",$I69=""),"",IF(AND($H69&lt;=O$6+6,$I69&gt;=O$6),1,""))</x:f>
      </x:c>
      <x:c r="P69" s="546" t="str">
        <x:f>IF(OR($H69="",$I69=""),"",IF(AND($H69&lt;=P$6+6,$I69&gt;=P$6),1,""))</x:f>
      </x:c>
      <x:c r="Q69" s="546" t="n">
        <x:f>IF(OR($H69="",$I69=""),"",IF(AND($H69&lt;=Q$6+6,$I69&gt;=Q$6),1,""))</x:f>
        <x:v>1</x:v>
      </x:c>
      <x:c r="R69" s="546" t="str">
        <x:f>IF(OR($H69="",$I69=""),"",IF(AND($H69&lt;=R$6+6,$I69&gt;=R$6),1,""))</x:f>
      </x:c>
      <x:c r="S69" s="546" t="str">
        <x:f>IF(OR($H69="",$I69=""),"",IF(AND($H69&lt;=S$6+6,$I69&gt;=S$6),1,""))</x:f>
      </x:c>
      <x:c r="T69" s="546" t="str">
        <x:f>IF(OR($H69="",$I69=""),"",IF(AND($H69&lt;=T$6+6,$I69&gt;=T$6),1,""))</x:f>
      </x:c>
      <x:c r="U69" s="546" t="str">
        <x:f>IF(OR($H69="",$I69=""),"",IF(AND($H69&lt;=U$6+6,$I69&gt;=U$6),1,""))</x:f>
      </x:c>
      <x:c r="V69" s="546" t="str">
        <x:f>IF(OR($H69="",$I69=""),"",IF(AND($H69&lt;=V$6+6,$I69&gt;=V$6),1,""))</x:f>
      </x:c>
    </x:row>
    <x:row r="70" ht="24" customHeight="1">
      <x:c r="A70" s="538" t="n">
        <x:v>64</x:v>
      </x:c>
      <x:c r="B70" s="538" t="str">
        <x:v>REP-06</x:v>
      </x:c>
      <x:c r="C70" s="538" t="str">
        <x:v>結果評価・報告</x:v>
      </x:c>
      <x:c r="D70" s="538" t="str">
        <x:v>PoC完了・後続展開Go／No-Go判定</x:v>
      </x:c>
      <x:c r="E70" s="538" t="str">
        <x:v>マイルストーン</x:v>
      </x:c>
      <x:c r="F70" s="538" t="str">
        <x:v>データ基盤</x:v>
      </x:c>
      <x:c r="G70" s="538" t="str">
        <x:v>ワタル／関係者</x:v>
      </x:c>
      <x:c r="H70" s="539" t="n">
        <x:v>46295</x:v>
      </x:c>
      <x:c r="I70" s="539" t="n">
        <x:v>46295</x:v>
      </x:c>
      <x:c r="J70" s="538" t="str">
        <x:v>準備中</x:v>
      </x:c>
      <x:c r="K70" s="372" t="str">
        <x:v>【絶対に必要｜不可】 9月中報告を仮アンカーとして設定</x:v>
      </x:c>
      <x:c r="L70" s="546" t="str">
        <x:f>IF(OR($H70="",$I70=""),"",IF(AND($H70&lt;=L$6+6,$I70&gt;=L$6),1,""))</x:f>
      </x:c>
      <x:c r="M70" s="546" t="str">
        <x:f>IF(OR($H70="",$I70=""),"",IF(AND($H70&lt;=M$6+6,$I70&gt;=M$6),1,""))</x:f>
      </x:c>
      <x:c r="N70" s="546" t="str">
        <x:f>IF(OR($H70="",$I70=""),"",IF(AND($H70&lt;=N$6+6,$I70&gt;=N$6),1,""))</x:f>
      </x:c>
      <x:c r="O70" s="546" t="str">
        <x:f>IF(OR($H70="",$I70=""),"",IF(AND($H70&lt;=O$6+6,$I70&gt;=O$6),1,""))</x:f>
      </x:c>
      <x:c r="P70" s="546" t="str">
        <x:f>IF(OR($H70="",$I70=""),"",IF(AND($H70&lt;=P$6+6,$I70&gt;=P$6),1,""))</x:f>
      </x:c>
      <x:c r="Q70" s="546" t="n">
        <x:f>IF(OR($H70="",$I70=""),"",IF(AND($H70&lt;=Q$6+6,$I70&gt;=Q$6),1,""))</x:f>
        <x:v>1</x:v>
      </x:c>
      <x:c r="R70" s="546" t="str">
        <x:f>IF(OR($H70="",$I70=""),"",IF(AND($H70&lt;=R$6+6,$I70&gt;=R$6),1,""))</x:f>
      </x:c>
      <x:c r="S70" s="546" t="str">
        <x:f>IF(OR($H70="",$I70=""),"",IF(AND($H70&lt;=S$6+6,$I70&gt;=S$6),1,""))</x:f>
      </x:c>
      <x:c r="T70" s="546" t="str">
        <x:f>IF(OR($H70="",$I70=""),"",IF(AND($H70&lt;=T$6+6,$I70&gt;=T$6),1,""))</x:f>
      </x:c>
      <x:c r="U70" s="546" t="str">
        <x:f>IF(OR($H70="",$I70=""),"",IF(AND($H70&lt;=U$6+6,$I70&gt;=U$6),1,""))</x:f>
      </x:c>
      <x:c r="V70" s="546" t="str">
        <x:f>IF(OR($H70="",$I70=""),"",IF(AND($H70&lt;=V$6+6,$I70&gt;=V$6),1,""))</x:f>
      </x:c>
    </x:row>
    <x:row r="71" ht="24" customHeight="1">
      <x:c r="A71" s="542" t="n">
        <x:v>65</x:v>
      </x:c>
      <x:c r="B71" s="542" t="str">
        <x:v>FUT-01</x:v>
      </x:c>
      <x:c r="C71" s="542" t="str">
        <x:v>後続展開（STEP2）</x:v>
      </x:c>
      <x:c r="D71" s="542" t="str">
        <x:v>230組織向け詳細アーキテクチャ設計</x:v>
      </x:c>
      <x:c r="E71" s="542" t="str">
        <x:v>後続</x:v>
      </x:c>
      <x:c r="F71" s="542" t="str">
        <x:v>データ基盤</x:v>
      </x:c>
      <x:c r="G71" s="542" t="str">
        <x:v>要確認</x:v>
      </x:c>
      <x:c r="H71" s="543"/>
      <x:c r="I71" s="543"/>
      <x:c r="J71" s="542" t="str">
        <x:v>準備中</x:v>
      </x:c>
      <x:c r="K71" s="372" t="str">
        <x:v>【スコープ外・後続｜要確認】 TMT PoC完了後</x:v>
      </x:c>
      <x:c r="L71" s="546" t="str">
        <x:f>IF(OR($H71="",$I71=""),"",IF(AND($H71&lt;=L$6+6,$I71&gt;=L$6),1,""))</x:f>
      </x:c>
      <x:c r="M71" s="546" t="str">
        <x:f>IF(OR($H71="",$I71=""),"",IF(AND($H71&lt;=M$6+6,$I71&gt;=M$6),1,""))</x:f>
      </x:c>
      <x:c r="N71" s="546" t="str">
        <x:f>IF(OR($H71="",$I71=""),"",IF(AND($H71&lt;=N$6+6,$I71&gt;=N$6),1,""))</x:f>
      </x:c>
      <x:c r="O71" s="546" t="str">
        <x:f>IF(OR($H71="",$I71=""),"",IF(AND($H71&lt;=O$6+6,$I71&gt;=O$6),1,""))</x:f>
      </x:c>
      <x:c r="P71" s="546" t="str">
        <x:f>IF(OR($H71="",$I71=""),"",IF(AND($H71&lt;=P$6+6,$I71&gt;=P$6),1,""))</x:f>
      </x:c>
      <x:c r="Q71" s="546" t="str">
        <x:f>IF(OR($H71="",$I71=""),"",IF(AND($H71&lt;=Q$6+6,$I71&gt;=Q$6),1,""))</x:f>
      </x:c>
      <x:c r="R71" s="546" t="str">
        <x:f>IF(OR($H71="",$I71=""),"",IF(AND($H71&lt;=R$6+6,$I71&gt;=R$6),1,""))</x:f>
      </x:c>
      <x:c r="S71" s="546" t="str">
        <x:f>IF(OR($H71="",$I71=""),"",IF(AND($H71&lt;=S$6+6,$I71&gt;=S$6),1,""))</x:f>
      </x:c>
      <x:c r="T71" s="546" t="str">
        <x:f>IF(OR($H71="",$I71=""),"",IF(AND($H71&lt;=T$6+6,$I71&gt;=T$6),1,""))</x:f>
      </x:c>
      <x:c r="U71" s="546" t="str">
        <x:f>IF(OR($H71="",$I71=""),"",IF(AND($H71&lt;=U$6+6,$I71&gt;=U$6),1,""))</x:f>
      </x:c>
      <x:c r="V71" s="546" t="str">
        <x:f>IF(OR($H71="",$I71=""),"",IF(AND($H71&lt;=V$6+6,$I71&gt;=V$6),1,""))</x:f>
      </x:c>
    </x:row>
    <x:row r="72" ht="24" customHeight="1">
      <x:c r="A72" s="542" t="n">
        <x:v>66</x:v>
      </x:c>
      <x:c r="B72" s="542" t="str">
        <x:v>FUT-02</x:v>
      </x:c>
      <x:c r="C72" s="542" t="str">
        <x:v>後続展開（STEP2）</x:v>
      </x:c>
      <x:c r="D72" s="542" t="str">
        <x:v>Salesforceパッケージ配信方式の実展開検証</x:v>
      </x:c>
      <x:c r="E72" s="542" t="str">
        <x:v>後続</x:v>
      </x:c>
      <x:c r="F72" s="542" t="str">
        <x:v>データ基盤</x:v>
      </x:c>
      <x:c r="G72" s="542" t="str">
        <x:v>要確認</x:v>
      </x:c>
      <x:c r="H72" s="543"/>
      <x:c r="I72" s="543"/>
      <x:c r="J72" s="542" t="str">
        <x:v>準備中</x:v>
      </x:c>
      <x:c r="K72" s="372" t="str">
        <x:v>【スコープ外・後続｜要確認】 既存パッケージ配信活用を想定</x:v>
      </x:c>
      <x:c r="L72" s="546" t="str">
        <x:f>IF(OR($H72="",$I72=""),"",IF(AND($H72&lt;=L$6+6,$I72&gt;=L$6),1,""))</x:f>
      </x:c>
      <x:c r="M72" s="546" t="str">
        <x:f>IF(OR($H72="",$I72=""),"",IF(AND($H72&lt;=M$6+6,$I72&gt;=M$6),1,""))</x:f>
      </x:c>
      <x:c r="N72" s="546" t="str">
        <x:f>IF(OR($H72="",$I72=""),"",IF(AND($H72&lt;=N$6+6,$I72&gt;=N$6),1,""))</x:f>
      </x:c>
      <x:c r="O72" s="546" t="str">
        <x:f>IF(OR($H72="",$I72=""),"",IF(AND($H72&lt;=O$6+6,$I72&gt;=O$6),1,""))</x:f>
      </x:c>
      <x:c r="P72" s="546" t="str">
        <x:f>IF(OR($H72="",$I72=""),"",IF(AND($H72&lt;=P$6+6,$I72&gt;=P$6),1,""))</x:f>
      </x:c>
      <x:c r="Q72" s="546" t="str">
        <x:f>IF(OR($H72="",$I72=""),"",IF(AND($H72&lt;=Q$6+6,$I72&gt;=Q$6),1,""))</x:f>
      </x:c>
      <x:c r="R72" s="546" t="str">
        <x:f>IF(OR($H72="",$I72=""),"",IF(AND($H72&lt;=R$6+6,$I72&gt;=R$6),1,""))</x:f>
      </x:c>
      <x:c r="S72" s="546" t="str">
        <x:f>IF(OR($H72="",$I72=""),"",IF(AND($H72&lt;=S$6+6,$I72&gt;=S$6),1,""))</x:f>
      </x:c>
      <x:c r="T72" s="546" t="str">
        <x:f>IF(OR($H72="",$I72=""),"",IF(AND($H72&lt;=T$6+6,$I72&gt;=T$6),1,""))</x:f>
      </x:c>
      <x:c r="U72" s="546" t="str">
        <x:f>IF(OR($H72="",$I72=""),"",IF(AND($H72&lt;=U$6+6,$I72&gt;=U$6),1,""))</x:f>
      </x:c>
      <x:c r="V72" s="546" t="str">
        <x:f>IF(OR($H72="",$I72=""),"",IF(AND($H72&lt;=V$6+6,$I72&gt;=V$6),1,""))</x:f>
      </x:c>
    </x:row>
    <x:row r="73" ht="24" customHeight="1">
      <x:c r="A73" s="542" t="n">
        <x:v>67</x:v>
      </x:c>
      <x:c r="B73" s="542" t="str">
        <x:v>FUT-03</x:v>
      </x:c>
      <x:c r="C73" s="542" t="str">
        <x:v>後続展開（STEP2）</x:v>
      </x:c>
      <x:c r="D73" s="542" t="str">
        <x:v>230組織の受信側インスタンス・認証管理設計</x:v>
      </x:c>
      <x:c r="E73" s="542" t="str">
        <x:v>後続</x:v>
      </x:c>
      <x:c r="F73" s="542" t="str">
        <x:v>インフラ</x:v>
      </x:c>
      <x:c r="G73" s="542" t="str">
        <x:v>要確認</x:v>
      </x:c>
      <x:c r="H73" s="543"/>
      <x:c r="I73" s="543"/>
      <x:c r="J73" s="542" t="str">
        <x:v>準備中</x:v>
      </x:c>
      <x:c r="K73" s="372" t="str">
        <x:v>【スコープ外・後続｜要確認】</x:v>
      </x:c>
      <x:c r="L73" s="546" t="str">
        <x:f>IF(OR($H73="",$I73=""),"",IF(AND($H73&lt;=L$6+6,$I73&gt;=L$6),1,""))</x:f>
      </x:c>
      <x:c r="M73" s="546" t="str">
        <x:f>IF(OR($H73="",$I73=""),"",IF(AND($H73&lt;=M$6+6,$I73&gt;=M$6),1,""))</x:f>
      </x:c>
      <x:c r="N73" s="546" t="str">
        <x:f>IF(OR($H73="",$I73=""),"",IF(AND($H73&lt;=N$6+6,$I73&gt;=N$6),1,""))</x:f>
      </x:c>
      <x:c r="O73" s="546" t="str">
        <x:f>IF(OR($H73="",$I73=""),"",IF(AND($H73&lt;=O$6+6,$I73&gt;=O$6),1,""))</x:f>
      </x:c>
      <x:c r="P73" s="546" t="str">
        <x:f>IF(OR($H73="",$I73=""),"",IF(AND($H73&lt;=P$6+6,$I73&gt;=P$6),1,""))</x:f>
      </x:c>
      <x:c r="Q73" s="546" t="str">
        <x:f>IF(OR($H73="",$I73=""),"",IF(AND($H73&lt;=Q$6+6,$I73&gt;=Q$6),1,""))</x:f>
      </x:c>
      <x:c r="R73" s="546" t="str">
        <x:f>IF(OR($H73="",$I73=""),"",IF(AND($H73&lt;=R$6+6,$I73&gt;=R$6),1,""))</x:f>
      </x:c>
      <x:c r="S73" s="546" t="str">
        <x:f>IF(OR($H73="",$I73=""),"",IF(AND($H73&lt;=S$6+6,$I73&gt;=S$6),1,""))</x:f>
      </x:c>
      <x:c r="T73" s="546" t="str">
        <x:f>IF(OR($H73="",$I73=""),"",IF(AND($H73&lt;=T$6+6,$I73&gt;=T$6),1,""))</x:f>
      </x:c>
      <x:c r="U73" s="546" t="str">
        <x:f>IF(OR($H73="",$I73=""),"",IF(AND($H73&lt;=U$6+6,$I73&gt;=U$6),1,""))</x:f>
      </x:c>
      <x:c r="V73" s="546" t="str">
        <x:f>IF(OR($H73="",$I73=""),"",IF(AND($H73&lt;=V$6+6,$I73&gt;=V$6),1,""))</x:f>
      </x:c>
    </x:row>
    <x:row r="74" ht="24" customHeight="1">
      <x:c r="A74" s="542" t="n">
        <x:v>68</x:v>
      </x:c>
      <x:c r="B74" s="542" t="str">
        <x:v>FUT-04</x:v>
      </x:c>
      <x:c r="C74" s="542" t="str">
        <x:v>後続展開（STEP2）</x:v>
      </x:c>
      <x:c r="D74" s="542" t="str">
        <x:v>本番監視・定常運用・リリース設計</x:v>
      </x:c>
      <x:c r="E74" s="542" t="str">
        <x:v>後続</x:v>
      </x:c>
      <x:c r="F74" s="542" t="str">
        <x:v>データ基盤</x:v>
      </x:c>
      <x:c r="G74" s="542" t="str">
        <x:v>要確認</x:v>
      </x:c>
      <x:c r="H74" s="543"/>
      <x:c r="I74" s="543"/>
      <x:c r="J74" s="542" t="str">
        <x:v>準備中</x:v>
      </x:c>
      <x:c r="K74" s="372" t="str">
        <x:v>【スコープ外・後続｜要確認】 PoCでは完成を求めない</x:v>
      </x:c>
      <x:c r="L74" s="546" t="str">
        <x:f>IF(OR($H74="",$I74=""),"",IF(AND($H74&lt;=L$6+6,$I74&gt;=L$6),1,""))</x:f>
      </x:c>
      <x:c r="M74" s="546" t="str">
        <x:f>IF(OR($H74="",$I74=""),"",IF(AND($H74&lt;=M$6+6,$I74&gt;=M$6),1,""))</x:f>
      </x:c>
      <x:c r="N74" s="546" t="str">
        <x:f>IF(OR($H74="",$I74=""),"",IF(AND($H74&lt;=N$6+6,$I74&gt;=N$6),1,""))</x:f>
      </x:c>
      <x:c r="O74" s="546" t="str">
        <x:f>IF(OR($H74="",$I74=""),"",IF(AND($H74&lt;=O$6+6,$I74&gt;=O$6),1,""))</x:f>
      </x:c>
      <x:c r="P74" s="546" t="str">
        <x:f>IF(OR($H74="",$I74=""),"",IF(AND($H74&lt;=P$6+6,$I74&gt;=P$6),1,""))</x:f>
      </x:c>
      <x:c r="Q74" s="546" t="str">
        <x:f>IF(OR($H74="",$I74=""),"",IF(AND($H74&lt;=Q$6+6,$I74&gt;=Q$6),1,""))</x:f>
      </x:c>
      <x:c r="R74" s="546" t="str">
        <x:f>IF(OR($H74="",$I74=""),"",IF(AND($H74&lt;=R$6+6,$I74&gt;=R$6),1,""))</x:f>
      </x:c>
      <x:c r="S74" s="546" t="str">
        <x:f>IF(OR($H74="",$I74=""),"",IF(AND($H74&lt;=S$6+6,$I74&gt;=S$6),1,""))</x:f>
      </x:c>
      <x:c r="T74" s="546" t="str">
        <x:f>IF(OR($H74="",$I74=""),"",IF(AND($H74&lt;=T$6+6,$I74&gt;=T$6),1,""))</x:f>
      </x:c>
      <x:c r="U74" s="546" t="str">
        <x:f>IF(OR($H74="",$I74=""),"",IF(AND($H74&lt;=U$6+6,$I74&gt;=U$6),1,""))</x:f>
      </x:c>
      <x:c r="V74" s="546" t="str">
        <x:f>IF(OR($H74="",$I74=""),"",IF(AND($H74&lt;=V$6+6,$I74&gt;=V$6),1,""))</x:f>
      </x:c>
    </x:row>
  </x:sheetData>
  <x:mergeCells>
    <x:mergeCell ref="A1:V1"/>
    <x:mergeCell ref="A2:V2"/>
    <x:mergeCell ref="A3:B3"/>
    <x:mergeCell ref="D3:E3"/>
    <x:mergeCell ref="G3:H3"/>
    <x:mergeCell ref="J3:K3"/>
    <x:mergeCell ref="M3:N3"/>
    <x:mergeCell ref="P3:Q3"/>
    <x:mergeCell ref="S3:T3"/>
    <x:mergeCell ref="A5:K5"/>
    <x:mergeCell ref="L5:V5"/>
  </x:mergeCells>
  <x:conditionalFormatting sqref="L7:V74">
    <x:cfRule type="expression" dxfId="54" priority="1">
      <x:formula>AND(L7=1,$J7="完了")</x:formula>
    </x:cfRule>
    <x:cfRule type="expression" dxfId="55" priority="2">
      <x:formula>AND(L7=1,$J7="進行中")</x:formula>
    </x:cfRule>
    <x:cfRule type="expression" dxfId="56" priority="3">
      <x:formula>AND(L7=1,$J7="準備中")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575" t="str">
        <x:v>次期J Salesforce→Cloudera 恒久対応PoC WBS方針変更記録</x:v>
      </x:c>
      <x:c r="B1" s="575"/>
      <x:c r="C1" s="575"/>
      <x:c r="D1" s="575"/>
      <x:c r="E1" s="575"/>
      <x:c r="F1" s="575"/>
      <x:c r="G1" s="575"/>
      <x:c r="H1" s="575"/>
    </x:row>
    <x:row r="2" ht="34" customHeight="1">
      <x:c r="A2" s="550" t="str">
        <x:v>本シートは、2026/08/06 Salesforce社資料および次期J MTG整理を基に、恒久対応PoCのWBS方針へ反映した内容を記録します。正式日程・工数・対象Object/Field・採用アーキテクチャ・ライセンス費用は未確定事項を含むため、推測で確定値を置きません。</x:v>
      </x:c>
      <x:c r="B2" s="550"/>
      <x:c r="C2" s="550"/>
      <x:c r="D2" s="550"/>
      <x:c r="E2" s="550"/>
      <x:c r="F2" s="550"/>
      <x:c r="G2" s="550"/>
      <x:c r="H2" s="550"/>
    </x:row>
    <x:row r="3">
      <x:c r="A3" s="353"/>
      <x:c r="B3" s="353"/>
      <x:c r="C3" s="353"/>
      <x:c r="D3" s="353"/>
      <x:c r="E3" s="353"/>
      <x:c r="F3" s="353"/>
      <x:c r="G3" s="353"/>
      <x:c r="H3" s="353"/>
    </x:row>
    <x:row r="4">
      <x:c r="A4" s="563" t="str">
        <x:v>項目</x:v>
      </x:c>
      <x:c r="B4" s="563" t="str">
        <x:v>内容</x:v>
      </x:c>
      <x:c r="C4" s="353"/>
      <x:c r="D4" s="353"/>
      <x:c r="E4" s="353"/>
      <x:c r="F4" s="353"/>
      <x:c r="G4" s="353"/>
      <x:c r="H4" s="353"/>
    </x:row>
    <x:row r="5">
      <x:c r="A5" s="558" t="str">
        <x:v>MTG方針</x:v>
      </x:c>
      <x:c r="B5" s="559" t="str">
        <x:v>現状調査から恒久対応の技術検証フェーズへ移行し、Salesforce→データ基盤の継続連携実現性を検証する。</x:v>
      </x:c>
      <x:c r="C5" s="353"/>
      <x:c r="D5" s="353"/>
      <x:c r="E5" s="353"/>
      <x:c r="F5" s="353"/>
      <x:c r="G5" s="353"/>
      <x:c r="H5" s="353"/>
    </x:row>
    <x:row r="6">
      <x:c r="A6" s="558" t="str">
        <x:v>STEP1基準</x:v>
      </x:c>
      <x:c r="B6" s="559" t="str">
        <x:v>まずTMT（資料上、230org中最大規模）でSalesforce(LPP)→Azure側受信→Cloudera DWHのニアリアルタイム連携PoCを行う。</x:v>
      </x:c>
      <x:c r="C6" s="353"/>
      <x:c r="D6" s="353"/>
      <x:c r="E6" s="353"/>
      <x:c r="F6" s="353"/>
      <x:c r="G6" s="353"/>
      <x:c r="H6" s="353"/>
    </x:row>
    <x:row r="7">
      <x:c r="A7" s="558" t="str">
        <x:v>STEP2基準</x:v>
      </x:c>
      <x:c r="B7" s="559" t="str">
        <x:v>230組織への実展開はTMT PoC完了後の後続。STEP1では展開可否を判断するための材料取得までを行う。</x:v>
      </x:c>
      <x:c r="C7" s="353"/>
      <x:c r="D7" s="353"/>
      <x:c r="E7" s="353"/>
      <x:c r="F7" s="353"/>
      <x:c r="G7" s="353"/>
      <x:c r="H7" s="353"/>
    </x:row>
    <x:row r="8">
      <x:c r="A8" s="558" t="str">
        <x:v>技術方針</x:v>
      </x:c>
      <x:c r="B8" s="559" t="str">
        <x:v>Salesforceのイベント駆動方式（CDC/Event Bus等）を有力候補とするが、CDC Change Event直接Subscribeか別Platform Eventかは未確定。</x:v>
      </x:c>
      <x:c r="C8" s="353"/>
      <x:c r="D8" s="353"/>
      <x:c r="E8" s="353"/>
      <x:c r="F8" s="353"/>
      <x:c r="G8" s="353"/>
      <x:c r="H8" s="353"/>
    </x:row>
    <x:row r="9">
      <x:c r="A9" s="558" t="str">
        <x:v>日程</x:v>
      </x:c>
      <x:c r="B9" s="559" t="str">
        <x:v>9月中の上位報告を計画上の仮アンカーとし、2026/09/30をWBS上の仮完了日とする。正式納期ではない。</x:v>
      </x:c>
      <x:c r="C9" s="353"/>
      <x:c r="D9" s="353"/>
      <x:c r="E9" s="353"/>
      <x:c r="F9" s="353"/>
      <x:c r="G9" s="353"/>
      <x:c r="H9" s="353"/>
    </x:row>
    <x:row r="10">
      <x:c r="A10" s="558" t="str">
        <x:v>工数</x:v>
      </x:c>
      <x:c r="B10" s="559" t="str">
        <x:v>旧NiFi→Kudu前提の53.5人日は今回のSalesforce→Azure→Cloudera PoCへ流用しない。方式・担当・対象件数確定後に再見積する。</x:v>
      </x:c>
      <x:c r="C10" s="353"/>
      <x:c r="D10" s="353"/>
      <x:c r="E10" s="353"/>
      <x:c r="F10" s="353"/>
      <x:c r="G10" s="353"/>
      <x:c r="H10" s="353"/>
    </x:row>
    <x:row r="11">
      <x:c r="A11" s="558" t="str">
        <x:v>更新日</x:v>
      </x:c>
      <x:c r="B11" s="559" t="str">
        <x:v>2026/08/25</x:v>
      </x:c>
      <x:c r="C11" s="353"/>
      <x:c r="D11" s="353"/>
      <x:c r="E11" s="353"/>
      <x:c r="F11" s="353"/>
      <x:c r="G11" s="353"/>
      <x:c r="H11" s="353"/>
    </x:row>
    <x:row r="12">
      <x:c r="A12" s="353"/>
      <x:c r="B12" s="353"/>
      <x:c r="C12" s="353"/>
      <x:c r="D12" s="353"/>
      <x:c r="E12" s="353"/>
      <x:c r="F12" s="353"/>
      <x:c r="G12" s="353"/>
      <x:c r="H12" s="353"/>
    </x:row>
    <x:row r="13">
      <x:c r="A13" s="564" t="str">
        <x:v>変更対象</x:v>
      </x:c>
      <x:c r="B13" s="564" t="str">
        <x:v>変更前／既存前提</x:v>
      </x:c>
      <x:c r="C13" s="564" t="str">
        <x:v>今回のWBS基準</x:v>
      </x:c>
      <x:c r="D13" s="564" t="str">
        <x:v>理由・根拠</x:v>
      </x:c>
      <x:c r="E13" s="564" t="str">
        <x:v>関連WBS</x:v>
      </x:c>
      <x:c r="F13" s="564" t="str">
        <x:v>日程の扱い</x:v>
      </x:c>
      <x:c r="G13" s="564" t="str">
        <x:v>工数の扱い</x:v>
      </x:c>
      <x:c r="H13" s="564" t="str">
        <x:v>備考</x:v>
      </x:c>
    </x:row>
    <x:row r="14">
      <x:c r="A14" s="559" t="str">
        <x:v>先行対象</x:v>
      </x:c>
      <x:c r="B14" s="559" t="str">
        <x:v>1販社先行・NiFi→Kuduの旧WBS</x:v>
      </x:c>
      <x:c r="C14" s="559" t="str">
        <x:v>TMT先行PoC</x:v>
      </x:c>
      <x:c r="D14" s="559" t="str">
        <x:v>Salesforce資料でTMTを最大規模の先行対象として実現性・コスト確認する方針</x:v>
      </x:c>
      <x:c r="E14" s="559" t="str">
        <x:v>REQ-01、SFD-01、REP-03</x:v>
      </x:c>
      <x:c r="F14" s="559" t="str">
        <x:v>8/25～9/30を仮計画</x:v>
      </x:c>
      <x:c r="G14" s="559" t="str">
        <x:v>要再見積</x:v>
      </x:c>
      <x:c r="H14" s="559" t="str">
        <x:v>TMT正式Org情報は要確認</x:v>
      </x:c>
    </x:row>
    <x:row r="15">
      <x:c r="A15" s="559" t="str">
        <x:v>連携経路</x:v>
      </x:c>
      <x:c r="B15" s="559" t="str">
        <x:v>Salesforce→NiFi→Kudu（旧WBS）</x:v>
      </x:c>
      <x:c r="C15" s="559" t="str">
        <x:v>Salesforce→イベント連携→Azure Event Consumer→Cloudera DWH</x:v>
      </x:c>
      <x:c r="D15" s="559" t="str">
        <x:v>今回の恒久対応資料のSTEP1構成へ合わせる</x:v>
      </x:c>
      <x:c r="E15" s="559" t="str">
        <x:v>ARC-01～07、DEV-01～06、FT-04</x:v>
      </x:c>
      <x:c r="F15" s="559" t="str">
        <x:v>旧日程は流用しない</x:v>
      </x:c>
      <x:c r="G15" s="559" t="str">
        <x:v>旧工数は流用しない</x:v>
      </x:c>
      <x:c r="H15" s="559" t="str">
        <x:v>Azureサービス、Cloudera投入方式は未確定</x:v>
      </x:c>
    </x:row>
    <x:row r="16">
      <x:c r="A16" s="559" t="str">
        <x:v>イベント方式</x:v>
      </x:c>
      <x:c r="B16" s="559" t="str">
        <x:v>NiFi/API取得中心</x:v>
      </x:c>
      <x:c r="C16" s="559" t="str">
        <x:v>CDC/Event Bus等のイベント駆動方式を検討</x:v>
      </x:c>
      <x:c r="D16" s="559" t="str">
        <x:v>Salesforce資料の合意事項・Appendixに基づく</x:v>
      </x:c>
      <x:c r="E16" s="559" t="str">
        <x:v>ARC-01～02、DEV-01～03</x:v>
      </x:c>
      <x:c r="F16" s="559" t="str">
        <x:v>方式決定を先行</x:v>
      </x:c>
      <x:c r="G16" s="559" t="str">
        <x:v>要再見積</x:v>
      </x:c>
      <x:c r="H16" s="559" t="str">
        <x:v>CDCとPlatform Eventの具体的使い分けは要確認</x:v>
      </x:c>
    </x:row>
    <x:row r="17">
      <x:c r="A17" s="559" t="str">
        <x:v>対象Object/Field</x:v>
      </x:c>
      <x:c r="B17" s="559" t="str">
        <x:v>旧WBSでは調査後に具体化</x:v>
      </x:c>
      <x:c r="C17" s="559" t="str">
        <x:v>今回も未確定のまま前提確認タスク化</x:v>
      </x:c>
      <x:c r="D17" s="559" t="str">
        <x:v>Salesforce資料で『これから検討』と明記</x:v>
      </x:c>
      <x:c r="E17" s="559" t="str">
        <x:v>SFD-03～05、REQ-03～06</x:v>
      </x:c>
      <x:c r="F17" s="559" t="str">
        <x:v>9月初旬までの確定を仮置き</x:v>
      </x:c>
      <x:c r="G17" s="559" t="str">
        <x:v>対象数確定後に算定</x:v>
      </x:c>
      <x:c r="H17" s="559" t="str">
        <x:v>活動4オブジェクトは候補であり確定扱いしない</x:v>
      </x:c>
    </x:row>
    <x:row r="18">
      <x:c r="A18" s="559" t="str">
        <x:v>性能条件</x:v>
      </x:c>
      <x:c r="B18" s="559" t="str">
        <x:v>旧NiFi前提の処理時間</x:v>
      </x:c>
      <x:c r="C18" s="559" t="str">
        <x:v>TMT実件数・ピーク件数・実測遅延で評価</x:v>
      </x:c>
      <x:c r="D18" s="559" t="str">
        <x:v>資料に5万件/日超の可能性、更新頻度/件数は要確認と記載</x:v>
      </x:c>
      <x:c r="E18" s="559" t="str">
        <x:v>SFD-06～08、FT-06、PT-01～03</x:v>
      </x:c>
      <x:c r="F18" s="559" t="str">
        <x:v>機能疎通後に性能試験</x:v>
      </x:c>
      <x:c r="G18" s="559" t="str">
        <x:v>実件数に応じ再算定</x:v>
      </x:c>
      <x:c r="H18" s="559" t="str">
        <x:v>ニアリアルタイムの秒・分基準は業務側確認が必要</x:v>
      </x:c>
    </x:row>
    <x:row r="19">
      <x:c r="A19" s="559" t="str">
        <x:v>障害復旧</x:v>
      </x:c>
      <x:c r="B19" s="559" t="str">
        <x:v>旧取得処理の再実行方針</x:v>
      </x:c>
      <x:c r="C19" s="559" t="str">
        <x:v>接続断、受信側停止、Cloudera連携失敗、Replay等を候補化</x:v>
      </x:c>
      <x:c r="D19" s="559" t="str">
        <x:v>資料でRetry深掘り、CDCのReplay機能が説明されている</x:v>
      </x:c>
      <x:c r="E19" s="559" t="str">
        <x:v>PT-04～08</x:v>
      </x:c>
      <x:c r="F19" s="559" t="str">
        <x:v>9/17～9/25を仮配置</x:v>
      </x:c>
      <x:c r="G19" s="559" t="str">
        <x:v>採用方式により変動</x:v>
      </x:c>
      <x:c r="H19" s="559" t="str">
        <x:v>Replay・重複試験は要件次第で省略可</x:v>
      </x:c>
    </x:row>
    <x:row r="20">
      <x:c r="A20" s="559" t="str">
        <x:v>Salesforceライセンス</x:v>
      </x:c>
      <x:c r="B20" s="559" t="str">
        <x:v>旧API/NiFi前提</x:v>
      </x:c>
      <x:c r="C20" s="559" t="str">
        <x:v>CDC対象数・イベント配信量・Add-on要否を評価</x:v>
      </x:c>
      <x:c r="D20" s="559" t="str">
        <x:v>Salesforce資料9頁にObject数・配信量・価格例が提示</x:v>
      </x:c>
      <x:c r="E20" s="559" t="str">
        <x:v>SFD-01～02、SFD-06～08、REP-02</x:v>
      </x:c>
      <x:c r="F20" s="559" t="str">
        <x:v>PoC前半で条件確認</x:v>
      </x:c>
      <x:c r="G20" s="559" t="str">
        <x:v>契約条件確認後に算定</x:v>
      </x:c>
      <x:c r="H20" s="559" t="str">
        <x:v>資料掲載価格を今回契約の確定額として扱わない</x:v>
      </x:c>
    </x:row>
    <x:row r="21">
      <x:c r="A21" s="559" t="str">
        <x:v>230組織</x:v>
      </x:c>
      <x:c r="B21" s="559" t="str">
        <x:v>後続販社展開</x:v>
      </x:c>
      <x:c r="C21" s="559" t="str">
        <x:v>STEP2としてスコープ外・後続。STEP1では展開課題の評価まで</x:v>
      </x:c>
      <x:c r="D21" s="559" t="str">
        <x:v>Salesforce資料8頁の将来像と受け側インスタンス論点</x:v>
      </x:c>
      <x:c r="E21" s="559" t="str">
        <x:v>REP-03、FUT-01～04</x:v>
      </x:c>
      <x:c r="F21" s="559" t="str">
        <x:v>本WBSでは日程未設定</x:v>
      </x:c>
      <x:c r="G21" s="559" t="str">
        <x:v>PoC後に再見積</x:v>
      </x:c>
      <x:c r="H21" s="559" t="str">
        <x:v>既存パッケージ配信活用を想定、実展開は後続</x:v>
      </x:c>
    </x:row>
    <x:row r="22">
      <x:c r="A22" s="559" t="str">
        <x:v>ポイントDB</x:v>
      </x:c>
      <x:c r="B22" s="559" t="str">
        <x:v>旧WBS対象外</x:v>
      </x:c>
      <x:c r="C22" s="559" t="str">
        <x:v>Cloudera DWHまでをSTEP1の基本終了点とし、ポイントDBまで含むか要確認</x:v>
      </x:c>
      <x:c r="D22" s="559" t="str">
        <x:v>Salesforce資料のSTEP1タイトルがClouderaまで</x:v>
      </x:c>
      <x:c r="E22" s="559" t="str">
        <x:v>REQ-02～03</x:v>
      </x:c>
      <x:c r="F22" s="559" t="str">
        <x:v>対象化時は再計画</x:v>
      </x:c>
      <x:c r="G22" s="559" t="str">
        <x:v>対象化時は追加見積</x:v>
      </x:c>
      <x:c r="H22" s="559" t="str">
        <x:v>業務全体図にはポイントDBが存在</x:v>
      </x:c>
    </x:row>
    <x:row r="23">
      <x:c r="A23" s="353"/>
      <x:c r="B23" s="353"/>
      <x:c r="C23" s="353"/>
      <x:c r="D23" s="353"/>
      <x:c r="E23" s="353"/>
      <x:c r="F23" s="353"/>
      <x:c r="G23" s="353"/>
      <x:c r="H23" s="353"/>
    </x:row>
    <x:row r="24">
      <x:c r="A24" s="577" t="str">
        <x:v>未確定事項</x:v>
      </x:c>
      <x:c r="B24" s="577" t="str">
        <x:v>WBS確定前／PoC開始前に確認が必要な内容</x:v>
      </x:c>
      <x:c r="C24" s="353"/>
      <x:c r="D24" s="353"/>
      <x:c r="E24" s="353"/>
      <x:c r="F24" s="353"/>
      <x:c r="G24" s="353"/>
      <x:c r="H24" s="353"/>
    </x:row>
    <x:row r="25">
      <x:c r="A25" s="572" t="str">
        <x:v>TMT Salesforce Org</x:v>
      </x:c>
      <x:c r="B25" s="353" t="str">
        <x:v>具体的Org、Edition、契約条件、CDC/Event利用状況</x:v>
      </x:c>
      <x:c r="C25" s="353"/>
      <x:c r="D25" s="353"/>
      <x:c r="E25" s="353"/>
      <x:c r="F25" s="353"/>
      <x:c r="G25" s="353"/>
      <x:c r="H25" s="353"/>
    </x:row>
    <x:row r="26">
      <x:c r="A26" s="572" t="str">
        <x:v>対象データ</x:v>
      </x:c>
      <x:c r="B26" s="353" t="str">
        <x:v>Object、Field、参照関係、必要な変更種類、未取引客の扱い</x:v>
      </x:c>
      <x:c r="C26" s="353"/>
      <x:c r="D26" s="353"/>
      <x:c r="E26" s="353"/>
      <x:c r="F26" s="353"/>
      <x:c r="G26" s="353"/>
      <x:c r="H26" s="353"/>
    </x:row>
    <x:row r="27">
      <x:c r="A27" s="572" t="str">
        <x:v>実データ量</x:v>
      </x:c>
      <x:c r="B27" s="353" t="str">
        <x:v>通常日、最大日、ピーク時間帯の変更件数</x:v>
      </x:c>
      <x:c r="C27" s="353"/>
      <x:c r="D27" s="353"/>
      <x:c r="E27" s="353"/>
      <x:c r="F27" s="353"/>
      <x:c r="G27" s="353"/>
      <x:c r="H27" s="353"/>
    </x:row>
    <x:row r="28">
      <x:c r="A28" s="572" t="str">
        <x:v>許容遅延</x:v>
      </x:c>
      <x:c r="B28" s="353" t="str">
        <x:v>ニアリアルタイムを何秒／何分以内とするか</x:v>
      </x:c>
      <x:c r="C28" s="353"/>
      <x:c r="D28" s="353"/>
      <x:c r="E28" s="353"/>
      <x:c r="F28" s="353"/>
      <x:c r="G28" s="353"/>
      <x:c r="H28" s="353"/>
    </x:row>
    <x:row r="29">
      <x:c r="A29" s="572" t="str">
        <x:v>イベント方式</x:v>
      </x:c>
      <x:c r="B29" s="353" t="str">
        <x:v>CDC Change Event直接Subscribeか、別Platform Eventを介すか</x:v>
      </x:c>
      <x:c r="C29" s="353"/>
      <x:c r="D29" s="353"/>
      <x:c r="E29" s="353"/>
      <x:c r="F29" s="353"/>
      <x:c r="G29" s="353"/>
      <x:c r="H29" s="353"/>
    </x:row>
    <x:row r="30">
      <x:c r="A30" s="572" t="str">
        <x:v>Subscribe方式</x:v>
      </x:c>
      <x:c r="B30" s="353" t="str">
        <x:v>Pub/Sub API、CometD、MuleSoft等のうち今回採用する方式</x:v>
      </x:c>
      <x:c r="C30" s="353"/>
      <x:c r="D30" s="353"/>
      <x:c r="E30" s="353"/>
      <x:c r="F30" s="353"/>
      <x:c r="G30" s="353"/>
      <x:c r="H30" s="353"/>
    </x:row>
    <x:row r="31">
      <x:c r="A31" s="572" t="str">
        <x:v>Azure受信方式</x:v>
      </x:c>
      <x:c r="B31" s="353" t="str">
        <x:v>Event Consumerに使用するAzureサービス、インスタンス構成</x:v>
      </x:c>
      <x:c r="C31" s="353"/>
      <x:c r="D31" s="353"/>
      <x:c r="E31" s="353"/>
      <x:c r="F31" s="353"/>
      <x:c r="G31" s="353"/>
      <x:c r="H31" s="353"/>
    </x:row>
    <x:row r="32">
      <x:c r="A32" s="572" t="str">
        <x:v>Cloudera連携</x:v>
      </x:c>
      <x:c r="B32" s="353" t="str">
        <x:v>Azure→Clouderaの受入IF、保存先、データ形式、識別キー</x:v>
      </x:c>
      <x:c r="C32" s="353"/>
      <x:c r="D32" s="353"/>
      <x:c r="E32" s="353"/>
      <x:c r="F32" s="353"/>
      <x:c r="G32" s="353"/>
      <x:c r="H32" s="353"/>
    </x:row>
    <x:row r="33">
      <x:c r="A33" s="572" t="str">
        <x:v>Security/NW</x:v>
      </x:c>
      <x:c r="B33" s="353" t="str">
        <x:v>認証、接続経路、Firewall等の制約、Secret管理</x:v>
      </x:c>
      <x:c r="C33" s="353"/>
      <x:c r="D33" s="353"/>
      <x:c r="E33" s="353"/>
      <x:c r="F33" s="353"/>
      <x:c r="G33" s="353"/>
      <x:c r="H33" s="353"/>
    </x:row>
    <x:row r="34">
      <x:c r="A34" s="572" t="str">
        <x:v>障害要件</x:v>
      </x:c>
      <x:c r="B34" s="353" t="str">
        <x:v>Retry、Replay、再接続、重複・未処理検知のPoC対象範囲</x:v>
      </x:c>
      <x:c r="C34" s="353"/>
      <x:c r="D34" s="353"/>
      <x:c r="E34" s="353"/>
      <x:c r="F34" s="353"/>
      <x:c r="G34" s="353"/>
      <x:c r="H34" s="353"/>
    </x:row>
    <x:row r="35">
      <x:c r="A35" s="572" t="str">
        <x:v>正式日程</x:v>
      </x:c>
      <x:c r="B35" s="353" t="str">
        <x:v>PoC開始可能日、上位報告日、外部依存期限</x:v>
      </x:c>
      <x:c r="C35" s="353"/>
      <x:c r="D35" s="353"/>
      <x:c r="E35" s="353"/>
      <x:c r="F35" s="353"/>
      <x:c r="G35" s="353"/>
      <x:c r="H35" s="353"/>
    </x:row>
    <x:row r="36">
      <x:c r="A36" s="572" t="str">
        <x:v>正式工数</x:v>
      </x:c>
      <x:c r="B36" s="353" t="str">
        <x:v>担当体制、採用方式、対象Object数、性能条件確定後に再見積</x:v>
      </x:c>
      <x:c r="C36" s="353"/>
      <x:c r="D36" s="353"/>
      <x:c r="E36" s="353"/>
      <x:c r="F36" s="353"/>
      <x:c r="G36" s="353"/>
      <x:c r="H36" s="353"/>
    </x:row>
    <x:row r="37">
      <x:c r="A37" s="353"/>
      <x:c r="B37" s="353"/>
      <x:c r="C37" s="353"/>
      <x:c r="D37" s="353"/>
      <x:c r="E37" s="353"/>
      <x:c r="F37" s="353"/>
      <x:c r="G37" s="353"/>
      <x:c r="H37" s="353"/>
    </x:row>
    <x:row r="38">
      <x:c r="A38" s="563" t="str">
        <x:v>1.5か月逆算見直し</x:v>
      </x:c>
      <x:c r="B38" s="563" t="str">
        <x:v>変更前</x:v>
      </x:c>
      <x:c r="C38" s="563" t="str">
        <x:v>変更後</x:v>
      </x:c>
      <x:c r="D38" s="563" t="str">
        <x:v>理由</x:v>
      </x:c>
      <x:c r="E38" s="563" t="str">
        <x:v>対象</x:v>
      </x:c>
      <x:c r="F38" s="563" t="str">
        <x:v>日程への効果</x:v>
      </x:c>
      <x:c r="G38" s="563" t="str">
        <x:v>工数の扱い</x:v>
      </x:c>
      <x:c r="H38" s="563" t="str">
        <x:v>注意</x:v>
      </x:c>
    </x:row>
    <x:row r="39">
      <x:c r="A39" s="353" t="str">
        <x:v>スコープ</x:v>
      </x:c>
      <x:c r="B39" s="353" t="str">
        <x:v>旧NiFi→Kudu先行検証</x:v>
      </x:c>
      <x:c r="C39" s="353" t="str">
        <x:v>TMT Salesforce→Azure→Cloudera PoC</x:v>
      </x:c>
      <x:c r="D39" s="353" t="str">
        <x:v>今回の恒久対応資料へ合わせる</x:v>
      </x:c>
      <x:c r="E39" s="353" t="str">
        <x:v>全WBS</x:v>
      </x:c>
      <x:c r="F39" s="353" t="str">
        <x:v>不要な旧NiFi作業を除外</x:v>
      </x:c>
      <x:c r="G39" s="353" t="str">
        <x:v>旧53.5人日は非流用</x:v>
      </x:c>
      <x:c r="H39" s="353" t="str">
        <x:v>最終方式は未確定</x:v>
      </x:c>
    </x:row>
    <x:row r="40">
      <x:c r="A40" s="353" t="str">
        <x:v>優先度</x:v>
      </x:c>
      <x:c r="B40" s="353" t="str">
        <x:v>通常タスク中心</x:v>
      </x:c>
      <x:c r="C40" s="353" t="str">
        <x:v>絶対に必要／暫定省略可／スコープ外・後続を明示</x:v>
      </x:c>
      <x:c r="D40" s="353" t="str">
        <x:v>9月中報告から逆算して取捨選択するため</x:v>
      </x:c>
      <x:c r="E40" s="353" t="str">
        <x:v>WBS_閲覧用 備考</x:v>
      </x:c>
      <x:c r="F40" s="353" t="str">
        <x:v>任意作業を後ろ倒し可能</x:v>
      </x:c>
      <x:c r="G40" s="353" t="str">
        <x:v>正式見積後に再配賦</x:v>
      </x:c>
      <x:c r="H40" s="353" t="str">
        <x:v>要件・担当確定後に再調整</x:v>
      </x:c>
    </x:row>
    <x:row r="41">
      <x:c r="A41" s="353" t="str">
        <x:v>並行実施</x:v>
      </x:c>
      <x:c r="B41" s="353" t="str">
        <x:v>明示なし</x:v>
      </x:c>
      <x:c r="C41" s="353" t="str">
        <x:v>要件、Salesforce調査、Security/NW、方式検討を並行化</x:v>
      </x:c>
      <x:c r="D41" s="353" t="str">
        <x:v>前半の外部依存待ちを短縮するため</x:v>
      </x:c>
      <x:c r="E41" s="353" t="str">
        <x:v>REQ/SFD/ARC/SEC</x:v>
      </x:c>
      <x:c r="F41" s="353" t="str">
        <x:v>クリティカルパスを圧縮</x:v>
      </x:c>
      <x:c r="G41" s="353" t="str">
        <x:v>追加工数ではなく進め方</x:v>
      </x:c>
      <x:c r="H41" s="353" t="str">
        <x:v>同一担当者の場合は実際の並行性を再確認</x:v>
      </x:c>
    </x:row>
    <x:row r="42">
      <x:c r="A42" s="353" t="str">
        <x:v>予備期間</x:v>
      </x:c>
      <x:c r="B42" s="353" t="str">
        <x:v>明示なし</x:v>
      </x:c>
      <x:c r="C42" s="353" t="str">
        <x:v>9/24～9/25に再試験・予備を確保</x:v>
      </x:c>
      <x:c r="D42" s="353" t="str">
        <x:v>9月末報告直前まで検証を詰め込まないため</x:v>
      </x:c>
      <x:c r="E42" s="353" t="str">
        <x:v>PT-06～08、REP-01～04</x:v>
      </x:c>
      <x:c r="F42" s="353" t="str">
        <x:v>不具合対応余地を確保</x:v>
      </x:c>
      <x:c r="G42" s="353" t="str">
        <x:v>工数未算定</x:v>
      </x:c>
      <x:c r="H42" s="353" t="str">
        <x:v>9/21～23は祝日を考慮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7" hidden="0" customWidth="1"/>
    <x:col min="3" max="3" width="26" hidden="0" customWidth="1"/>
    <x:col min="4" max="4" width="12" hidden="0" customWidth="1"/>
    <x:col min="5" max="5" width="14" hidden="0" customWidth="1"/>
    <x:col min="6" max="6" width="28" hidden="0" customWidth="1"/>
    <x:col min="7" max="7" width="42" hidden="0" customWidth="1"/>
    <x:col min="8" max="8" width="16" hidden="0" customWidth="1"/>
    <x:col min="9" max="9" width="34" hidden="0" customWidth="1"/>
  </x:cols>
  <x:sheetData>
    <x:row r="1" ht="28" customHeight="1">
      <x:c r="A1" s="403" t="str">
        <x:v>次期J Salesforce→Cloudera 恒久対応PoC WBS工数配賦</x:v>
      </x:c>
      <x:c r="B1" s="403"/>
      <x:c r="C1" s="403"/>
      <x:c r="D1" s="403"/>
      <x:c r="E1" s="403"/>
      <x:c r="F1" s="403"/>
      <x:c r="G1" s="403"/>
      <x:c r="H1" s="403"/>
      <x:c r="I1" s="403"/>
    </x:row>
    <x:row r="2" ht="36" customHeight="1">
      <x:c r="A2" s="581" t="str">
        <x:v>今回の正式工数は未算定です。旧Salesforce→NiFi→Kudu先行検証の53.5人日は方式・対象・成果物が異なるため流用しません。本シートではWBS IDへの配賦先だけを先に整理し、対象Object数、採用Subscribe方式、Azure/Cloudera実装方式、担当体制の確定後に人日を入力します。</x:v>
      </x:c>
      <x:c r="B2" s="581"/>
      <x:c r="C2" s="581"/>
      <x:c r="D2" s="581"/>
      <x:c r="E2" s="581"/>
      <x:c r="F2" s="581"/>
      <x:c r="G2" s="581"/>
      <x:c r="H2" s="581"/>
      <x:c r="I2" s="581"/>
    </x:row>
    <x:row r="4" ht="27" customHeight="1">
      <x:c r="A4" s="564" t="str">
        <x:v>No.</x:v>
      </x:c>
      <x:c r="B4" s="564" t="str">
        <x:v>見積カテゴリ</x:v>
      </x:c>
      <x:c r="C4" s="564" t="str">
        <x:v>見積タスク</x:v>
      </x:c>
      <x:c r="D4" s="564" t="str">
        <x:v>元工数</x:v>
      </x:c>
      <x:c r="E4" s="564" t="str">
        <x:v>今回PoC工数</x:v>
      </x:c>
      <x:c r="F4" s="564" t="str">
        <x:v>関連WBS ID</x:v>
      </x:c>
      <x:c r="G4" s="564" t="str">
        <x:v>配賦先・対象作業</x:v>
      </x:c>
      <x:c r="H4" s="564" t="str">
        <x:v>扱い</x:v>
      </x:c>
      <x:c r="I4" s="564" t="str">
        <x:v>補足</x:v>
      </x:c>
    </x:row>
    <x:row r="5" ht="27" customHeight="1">
      <x:c r="A5" s="559" t="n">
        <x:v>1</x:v>
      </x:c>
      <x:c r="B5" s="559" t="str">
        <x:v>要件定義</x:v>
      </x:c>
      <x:c r="C5" s="559" t="str">
        <x:v>目的・スコープ／業務要件整理</x:v>
      </x:c>
      <x:c r="D5" s="591"/>
      <x:c r="E5" s="591"/>
      <x:c r="F5" s="559" t="str">
        <x:v>REQ-01～08</x:v>
      </x:c>
      <x:c r="G5" s="559" t="str">
        <x:v>TMT先行スコープ、ポイント施策、遅延、対象顧客、成功条件</x:v>
      </x:c>
      <x:c r="H5" s="559" t="str">
        <x:v>要再見積</x:v>
      </x:c>
      <x:c r="I5" s="559" t="str">
        <x:v>要件未確定事項の確認を含む</x:v>
      </x:c>
    </x:row>
    <x:row r="6" ht="27" customHeight="1">
      <x:c r="A6" s="559" t="n">
        <x:v>2</x:v>
      </x:c>
      <x:c r="B6" s="559" t="str">
        <x:v>Salesforce調査</x:v>
      </x:c>
      <x:c r="C6" s="559" t="str">
        <x:v>Object・Field・データ特性調査</x:v>
      </x:c>
      <x:c r="D6" s="591"/>
      <x:c r="E6" s="591"/>
      <x:c r="F6" s="559" t="str">
        <x:v>SFD-03～06</x:v>
      </x:c>
      <x:c r="G6" s="559" t="str">
        <x:v>対象Object/Field、参照関係、通常/最大/ピーク件数</x:v>
      </x:c>
      <x:c r="H6" s="559" t="str">
        <x:v>要再見積</x:v>
      </x:c>
      <x:c r="I6" s="559" t="str">
        <x:v>対象数確定後に細分化</x:v>
      </x:c>
    </x:row>
    <x:row r="7" ht="27" customHeight="1">
      <x:c r="A7" s="559" t="n">
        <x:v>3</x:v>
      </x:c>
      <x:c r="B7" s="559" t="str">
        <x:v>Salesforce調査</x:v>
      </x:c>
      <x:c r="C7" s="559" t="str">
        <x:v>契約・CDC/Event制約／ライセンス確認</x:v>
      </x:c>
      <x:c r="D7" s="591"/>
      <x:c r="E7" s="591"/>
      <x:c r="F7" s="559" t="str">
        <x:v>SFD-01～02、SFD-07～08</x:v>
      </x:c>
      <x:c r="G7" s="559" t="str">
        <x:v>Edition、既存CDC、配信枠、Add-on要否</x:v>
      </x:c>
      <x:c r="H7" s="559" t="str">
        <x:v>要再見積</x:v>
      </x:c>
      <x:c r="I7" s="559" t="str">
        <x:v>資料掲載価格は確定見積ではない</x:v>
      </x:c>
    </x:row>
    <x:row r="8" ht="27" customHeight="1">
      <x:c r="A8" s="559" t="n">
        <x:v>4</x:v>
      </x:c>
      <x:c r="B8" s="559" t="str">
        <x:v>基本設計</x:v>
      </x:c>
      <x:c r="C8" s="559" t="str">
        <x:v>イベント連携方式・E2E構成設計</x:v>
      </x:c>
      <x:c r="D8" s="591"/>
      <x:c r="E8" s="591"/>
      <x:c r="F8" s="559" t="str">
        <x:v>ARC-01～08</x:v>
      </x:c>
      <x:c r="G8" s="559" t="str">
        <x:v>CDC/Event、Subscribe方式、Azure Event Consumer、Cloudera連携、責務分界</x:v>
      </x:c>
      <x:c r="H8" s="559" t="str">
        <x:v>要再見積</x:v>
      </x:c>
      <x:c r="I8" s="559" t="str">
        <x:v>採用方式確定後に工数化</x:v>
      </x:c>
    </x:row>
    <x:row r="9" ht="27" customHeight="1">
      <x:c r="A9" s="559" t="n">
        <x:v>5</x:v>
      </x:c>
      <x:c r="B9" s="559" t="str">
        <x:v>Security/NW</x:v>
      </x:c>
      <x:c r="C9" s="559" t="str">
        <x:v>認証・NW・Secret・接続環境準備</x:v>
      </x:c>
      <x:c r="D9" s="591"/>
      <x:c r="E9" s="591"/>
      <x:c r="F9" s="559" t="str">
        <x:v>SEC-01～06</x:v>
      </x:c>
      <x:c r="G9" s="559" t="str">
        <x:v>Salesforce/Azure/Clouderaの認証・接続・環境準備</x:v>
      </x:c>
      <x:c r="H9" s="559" t="str">
        <x:v>要再見積</x:v>
      </x:c>
      <x:c r="I9" s="559" t="str">
        <x:v>外部依存待ちを含む</x:v>
      </x:c>
    </x:row>
    <x:row r="10" ht="27" customHeight="1">
      <x:c r="A10" s="559" t="n">
        <x:v>6</x:v>
      </x:c>
      <x:c r="B10" s="559" t="str">
        <x:v>Salesforce実装</x:v>
      </x:c>
      <x:c r="C10" s="559" t="str">
        <x:v>CDC/Event設定</x:v>
      </x:c>
      <x:c r="D10" s="591"/>
      <x:c r="E10" s="591"/>
      <x:c r="F10" s="559" t="str">
        <x:v>DEV-01</x:v>
      </x:c>
      <x:c r="G10" s="559" t="str">
        <x:v>対象ObjectのCDC/Event設定</x:v>
      </x:c>
      <x:c r="H10" s="559" t="str">
        <x:v>要再見積</x:v>
      </x:c>
      <x:c r="I10" s="559" t="str">
        <x:v>対象Object数と方式に依存</x:v>
      </x:c>
    </x:row>
    <x:row r="11" ht="27" customHeight="1">
      <x:c r="A11" s="559" t="n">
        <x:v>7</x:v>
      </x:c>
      <x:c r="B11" s="559" t="str">
        <x:v>Azure実装</x:v>
      </x:c>
      <x:c r="C11" s="559" t="str">
        <x:v>Event Consumer／ログ実装</x:v>
      </x:c>
      <x:c r="D11" s="591"/>
      <x:c r="E11" s="591"/>
      <x:c r="F11" s="559" t="str">
        <x:v>DEV-02～03</x:v>
      </x:c>
      <x:c r="G11" s="559" t="str">
        <x:v>イベントSubscribe、受信、Evidence取得</x:v>
      </x:c>
      <x:c r="H11" s="559" t="str">
        <x:v>要再見積</x:v>
      </x:c>
      <x:c r="I11" s="559" t="str">
        <x:v>Azureサービス未確定</x:v>
      </x:c>
    </x:row>
    <x:row r="12" ht="27" customHeight="1">
      <x:c r="A12" s="559" t="n">
        <x:v>8</x:v>
      </x:c>
      <x:c r="B12" s="559" t="str">
        <x:v>Cloudera実装</x:v>
      </x:c>
      <x:c r="C12" s="559" t="str">
        <x:v>Azure→Cloudera連携／受入準備</x:v>
      </x:c>
      <x:c r="D12" s="591"/>
      <x:c r="E12" s="591"/>
      <x:c r="F12" s="559" t="str">
        <x:v>DEV-04～05</x:v>
      </x:c>
      <x:c r="G12" s="559" t="str">
        <x:v>連携処理、受入先、確認処理</x:v>
      </x:c>
      <x:c r="H12" s="559" t="str">
        <x:v>要再見積</x:v>
      </x:c>
      <x:c r="I12" s="559" t="str">
        <x:v>Cloudera受入方式未確定</x:v>
      </x:c>
    </x:row>
    <x:row r="13" ht="27" customHeight="1">
      <x:c r="A13" s="559" t="n">
        <x:v>9</x:v>
      </x:c>
      <x:c r="B13" s="559" t="str">
        <x:v>PoC構築</x:v>
      </x:c>
      <x:c r="C13" s="559" t="str">
        <x:v>最小E2E疎通・構成記録</x:v>
      </x:c>
      <x:c r="D13" s="591"/>
      <x:c r="E13" s="591"/>
      <x:c r="F13" s="559" t="str">
        <x:v>DEV-06～07</x:v>
      </x:c>
      <x:c r="G13" s="559" t="str">
        <x:v>単一レコードE2E、設定値・構成の記録</x:v>
      </x:c>
      <x:c r="H13" s="559" t="str">
        <x:v>要再見積</x:v>
      </x:c>
      <x:c r="I13" s="559" t="str">
        <x:v>DEV-07は暫定省略可</x:v>
      </x:c>
    </x:row>
    <x:row r="14" ht="27" customHeight="1">
      <x:c r="A14" s="559" t="n">
        <x:v>10</x:v>
      </x:c>
      <x:c r="B14" s="559" t="str">
        <x:v>機能試験</x:v>
      </x:c>
      <x:c r="C14" s="559" t="str">
        <x:v>接続・イベント・データ・E2E・遅延</x:v>
      </x:c>
      <x:c r="D14" s="591"/>
      <x:c r="E14" s="591"/>
      <x:c r="F14" s="559" t="str">
        <x:v>FT-01～07</x:v>
      </x:c>
      <x:c r="G14" s="559" t="str">
        <x:v>TC-01～05、整合性、Evidence整理</x:v>
      </x:c>
      <x:c r="H14" s="559" t="str">
        <x:v>要再見積</x:v>
      </x:c>
      <x:c r="I14" s="559" t="str">
        <x:v>業務上必要な変更種別のみ実施</x:v>
      </x:c>
    </x:row>
    <x:row r="15" ht="27" customHeight="1">
      <x:c r="A15" s="559" t="n">
        <x:v>11</x:v>
      </x:c>
      <x:c r="B15" s="559" t="str">
        <x:v>性能試験</x:v>
      </x:c>
      <x:c r="C15" s="559" t="str">
        <x:v>通常負荷・ピーク負荷</x:v>
      </x:c>
      <x:c r="D15" s="591"/>
      <x:c r="E15" s="591"/>
      <x:c r="F15" s="559" t="str">
        <x:v>PT-01～03</x:v>
      </x:c>
      <x:c r="G15" s="559" t="str">
        <x:v>TMT実績を基に試験条件作成、処理量・遅延評価</x:v>
      </x:c>
      <x:c r="H15" s="559" t="str">
        <x:v>要再見積</x:v>
      </x:c>
      <x:c r="I15" s="559" t="str">
        <x:v>実件数確認後に工数化</x:v>
      </x:c>
    </x:row>
    <x:row r="16" ht="27" customHeight="1">
      <x:c r="A16" s="559" t="n">
        <x:v>12</x:v>
      </x:c>
      <x:c r="B16" s="559" t="str">
        <x:v>障害試験</x:v>
      </x:c>
      <x:c r="C16" s="559" t="str">
        <x:v>再接続・再処理・Replay・重複</x:v>
      </x:c>
      <x:c r="D16" s="591"/>
      <x:c r="E16" s="591"/>
      <x:c r="F16" s="559" t="str">
        <x:v>PT-04～08</x:v>
      </x:c>
      <x:c r="G16" s="559" t="str">
        <x:v>接続断、Cloudera失敗、Replay、重複、再試験</x:v>
      </x:c>
      <x:c r="H16" s="559" t="str">
        <x:v>要再見積</x:v>
      </x:c>
      <x:c r="I16" s="559" t="str">
        <x:v>Replay/重複は要件により省略可</x:v>
      </x:c>
    </x:row>
    <x:row r="17" ht="27" customHeight="1">
      <x:c r="A17" s="559" t="n">
        <x:v>13</x:v>
      </x:c>
      <x:c r="B17" s="559" t="str">
        <x:v>結果評価</x:v>
      </x:c>
      <x:c r="C17" s="559" t="str">
        <x:v>PoC判定・ライセンス・230組織課題整理</x:v>
      </x:c>
      <x:c r="D17" s="591"/>
      <x:c r="E17" s="591"/>
      <x:c r="F17" s="559" t="str">
        <x:v>REP-01～04</x:v>
      </x:c>
      <x:c r="G17" s="559" t="str">
        <x:v>○△×未判定、利用量/コスト、STEP2課題、実現可否</x:v>
      </x:c>
      <x:c r="H17" s="559" t="str">
        <x:v>要再見積</x:v>
      </x:c>
      <x:c r="I17" s="559" t="str">
        <x:v>TMT結果に基づき評価</x:v>
      </x:c>
    </x:row>
    <x:row r="18" ht="27" customHeight="1">
      <x:c r="A18" s="559" t="n">
        <x:v>14</x:v>
      </x:c>
      <x:c r="B18" s="559" t="str">
        <x:v>報告</x:v>
      </x:c>
      <x:c r="C18" s="559" t="str">
        <x:v>上位報告資料・Go/No-Go判定</x:v>
      </x:c>
      <x:c r="D18" s="591"/>
      <x:c r="E18" s="591"/>
      <x:c r="F18" s="559" t="str">
        <x:v>REP-05～06</x:v>
      </x:c>
      <x:c r="G18" s="559" t="str">
        <x:v>報告資料作成、レビュー、後続展開判定</x:v>
      </x:c>
      <x:c r="H18" s="559" t="str">
        <x:v>要再見積</x:v>
      </x:c>
      <x:c r="I18" s="559" t="str">
        <x:v>9月中報告を仮アンカー</x:v>
      </x:c>
    </x:row>
    <x:row r="19" ht="27" customHeight="1">
      <x:c r="A19" s="559" t="n">
        <x:v>15</x:v>
      </x:c>
      <x:c r="B19" s="559" t="str">
        <x:v>プロジェクト管理</x:v>
      </x:c>
      <x:c r="C19" s="559" t="str">
        <x:v>WBS・進捗・課題・調整・レビュー</x:v>
      </x:c>
      <x:c r="D19" s="591"/>
      <x:c r="E19" s="591"/>
      <x:c r="F19" s="559" t="str">
        <x:v>PM-01～05</x:v>
      </x:c>
      <x:c r="G19" s="559" t="str">
        <x:v>進行管理、リスク、関係者調整、成果物レビュー</x:v>
      </x:c>
      <x:c r="H19" s="559" t="str">
        <x:v>要再見積</x:v>
      </x:c>
      <x:c r="I19" s="559" t="str">
        <x:v>PoC期間全体</x:v>
      </x:c>
    </x:row>
    <x:row r="20" ht="27" customHeight="1">
      <x:c r="A20" s="559" t="n">
        <x:v>16</x:v>
      </x:c>
      <x:c r="B20" s="559" t="str">
        <x:v>STEP2後続</x:v>
      </x:c>
      <x:c r="C20" s="559" t="str">
        <x:v>230組織展開・本番運用設計</x:v>
      </x:c>
      <x:c r="D20" s="591"/>
      <x:c r="E20" s="591"/>
      <x:c r="F20" s="559" t="str">
        <x:v>FUT-01～04</x:v>
      </x:c>
      <x:c r="G20" s="559" t="str">
        <x:v>詳細展開設計、パッケージ展開、認証/インスタンス、本番運用</x:v>
      </x:c>
      <x:c r="H20" s="559" t="str">
        <x:v>スコープ外・後続</x:v>
      </x:c>
      <x:c r="I20" s="559" t="str">
        <x:v>TMT PoC完了後に別途再見積</x:v>
      </x:c>
    </x:row>
    <x:row r="21" ht="27" customHeight="1">
      <x:c r="A21" s="574"/>
      <x:c r="B21" s="574"/>
      <x:c r="C21" s="574"/>
      <x:c r="D21" s="574"/>
      <x:c r="E21" s="574"/>
      <x:c r="F21" s="574"/>
      <x:c r="G21" s="574"/>
      <x:c r="H21" s="574"/>
      <x:c r="I21" s="574"/>
    </x:row>
    <x:row r="22" ht="27" customHeight="1">
      <x:c r="A22" s="587" t="str">
        <x:v>合計</x:v>
      </x:c>
      <x:c r="B22" s="587"/>
      <x:c r="C22" s="587"/>
      <x:c r="D22" s="587" t="str">
        <x:f>IF(COUNT(D5:D20)=0,"未算定",SUM(D5:D20))</x:f>
        <x:v>未算定</x:v>
      </x:c>
      <x:c r="E22" s="587" t="str">
        <x:f>IF(COUNT(E5:E20)=0,"未算定",SUM(E5:E20))</x:f>
        <x:v>未算定</x:v>
      </x:c>
      <x:c r="F22" s="587" t="str">
        <x:v>対象Object数・採用方式・担当体制確定後に工数を入力し、STEP2後続は別見積とする。</x:v>
      </x:c>
      <x:c r="G22" s="587"/>
      <x:c r="H22" s="587"/>
      <x:c r="I22" s="587"/>
    </x:row>
  </x:sheetData>
  <x:mergeCells>
    <x:mergeCell ref="A1:I1"/>
    <x:mergeCell ref="A2:I2"/>
    <x:mergeCell ref="A22:C22"/>
    <x:mergeCell ref="F22:I22"/>
  </x:mergeCells>
  <x:pageMargins left="0.7" right="0.7" top="0.75" bottom="0.75" header="0.3" footer="0.3"/>
</x:worksheet>
</file>