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06C0F30D-0109-4DBC-986C-811E83166FC8}" xr6:coauthVersionLast="47" xr6:coauthVersionMax="47" xr10:uidLastSave="{00000000-0000-0000-0000-000000000000}"/>
  <bookViews>
    <workbookView xWindow="0" yWindow="0" windowWidth="0" windowHeight="0" firstSheet="5" activeTab="5" xr2:uid="{00000000-000D-0000-FFFF-FFFF00000000}"/>
  </bookViews>
  <sheets>
    <sheet name="概算お見積り" sheetId="1" r:id="rId1"/>
    <sheet name="概算お見積り_案A" sheetId="2" state="hidden" r:id="rId2"/>
    <sheet name="概算お見積り_案B" sheetId="3" state="hidden" r:id="rId3"/>
    <sheet name="概算お見積り_案C" sheetId="4" state="hidden" r:id="rId4"/>
    <sheet name="概算お見積り_金曜時点" sheetId="5" r:id="rId5"/>
    <sheet name="概算お見積り（第一リリース）" sheetId="6" r:id="rId6"/>
    <sheet name="第二リリース共通費" sheetId="7" r:id="rId7"/>
    <sheet name="追加1社あたり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V5qNlauYGiLpUECzV0WgrgR13ImIF2S9RO+uCCzROh4="/>
    </ext>
  </extLst>
</workbook>
</file>

<file path=xl/calcChain.xml><?xml version="1.0" encoding="utf-8"?>
<calcChain xmlns="http://schemas.openxmlformats.org/spreadsheetml/2006/main">
  <c r="I14" i="8" l="1"/>
  <c r="H14" i="8"/>
  <c r="I20" i="7"/>
  <c r="H20" i="7"/>
  <c r="I28" i="6"/>
  <c r="H28" i="6"/>
  <c r="E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K5" i="5"/>
  <c r="G5" i="5"/>
  <c r="G23" i="5" s="1"/>
  <c r="K4" i="5"/>
  <c r="E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K5" i="4"/>
  <c r="G5" i="4"/>
  <c r="G23" i="4" s="1"/>
  <c r="K4" i="4"/>
  <c r="E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K5" i="3"/>
  <c r="G5" i="3"/>
  <c r="G25" i="3" s="1"/>
  <c r="K4" i="3"/>
  <c r="E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K5" i="2"/>
  <c r="G5" i="2"/>
  <c r="G25" i="2" s="1"/>
  <c r="K4" i="2"/>
  <c r="E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48" i="1" s="1"/>
  <c r="E25" i="1"/>
  <c r="E50" i="1" s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K5" i="1"/>
  <c r="G5" i="1"/>
  <c r="G25" i="1" s="1"/>
  <c r="G50" i="1" s="1"/>
  <c r="K4" i="1"/>
</calcChain>
</file>

<file path=xl/sharedStrings.xml><?xml version="1.0" encoding="utf-8"?>
<sst xmlns="http://schemas.openxmlformats.org/spreadsheetml/2006/main" count="665" uniqueCount="242">
  <si>
    <t>Salesforceデータ連携案件 初期開発 概算お見積り - A案 通常進行</t>
  </si>
  <si>
    <t>単価情報</t>
  </si>
  <si>
    <t>費目情報</t>
  </si>
  <si>
    <t>コスト情報</t>
  </si>
  <si>
    <t>人月</t>
  </si>
  <si>
    <t>人日</t>
  </si>
  <si>
    <t>カテゴリ</t>
  </si>
  <si>
    <t>タスク</t>
  </si>
  <si>
    <t>単価</t>
  </si>
  <si>
    <t>工数</t>
  </si>
  <si>
    <t>単位</t>
  </si>
  <si>
    <t>小計（税抜き）</t>
  </si>
  <si>
    <t>管理</t>
  </si>
  <si>
    <t>要件定義</t>
  </si>
  <si>
    <t>調査</t>
  </si>
  <si>
    <t>一般</t>
  </si>
  <si>
    <t>定義書作成</t>
  </si>
  <si>
    <t>基本設計</t>
  </si>
  <si>
    <t>構成図作成</t>
  </si>
  <si>
    <t>方式設計</t>
  </si>
  <si>
    <t>セキュリティ</t>
  </si>
  <si>
    <t>詳細設計</t>
  </si>
  <si>
    <t>実装</t>
  </si>
  <si>
    <t>単体テスト</t>
  </si>
  <si>
    <t>ネットワーク</t>
  </si>
  <si>
    <t>窓口・調整</t>
  </si>
  <si>
    <t>メモ</t>
  </si>
  <si>
    <t>イニシャルで必要なもの</t>
  </si>
  <si>
    <t>疎通確認</t>
  </si>
  <si>
    <t>販社追加で必要なもの</t>
  </si>
  <si>
    <t>データソース</t>
  </si>
  <si>
    <t>毎回必要な作業が何か</t>
  </si>
  <si>
    <t>NiFI for Salesforce連携開発（データ取得）</t>
  </si>
  <si>
    <t>NiFI for Salesforce連携開発（データ保存）</t>
  </si>
  <si>
    <t>APIのアカウント設定</t>
  </si>
  <si>
    <t>IP制限設定</t>
  </si>
  <si>
    <t>結合テスト</t>
  </si>
  <si>
    <t>テスト設計</t>
  </si>
  <si>
    <t>など</t>
  </si>
  <si>
    <t>テスト実施</t>
  </si>
  <si>
    <t>リリース対応</t>
  </si>
  <si>
    <t>設計</t>
  </si>
  <si>
    <t>実施</t>
  </si>
  <si>
    <t>最初わからないことが多い中で、今のデータ活用基盤に取り込むために必須でやらなければいけないこと</t>
  </si>
  <si>
    <t>プロジェクト管理</t>
  </si>
  <si>
    <t>PM</t>
  </si>
  <si>
    <t>セキュリティ+ネットワーク</t>
  </si>
  <si>
    <t>※窓口対応・進行管理・ディレクション</t>
  </si>
  <si>
    <t>PL</t>
  </si>
  <si>
    <t>データ</t>
  </si>
  <si>
    <t>中身。項目、集計の仕方も必要なのでは</t>
  </si>
  <si>
    <t>サブ(上記の経験から、工数を下げることができると見込んでいる)</t>
  </si>
  <si>
    <t>構築</t>
  </si>
  <si>
    <t>2販社分を取り込む環境を作る + 調査（4人月？）</t>
  </si>
  <si>
    <t>データは2回に分けて取る（1回取ってみないとわからない）</t>
  </si>
  <si>
    <t>合計</t>
  </si>
  <si>
    <t>補足</t>
  </si>
  <si>
    <t>【案A：現行範囲を維持して効率化】
・現行の2販社対応と、要件定義からリリースまでの工程を原則維持する一般的な試算です。
・既存のNiFiフロー、Salesforce接続設定、ネットワーク経路、認証・セキュリティ機能、構成図、設計書、テストケース、リリース手順を再利用できることを前提としています。
・2販社の処理は可能な範囲で共通化し、個別開発、重複資料、重複テスト、PM・PLの重複管理を削減します。
・現行の85人日・6,500,000円から、71人日5,425,000円へ見直す一般的な試算です。削減幅は14人日・1,075,000円です。
・対象オブジェクト、対象項目、データ量、連携頻度、削除データの扱い、保存先、セキュリティ要件は未確定のため、要件確認後に再見積もりが必要です。
・既存資産を利用できない場合、2販社の構成が異なる場合、新規ネットワーク・認証・セキュリティ対応が必要な場合は追加工数となります。
・対象販社の追加や、本資料の範囲外となる作業は別途見積もりとし、納期は要件確定後に調整します。</t>
  </si>
  <si>
    <t>Salesforceデータ連携案件 初期開発 概算お見積り - B案 1販社を先行して対応し、移行は量産的に扱うことでコスト削減を見込む場合</t>
  </si>
  <si>
    <t>マスター</t>
  </si>
  <si>
    <t>販社A</t>
  </si>
  <si>
    <t>サブ</t>
  </si>
  <si>
    <t>販社B</t>
  </si>
  <si>
    <r>
      <rPr>
        <sz val="11"/>
        <color rgb="FF000000"/>
        <rFont val="Calibri"/>
      </rPr>
      <t>【案B：初回の対象範囲を限定】
・現行見積もりの全範囲を同じ条件で安く実施する案ではなく、初回の対象販社、Salesforceオブジェクト、取得項目、対象期間などを限定する一般的な試算です。
・削減方法として、</t>
    </r>
    <r>
      <rPr>
        <b/>
        <sz val="11"/>
        <color rgb="FF000000"/>
        <rFont val="Calibri"/>
      </rPr>
      <t>2販社のうち1販社を先行</t>
    </r>
    <r>
      <rPr>
        <sz val="11"/>
        <color rgb="FF000000"/>
        <rFont val="Calibri"/>
      </rPr>
      <t>する、または2販社とも対象としつつ主要オブジェクト
・必要項目だけに限定することを想定しています。 ・連携方式は日次1回の差分連携を基本とし、添付ファイル、複雑なデータ加工・集計、大量の過去データ移行、リアルタイム・高頻度連携は初回対象外とする想定です。
・既存のNiFi環境、接続設定、ネットワーク経路、認証・セキュリティ機能、設計資料、テストケース、リリース手順を利用できることを前提としています。
・現行の85人日・6,500,000円から、58人日・4,425,000円へ見直す一般的な試算です。削減幅は27人日・2,075,000円です。
・対象外とした販社、オブジェクト、項目、過去データ、添付ファイル、加工処理などを後から追加する場合は、設計・開発・テスト・リリースの追加費用が発生する可能性があります。
・対象オブジェクト、必須項目、データ量、更新・削除データの扱い、保存先、個人情報、セキュリティ要件は未確定のため、要件確認後に工数と金額の再計算が必要です。
・対象販社の追加や、本資料の範囲外となる作業は別途見積もりとし、納期は要件確定後に調整します。</t>
    </r>
  </si>
  <si>
    <t>Salesforceデータ連携案件 初期開発 概算お見積り</t>
  </si>
  <si>
    <t>【案C：第1段階のみを先行実施】
・現行見積もりと同じ完成範囲を安く実施する案ではなく、接続・取得・保存が可能かを確認するため、初回対応を最小限の範囲に限定する一般的な試算です。
・初回は1販社または限定環境、少数の主要Salesforceオブジェクト、必要最小限の項目、日次1回の連携、データ基盤への単純保存を想定しています。
・最低限必要な認証・セキュリティ対応、基本的な正常系・異常系テスト、限定範囲でのリリースは実施します。
・2販社目への展開、対象オブジェクト・項目の追加、大量の過去データ移行、添付ファイル、複雑なデータ加工・集計、高度な監視・通知、自動再実行、長期運用保守は後続対応とする想定です。
・既存のNiFi環境、接続設定、ネットワーク経路、認証・セキュリティ機能、設計資料、テストケース、リリース手順を利用できることを前提としています。
・現行の85人日・6,500,000円から、44人日・3,350,000円へ見直す一般的な試算です。削減幅は41人日・3,150,000円です。
・初回費用は抑えられますが、第1段階だけでは本格運用に必要な機能が不足する可能性があり、後続対応まで含めた総額が現行見積もりを下回るとは限りません。
・対象販社、対象オブジェクト、対象項目、データ量、連携方式、更新・削除データの扱い、保存先、セキュリティ要件、第1段階の完了条件は未確定のため、要件確認後に再見積もりが必要です。
・後続作業および本資料の範囲外となる作業は別途見積もりとし、納期は要件確定後に調整します。</t>
  </si>
  <si>
    <t>・対象となるSalesforceは2販社分を想定
　※追加で対象販社を増やす場合には、別途計画、お見積もりとさせてください。
・セキュリティ要件（特に個人情報の取り扱い）についてはTMCより提示をお願いいたします。
・追加の作業が必要な場合は改めてお見積りとさせてください。
・納期：要件確定後に別途ご相談とさせてください。</t>
  </si>
  <si>
    <t>第一リリース 概算見積</t>
  </si>
  <si>
    <t>※本費用には、Salesforce 1社分のE2Eデータ利活用基盤構築に加え、将来の複数社展開を考慮した共通設計・共通化対応を含みます。</t>
  </si>
  <si>
    <t>主な作業内容</t>
  </si>
  <si>
    <t>成果物</t>
  </si>
  <si>
    <t>担当レベル</t>
  </si>
  <si>
    <t>単価（万）</t>
  </si>
  <si>
    <t>工数（人日）</t>
  </si>
  <si>
    <t>小計（税抜）
（単位：万）</t>
  </si>
  <si>
    <t>対象範囲・利用要件整理</t>
  </si>
  <si>
    <t>・第一リリースで実現する業務ユースケースの整理
・Power BIで確認したい指標・分析粒度の整理
・データ鮮度、更新頻度、保持期間の整理
・対象会社・Salesforce Org・利用者の整理
・第一リリース／第二リリースのスコープ境界明確化</t>
  </si>
  <si>
    <t>要件整理資料</t>
  </si>
  <si>
    <t>Architect</t>
  </si>
  <si>
    <t>Salesforceデータ調査</t>
  </si>
  <si>
    <t>・対象Standard / Custom Objectの洗い出し
・対象Field、主キー、参照関係の確認
・レコード件数・増加量・更新特性の確認
・SystemModstamp等、増分抽出候補項目の確認
・削除レコードの取扱要否確認
・個人情報・機密項目の洗い出し</t>
  </si>
  <si>
    <t>Object/Field一覧</t>
  </si>
  <si>
    <t>Senior</t>
  </si>
  <si>
    <t>全体設計</t>
  </si>
  <si>
    <t>グランドデザイン</t>
  </si>
  <si>
    <t>・Salesforce → ADF → ADLS → Cloudera → Power BIの全体構成設計
・各コンポーネントの責務分界
・Landing / Raw / Bronze / Silver / Goldのレイヤー定義
・バッチ処理・加工処理の実行責任整理
・第二リリースの複数社横展開を考慮した構成設計
・将来的なCDC/Streaming拡張余地の整理</t>
  </si>
  <si>
    <t>全体アーキテクチャ図</t>
  </si>
  <si>
    <t>非機能・運用方針</t>
  </si>
  <si>
    <t>・データ鮮度目標、処理時間目標の整理
・再実行、Retry、障害復旧方針
・データ保持・再処理・Backfill方針
・監視対象、異常検知、通知方針
・ログ、処理履歴、Batch ID等の基本方針
・障害時のSalesforce再取得を極力避ける設計</t>
  </si>
  <si>
    <t>認証・認可設計</t>
  </si>
  <si>
    <t>▼Salesforce・Azure・Cloudera認証認可設計
・Salesforce接続ユーザー／Connected App等の認証方式整理
・ADFからSalesforceへの認証方式設計
・ADF / ADLS / Cloudera間の認証方式確認
・Service Principal / Managed Identity等の適用確認
・Azure RBAC、Cloudera権限の確認
・最小権限原則に基づくアクセス権整理
▼Credential・データセキュリティ設計
・Credential / Secretの保管方式整理
・Azure Key Vault等の既存Secret管理利用確認
・Credentialをコード・設定ファイルへ直接保持しない方式の確認
・通信時／保存時暗号化確認
・個人情報・機密データのアクセス範囲整理
・監査ログ・アクセスログ取得方針確認</t>
  </si>
  <si>
    <t>Security設計</t>
  </si>
  <si>
    <t>接続・通信設計</t>
  </si>
  <si>
    <t>▼Salesforce－Azure－Cloudera通信経路設計・既存NW影響調査
・Salesforce → ADFの接続経路確認
・ADF → ADLSの接続経路確認
・ADLS ↔ Clouderaの既存接続確認
・Cloudera → Power BI既存経路確認
・Public / Private接続方式確認
・Firewall / NSG / Route / Proxy等の影響確認
・Private Endpoint / Private DNS等の既存利用状況確認
・追加許可が必要な通信要件の整理
▼NW設定・疎通方式設計
・接続先／Port／Protocol等の通信要件整理
・Firewall等の設定変更依頼内容整理
・各通信区間の疎通試験方法策定
・障害発生時のNW／アプリ切り分け方法整理</t>
  </si>
  <si>
    <t>NW接続設計</t>
  </si>
  <si>
    <t>IF設計</t>
  </si>
  <si>
    <t>データ連携方式設計</t>
  </si>
  <si>
    <t>▼Salesforce Full / Incremental連携方式設計
・初回Full Load方式設計
・定期Incremental Load方式設計
・Watermark項目・管理方法設計
・取得期間の境界・Overlap設計
・Salesforce API制約を考慮した取得方式設計
・ObjectごとのLoad Type設定方針
▼再実行・重複・削除データ処理設計
・ADF再実行時の冪等性設計
・重複データ排除方式
・Salesforce削除レコードの反映方式
・途中失敗時のRecovery Point設計
・再取得／再加工の責務分界
・処理済Watermark更新タイミング設計</t>
  </si>
  <si>
    <t>格納設計</t>
  </si>
  <si>
    <t>ADLSデータ配置設計</t>
  </si>
  <si>
    <t>▼Landing / Rawデータ配置・管理方式設計
・Container / Folder構成設計
・company / source / object / ingest_date等のPath設計
・ファイル形式・圧縮形式の整理
・Partition方針
・Naming Convention
・RawデータのImmutable運用方針
・Batch ID / ingestion timestamp等の技術メタデータ設計
・Retention / Archive方針確認</t>
  </si>
  <si>
    <t>データ配置設計</t>
  </si>
  <si>
    <t>データ設計</t>
  </si>
  <si>
    <t>CDPデータモデル設計</t>
  </si>
  <si>
    <t>・Salesforce ObjectとBronzeテーブルの対応整理
・Silverでの型・名称・コード標準化方針
・Salesforce ID等のKey設計
・重複排除・最新化ルール
・削除データ表現方式
・会社識別子／source identifier設計
・Goldの分析粒度・Fact / Dimension等の整理
・第二リリース横展開を想定した企業共通モデル検討</t>
  </si>
  <si>
    <t>データモデル設計</t>
  </si>
  <si>
    <t>データ収集</t>
  </si>
  <si>
    <t>Salesforce接続</t>
  </si>
  <si>
    <t>・Salesforce接続用Credential設定
・ADF Linked Service / Connection設定
・認証・権限設定
・対象Objectへのアクセス確認
・SOQL等によるサンプル取得
・API接続エラー等の基本動作確認</t>
  </si>
  <si>
    <t>接続設定</t>
  </si>
  <si>
    <t>Mid</t>
  </si>
  <si>
    <t>ADF共通Pipeline</t>
  </si>
  <si>
    <t>・ObjectごとのPipeline乱立を避ける共通処理構築
・Object名、取得項目、Load Type等のParameter化
・設定情報を利用したGeneric Pipeline実装
・Salesforce → ADLSデータ取得処理
・Batch ID・実行日時等の技術情報付与
・成功／失敗ステータス管理
・第二リリースで会社追加可能な構造を考慮</t>
  </si>
  <si>
    <t>ADF Pipeline</t>
  </si>
  <si>
    <t>増分取得実装</t>
  </si>
  <si>
    <t>・Initial Full Load実装
・Watermarkを利用したIncremental Load実装
・Overlap取得対応
・取得成功後のWatermark更新
・異常終了時のWatermark維持
・Retry処理
・再実行時の重複防止
・削除データ取得が必要な場合の取込処理</t>
  </si>
  <si>
    <t>データ格納</t>
  </si>
  <si>
    <t>ADLS Landing/Raw</t>
  </si>
  <si>
    <t>・設計したFolder / Partition構成作成
・Salesforce Object単位のRaw配置
・ingest timestamp / Batch ID等の技術情報保持
・再処理可能なRaw保持方式実装
・ファイル／レコード件数等の基本メタデータ取得
・ClouderaからのRead確認</t>
  </si>
  <si>
    <t>ADLS構成</t>
  </si>
  <si>
    <t>Junior/Mid</t>
  </si>
  <si>
    <t>データ加工</t>
  </si>
  <si>
    <t>Bronze構築</t>
  </si>
  <si>
    <t>・ADLS Rawデータ読み込み
・Salesforce Object単位のBronzeテーブル作成
・基本的な型変換
・Salesforce ID等のKey保持
・source / company / batch等の技術メタデータ付与
・エラーレコードの検知・隔離
・再実行可能な処理構造</t>
  </si>
  <si>
    <t>Bronze Table/Job</t>
  </si>
  <si>
    <t>Silver構築</t>
  </si>
  <si>
    <t>・データ型・日時・NULL等の標準化
・重複排除
・Salesforce更新日時等を利用した最新レコード判定
・削除レコード反映
・必要なObject間Join
・コード・名称等の標準化
・業務利用に不要な技術項目の整理
・基本的なData Quality Check
・後続Goldから利用しやすい企業共通形式への変換</t>
  </si>
  <si>
    <t>Silver Table/Job</t>
  </si>
  <si>
    <t>Mid/Senior</t>
  </si>
  <si>
    <t>Gold構築</t>
  </si>
  <si>
    <t>・Power BIユースケースから必要粒度を定義
・Silverから必要項目抽出・結合
・分析用KPI算出に必要な派生項目作成
・Fact / Dimension等の分析モデル作成
・Power BIから過度な加工を行わず利用できる形へ変換
・会社識別情報を考慮した横展開可能な構造作成</t>
  </si>
  <si>
    <t>Gold Table/Job</t>
  </si>
  <si>
    <t>可視化</t>
  </si>
  <si>
    <t>Power BI</t>
  </si>
  <si>
    <t>・既存Power BI－Cloudera接続方式確認
・Goldデータセット接続
・Table Relationship等のSemantic Model構築
・主要Measure/KPI作成
・基本レポート3〜5ページ程度作成
・Filter / Slicer等の基本操作実装
・主要ユースケースの表示確認</t>
  </si>
  <si>
    <t>Power BI Report</t>
  </si>
  <si>
    <t>テスト</t>
  </si>
  <si>
    <t>単体試験</t>
  </si>
  <si>
    <t>・Salesforce Object別取得確認
・Full / Incremental取得確認
・Watermark更新確認
・Retry / 再実行確認
・ADLSファイル配置確認
・Bronze / Silver / Gold変換ロジック確認
・NULL、重複、削除等の境界ケース確認
・データ件数・Key・主要項目確認
・試験結果／Evidence整理</t>
  </si>
  <si>
    <t>単体試験結果</t>
  </si>
  <si>
    <t>結合・E2E試験</t>
  </si>
  <si>
    <t>・Salesforce元データとの件数・値突合
・Salesforce → Raw → Bronze → Silver → Gold間のデータ追跡
・増分更新データのPower BI反映確認
・削除データ反映確認
・失敗→再実行→正常復旧シナリオ確認
・主要KPI／レポート表示値確認
・E2E処理時間確認</t>
  </si>
  <si>
    <t>結合試験結果</t>
  </si>
  <si>
    <t>Security/NW試験</t>
  </si>
  <si>
    <t>・Salesforce接続権限確認
・Azure RBAC確認
・Clouderaアクセス権確認
・Secretが適切に管理されていることを確認
・Salesforce → ADF → ADLS → Cloudera間疎通確認
・Firewall / Private Endpoint等の設定確認
・不要権限・不要経路が存在しないか基本確認</t>
  </si>
  <si>
    <t>確認結果</t>
  </si>
  <si>
    <t>運用</t>
  </si>
  <si>
    <t>運用・障害対応設計</t>
  </si>
  <si>
    <t>・日次／定期処理の正常性確認方法
・ADF失敗時の確認方法
・Salesforce APIエラー時の対応方法
・Watermark不整合時の復旧方法
・Rawからの再処理方法
・Cloudera加工処理失敗時の再実行方法
・処理遅延・件数異常等の確認ポイント
・一次切り分け／エスカレーション方法整理</t>
  </si>
  <si>
    <t>運用手順</t>
  </si>
  <si>
    <t>リリース</t>
  </si>
  <si>
    <t>本番移行</t>
  </si>
  <si>
    <t>・本番環境設定反映
・Credential / Connection設定
・Pipeline / Job / Table等のDeployment
・初回Full Load実行
・データ件数・主要項目確認
・Power BI反映確認
・本番スケジュール有効化
・リリース後初期監視
・Rollback / Recovery手順確認</t>
  </si>
  <si>
    <t>Release手順</t>
  </si>
  <si>
    <t>PM/PL</t>
  </si>
  <si>
    <t>・WBS／スケジュール管理
・進捗確認
・課題／Risk管理
・Salesforce / Azure / Cloudera / BI関係者調整
・設計／成果物レビュー管理
・試験／リリース判定
・スコープ変更管理
・第二リリースへ引き継ぐ課題・改善事項整理</t>
  </si>
  <si>
    <t>管理資料</t>
  </si>
  <si>
    <t>第二リリース共通費 — 複数Salesforce Org横展開対応</t>
  </si>
  <si>
    <t>※本費用は、第一リリース成果物を前提とした複数社展開向け共通機能の拡張費用です。各社固有要件への個別対応は含みません。</t>
  </si>
  <si>
    <t>現状調査・差分分析</t>
  </si>
  <si>
    <t>Salesforce Org間差分・横展開影響分析</t>
  </si>
  <si>
    <t>・各社Salesforce Org構成比較
・Standard / Custom Object差分確認
・Field名・型・必須項目差分確認
・Object Relation差分確認
・データ量、更新量、更新頻度比較
・第一リリース共通モデルで吸収可能な差分と個別対応差分を分類</t>
  </si>
  <si>
    <t>Org差分分析資料、横展開影響一覧</t>
  </si>
  <si>
    <t>Multi-Org / Multi-Companyアーキテクチャ拡張設計</t>
  </si>
  <si>
    <t>・第一リリース構成の横展開適合性評価
・Salesforce Orgとcompany_id等の管理方式設計
・会社追加時のコード改修最小化
・会社/Object単位の処理分離
・一社障害時のFailure Isolation
・会社単位Retry / Backfill設計
・将来的な会社追加・停止・削除方式整理</t>
  </si>
  <si>
    <t>Multi-Companyアーキテクチャ設計書</t>
  </si>
  <si>
    <t>会社別認証・権限・データ分離設計</t>
  </si>
  <si>
    <t>・Salesforce Org別Credential管理
・Secret分離方式
・ADF / ADLS / CDPの会社別アクセス制御
・会社横断利用者／会社限定利用者の権限整理
・会社間データ混在防止ルール
・Power BI RLS等の適用要否整理</t>
  </si>
  <si>
    <t>Multi-Company Security設計書</t>
  </si>
  <si>
    <t>メタデータ設計</t>
  </si>
  <si>
    <t>Salesforce Org / Object設定管理モデル拡張</t>
  </si>
  <si>
    <t>・company_id / org_id等の管理項目追加
・会社別Object / Field Mapping定義
・Load Type / Watermark / Schedule管理
・Credential Reference管理
・有効／無効制御
・会社追加を設定中心で実施可能なMetadata構造設計</t>
  </si>
  <si>
    <t>Metadata / Config定義書</t>
  </si>
  <si>
    <t>ADF Multi-Org Generic Pipeline拡張</t>
  </si>
  <si>
    <t>・第一リリース共通PipelineのMulti-Org化
・会社/Org Parameter追加
・接続先、Object、取得条件等の動的取得
・会社別Connection切替
・会社別Batch ID / Watermark管理
・会社別実行成否管理
・一社失敗時の他社処理継続制御</t>
  </si>
  <si>
    <t>Multi-Org ADF Pipeline</t>
  </si>
  <si>
    <t>セキュリティ実装</t>
  </si>
  <si>
    <t>Salesforce Org別Credential / Connection分離</t>
  </si>
  <si>
    <t>・Org別Credential登録
・Key Vault等との連携
・Credential Reference化
・PipelineへのSecret直書き排除
・会社別認証・権限確認
・Credential変更時のPipeline影響最小化</t>
  </si>
  <si>
    <t>Credential / Connection設定</t>
  </si>
  <si>
    <t>Mid / Senior</t>
  </si>
  <si>
    <t>ADLS Multi-Company構成対応</t>
  </si>
  <si>
    <t>・会社識別可能なFolder / Partition構成
・company_id / org_id等の技術メタデータ追加
・会社単位の再処理可能なRaw構成
・会社間ファイル混在防止
・既存Retention / Lifecycle Policy適用確認</t>
  </si>
  <si>
    <t>Multi-Company ADLS構成</t>
  </si>
  <si>
    <t>Bronze / Silver Multi-Company対応</t>
  </si>
  <si>
    <t>・company_id / org_id永続化
・Salesforce ID衝突防止
・会社別Object / Field差分吸収
・Mapping設定適用
・共通Schemaへの標準化
・会社固有項目の取扱い
・削除・重複・最新化処理の会社単位適用
・異常データの会社間影響防止</t>
  </si>
  <si>
    <t>Bronze / Silver Job、共通Schema</t>
  </si>
  <si>
    <t>データマート</t>
  </si>
  <si>
    <t>Gold会社別・会社横断分析モデル拡張</t>
  </si>
  <si>
    <t>・Company Dimension構築
・企業共通KPIへの標準化
・会社別／横断集計モデル
・Fact / DimensionへのCompany Key追加
・Salesforce Org差分の吸収
・会社追加時のGold改修最小化</t>
  </si>
  <si>
    <t>Multi-Company Goldモデル</t>
  </si>
  <si>
    <t>Power BI Multi-Company対応</t>
  </si>
  <si>
    <t>・Company Dimension反映
・会社Filter / Slicer追加
・全社／会社別KPI対応
・会社比較表示
・必要に応じたRLS対応
・第一リリースレポート回帰確認</t>
  </si>
  <si>
    <t>Multi-Company Power BIレポート</t>
  </si>
  <si>
    <t>会社別監視・障害分離・リカバリ拡張</t>
  </si>
  <si>
    <t>・会社/Object単位の実行状態確認
・会社単位Retry / Reprocess
・会社別Watermark確認
・件数異常等の確認方法
・障害会社のみ切り離した復旧
・監視／エスカレーション手順拡張</t>
  </si>
  <si>
    <t>運用・リカバリ手順書</t>
  </si>
  <si>
    <t>横展開標準化</t>
  </si>
  <si>
    <t>Salesforce Org Onboarding標準化</t>
  </si>
  <si>
    <t>・新規会社事前確認テンプレート
・接続申請手順
・Object / Field Mappingテンプレート
・Credential登録手順
・Metadata登録手順
・Initial Full Load手順
・Validation / Release Checklist整備</t>
  </si>
  <si>
    <t>Onboarding Guide、各種テンプレート</t>
  </si>
  <si>
    <t>Multi-Company回帰・結合・E2E試験</t>
  </si>
  <si>
    <t>・第一リリース会社の回帰試験
・新規OrgのFull / Incremental確認
・複数Org同時実行確認
・一社障害時の影響確認
・company_id混在防止確認
・Silver / Gold共通化確認
・Power BI会社別／横断表示確認
・Security / Data Isolation確認</t>
  </si>
  <si>
    <t>回帰・結合・E2E試験結果</t>
  </si>
  <si>
    <t>Multi-Company共通機能本番移行</t>
  </si>
  <si>
    <t>・共通機能Deployment
・Multi-Org設定反映
・Credential / Metadata設定確認
・初回横展開データロード
・Data Validation
・Power BI反映確認
・Schedule有効化
・初期監視</t>
  </si>
  <si>
    <t>Release手順・実施結果</t>
  </si>
  <si>
    <t>PM / PL</t>
  </si>
  <si>
    <t>複数社横展開プロジェクト管理</t>
  </si>
  <si>
    <t>・横展開WBS / Schedule管理
・Salesforce / Azure / CDP / BI担当調整
・会社別Dependency・課題・Risk管理
・設計／成果物レビュー管理
・試験進捗・品質管理
・Release判定
・Scope変更管理</t>
  </si>
  <si>
    <t>WBS、課題・Risk管理、Release判定資料</t>
  </si>
  <si>
    <t>追加1社あたり — Salesforce Orgオンボーディング</t>
  </si>
  <si>
    <t>※本費用は、共通仕様で吸収可能な標準的なSalesforce Orgを対象としたオンボーディング費用です。個別開発が必要な差分は別途見積とします。</t>
  </si>
  <si>
    <t>事前調査</t>
  </si>
  <si>
    <t>新規Salesforce Org構成・横展開差分確認</t>
  </si>
  <si>
    <t>・対象Salesforce Org・利用環境確認
・Standard / Custom Object確認
・対象Object・Field確認
・データ件数・更新量・更新頻度確認
・既存共通仕様との差分抽出
・個別対応要否の判定</t>
  </si>
  <si>
    <t>Org確認結果、差分一覧</t>
  </si>
  <si>
    <t>Object / Field Mapping・共通モデル適合確認</t>
  </si>
  <si>
    <t>・Salesforce Objectと共通モデルの対応付け
・Field Mapping定義
・データ型・必須項目差分確認
・Custom Field / Objectの取扱整理
・Silver / Gold共通Schemaへの適合確認
・個別変換が必要な項目の特定</t>
  </si>
  <si>
    <t>Object / Field Mapping定義</t>
  </si>
  <si>
    <t>Salesforce接続・Credential登録</t>
  </si>
  <si>
    <t>・接続用Credential設定
・Key Vault等へのSecret登録
・ADF Connection / Linked Service設定
・Salesforce認証・権限確認
・対象Objectへのアクセス確認
・Sample Data取得・疎通確認</t>
  </si>
  <si>
    <t>Connection / Credential設定</t>
  </si>
  <si>
    <t>メタデータ設定</t>
  </si>
  <si>
    <t>Company / Org / Object / Watermark等のConfig登録</t>
  </si>
  <si>
    <t>・company_id / org_id登録
・対象Object設定
・Load Type設定
・Watermark項目・初期値設定
・Schedule設定
・Target Table設定
・Credential Reference / Mapping設定登録</t>
  </si>
  <si>
    <t>Metadata / Config設定</t>
  </si>
  <si>
    <t>Initial Full Load・Raw格納確認</t>
  </si>
  <si>
    <t>・初回Full Load実行
・Salesforce取得件数確認
・ADLS Landing / Raw格納確認
・会社/Object別Path・Partition確認
・Batch ID等の技術メタデータ確認
・エラー発生時の再実行対応</t>
  </si>
  <si>
    <t>初回ロード結果、Rawデータ</t>
  </si>
  <si>
    <t>Silver / Gold差分対応・会社固有Mapping適用</t>
  </si>
  <si>
    <t>・Bronze取込確認
・共通Silver変換ルール適用
・会社固有Field / Code Mapping対応
・Custom項目等の軽微な差分対応
・company_id等の識別情報付与
・Gold共通モデル／KPIへの反映
・Company Dimension等への追加</t>
  </si>
  <si>
    <t>Silver / Gold設定・変換処理</t>
  </si>
  <si>
    <t>Power BI新規会社反映・会社横断表示確認</t>
  </si>
  <si>
    <t>・新規会社データのSemantic Model反映確認
・Company Dimension追加確認
・会社Filter / Slicer表示確認
・会社別KPI確認
・会社横断集計への反映確認
・必要に応じた閲覧権限確認</t>
  </si>
  <si>
    <t>Power BI反映結果</t>
  </si>
  <si>
    <t>Data Validation・Incremental・E2E試験</t>
  </si>
  <si>
    <t>・Salesforce元データとの件数・主要項目突合
・Raw → Bronze → Silver → Goldデータ追跡
・Incremental Load確認
・Watermark更新確認
・重複／削除データ処理確認
・Power BI表示値確認
・既存会社データへの影響確認</t>
  </si>
  <si>
    <t>Data Validation / E2E試験結果</t>
  </si>
  <si>
    <t>Production設定・Schedule有効化・初期監視</t>
  </si>
  <si>
    <t>・Production環境へのConfig / Credential登録
・初回本番Load確認
・Schedule有効化
・Pipeline / Cloudera Job正常性確認
・Power BI本番反映確認
・リリースChecklist実施
・初期稼働確認</t>
  </si>
  <si>
    <t>Release結果、Checklist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</si>
</sst>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&quot;¥&quot;#,##0_);[Red]\(&quot;¥&quot;#,##0\)"/>
  </numFmts>
  <fonts count="12">
    <font>
      <sz val="11"/>
      <color theme="1"/>
      <name val="Calibri"/>
      <scheme val="minor"/>
    </font>
    <font>
      <b/>
      <sz val="14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b/>
      <sz val="12"/>
      <color theme="1"/>
      <name val="Calibri"/>
    </font>
    <font>
      <sz val="11"/>
      <color rgb="FF000000"/>
      <name val="Calibri"/>
    </font>
    <font>
      <b/>
      <sz val="18"/>
      <color theme="1"/>
      <name val="Calibri"/>
      <scheme val="min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  <fill>
      <patternFill patternType="solid">
        <fgColor rgb="FFFFF2CB"/>
        <bgColor rgb="FFFFF2CB"/>
      </patternFill>
    </fill>
  </fills>
  <borders count="7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uble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uble">
        <color rgb="FF000000"/>
      </bottom>
      <diagonal/>
    </border>
    <border>
      <left style="dotted">
        <color rgb="FF000000"/>
      </left>
      <right/>
      <top style="thin">
        <color rgb="FF000000"/>
      </top>
      <bottom style="double">
        <color rgb="FF000000"/>
      </bottom>
      <diagonal/>
    </border>
    <border>
      <left style="dotted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thin">
        <color rgb="FF000000"/>
      </top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0" borderId="14" xfId="0" applyFont="1" applyBorder="1"/>
    <xf numFmtId="176" fontId="2" fillId="0" borderId="15" xfId="0" applyNumberFormat="1" applyFont="1" applyBorder="1"/>
    <xf numFmtId="176" fontId="2" fillId="0" borderId="16" xfId="0" applyNumberFormat="1" applyFont="1" applyBorder="1"/>
    <xf numFmtId="0" fontId="2" fillId="0" borderId="17" xfId="0" applyFont="1" applyBorder="1"/>
    <xf numFmtId="0" fontId="2" fillId="0" borderId="15" xfId="0" applyFont="1" applyBorder="1"/>
    <xf numFmtId="41" fontId="2" fillId="0" borderId="18" xfId="0" applyNumberFormat="1" applyFont="1" applyBorder="1" applyAlignment="1">
      <alignment vertical="center"/>
    </xf>
    <xf numFmtId="0" fontId="2" fillId="0" borderId="19" xfId="0" applyFont="1" applyBorder="1" applyAlignment="1">
      <alignment horizontal="center" vertical="center"/>
    </xf>
    <xf numFmtId="41" fontId="2" fillId="0" borderId="20" xfId="0" applyNumberFormat="1" applyFont="1" applyBorder="1" applyAlignment="1">
      <alignment vertical="center"/>
    </xf>
    <xf numFmtId="0" fontId="2" fillId="0" borderId="21" xfId="0" applyFont="1" applyBorder="1"/>
    <xf numFmtId="176" fontId="2" fillId="0" borderId="22" xfId="0" applyNumberFormat="1" applyFont="1" applyBorder="1"/>
    <xf numFmtId="176" fontId="2" fillId="0" borderId="23" xfId="0" applyNumberFormat="1" applyFont="1" applyBorder="1"/>
    <xf numFmtId="0" fontId="2" fillId="0" borderId="24" xfId="0" applyFont="1" applyBorder="1"/>
    <xf numFmtId="0" fontId="2" fillId="0" borderId="25" xfId="0" applyFont="1" applyBorder="1"/>
    <xf numFmtId="41" fontId="2" fillId="0" borderId="26" xfId="0" applyNumberFormat="1" applyFont="1" applyBorder="1" applyAlignment="1">
      <alignment vertical="center"/>
    </xf>
    <xf numFmtId="0" fontId="2" fillId="0" borderId="27" xfId="0" applyFont="1" applyBorder="1" applyAlignment="1">
      <alignment horizontal="center" vertical="center"/>
    </xf>
    <xf numFmtId="41" fontId="2" fillId="0" borderId="28" xfId="0" applyNumberFormat="1" applyFont="1" applyBorder="1" applyAlignment="1">
      <alignment vertical="center"/>
    </xf>
    <xf numFmtId="176" fontId="2" fillId="0" borderId="0" xfId="0" applyNumberFormat="1" applyFont="1"/>
    <xf numFmtId="0" fontId="2" fillId="0" borderId="29" xfId="0" applyFont="1" applyBorder="1"/>
    <xf numFmtId="41" fontId="2" fillId="0" borderId="30" xfId="0" applyNumberFormat="1" applyFont="1" applyBorder="1" applyAlignment="1">
      <alignment vertical="center"/>
    </xf>
    <xf numFmtId="41" fontId="2" fillId="0" borderId="31" xfId="0" applyNumberFormat="1" applyFont="1" applyBorder="1" applyAlignment="1">
      <alignment vertical="center"/>
    </xf>
    <xf numFmtId="0" fontId="2" fillId="0" borderId="32" xfId="0" applyFont="1" applyBorder="1"/>
    <xf numFmtId="0" fontId="2" fillId="0" borderId="33" xfId="0" applyFont="1" applyBorder="1"/>
    <xf numFmtId="0" fontId="2" fillId="0" borderId="34" xfId="0" applyFont="1" applyBorder="1"/>
    <xf numFmtId="0" fontId="2" fillId="0" borderId="35" xfId="0" applyFont="1" applyBorder="1" applyAlignment="1">
      <alignment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/>
    <xf numFmtId="41" fontId="2" fillId="0" borderId="38" xfId="0" applyNumberFormat="1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2" fillId="0" borderId="40" xfId="0" applyFont="1" applyBorder="1" applyAlignment="1">
      <alignment horizontal="center" vertical="center"/>
    </xf>
    <xf numFmtId="41" fontId="2" fillId="0" borderId="41" xfId="0" applyNumberFormat="1" applyFont="1" applyBorder="1" applyAlignment="1">
      <alignment vertical="center"/>
    </xf>
    <xf numFmtId="0" fontId="2" fillId="0" borderId="42" xfId="0" applyFont="1" applyBorder="1"/>
    <xf numFmtId="41" fontId="2" fillId="0" borderId="43" xfId="0" applyNumberFormat="1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5" xfId="0" applyFont="1" applyBorder="1" applyAlignment="1">
      <alignment horizontal="center" vertical="center"/>
    </xf>
    <xf numFmtId="41" fontId="2" fillId="0" borderId="46" xfId="0" applyNumberFormat="1" applyFont="1" applyBorder="1" applyAlignment="1">
      <alignment vertical="center"/>
    </xf>
    <xf numFmtId="0" fontId="2" fillId="0" borderId="47" xfId="0" applyFont="1" applyBorder="1" applyAlignment="1">
      <alignment wrapText="1"/>
    </xf>
    <xf numFmtId="0" fontId="5" fillId="0" borderId="0" xfId="0" applyFont="1"/>
    <xf numFmtId="0" fontId="2" fillId="0" borderId="48" xfId="0" applyFont="1" applyBorder="1"/>
    <xf numFmtId="0" fontId="2" fillId="3" borderId="35" xfId="0" applyFont="1" applyFill="1" applyBorder="1" applyAlignment="1">
      <alignment vertical="center"/>
    </xf>
    <xf numFmtId="0" fontId="2" fillId="0" borderId="49" xfId="0" applyFont="1" applyBorder="1" applyAlignment="1">
      <alignment wrapText="1"/>
    </xf>
    <xf numFmtId="0" fontId="2" fillId="3" borderId="39" xfId="0" applyFont="1" applyFill="1" applyBorder="1" applyAlignment="1">
      <alignment vertical="center"/>
    </xf>
    <xf numFmtId="0" fontId="2" fillId="0" borderId="50" xfId="0" applyFont="1" applyBorder="1"/>
    <xf numFmtId="0" fontId="2" fillId="0" borderId="51" xfId="0" applyFont="1" applyBorder="1" applyAlignment="1">
      <alignment vertical="center"/>
    </xf>
    <xf numFmtId="0" fontId="2" fillId="0" borderId="52" xfId="0" applyFont="1" applyBorder="1"/>
    <xf numFmtId="0" fontId="2" fillId="0" borderId="29" xfId="0" applyFont="1" applyBorder="1" applyAlignment="1">
      <alignment vertical="top"/>
    </xf>
    <xf numFmtId="0" fontId="2" fillId="0" borderId="53" xfId="0" applyFont="1" applyBorder="1"/>
    <xf numFmtId="0" fontId="2" fillId="3" borderId="44" xfId="0" applyFont="1" applyFill="1" applyBorder="1" applyAlignment="1">
      <alignment vertical="center"/>
    </xf>
    <xf numFmtId="0" fontId="2" fillId="0" borderId="24" xfId="0" applyFont="1" applyBorder="1" applyAlignment="1">
      <alignment vertical="top"/>
    </xf>
    <xf numFmtId="0" fontId="2" fillId="3" borderId="54" xfId="0" applyFont="1" applyFill="1" applyBorder="1" applyAlignment="1">
      <alignment vertical="center"/>
    </xf>
    <xf numFmtId="0" fontId="2" fillId="3" borderId="55" xfId="0" applyFont="1" applyFill="1" applyBorder="1" applyAlignment="1">
      <alignment vertical="center"/>
    </xf>
    <xf numFmtId="0" fontId="2" fillId="0" borderId="33" xfId="0" applyFont="1" applyBorder="1" applyAlignment="1">
      <alignment wrapText="1"/>
    </xf>
    <xf numFmtId="0" fontId="2" fillId="0" borderId="56" xfId="0" applyFont="1" applyBorder="1"/>
    <xf numFmtId="41" fontId="2" fillId="0" borderId="57" xfId="0" applyNumberFormat="1" applyFont="1" applyBorder="1" applyAlignment="1">
      <alignment vertical="center"/>
    </xf>
    <xf numFmtId="0" fontId="2" fillId="0" borderId="58" xfId="0" applyFont="1" applyBorder="1" applyAlignment="1">
      <alignment vertical="center"/>
    </xf>
    <xf numFmtId="0" fontId="2" fillId="0" borderId="59" xfId="0" applyFont="1" applyBorder="1" applyAlignment="1">
      <alignment horizontal="center" vertical="center"/>
    </xf>
    <xf numFmtId="0" fontId="2" fillId="3" borderId="54" xfId="0" applyFont="1" applyFill="1" applyBorder="1" applyAlignment="1">
      <alignment horizontal="right" vertical="center"/>
    </xf>
    <xf numFmtId="41" fontId="2" fillId="0" borderId="60" xfId="0" applyNumberFormat="1" applyFont="1" applyBorder="1" applyAlignment="1">
      <alignment vertical="center"/>
    </xf>
    <xf numFmtId="0" fontId="1" fillId="4" borderId="61" xfId="0" applyFont="1" applyFill="1" applyBorder="1"/>
    <xf numFmtId="0" fontId="2" fillId="3" borderId="58" xfId="0" applyFont="1" applyFill="1" applyBorder="1" applyAlignment="1">
      <alignment vertical="center"/>
    </xf>
    <xf numFmtId="0" fontId="1" fillId="4" borderId="61" xfId="0" applyFont="1" applyFill="1" applyBorder="1" applyAlignment="1">
      <alignment horizontal="right"/>
    </xf>
    <xf numFmtId="176" fontId="1" fillId="4" borderId="61" xfId="0" applyNumberFormat="1" applyFont="1" applyFill="1" applyBorder="1" applyAlignment="1">
      <alignment horizontal="right" vertical="center"/>
    </xf>
    <xf numFmtId="0" fontId="6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176" fontId="1" fillId="0" borderId="0" xfId="0" applyNumberFormat="1" applyFont="1" applyAlignment="1">
      <alignment horizontal="right" vertical="center"/>
    </xf>
    <xf numFmtId="0" fontId="2" fillId="0" borderId="70" xfId="0" applyFont="1" applyBorder="1"/>
    <xf numFmtId="0" fontId="1" fillId="4" borderId="70" xfId="0" applyFont="1" applyFill="1" applyBorder="1"/>
    <xf numFmtId="0" fontId="1" fillId="4" borderId="70" xfId="0" applyFont="1" applyFill="1" applyBorder="1" applyAlignment="1">
      <alignment horizontal="right"/>
    </xf>
    <xf numFmtId="176" fontId="1" fillId="4" borderId="70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9" fillId="0" borderId="70" xfId="0" applyFont="1" applyBorder="1" applyAlignment="1">
      <alignment horizontal="center" vertical="center"/>
    </xf>
    <xf numFmtId="0" fontId="5" fillId="0" borderId="70" xfId="0" applyFont="1" applyBorder="1"/>
    <xf numFmtId="0" fontId="8" fillId="0" borderId="0" xfId="0" applyFont="1"/>
    <xf numFmtId="0" fontId="7" fillId="0" borderId="0" xfId="0" applyFont="1"/>
    <xf numFmtId="0" fontId="2" fillId="0" borderId="54" xfId="0" applyFont="1" applyBorder="1" applyAlignment="1">
      <alignment vertical="center"/>
    </xf>
    <xf numFmtId="0" fontId="2" fillId="0" borderId="55" xfId="0" applyFont="1" applyBorder="1" applyAlignment="1">
      <alignment vertical="center"/>
    </xf>
    <xf numFmtId="0" fontId="2" fillId="0" borderId="54" xfId="0" applyFont="1" applyBorder="1" applyAlignment="1">
      <alignment horizontal="right" vertical="center"/>
    </xf>
    <xf numFmtId="0" fontId="10" fillId="0" borderId="0" xfId="0" applyFont="1"/>
    <xf numFmtId="0" fontId="5" fillId="0" borderId="70" xfId="0" applyFont="1" applyBorder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62" xfId="0" applyFont="1" applyBorder="1" applyAlignment="1">
      <alignment horizontal="left" vertical="top" wrapText="1"/>
    </xf>
    <xf numFmtId="0" fontId="7" fillId="0" borderId="62" xfId="0" applyFont="1" applyBorder="1" applyAlignment="1">
      <alignment horizontal="left" vertical="top" wrapText="1"/>
    </xf>
    <xf numFmtId="0" fontId="4" fillId="0" borderId="3" xfId="0" applyFont="1" applyBorder="1" applyAlignment="1"/>
    <xf numFmtId="0" fontId="4" fillId="0" borderId="4" xfId="0" applyFont="1" applyBorder="1" applyAlignment="1"/>
    <xf numFmtId="0" fontId="4" fillId="0" borderId="63" xfId="0" applyFont="1" applyBorder="1" applyAlignment="1"/>
    <xf numFmtId="0" fontId="4" fillId="0" borderId="64" xfId="0" applyFont="1" applyBorder="1" applyAlignment="1"/>
    <xf numFmtId="0" fontId="4" fillId="0" borderId="65" xfId="0" applyFont="1" applyBorder="1" applyAlignment="1"/>
    <xf numFmtId="0" fontId="0" fillId="0" borderId="0" xfId="0" applyAlignment="1"/>
    <xf numFmtId="0" fontId="4" fillId="0" borderId="66" xfId="0" applyFont="1" applyBorder="1" applyAlignment="1"/>
    <xf numFmtId="0" fontId="4" fillId="0" borderId="67" xfId="0" applyFont="1" applyBorder="1" applyAlignment="1"/>
    <xf numFmtId="0" fontId="4" fillId="0" borderId="68" xfId="0" applyFont="1" applyBorder="1" applyAlignment="1"/>
    <xf numFmtId="0" fontId="4" fillId="0" borderId="69" xfId="0" applyFont="1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1000"/>
  <sheetViews>
    <sheetView showGridLines="0" workbookViewId="0"/>
  </sheetViews>
  <sheetFormatPr defaultColWidth="14.42578125" defaultRowHeight="15" customHeight="1"/>
  <cols>
    <col min="1" max="1" width="6.28515625" customWidth="1"/>
    <col min="2" max="2" width="40.7109375" customWidth="1"/>
    <col min="3" max="3" width="41.7109375" customWidth="1"/>
    <col min="4" max="4" width="17.7109375" customWidth="1"/>
    <col min="5" max="5" width="15.85546875" customWidth="1"/>
    <col min="6" max="6" width="11.85546875" customWidth="1"/>
    <col min="7" max="7" width="27" customWidth="1"/>
    <col min="8" max="9" width="8.7109375" customWidth="1"/>
    <col min="10" max="10" width="12.140625" customWidth="1"/>
    <col min="11" max="11" width="12.85546875" customWidth="1"/>
    <col min="12" max="26" width="8.7109375" customWidth="1"/>
  </cols>
  <sheetData>
    <row r="2" spans="1:12" ht="27" customHeight="1">
      <c r="B2" s="1" t="s">
        <v>0</v>
      </c>
      <c r="C2" s="2"/>
      <c r="D2" s="2"/>
      <c r="E2" s="2"/>
      <c r="F2" s="2"/>
      <c r="G2" s="2"/>
      <c r="I2" s="2" t="s">
        <v>1</v>
      </c>
      <c r="J2" s="2"/>
      <c r="K2" s="2"/>
    </row>
    <row r="3" spans="1:12">
      <c r="A3" s="2"/>
      <c r="B3" s="93" t="s">
        <v>2</v>
      </c>
      <c r="C3" s="97"/>
      <c r="D3" s="94" t="s">
        <v>3</v>
      </c>
      <c r="E3" s="97"/>
      <c r="F3" s="97"/>
      <c r="G3" s="98"/>
      <c r="H3" s="2"/>
      <c r="I3" s="3"/>
      <c r="J3" s="4" t="s">
        <v>4</v>
      </c>
      <c r="K3" s="5" t="s">
        <v>5</v>
      </c>
    </row>
    <row r="4" spans="1:12">
      <c r="A4" s="2"/>
      <c r="B4" s="6" t="s">
        <v>6</v>
      </c>
      <c r="C4" s="7" t="s">
        <v>7</v>
      </c>
      <c r="D4" s="8" t="s">
        <v>8</v>
      </c>
      <c r="E4" s="9" t="s">
        <v>9</v>
      </c>
      <c r="F4" s="10" t="s">
        <v>10</v>
      </c>
      <c r="G4" s="11" t="s">
        <v>11</v>
      </c>
      <c r="H4" s="2"/>
      <c r="I4" s="12" t="s">
        <v>12</v>
      </c>
      <c r="J4" s="13">
        <v>1750000</v>
      </c>
      <c r="K4" s="14">
        <f t="shared" ref="K4:K5" si="0">J4/20</f>
        <v>87500</v>
      </c>
      <c r="L4" s="2"/>
    </row>
    <row r="5" spans="1:12">
      <c r="A5" s="2"/>
      <c r="B5" s="15" t="s">
        <v>13</v>
      </c>
      <c r="C5" s="16" t="s">
        <v>14</v>
      </c>
      <c r="D5" s="17">
        <v>75000</v>
      </c>
      <c r="E5" s="88">
        <v>2.5</v>
      </c>
      <c r="F5" s="18" t="s">
        <v>5</v>
      </c>
      <c r="G5" s="19">
        <f t="shared" ref="G5:G24" si="1">SUM(D5*E5)</f>
        <v>187500</v>
      </c>
      <c r="H5" s="2"/>
      <c r="I5" s="20" t="s">
        <v>15</v>
      </c>
      <c r="J5" s="21">
        <v>1500000</v>
      </c>
      <c r="K5" s="22">
        <f t="shared" si="0"/>
        <v>75000</v>
      </c>
      <c r="L5" s="2"/>
    </row>
    <row r="6" spans="1:12">
      <c r="A6" s="2"/>
      <c r="B6" s="23"/>
      <c r="C6" s="24" t="s">
        <v>16</v>
      </c>
      <c r="D6" s="25">
        <v>75000</v>
      </c>
      <c r="E6" s="89">
        <v>2.5</v>
      </c>
      <c r="F6" s="26" t="s">
        <v>5</v>
      </c>
      <c r="G6" s="27">
        <f t="shared" si="1"/>
        <v>187500</v>
      </c>
      <c r="H6" s="2"/>
      <c r="I6" s="2"/>
      <c r="J6" s="28"/>
      <c r="K6" s="28"/>
      <c r="L6" s="2"/>
    </row>
    <row r="7" spans="1:12">
      <c r="A7" s="2"/>
      <c r="B7" s="29" t="s">
        <v>17</v>
      </c>
      <c r="C7" s="16" t="s">
        <v>18</v>
      </c>
      <c r="D7" s="30">
        <v>75000</v>
      </c>
      <c r="E7" s="88">
        <v>1</v>
      </c>
      <c r="F7" s="18" t="s">
        <v>5</v>
      </c>
      <c r="G7" s="31">
        <f t="shared" si="1"/>
        <v>75000</v>
      </c>
      <c r="H7" s="2"/>
      <c r="L7" s="2"/>
    </row>
    <row r="8" spans="1:12">
      <c r="A8" s="2"/>
      <c r="B8" s="23"/>
      <c r="C8" s="32" t="s">
        <v>19</v>
      </c>
      <c r="D8" s="30">
        <v>75000</v>
      </c>
      <c r="E8" s="88">
        <v>2</v>
      </c>
      <c r="F8" s="18" t="s">
        <v>5</v>
      </c>
      <c r="G8" s="31">
        <f t="shared" si="1"/>
        <v>150000</v>
      </c>
      <c r="H8" s="2"/>
      <c r="L8" s="2"/>
    </row>
    <row r="9" spans="1:12">
      <c r="A9" s="2"/>
      <c r="B9" s="33" t="s">
        <v>20</v>
      </c>
      <c r="C9" s="34" t="s">
        <v>21</v>
      </c>
      <c r="D9" s="17">
        <v>75000</v>
      </c>
      <c r="E9" s="35">
        <v>2</v>
      </c>
      <c r="F9" s="36" t="s">
        <v>5</v>
      </c>
      <c r="G9" s="19">
        <f t="shared" si="1"/>
        <v>150000</v>
      </c>
      <c r="H9" s="2"/>
    </row>
    <row r="10" spans="1:12">
      <c r="A10" s="2"/>
      <c r="B10" s="33"/>
      <c r="C10" s="37" t="s">
        <v>22</v>
      </c>
      <c r="D10" s="38">
        <v>75000</v>
      </c>
      <c r="E10" s="39">
        <v>3</v>
      </c>
      <c r="F10" s="40" t="s">
        <v>5</v>
      </c>
      <c r="G10" s="41">
        <f t="shared" si="1"/>
        <v>225000</v>
      </c>
      <c r="H10" s="2"/>
    </row>
    <row r="11" spans="1:12">
      <c r="A11" s="2"/>
      <c r="B11" s="33"/>
      <c r="C11" s="42" t="s">
        <v>23</v>
      </c>
      <c r="D11" s="43">
        <v>75000</v>
      </c>
      <c r="E11" s="44">
        <v>1.5</v>
      </c>
      <c r="F11" s="45" t="s">
        <v>5</v>
      </c>
      <c r="G11" s="46">
        <f t="shared" si="1"/>
        <v>112500</v>
      </c>
      <c r="H11" s="2"/>
    </row>
    <row r="12" spans="1:12" ht="16.5" customHeight="1">
      <c r="A12" s="2"/>
      <c r="B12" s="29" t="s">
        <v>24</v>
      </c>
      <c r="C12" s="47" t="s">
        <v>25</v>
      </c>
      <c r="D12" s="30">
        <v>75000</v>
      </c>
      <c r="E12" s="88">
        <v>1</v>
      </c>
      <c r="F12" s="18" t="s">
        <v>5</v>
      </c>
      <c r="G12" s="31">
        <f t="shared" si="1"/>
        <v>75000</v>
      </c>
      <c r="H12" s="2"/>
      <c r="J12" s="48" t="s">
        <v>26</v>
      </c>
    </row>
    <row r="13" spans="1:12" ht="16.5" customHeight="1">
      <c r="A13" s="2"/>
      <c r="B13" s="33"/>
      <c r="C13" s="49" t="s">
        <v>21</v>
      </c>
      <c r="D13" s="38">
        <v>75000</v>
      </c>
      <c r="E13" s="39">
        <v>2</v>
      </c>
      <c r="F13" s="40" t="s">
        <v>5</v>
      </c>
      <c r="G13" s="41">
        <f t="shared" si="1"/>
        <v>150000</v>
      </c>
      <c r="H13" s="2"/>
      <c r="J13" s="48" t="s">
        <v>27</v>
      </c>
    </row>
    <row r="14" spans="1:12" ht="16.5" customHeight="1">
      <c r="A14" s="2"/>
      <c r="B14" s="23"/>
      <c r="C14" s="88" t="s">
        <v>28</v>
      </c>
      <c r="D14" s="43">
        <v>75000</v>
      </c>
      <c r="E14" s="44">
        <v>1</v>
      </c>
      <c r="F14" s="45" t="s">
        <v>5</v>
      </c>
      <c r="G14" s="46">
        <f t="shared" si="1"/>
        <v>75000</v>
      </c>
      <c r="H14" s="2"/>
      <c r="J14" s="48" t="s">
        <v>29</v>
      </c>
    </row>
    <row r="15" spans="1:12">
      <c r="A15" s="2"/>
      <c r="B15" s="33" t="s">
        <v>30</v>
      </c>
      <c r="C15" s="34" t="s">
        <v>21</v>
      </c>
      <c r="D15" s="17">
        <v>75000</v>
      </c>
      <c r="E15" s="50">
        <v>3</v>
      </c>
      <c r="F15" s="36" t="s">
        <v>5</v>
      </c>
      <c r="G15" s="19">
        <f t="shared" si="1"/>
        <v>225000</v>
      </c>
      <c r="H15" s="2"/>
      <c r="J15" s="48" t="s">
        <v>31</v>
      </c>
    </row>
    <row r="16" spans="1:12">
      <c r="A16" s="2"/>
      <c r="B16" s="33"/>
      <c r="C16" s="49" t="s">
        <v>32</v>
      </c>
      <c r="D16" s="38">
        <v>75000</v>
      </c>
      <c r="E16" s="52">
        <v>4</v>
      </c>
      <c r="F16" s="40" t="s">
        <v>5</v>
      </c>
      <c r="G16" s="41">
        <f t="shared" si="1"/>
        <v>300000</v>
      </c>
      <c r="H16" s="2"/>
    </row>
    <row r="17" spans="1:12">
      <c r="A17" s="2"/>
      <c r="B17" s="33"/>
      <c r="C17" s="53" t="s">
        <v>33</v>
      </c>
      <c r="D17" s="38">
        <v>75000</v>
      </c>
      <c r="E17" s="52">
        <v>4</v>
      </c>
      <c r="F17" s="40" t="s">
        <v>5</v>
      </c>
      <c r="G17" s="41">
        <f t="shared" si="1"/>
        <v>300000</v>
      </c>
      <c r="H17" s="2"/>
      <c r="J17" s="48" t="s">
        <v>34</v>
      </c>
    </row>
    <row r="18" spans="1:12">
      <c r="A18" s="2"/>
      <c r="B18" s="23"/>
      <c r="C18" s="55" t="s">
        <v>23</v>
      </c>
      <c r="D18" s="43">
        <v>75000</v>
      </c>
      <c r="E18" s="58">
        <v>2</v>
      </c>
      <c r="F18" s="45" t="s">
        <v>5</v>
      </c>
      <c r="G18" s="41">
        <f t="shared" si="1"/>
        <v>150000</v>
      </c>
      <c r="H18" s="2"/>
      <c r="J18" s="48" t="s">
        <v>35</v>
      </c>
    </row>
    <row r="19" spans="1:12">
      <c r="A19" s="2"/>
      <c r="B19" s="56" t="s">
        <v>36</v>
      </c>
      <c r="C19" s="57" t="s">
        <v>37</v>
      </c>
      <c r="D19" s="30">
        <v>75000</v>
      </c>
      <c r="E19" s="60">
        <v>1</v>
      </c>
      <c r="F19" s="36" t="s">
        <v>5</v>
      </c>
      <c r="G19" s="19">
        <f t="shared" si="1"/>
        <v>75000</v>
      </c>
      <c r="H19" s="2"/>
      <c r="J19" s="48" t="s">
        <v>38</v>
      </c>
    </row>
    <row r="20" spans="1:12">
      <c r="A20" s="2"/>
      <c r="B20" s="59"/>
      <c r="C20" s="24" t="s">
        <v>39</v>
      </c>
      <c r="D20" s="25">
        <v>75000</v>
      </c>
      <c r="E20" s="61">
        <v>1.5</v>
      </c>
      <c r="F20" s="26" t="s">
        <v>5</v>
      </c>
      <c r="G20" s="27">
        <f t="shared" si="1"/>
        <v>112500</v>
      </c>
      <c r="H20" s="2"/>
    </row>
    <row r="21" spans="1:12" ht="15.75" customHeight="1">
      <c r="A21" s="2"/>
      <c r="B21" s="56" t="s">
        <v>40</v>
      </c>
      <c r="C21" s="16" t="s">
        <v>41</v>
      </c>
      <c r="D21" s="30">
        <v>75000</v>
      </c>
      <c r="E21" s="60">
        <v>1</v>
      </c>
      <c r="F21" s="18" t="s">
        <v>5</v>
      </c>
      <c r="G21" s="31">
        <f t="shared" si="1"/>
        <v>75000</v>
      </c>
      <c r="H21" s="2"/>
    </row>
    <row r="22" spans="1:12" ht="15.75" customHeight="1">
      <c r="A22" s="2"/>
      <c r="B22" s="59"/>
      <c r="C22" s="24" t="s">
        <v>42</v>
      </c>
      <c r="D22" s="25">
        <v>75000</v>
      </c>
      <c r="E22" s="61">
        <v>1.5</v>
      </c>
      <c r="F22" s="26" t="s">
        <v>5</v>
      </c>
      <c r="G22" s="27">
        <f t="shared" si="1"/>
        <v>112500</v>
      </c>
      <c r="H22" s="2"/>
      <c r="J22" s="48" t="s">
        <v>43</v>
      </c>
    </row>
    <row r="23" spans="1:12" ht="15.75" customHeight="1">
      <c r="A23" s="2"/>
      <c r="B23" s="62" t="s">
        <v>44</v>
      </c>
      <c r="C23" s="16" t="s">
        <v>45</v>
      </c>
      <c r="D23" s="30">
        <v>87500</v>
      </c>
      <c r="E23" s="67">
        <v>2</v>
      </c>
      <c r="F23" s="18" t="s">
        <v>5</v>
      </c>
      <c r="G23" s="31">
        <f t="shared" si="1"/>
        <v>175000</v>
      </c>
      <c r="H23" s="2"/>
      <c r="J23" s="48" t="s">
        <v>46</v>
      </c>
    </row>
    <row r="24" spans="1:12" ht="15.75" customHeight="1">
      <c r="A24" s="2"/>
      <c r="B24" s="20" t="s">
        <v>47</v>
      </c>
      <c r="C24" s="63" t="s">
        <v>48</v>
      </c>
      <c r="D24" s="64">
        <v>87500</v>
      </c>
      <c r="E24" s="70">
        <v>2</v>
      </c>
      <c r="F24" s="66" t="s">
        <v>5</v>
      </c>
      <c r="G24" s="68">
        <f t="shared" si="1"/>
        <v>175000</v>
      </c>
      <c r="H24" s="2"/>
      <c r="J24" s="48" t="s">
        <v>14</v>
      </c>
    </row>
    <row r="25" spans="1:12" ht="15.75" customHeight="1">
      <c r="B25" s="2"/>
      <c r="C25" s="2"/>
      <c r="D25" s="2"/>
      <c r="E25" s="69">
        <f>SUM(E5:E24)</f>
        <v>40.5</v>
      </c>
      <c r="F25" s="71" t="s">
        <v>5</v>
      </c>
      <c r="G25" s="72">
        <f>SUM(G5:G24)</f>
        <v>3087500</v>
      </c>
      <c r="H25" s="73"/>
      <c r="K25" s="48" t="s">
        <v>49</v>
      </c>
      <c r="L25" s="48" t="s">
        <v>50</v>
      </c>
    </row>
    <row r="26" spans="1:12" ht="15.75" customHeight="1">
      <c r="B26" s="2" t="s">
        <v>51</v>
      </c>
      <c r="C26" s="2"/>
      <c r="D26" s="2"/>
      <c r="E26" s="1"/>
      <c r="F26" s="75"/>
      <c r="G26" s="76"/>
      <c r="H26" s="73"/>
      <c r="K26" s="48" t="s">
        <v>52</v>
      </c>
    </row>
    <row r="27" spans="1:12" ht="15.75" customHeight="1">
      <c r="B27" s="6" t="s">
        <v>6</v>
      </c>
      <c r="C27" s="7" t="s">
        <v>7</v>
      </c>
      <c r="D27" s="8" t="s">
        <v>8</v>
      </c>
      <c r="E27" s="9" t="s">
        <v>9</v>
      </c>
      <c r="F27" s="10" t="s">
        <v>10</v>
      </c>
      <c r="G27" s="11" t="s">
        <v>11</v>
      </c>
      <c r="H27" s="73"/>
    </row>
    <row r="28" spans="1:12" ht="15.75" customHeight="1">
      <c r="B28" s="15" t="s">
        <v>13</v>
      </c>
      <c r="C28" s="16" t="s">
        <v>14</v>
      </c>
      <c r="D28" s="17">
        <v>75000</v>
      </c>
      <c r="E28" s="88">
        <v>2.5</v>
      </c>
      <c r="F28" s="18" t="s">
        <v>5</v>
      </c>
      <c r="G28" s="19">
        <f t="shared" ref="G28:G47" si="2">SUM(D28*E28)</f>
        <v>187500</v>
      </c>
      <c r="H28" s="73"/>
      <c r="J28" s="48" t="s">
        <v>53</v>
      </c>
    </row>
    <row r="29" spans="1:12" ht="15.75" customHeight="1">
      <c r="B29" s="23"/>
      <c r="C29" s="24" t="s">
        <v>16</v>
      </c>
      <c r="D29" s="25">
        <v>75000</v>
      </c>
      <c r="E29" s="89">
        <v>2.5</v>
      </c>
      <c r="F29" s="26" t="s">
        <v>5</v>
      </c>
      <c r="G29" s="27">
        <f t="shared" si="2"/>
        <v>187500</v>
      </c>
      <c r="H29" s="73"/>
      <c r="J29" s="48" t="s">
        <v>54</v>
      </c>
    </row>
    <row r="30" spans="1:12" ht="15.75" customHeight="1">
      <c r="B30" s="29" t="s">
        <v>17</v>
      </c>
      <c r="C30" s="16" t="s">
        <v>18</v>
      </c>
      <c r="D30" s="30">
        <v>75000</v>
      </c>
      <c r="E30" s="88">
        <v>1</v>
      </c>
      <c r="F30" s="18" t="s">
        <v>5</v>
      </c>
      <c r="G30" s="31">
        <f t="shared" si="2"/>
        <v>75000</v>
      </c>
      <c r="H30" s="73"/>
    </row>
    <row r="31" spans="1:12" ht="15.75" customHeight="1">
      <c r="B31" s="23"/>
      <c r="C31" s="32" t="s">
        <v>19</v>
      </c>
      <c r="D31" s="30">
        <v>75000</v>
      </c>
      <c r="E31" s="88">
        <v>2</v>
      </c>
      <c r="F31" s="18" t="s">
        <v>5</v>
      </c>
      <c r="G31" s="31">
        <f t="shared" si="2"/>
        <v>150000</v>
      </c>
      <c r="H31" s="73"/>
    </row>
    <row r="32" spans="1:12" ht="15.75" customHeight="1">
      <c r="B32" s="33" t="s">
        <v>20</v>
      </c>
      <c r="C32" s="34" t="s">
        <v>21</v>
      </c>
      <c r="D32" s="17">
        <v>75000</v>
      </c>
      <c r="E32" s="35">
        <v>2</v>
      </c>
      <c r="F32" s="36" t="s">
        <v>5</v>
      </c>
      <c r="G32" s="19">
        <f t="shared" si="2"/>
        <v>150000</v>
      </c>
      <c r="H32" s="73"/>
    </row>
    <row r="33" spans="2:8" ht="15.75" customHeight="1">
      <c r="B33" s="33"/>
      <c r="C33" s="37" t="s">
        <v>22</v>
      </c>
      <c r="D33" s="38">
        <v>75000</v>
      </c>
      <c r="E33" s="39">
        <v>3</v>
      </c>
      <c r="F33" s="40" t="s">
        <v>5</v>
      </c>
      <c r="G33" s="41">
        <f t="shared" si="2"/>
        <v>225000</v>
      </c>
      <c r="H33" s="73"/>
    </row>
    <row r="34" spans="2:8" ht="15.75" customHeight="1">
      <c r="B34" s="33"/>
      <c r="C34" s="42" t="s">
        <v>23</v>
      </c>
      <c r="D34" s="43">
        <v>75000</v>
      </c>
      <c r="E34" s="44">
        <v>1.5</v>
      </c>
      <c r="F34" s="45" t="s">
        <v>5</v>
      </c>
      <c r="G34" s="46">
        <f t="shared" si="2"/>
        <v>112500</v>
      </c>
      <c r="H34" s="73"/>
    </row>
    <row r="35" spans="2:8" ht="15.75" customHeight="1">
      <c r="B35" s="29" t="s">
        <v>24</v>
      </c>
      <c r="C35" s="47" t="s">
        <v>25</v>
      </c>
      <c r="D35" s="30">
        <v>75000</v>
      </c>
      <c r="E35" s="88">
        <v>1</v>
      </c>
      <c r="F35" s="18" t="s">
        <v>5</v>
      </c>
      <c r="G35" s="31">
        <f t="shared" si="2"/>
        <v>75000</v>
      </c>
      <c r="H35" s="73"/>
    </row>
    <row r="36" spans="2:8" ht="15.75" customHeight="1">
      <c r="B36" s="33"/>
      <c r="C36" s="49" t="s">
        <v>21</v>
      </c>
      <c r="D36" s="38">
        <v>75000</v>
      </c>
      <c r="E36" s="39">
        <v>2</v>
      </c>
      <c r="F36" s="40" t="s">
        <v>5</v>
      </c>
      <c r="G36" s="41">
        <f t="shared" si="2"/>
        <v>150000</v>
      </c>
      <c r="H36" s="73"/>
    </row>
    <row r="37" spans="2:8" ht="15.75" customHeight="1">
      <c r="B37" s="23"/>
      <c r="C37" s="88" t="s">
        <v>28</v>
      </c>
      <c r="D37" s="43">
        <v>75000</v>
      </c>
      <c r="E37" s="44">
        <v>1</v>
      </c>
      <c r="F37" s="45" t="s">
        <v>5</v>
      </c>
      <c r="G37" s="46">
        <f t="shared" si="2"/>
        <v>75000</v>
      </c>
      <c r="H37" s="73"/>
    </row>
    <row r="38" spans="2:8" ht="15.75" customHeight="1">
      <c r="B38" s="29" t="s">
        <v>30</v>
      </c>
      <c r="C38" s="34" t="s">
        <v>21</v>
      </c>
      <c r="D38" s="17">
        <v>75000</v>
      </c>
      <c r="E38" s="50">
        <v>1</v>
      </c>
      <c r="F38" s="36" t="s">
        <v>5</v>
      </c>
      <c r="G38" s="19">
        <f t="shared" si="2"/>
        <v>75000</v>
      </c>
      <c r="H38" s="73"/>
    </row>
    <row r="39" spans="2:8" ht="15.75" customHeight="1">
      <c r="B39" s="33"/>
      <c r="C39" s="49" t="s">
        <v>32</v>
      </c>
      <c r="D39" s="38">
        <v>75000</v>
      </c>
      <c r="E39" s="52">
        <v>1.5</v>
      </c>
      <c r="F39" s="40" t="s">
        <v>5</v>
      </c>
      <c r="G39" s="41">
        <f t="shared" si="2"/>
        <v>112500</v>
      </c>
      <c r="H39" s="73"/>
    </row>
    <row r="40" spans="2:8" ht="15.75" customHeight="1">
      <c r="B40" s="33"/>
      <c r="C40" s="53" t="s">
        <v>33</v>
      </c>
      <c r="D40" s="38">
        <v>75000</v>
      </c>
      <c r="E40" s="52">
        <v>1.5</v>
      </c>
      <c r="F40" s="40" t="s">
        <v>5</v>
      </c>
      <c r="G40" s="41">
        <f t="shared" si="2"/>
        <v>112500</v>
      </c>
      <c r="H40" s="73"/>
    </row>
    <row r="41" spans="2:8" ht="15.75" customHeight="1">
      <c r="B41" s="23"/>
      <c r="C41" s="55" t="s">
        <v>23</v>
      </c>
      <c r="D41" s="43">
        <v>75000</v>
      </c>
      <c r="E41" s="58">
        <v>1</v>
      </c>
      <c r="F41" s="45" t="s">
        <v>5</v>
      </c>
      <c r="G41" s="41">
        <f t="shared" si="2"/>
        <v>75000</v>
      </c>
      <c r="H41" s="73"/>
    </row>
    <row r="42" spans="2:8" ht="15.75" customHeight="1">
      <c r="B42" s="56" t="s">
        <v>36</v>
      </c>
      <c r="C42" s="57" t="s">
        <v>37</v>
      </c>
      <c r="D42" s="30">
        <v>75000</v>
      </c>
      <c r="E42" s="60">
        <v>1</v>
      </c>
      <c r="F42" s="36" t="s">
        <v>5</v>
      </c>
      <c r="G42" s="19">
        <f t="shared" si="2"/>
        <v>75000</v>
      </c>
      <c r="H42" s="73"/>
    </row>
    <row r="43" spans="2:8" ht="15.75" customHeight="1">
      <c r="B43" s="59"/>
      <c r="C43" s="24" t="s">
        <v>39</v>
      </c>
      <c r="D43" s="25">
        <v>75000</v>
      </c>
      <c r="E43" s="61">
        <v>1</v>
      </c>
      <c r="F43" s="26" t="s">
        <v>5</v>
      </c>
      <c r="G43" s="27">
        <f t="shared" si="2"/>
        <v>75000</v>
      </c>
      <c r="H43" s="73"/>
    </row>
    <row r="44" spans="2:8" ht="15.75" customHeight="1">
      <c r="B44" s="56" t="s">
        <v>40</v>
      </c>
      <c r="C44" s="16" t="s">
        <v>41</v>
      </c>
      <c r="D44" s="30">
        <v>75000</v>
      </c>
      <c r="E44" s="60">
        <v>1</v>
      </c>
      <c r="F44" s="18" t="s">
        <v>5</v>
      </c>
      <c r="G44" s="31">
        <f t="shared" si="2"/>
        <v>75000</v>
      </c>
      <c r="H44" s="73"/>
    </row>
    <row r="45" spans="2:8" ht="15.75" customHeight="1">
      <c r="B45" s="59"/>
      <c r="C45" s="24" t="s">
        <v>42</v>
      </c>
      <c r="D45" s="25">
        <v>75000</v>
      </c>
      <c r="E45" s="61">
        <v>1</v>
      </c>
      <c r="F45" s="26" t="s">
        <v>5</v>
      </c>
      <c r="G45" s="27">
        <f t="shared" si="2"/>
        <v>75000</v>
      </c>
      <c r="H45" s="73"/>
    </row>
    <row r="46" spans="2:8" ht="15.75" customHeight="1">
      <c r="B46" s="62" t="s">
        <v>44</v>
      </c>
      <c r="C46" s="16" t="s">
        <v>45</v>
      </c>
      <c r="D46" s="30">
        <v>87500</v>
      </c>
      <c r="E46" s="67">
        <v>1.5</v>
      </c>
      <c r="F46" s="18" t="s">
        <v>5</v>
      </c>
      <c r="G46" s="31">
        <f t="shared" si="2"/>
        <v>131250</v>
      </c>
      <c r="H46" s="73"/>
    </row>
    <row r="47" spans="2:8" ht="15.75" customHeight="1">
      <c r="B47" s="20" t="s">
        <v>47</v>
      </c>
      <c r="C47" s="63" t="s">
        <v>48</v>
      </c>
      <c r="D47" s="64">
        <v>87500</v>
      </c>
      <c r="E47" s="70">
        <v>1.5</v>
      </c>
      <c r="F47" s="66" t="s">
        <v>5</v>
      </c>
      <c r="G47" s="68">
        <f t="shared" si="2"/>
        <v>131250</v>
      </c>
      <c r="H47" s="73"/>
    </row>
    <row r="48" spans="2:8" ht="15.75" customHeight="1">
      <c r="B48" s="2"/>
      <c r="C48" s="2"/>
      <c r="D48" s="2"/>
      <c r="E48" s="69">
        <f>SUM(E28:E47)</f>
        <v>30.5</v>
      </c>
      <c r="F48" s="71" t="s">
        <v>5</v>
      </c>
      <c r="G48" s="72">
        <f>SUM(G28:G47)</f>
        <v>2325000</v>
      </c>
      <c r="H48" s="73"/>
    </row>
    <row r="49" spans="2:16" ht="15.75" customHeight="1">
      <c r="B49" s="2"/>
      <c r="C49" s="2"/>
      <c r="D49" s="2"/>
      <c r="E49" s="1"/>
      <c r="F49" s="75"/>
      <c r="G49" s="76"/>
      <c r="H49" s="73"/>
    </row>
    <row r="50" spans="2:16" ht="15.75" customHeight="1">
      <c r="B50" s="2"/>
      <c r="C50" s="2"/>
      <c r="D50" s="77" t="s">
        <v>55</v>
      </c>
      <c r="E50" s="78">
        <f>SUM(E25,E48)</f>
        <v>71</v>
      </c>
      <c r="F50" s="79" t="s">
        <v>5</v>
      </c>
      <c r="G50" s="80">
        <f>SUM(G25,G48)</f>
        <v>5412500</v>
      </c>
      <c r="H50" s="73"/>
    </row>
    <row r="51" spans="2:16" ht="15.75" customHeight="1">
      <c r="B51" s="2"/>
      <c r="C51" s="2"/>
      <c r="D51" s="2"/>
      <c r="E51" s="1"/>
      <c r="F51" s="75"/>
      <c r="G51" s="76"/>
      <c r="H51" s="73"/>
    </row>
    <row r="52" spans="2:16" ht="15.75" customHeight="1">
      <c r="B52" s="2"/>
      <c r="C52" s="2"/>
      <c r="D52" s="2"/>
      <c r="E52" s="2"/>
      <c r="F52" s="2"/>
      <c r="G52" s="2"/>
      <c r="H52" s="2"/>
      <c r="I52" s="2"/>
      <c r="J52" s="2"/>
    </row>
    <row r="53" spans="2:16" ht="15.75" customHeight="1">
      <c r="C53" s="74" t="s">
        <v>56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2:16" ht="15" customHeight="1">
      <c r="B54" s="2"/>
      <c r="C54" s="95" t="s">
        <v>57</v>
      </c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100"/>
      <c r="P54" s="2"/>
    </row>
    <row r="55" spans="2:16" ht="15.75" customHeight="1">
      <c r="B55" s="2"/>
      <c r="C55" s="101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3"/>
      <c r="P55" s="2"/>
    </row>
    <row r="56" spans="2:16" ht="15.75" customHeight="1">
      <c r="B56" s="2"/>
      <c r="C56" s="101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3"/>
      <c r="P56" s="2"/>
    </row>
    <row r="57" spans="2:16" ht="15.75" customHeight="1">
      <c r="B57" s="2"/>
      <c r="C57" s="101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3"/>
      <c r="P57" s="2"/>
    </row>
    <row r="58" spans="2:16" ht="15.75" customHeight="1">
      <c r="B58" s="2"/>
      <c r="C58" s="101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3"/>
      <c r="P58" s="2"/>
    </row>
    <row r="59" spans="2:16" ht="15.75" customHeight="1">
      <c r="B59" s="2"/>
      <c r="C59" s="101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3"/>
      <c r="P59" s="2"/>
    </row>
    <row r="60" spans="2:16" ht="15.75" customHeight="1">
      <c r="B60" s="2"/>
      <c r="C60" s="101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3"/>
      <c r="P60" s="2"/>
    </row>
    <row r="61" spans="2:16" ht="15.75" customHeight="1">
      <c r="B61" s="2"/>
      <c r="C61" s="101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3"/>
      <c r="P61" s="2"/>
    </row>
    <row r="62" spans="2:16" ht="15.75" customHeight="1">
      <c r="B62" s="2"/>
      <c r="C62" s="101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3"/>
      <c r="P62" s="2"/>
    </row>
    <row r="63" spans="2:16" ht="15.75" customHeight="1">
      <c r="B63" s="2"/>
      <c r="C63" s="101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3"/>
      <c r="P63" s="2"/>
    </row>
    <row r="64" spans="2:16" ht="15.75" customHeight="1">
      <c r="B64" s="2"/>
      <c r="C64" s="101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3"/>
      <c r="P64" s="2"/>
    </row>
    <row r="65" spans="2:16" ht="15.75" customHeight="1">
      <c r="B65" s="2"/>
      <c r="C65" s="101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3"/>
      <c r="P65" s="2"/>
    </row>
    <row r="66" spans="2:16" ht="15.75" customHeight="1">
      <c r="B66" s="2"/>
      <c r="C66" s="101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3"/>
      <c r="P66" s="2"/>
    </row>
    <row r="67" spans="2:16" ht="15.75" customHeight="1">
      <c r="B67" s="2"/>
      <c r="C67" s="101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3"/>
      <c r="P67" s="2"/>
    </row>
    <row r="68" spans="2:16" ht="15.75" customHeight="1">
      <c r="B68" s="2"/>
      <c r="C68" s="101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3"/>
      <c r="P68" s="2"/>
    </row>
    <row r="69" spans="2:16" ht="15.75" customHeight="1">
      <c r="B69" s="2"/>
      <c r="C69" s="101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3"/>
      <c r="P69" s="2"/>
    </row>
    <row r="70" spans="2:16" ht="15.75" customHeight="1">
      <c r="B70" s="2"/>
      <c r="C70" s="101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3"/>
      <c r="P70" s="2"/>
    </row>
    <row r="71" spans="2:16" ht="15.75" customHeight="1">
      <c r="B71" s="2"/>
      <c r="C71" s="101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3"/>
      <c r="P71" s="2"/>
    </row>
    <row r="72" spans="2:16" ht="15.75" customHeight="1">
      <c r="B72" s="2"/>
      <c r="C72" s="101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3"/>
      <c r="P72" s="2"/>
    </row>
    <row r="73" spans="2:16" ht="15.75" customHeight="1">
      <c r="B73" s="2"/>
      <c r="C73" s="104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6"/>
      <c r="P73" s="2"/>
    </row>
    <row r="74" spans="2:16" ht="15.7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2:16" ht="15.75" customHeight="1"/>
    <row r="76" spans="2:16" ht="15.75" customHeight="1"/>
    <row r="77" spans="2:16" ht="15.75" customHeight="1"/>
    <row r="78" spans="2:16" ht="15.75" customHeight="1"/>
    <row r="79" spans="2:16" ht="15.75" customHeight="1"/>
    <row r="80" spans="2:16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3:C3"/>
    <mergeCell ref="D3:G3"/>
    <mergeCell ref="C54:O7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1000"/>
  <sheetViews>
    <sheetView showGridLines="0" workbookViewId="0"/>
  </sheetViews>
  <sheetFormatPr defaultColWidth="14.42578125" defaultRowHeight="15" customHeight="1"/>
  <cols>
    <col min="1" max="1" width="6.28515625" customWidth="1"/>
    <col min="2" max="2" width="40.7109375" customWidth="1"/>
    <col min="3" max="3" width="41.7109375" customWidth="1"/>
    <col min="4" max="4" width="17.7109375" customWidth="1"/>
    <col min="5" max="5" width="15.85546875" customWidth="1"/>
    <col min="6" max="6" width="11.85546875" customWidth="1"/>
    <col min="7" max="7" width="27" customWidth="1"/>
    <col min="8" max="9" width="8.7109375" customWidth="1"/>
    <col min="10" max="10" width="12.140625" customWidth="1"/>
    <col min="11" max="11" width="12.85546875" customWidth="1"/>
    <col min="12" max="26" width="8.7109375" customWidth="1"/>
  </cols>
  <sheetData>
    <row r="2" spans="1:12" ht="27" customHeight="1">
      <c r="B2" s="1" t="s">
        <v>0</v>
      </c>
      <c r="C2" s="2"/>
      <c r="D2" s="2"/>
      <c r="E2" s="2"/>
      <c r="F2" s="2"/>
      <c r="G2" s="2"/>
      <c r="I2" s="2" t="s">
        <v>1</v>
      </c>
      <c r="J2" s="2"/>
      <c r="K2" s="2"/>
    </row>
    <row r="3" spans="1:12">
      <c r="A3" s="2"/>
      <c r="B3" s="93" t="s">
        <v>2</v>
      </c>
      <c r="C3" s="97"/>
      <c r="D3" s="94" t="s">
        <v>3</v>
      </c>
      <c r="E3" s="97"/>
      <c r="F3" s="97"/>
      <c r="G3" s="98"/>
      <c r="H3" s="2"/>
      <c r="I3" s="3"/>
      <c r="J3" s="4" t="s">
        <v>4</v>
      </c>
      <c r="K3" s="5" t="s">
        <v>5</v>
      </c>
    </row>
    <row r="4" spans="1:12">
      <c r="A4" s="2"/>
      <c r="B4" s="6" t="s">
        <v>6</v>
      </c>
      <c r="C4" s="7" t="s">
        <v>7</v>
      </c>
      <c r="D4" s="8" t="s">
        <v>8</v>
      </c>
      <c r="E4" s="9" t="s">
        <v>9</v>
      </c>
      <c r="F4" s="10" t="s">
        <v>10</v>
      </c>
      <c r="G4" s="11" t="s">
        <v>11</v>
      </c>
      <c r="H4" s="2"/>
      <c r="I4" s="12" t="s">
        <v>12</v>
      </c>
      <c r="J4" s="13">
        <v>1750000</v>
      </c>
      <c r="K4" s="14">
        <f t="shared" ref="K4:K5" si="0">J4/20</f>
        <v>87500</v>
      </c>
      <c r="L4" s="2"/>
    </row>
    <row r="5" spans="1:12">
      <c r="A5" s="2"/>
      <c r="B5" s="15" t="s">
        <v>13</v>
      </c>
      <c r="C5" s="16" t="s">
        <v>14</v>
      </c>
      <c r="D5" s="17">
        <v>75000</v>
      </c>
      <c r="E5" s="88">
        <v>5</v>
      </c>
      <c r="F5" s="18" t="s">
        <v>5</v>
      </c>
      <c r="G5" s="19">
        <f t="shared" ref="G5:G24" si="1">SUM(D5*E5)</f>
        <v>375000</v>
      </c>
      <c r="H5" s="2"/>
      <c r="I5" s="20" t="s">
        <v>15</v>
      </c>
      <c r="J5" s="21">
        <v>1500000</v>
      </c>
      <c r="K5" s="22">
        <f t="shared" si="0"/>
        <v>75000</v>
      </c>
      <c r="L5" s="2"/>
    </row>
    <row r="6" spans="1:12">
      <c r="A6" s="2"/>
      <c r="B6" s="23"/>
      <c r="C6" s="24" t="s">
        <v>16</v>
      </c>
      <c r="D6" s="25">
        <v>75000</v>
      </c>
      <c r="E6" s="89">
        <v>5</v>
      </c>
      <c r="F6" s="26" t="s">
        <v>5</v>
      </c>
      <c r="G6" s="27">
        <f t="shared" si="1"/>
        <v>375000</v>
      </c>
      <c r="H6" s="2"/>
      <c r="I6" s="2"/>
      <c r="J6" s="28"/>
      <c r="K6" s="28"/>
      <c r="L6" s="2"/>
    </row>
    <row r="7" spans="1:12">
      <c r="A7" s="2"/>
      <c r="B7" s="29" t="s">
        <v>17</v>
      </c>
      <c r="C7" s="16" t="s">
        <v>18</v>
      </c>
      <c r="D7" s="30">
        <v>75000</v>
      </c>
      <c r="E7" s="88">
        <v>2</v>
      </c>
      <c r="F7" s="18" t="s">
        <v>5</v>
      </c>
      <c r="G7" s="31">
        <f t="shared" si="1"/>
        <v>150000</v>
      </c>
      <c r="H7" s="2"/>
      <c r="L7" s="2"/>
    </row>
    <row r="8" spans="1:12">
      <c r="A8" s="2"/>
      <c r="B8" s="23"/>
      <c r="C8" s="32" t="s">
        <v>19</v>
      </c>
      <c r="D8" s="30">
        <v>75000</v>
      </c>
      <c r="E8" s="88">
        <v>4</v>
      </c>
      <c r="F8" s="18" t="s">
        <v>5</v>
      </c>
      <c r="G8" s="31">
        <f t="shared" si="1"/>
        <v>300000</v>
      </c>
      <c r="H8" s="2"/>
      <c r="L8" s="2"/>
    </row>
    <row r="9" spans="1:12">
      <c r="A9" s="2"/>
      <c r="B9" s="33" t="s">
        <v>20</v>
      </c>
      <c r="C9" s="34" t="s">
        <v>21</v>
      </c>
      <c r="D9" s="17">
        <v>75000</v>
      </c>
      <c r="E9" s="35">
        <v>4</v>
      </c>
      <c r="F9" s="36" t="s">
        <v>5</v>
      </c>
      <c r="G9" s="19">
        <f t="shared" si="1"/>
        <v>300000</v>
      </c>
      <c r="H9" s="2"/>
    </row>
    <row r="10" spans="1:12">
      <c r="A10" s="2"/>
      <c r="B10" s="33"/>
      <c r="C10" s="37" t="s">
        <v>22</v>
      </c>
      <c r="D10" s="38">
        <v>75000</v>
      </c>
      <c r="E10" s="39">
        <v>7</v>
      </c>
      <c r="F10" s="40" t="s">
        <v>5</v>
      </c>
      <c r="G10" s="41">
        <f t="shared" si="1"/>
        <v>525000</v>
      </c>
      <c r="H10" s="2"/>
    </row>
    <row r="11" spans="1:12">
      <c r="A11" s="2"/>
      <c r="B11" s="33"/>
      <c r="C11" s="42" t="s">
        <v>23</v>
      </c>
      <c r="D11" s="43">
        <v>75000</v>
      </c>
      <c r="E11" s="44">
        <v>3</v>
      </c>
      <c r="F11" s="45" t="s">
        <v>5</v>
      </c>
      <c r="G11" s="46">
        <f t="shared" si="1"/>
        <v>225000</v>
      </c>
      <c r="H11" s="2"/>
    </row>
    <row r="12" spans="1:12" ht="16.5" customHeight="1">
      <c r="A12" s="2"/>
      <c r="B12" s="29" t="s">
        <v>24</v>
      </c>
      <c r="C12" s="47" t="s">
        <v>25</v>
      </c>
      <c r="D12" s="30">
        <v>75000</v>
      </c>
      <c r="E12" s="88">
        <v>1</v>
      </c>
      <c r="F12" s="18" t="s">
        <v>5</v>
      </c>
      <c r="G12" s="31">
        <f t="shared" si="1"/>
        <v>75000</v>
      </c>
      <c r="H12" s="2"/>
      <c r="L12" s="2"/>
    </row>
    <row r="13" spans="1:12" ht="16.5" customHeight="1">
      <c r="A13" s="2"/>
      <c r="B13" s="33"/>
      <c r="C13" s="49" t="s">
        <v>21</v>
      </c>
      <c r="D13" s="38">
        <v>75000</v>
      </c>
      <c r="E13" s="39">
        <v>2</v>
      </c>
      <c r="F13" s="40" t="s">
        <v>5</v>
      </c>
      <c r="G13" s="41">
        <f t="shared" si="1"/>
        <v>150000</v>
      </c>
      <c r="H13" s="2"/>
      <c r="L13" s="2"/>
    </row>
    <row r="14" spans="1:12" ht="16.5" customHeight="1">
      <c r="A14" s="2"/>
      <c r="B14" s="23"/>
      <c r="C14" s="88" t="s">
        <v>28</v>
      </c>
      <c r="D14" s="43">
        <v>75000</v>
      </c>
      <c r="E14" s="44">
        <v>1</v>
      </c>
      <c r="F14" s="45" t="s">
        <v>5</v>
      </c>
      <c r="G14" s="46">
        <f t="shared" si="1"/>
        <v>75000</v>
      </c>
      <c r="H14" s="2"/>
      <c r="L14" s="2"/>
    </row>
    <row r="15" spans="1:12">
      <c r="A15" s="2"/>
      <c r="B15" s="33" t="s">
        <v>30</v>
      </c>
      <c r="C15" s="34" t="s">
        <v>21</v>
      </c>
      <c r="D15" s="17">
        <v>75000</v>
      </c>
      <c r="E15" s="35">
        <v>4</v>
      </c>
      <c r="F15" s="36" t="s">
        <v>5</v>
      </c>
      <c r="G15" s="19">
        <f t="shared" si="1"/>
        <v>300000</v>
      </c>
      <c r="H15" s="2"/>
    </row>
    <row r="16" spans="1:12">
      <c r="A16" s="2"/>
      <c r="B16" s="33"/>
      <c r="C16" s="49" t="s">
        <v>32</v>
      </c>
      <c r="D16" s="38">
        <v>75000</v>
      </c>
      <c r="E16" s="39">
        <v>7</v>
      </c>
      <c r="F16" s="40" t="s">
        <v>5</v>
      </c>
      <c r="G16" s="41">
        <f t="shared" si="1"/>
        <v>525000</v>
      </c>
      <c r="H16" s="2"/>
    </row>
    <row r="17" spans="1:16">
      <c r="A17" s="2"/>
      <c r="B17" s="33"/>
      <c r="C17" s="53" t="s">
        <v>33</v>
      </c>
      <c r="D17" s="38">
        <v>75000</v>
      </c>
      <c r="E17" s="54">
        <v>7</v>
      </c>
      <c r="F17" s="40" t="s">
        <v>5</v>
      </c>
      <c r="G17" s="41">
        <f t="shared" si="1"/>
        <v>525000</v>
      </c>
      <c r="H17" s="2"/>
    </row>
    <row r="18" spans="1:16">
      <c r="A18" s="2"/>
      <c r="B18" s="23"/>
      <c r="C18" s="55" t="s">
        <v>23</v>
      </c>
      <c r="D18" s="43">
        <v>75000</v>
      </c>
      <c r="E18" s="44">
        <v>3</v>
      </c>
      <c r="F18" s="45" t="s">
        <v>5</v>
      </c>
      <c r="G18" s="41">
        <f t="shared" si="1"/>
        <v>225000</v>
      </c>
      <c r="H18" s="2"/>
    </row>
    <row r="19" spans="1:16">
      <c r="A19" s="2"/>
      <c r="B19" s="56" t="s">
        <v>36</v>
      </c>
      <c r="C19" s="57" t="s">
        <v>37</v>
      </c>
      <c r="D19" s="30">
        <v>75000</v>
      </c>
      <c r="E19" s="88">
        <v>2</v>
      </c>
      <c r="F19" s="36" t="s">
        <v>5</v>
      </c>
      <c r="G19" s="19">
        <f t="shared" si="1"/>
        <v>150000</v>
      </c>
      <c r="H19" s="2"/>
    </row>
    <row r="20" spans="1:16">
      <c r="A20" s="2"/>
      <c r="B20" s="59"/>
      <c r="C20" s="24" t="s">
        <v>39</v>
      </c>
      <c r="D20" s="25">
        <v>75000</v>
      </c>
      <c r="E20" s="89">
        <v>3</v>
      </c>
      <c r="F20" s="26" t="s">
        <v>5</v>
      </c>
      <c r="G20" s="27">
        <f t="shared" si="1"/>
        <v>225000</v>
      </c>
      <c r="H20" s="2"/>
    </row>
    <row r="21" spans="1:16" ht="15.75" customHeight="1">
      <c r="A21" s="2"/>
      <c r="B21" s="56" t="s">
        <v>40</v>
      </c>
      <c r="C21" s="16" t="s">
        <v>41</v>
      </c>
      <c r="D21" s="30">
        <v>75000</v>
      </c>
      <c r="E21" s="88">
        <v>2</v>
      </c>
      <c r="F21" s="18" t="s">
        <v>5</v>
      </c>
      <c r="G21" s="31">
        <f t="shared" si="1"/>
        <v>150000</v>
      </c>
      <c r="H21" s="2"/>
    </row>
    <row r="22" spans="1:16" ht="15.75" customHeight="1">
      <c r="A22" s="2"/>
      <c r="B22" s="59"/>
      <c r="C22" s="24" t="s">
        <v>42</v>
      </c>
      <c r="D22" s="25">
        <v>75000</v>
      </c>
      <c r="E22" s="89">
        <v>3</v>
      </c>
      <c r="F22" s="26" t="s">
        <v>5</v>
      </c>
      <c r="G22" s="27">
        <f t="shared" si="1"/>
        <v>225000</v>
      </c>
      <c r="H22" s="2"/>
    </row>
    <row r="23" spans="1:16" ht="15.75" customHeight="1">
      <c r="A23" s="2"/>
      <c r="B23" s="62" t="s">
        <v>44</v>
      </c>
      <c r="C23" s="16" t="s">
        <v>45</v>
      </c>
      <c r="D23" s="30">
        <v>87500</v>
      </c>
      <c r="E23" s="90">
        <v>4</v>
      </c>
      <c r="F23" s="18" t="s">
        <v>5</v>
      </c>
      <c r="G23" s="31">
        <f t="shared" si="1"/>
        <v>350000</v>
      </c>
      <c r="H23" s="2"/>
    </row>
    <row r="24" spans="1:16" ht="15.75" customHeight="1">
      <c r="A24" s="2"/>
      <c r="B24" s="20" t="s">
        <v>47</v>
      </c>
      <c r="C24" s="63" t="s">
        <v>48</v>
      </c>
      <c r="D24" s="64">
        <v>87500</v>
      </c>
      <c r="E24" s="65">
        <v>4</v>
      </c>
      <c r="F24" s="66" t="s">
        <v>5</v>
      </c>
      <c r="G24" s="68">
        <f t="shared" si="1"/>
        <v>350000</v>
      </c>
      <c r="H24" s="2"/>
    </row>
    <row r="25" spans="1:16" ht="15.75" customHeight="1">
      <c r="B25" s="2"/>
      <c r="C25" s="2"/>
      <c r="D25" s="2"/>
      <c r="E25" s="69">
        <f>SUM(E5:E24)</f>
        <v>73</v>
      </c>
      <c r="F25" s="71" t="s">
        <v>5</v>
      </c>
      <c r="G25" s="72">
        <f>SUM(G5:G24)</f>
        <v>5575000</v>
      </c>
      <c r="H25" s="73"/>
    </row>
    <row r="26" spans="1:16" ht="15.75" customHeight="1">
      <c r="B26" s="2"/>
      <c r="C26" s="2"/>
      <c r="D26" s="2"/>
      <c r="E26" s="2"/>
      <c r="F26" s="2"/>
      <c r="G26" s="2"/>
      <c r="H26" s="2"/>
      <c r="I26" s="2"/>
      <c r="J26" s="2"/>
    </row>
    <row r="27" spans="1:16" ht="15.75" customHeight="1">
      <c r="C27" s="74" t="s">
        <v>56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6" ht="15" customHeight="1">
      <c r="B28" s="2"/>
      <c r="C28" s="95" t="s">
        <v>57</v>
      </c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100"/>
      <c r="P28" s="2"/>
    </row>
    <row r="29" spans="1:16" ht="15.75" customHeight="1">
      <c r="B29" s="2"/>
      <c r="C29" s="101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3"/>
      <c r="P29" s="2"/>
    </row>
    <row r="30" spans="1:16" ht="15.75" customHeight="1">
      <c r="B30" s="2"/>
      <c r="C30" s="101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3"/>
      <c r="P30" s="2"/>
    </row>
    <row r="31" spans="1:16" ht="15.75" customHeight="1">
      <c r="B31" s="2"/>
      <c r="C31" s="101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3"/>
      <c r="P31" s="2"/>
    </row>
    <row r="32" spans="1:16" ht="15.75" customHeight="1">
      <c r="B32" s="2"/>
      <c r="C32" s="101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3"/>
      <c r="P32" s="2"/>
    </row>
    <row r="33" spans="2:16" ht="15.75" customHeight="1">
      <c r="B33" s="2"/>
      <c r="C33" s="101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3"/>
      <c r="P33" s="2"/>
    </row>
    <row r="34" spans="2:16" ht="15.75" customHeight="1">
      <c r="B34" s="2"/>
      <c r="C34" s="101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3"/>
      <c r="P34" s="2"/>
    </row>
    <row r="35" spans="2:16" ht="15.75" customHeight="1">
      <c r="B35" s="2"/>
      <c r="C35" s="101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3"/>
      <c r="P35" s="2"/>
    </row>
    <row r="36" spans="2:16" ht="15.75" customHeight="1">
      <c r="B36" s="2"/>
      <c r="C36" s="101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3"/>
      <c r="P36" s="2"/>
    </row>
    <row r="37" spans="2:16" ht="15.75" customHeight="1">
      <c r="B37" s="2"/>
      <c r="C37" s="101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3"/>
      <c r="P37" s="2"/>
    </row>
    <row r="38" spans="2:16" ht="15.75" customHeight="1">
      <c r="B38" s="2"/>
      <c r="C38" s="101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3"/>
      <c r="P38" s="2"/>
    </row>
    <row r="39" spans="2:16" ht="15.75" customHeight="1">
      <c r="B39" s="2"/>
      <c r="C39" s="101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3"/>
      <c r="P39" s="2"/>
    </row>
    <row r="40" spans="2:16" ht="15.75" customHeight="1">
      <c r="B40" s="2"/>
      <c r="C40" s="101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3"/>
      <c r="P40" s="2"/>
    </row>
    <row r="41" spans="2:16" ht="15.75" customHeight="1">
      <c r="B41" s="2"/>
      <c r="C41" s="101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3"/>
      <c r="P41" s="2"/>
    </row>
    <row r="42" spans="2:16" ht="15.75" customHeight="1">
      <c r="B42" s="2"/>
      <c r="C42" s="101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3"/>
      <c r="P42" s="2"/>
    </row>
    <row r="43" spans="2:16" ht="15.75" customHeight="1">
      <c r="B43" s="2"/>
      <c r="C43" s="101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3"/>
      <c r="P43" s="2"/>
    </row>
    <row r="44" spans="2:16" ht="15.75" customHeight="1">
      <c r="B44" s="2"/>
      <c r="C44" s="101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3"/>
      <c r="P44" s="2"/>
    </row>
    <row r="45" spans="2:16" ht="15.75" customHeight="1">
      <c r="B45" s="2"/>
      <c r="C45" s="101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3"/>
      <c r="P45" s="2"/>
    </row>
    <row r="46" spans="2:16" ht="15.75" customHeight="1">
      <c r="B46" s="2"/>
      <c r="C46" s="101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3"/>
      <c r="P46" s="2"/>
    </row>
    <row r="47" spans="2:16" ht="15.75" customHeight="1">
      <c r="B47" s="2"/>
      <c r="C47" s="104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6"/>
      <c r="P47" s="2"/>
    </row>
    <row r="48" spans="2:16" ht="15.7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3:C3"/>
    <mergeCell ref="D3:G3"/>
    <mergeCell ref="C28:O4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P1000"/>
  <sheetViews>
    <sheetView showGridLines="0" workbookViewId="0"/>
  </sheetViews>
  <sheetFormatPr defaultColWidth="14.42578125" defaultRowHeight="15" customHeight="1"/>
  <cols>
    <col min="1" max="1" width="6.28515625" customWidth="1"/>
    <col min="2" max="2" width="40.7109375" customWidth="1"/>
    <col min="3" max="3" width="41.7109375" customWidth="1"/>
    <col min="4" max="4" width="17.7109375" customWidth="1"/>
    <col min="5" max="5" width="15.85546875" customWidth="1"/>
    <col min="6" max="6" width="11.85546875" customWidth="1"/>
    <col min="7" max="7" width="27" customWidth="1"/>
    <col min="8" max="9" width="8.7109375" customWidth="1"/>
    <col min="10" max="10" width="12.140625" customWidth="1"/>
    <col min="11" max="11" width="12.85546875" customWidth="1"/>
    <col min="12" max="26" width="8.7109375" customWidth="1"/>
  </cols>
  <sheetData>
    <row r="2" spans="1:12" ht="27" customHeight="1">
      <c r="B2" s="1" t="s">
        <v>58</v>
      </c>
      <c r="C2" s="2"/>
      <c r="D2" s="2"/>
      <c r="E2" s="2"/>
      <c r="F2" s="2"/>
      <c r="G2" s="2"/>
      <c r="I2" s="2" t="s">
        <v>1</v>
      </c>
      <c r="J2" s="2"/>
      <c r="K2" s="2"/>
    </row>
    <row r="3" spans="1:12">
      <c r="A3" s="2"/>
      <c r="B3" s="93" t="s">
        <v>2</v>
      </c>
      <c r="C3" s="97"/>
      <c r="D3" s="94" t="s">
        <v>3</v>
      </c>
      <c r="E3" s="97"/>
      <c r="F3" s="97"/>
      <c r="G3" s="98"/>
      <c r="H3" s="2"/>
      <c r="I3" s="3"/>
      <c r="J3" s="4" t="s">
        <v>4</v>
      </c>
      <c r="K3" s="5" t="s">
        <v>5</v>
      </c>
    </row>
    <row r="4" spans="1:12">
      <c r="A4" s="2"/>
      <c r="B4" s="6" t="s">
        <v>6</v>
      </c>
      <c r="C4" s="7" t="s">
        <v>7</v>
      </c>
      <c r="D4" s="8" t="s">
        <v>8</v>
      </c>
      <c r="E4" s="9" t="s">
        <v>9</v>
      </c>
      <c r="F4" s="10" t="s">
        <v>10</v>
      </c>
      <c r="G4" s="11" t="s">
        <v>11</v>
      </c>
      <c r="H4" s="2"/>
      <c r="I4" s="12" t="s">
        <v>12</v>
      </c>
      <c r="J4" s="13">
        <v>1750000</v>
      </c>
      <c r="K4" s="14">
        <f t="shared" ref="K4:K5" si="0">J4/20</f>
        <v>87500</v>
      </c>
      <c r="L4" s="2"/>
    </row>
    <row r="5" spans="1:12">
      <c r="A5" s="2"/>
      <c r="B5" s="15" t="s">
        <v>13</v>
      </c>
      <c r="C5" s="16" t="s">
        <v>14</v>
      </c>
      <c r="D5" s="17">
        <v>75000</v>
      </c>
      <c r="E5" s="88">
        <v>3</v>
      </c>
      <c r="F5" s="18" t="s">
        <v>5</v>
      </c>
      <c r="G5" s="19">
        <f t="shared" ref="G5:G24" si="1">SUM(D5*E5)</f>
        <v>225000</v>
      </c>
      <c r="H5" s="2"/>
      <c r="I5" s="20" t="s">
        <v>15</v>
      </c>
      <c r="J5" s="21">
        <v>1500000</v>
      </c>
      <c r="K5" s="22">
        <f t="shared" si="0"/>
        <v>75000</v>
      </c>
      <c r="L5" s="2"/>
    </row>
    <row r="6" spans="1:12">
      <c r="A6" s="2"/>
      <c r="B6" s="23"/>
      <c r="C6" s="24" t="s">
        <v>16</v>
      </c>
      <c r="D6" s="25">
        <v>75000</v>
      </c>
      <c r="E6" s="89">
        <v>4</v>
      </c>
      <c r="F6" s="26" t="s">
        <v>5</v>
      </c>
      <c r="G6" s="27">
        <f t="shared" si="1"/>
        <v>300000</v>
      </c>
      <c r="H6" s="2"/>
      <c r="I6" s="2"/>
      <c r="J6" s="28"/>
      <c r="K6" s="28"/>
      <c r="L6" s="2"/>
    </row>
    <row r="7" spans="1:12">
      <c r="A7" s="2"/>
      <c r="B7" s="29" t="s">
        <v>17</v>
      </c>
      <c r="C7" s="16" t="s">
        <v>18</v>
      </c>
      <c r="D7" s="30">
        <v>75000</v>
      </c>
      <c r="E7" s="88">
        <v>3</v>
      </c>
      <c r="F7" s="18" t="s">
        <v>5</v>
      </c>
      <c r="G7" s="31">
        <f t="shared" si="1"/>
        <v>225000</v>
      </c>
      <c r="H7" s="2"/>
      <c r="L7" s="2"/>
    </row>
    <row r="8" spans="1:12">
      <c r="A8" s="2"/>
      <c r="B8" s="23"/>
      <c r="C8" s="32" t="s">
        <v>19</v>
      </c>
      <c r="D8" s="30">
        <v>75000</v>
      </c>
      <c r="E8" s="88">
        <v>4</v>
      </c>
      <c r="F8" s="18" t="s">
        <v>5</v>
      </c>
      <c r="G8" s="31">
        <f t="shared" si="1"/>
        <v>300000</v>
      </c>
      <c r="H8" s="2"/>
      <c r="L8" s="2"/>
    </row>
    <row r="9" spans="1:12">
      <c r="A9" s="2"/>
      <c r="B9" s="33" t="s">
        <v>20</v>
      </c>
      <c r="C9" s="34" t="s">
        <v>21</v>
      </c>
      <c r="D9" s="17">
        <v>75000</v>
      </c>
      <c r="E9" s="35">
        <v>3</v>
      </c>
      <c r="F9" s="36" t="s">
        <v>5</v>
      </c>
      <c r="G9" s="19">
        <f t="shared" si="1"/>
        <v>225000</v>
      </c>
      <c r="H9" s="2"/>
    </row>
    <row r="10" spans="1:12">
      <c r="A10" s="2"/>
      <c r="B10" s="33"/>
      <c r="C10" s="37" t="s">
        <v>22</v>
      </c>
      <c r="D10" s="38">
        <v>75000</v>
      </c>
      <c r="E10" s="39">
        <v>6</v>
      </c>
      <c r="F10" s="40" t="s">
        <v>5</v>
      </c>
      <c r="G10" s="41">
        <f t="shared" si="1"/>
        <v>450000</v>
      </c>
      <c r="H10" s="2"/>
    </row>
    <row r="11" spans="1:12">
      <c r="A11" s="2"/>
      <c r="B11" s="33"/>
      <c r="C11" s="42" t="s">
        <v>23</v>
      </c>
      <c r="D11" s="43">
        <v>75000</v>
      </c>
      <c r="E11" s="44">
        <v>3</v>
      </c>
      <c r="F11" s="45" t="s">
        <v>5</v>
      </c>
      <c r="G11" s="46">
        <f t="shared" si="1"/>
        <v>225000</v>
      </c>
      <c r="H11" s="2"/>
    </row>
    <row r="12" spans="1:12" ht="16.5" customHeight="1">
      <c r="A12" s="2"/>
      <c r="B12" s="29" t="s">
        <v>24</v>
      </c>
      <c r="C12" s="47" t="s">
        <v>25</v>
      </c>
      <c r="D12" s="30">
        <v>75000</v>
      </c>
      <c r="E12" s="88">
        <v>1</v>
      </c>
      <c r="F12" s="18" t="s">
        <v>5</v>
      </c>
      <c r="G12" s="31">
        <f t="shared" si="1"/>
        <v>75000</v>
      </c>
      <c r="H12" s="2"/>
      <c r="L12" s="2"/>
    </row>
    <row r="13" spans="1:12" ht="16.5" customHeight="1">
      <c r="A13" s="2"/>
      <c r="B13" s="33"/>
      <c r="C13" s="49" t="s">
        <v>21</v>
      </c>
      <c r="D13" s="38">
        <v>75000</v>
      </c>
      <c r="E13" s="39">
        <v>2</v>
      </c>
      <c r="F13" s="40" t="s">
        <v>5</v>
      </c>
      <c r="G13" s="41">
        <f t="shared" si="1"/>
        <v>150000</v>
      </c>
      <c r="H13" s="2"/>
      <c r="L13" s="2"/>
    </row>
    <row r="14" spans="1:12" ht="16.5" customHeight="1">
      <c r="A14" s="2"/>
      <c r="B14" s="23"/>
      <c r="C14" s="88" t="s">
        <v>28</v>
      </c>
      <c r="D14" s="43">
        <v>75000</v>
      </c>
      <c r="E14" s="44">
        <v>1</v>
      </c>
      <c r="F14" s="45" t="s">
        <v>5</v>
      </c>
      <c r="G14" s="46">
        <f t="shared" si="1"/>
        <v>75000</v>
      </c>
      <c r="H14" s="2"/>
      <c r="I14" s="48" t="s">
        <v>59</v>
      </c>
      <c r="K14" s="48" t="s">
        <v>60</v>
      </c>
      <c r="L14" s="2"/>
    </row>
    <row r="15" spans="1:12">
      <c r="A15" s="2"/>
      <c r="B15" s="29" t="s">
        <v>30</v>
      </c>
      <c r="C15" s="34" t="s">
        <v>21</v>
      </c>
      <c r="D15" s="17">
        <v>75000</v>
      </c>
      <c r="E15" s="35">
        <v>3</v>
      </c>
      <c r="F15" s="36" t="s">
        <v>5</v>
      </c>
      <c r="G15" s="19">
        <f t="shared" si="1"/>
        <v>225000</v>
      </c>
      <c r="H15" s="2"/>
      <c r="J15" s="48" t="s">
        <v>61</v>
      </c>
      <c r="K15" s="48" t="s">
        <v>62</v>
      </c>
    </row>
    <row r="16" spans="1:12">
      <c r="A16" s="2"/>
      <c r="B16" s="33"/>
      <c r="C16" s="49" t="s">
        <v>32</v>
      </c>
      <c r="D16" s="38">
        <v>75000</v>
      </c>
      <c r="E16" s="39">
        <v>5</v>
      </c>
      <c r="F16" s="40" t="s">
        <v>5</v>
      </c>
      <c r="G16" s="41">
        <f t="shared" si="1"/>
        <v>375000</v>
      </c>
      <c r="H16" s="2"/>
    </row>
    <row r="17" spans="1:16">
      <c r="A17" s="2"/>
      <c r="B17" s="33"/>
      <c r="C17" s="53" t="s">
        <v>33</v>
      </c>
      <c r="D17" s="38">
        <v>75000</v>
      </c>
      <c r="E17" s="54">
        <v>5</v>
      </c>
      <c r="F17" s="40" t="s">
        <v>5</v>
      </c>
      <c r="G17" s="41">
        <f t="shared" si="1"/>
        <v>375000</v>
      </c>
      <c r="H17" s="2"/>
    </row>
    <row r="18" spans="1:16">
      <c r="A18" s="2"/>
      <c r="B18" s="23"/>
      <c r="C18" s="55" t="s">
        <v>23</v>
      </c>
      <c r="D18" s="43">
        <v>75000</v>
      </c>
      <c r="E18" s="44">
        <v>3</v>
      </c>
      <c r="F18" s="45" t="s">
        <v>5</v>
      </c>
      <c r="G18" s="41">
        <f t="shared" si="1"/>
        <v>225000</v>
      </c>
      <c r="H18" s="2"/>
    </row>
    <row r="19" spans="1:16">
      <c r="A19" s="2"/>
      <c r="B19" s="56" t="s">
        <v>36</v>
      </c>
      <c r="C19" s="57" t="s">
        <v>37</v>
      </c>
      <c r="D19" s="30">
        <v>75000</v>
      </c>
      <c r="E19" s="88">
        <v>2</v>
      </c>
      <c r="F19" s="36" t="s">
        <v>5</v>
      </c>
      <c r="G19" s="19">
        <f t="shared" si="1"/>
        <v>150000</v>
      </c>
      <c r="H19" s="2"/>
    </row>
    <row r="20" spans="1:16">
      <c r="A20" s="2"/>
      <c r="B20" s="59"/>
      <c r="C20" s="24" t="s">
        <v>39</v>
      </c>
      <c r="D20" s="25">
        <v>75000</v>
      </c>
      <c r="E20" s="89">
        <v>2</v>
      </c>
      <c r="F20" s="26" t="s">
        <v>5</v>
      </c>
      <c r="G20" s="27">
        <f t="shared" si="1"/>
        <v>150000</v>
      </c>
      <c r="H20" s="2"/>
    </row>
    <row r="21" spans="1:16" ht="15.75" customHeight="1">
      <c r="A21" s="2"/>
      <c r="B21" s="56" t="s">
        <v>40</v>
      </c>
      <c r="C21" s="16" t="s">
        <v>41</v>
      </c>
      <c r="D21" s="30">
        <v>75000</v>
      </c>
      <c r="E21" s="88">
        <v>2</v>
      </c>
      <c r="F21" s="18" t="s">
        <v>5</v>
      </c>
      <c r="G21" s="31">
        <f t="shared" si="1"/>
        <v>150000</v>
      </c>
      <c r="H21" s="2"/>
    </row>
    <row r="22" spans="1:16" ht="15.75" customHeight="1">
      <c r="A22" s="2"/>
      <c r="B22" s="59"/>
      <c r="C22" s="24" t="s">
        <v>42</v>
      </c>
      <c r="D22" s="25">
        <v>75000</v>
      </c>
      <c r="E22" s="89">
        <v>2</v>
      </c>
      <c r="F22" s="26" t="s">
        <v>5</v>
      </c>
      <c r="G22" s="27">
        <f t="shared" si="1"/>
        <v>150000</v>
      </c>
      <c r="H22" s="2"/>
    </row>
    <row r="23" spans="1:16" ht="15.75" customHeight="1">
      <c r="A23" s="2"/>
      <c r="B23" s="62" t="s">
        <v>44</v>
      </c>
      <c r="C23" s="16" t="s">
        <v>45</v>
      </c>
      <c r="D23" s="30">
        <v>87500</v>
      </c>
      <c r="E23" s="90">
        <v>3</v>
      </c>
      <c r="F23" s="18" t="s">
        <v>5</v>
      </c>
      <c r="G23" s="31">
        <f t="shared" si="1"/>
        <v>262500</v>
      </c>
      <c r="H23" s="2"/>
    </row>
    <row r="24" spans="1:16" ht="15.75" customHeight="1">
      <c r="A24" s="2"/>
      <c r="B24" s="20" t="s">
        <v>47</v>
      </c>
      <c r="C24" s="63" t="s">
        <v>48</v>
      </c>
      <c r="D24" s="64">
        <v>87500</v>
      </c>
      <c r="E24" s="65">
        <v>3</v>
      </c>
      <c r="F24" s="66" t="s">
        <v>5</v>
      </c>
      <c r="G24" s="68">
        <f t="shared" si="1"/>
        <v>262500</v>
      </c>
      <c r="H24" s="2"/>
    </row>
    <row r="25" spans="1:16" ht="15.75" customHeight="1">
      <c r="B25" s="2"/>
      <c r="C25" s="2"/>
      <c r="D25" s="2"/>
      <c r="E25" s="69">
        <f>SUM(E5:E24)</f>
        <v>60</v>
      </c>
      <c r="F25" s="71" t="s">
        <v>5</v>
      </c>
      <c r="G25" s="72">
        <f>SUM(G5:G24)</f>
        <v>4575000</v>
      </c>
      <c r="H25" s="73"/>
    </row>
    <row r="26" spans="1:16" ht="15.75" customHeight="1">
      <c r="B26" s="2"/>
      <c r="C26" s="2"/>
      <c r="D26" s="2"/>
      <c r="E26" s="2"/>
      <c r="F26" s="2"/>
      <c r="G26" s="2"/>
      <c r="H26" s="2"/>
      <c r="I26" s="2"/>
      <c r="J26" s="2"/>
    </row>
    <row r="27" spans="1:16" ht="15.75" customHeight="1">
      <c r="C27" s="74" t="s">
        <v>56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6" ht="15" customHeight="1">
      <c r="B28" s="2"/>
      <c r="C28" s="96" t="s">
        <v>63</v>
      </c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100"/>
      <c r="P28" s="2"/>
    </row>
    <row r="29" spans="1:16" ht="15.75" customHeight="1">
      <c r="B29" s="2"/>
      <c r="C29" s="101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3"/>
      <c r="P29" s="2"/>
    </row>
    <row r="30" spans="1:16" ht="15.75" customHeight="1">
      <c r="B30" s="2"/>
      <c r="C30" s="101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3"/>
      <c r="P30" s="2"/>
    </row>
    <row r="31" spans="1:16" ht="15.75" customHeight="1">
      <c r="B31" s="2"/>
      <c r="C31" s="101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3"/>
      <c r="P31" s="2"/>
    </row>
    <row r="32" spans="1:16" ht="15.75" customHeight="1">
      <c r="B32" s="2"/>
      <c r="C32" s="101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3"/>
      <c r="P32" s="2"/>
    </row>
    <row r="33" spans="2:16" ht="15.75" customHeight="1">
      <c r="B33" s="2"/>
      <c r="C33" s="101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3"/>
      <c r="P33" s="2"/>
    </row>
    <row r="34" spans="2:16" ht="15.75" customHeight="1">
      <c r="B34" s="2"/>
      <c r="C34" s="101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3"/>
      <c r="P34" s="2"/>
    </row>
    <row r="35" spans="2:16" ht="15.75" customHeight="1">
      <c r="B35" s="2"/>
      <c r="C35" s="101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3"/>
      <c r="P35" s="2"/>
    </row>
    <row r="36" spans="2:16" ht="15.75" customHeight="1">
      <c r="B36" s="2"/>
      <c r="C36" s="101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3"/>
      <c r="P36" s="2"/>
    </row>
    <row r="37" spans="2:16" ht="15.75" customHeight="1">
      <c r="B37" s="2"/>
      <c r="C37" s="101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3"/>
      <c r="P37" s="2"/>
    </row>
    <row r="38" spans="2:16" ht="15.75" customHeight="1">
      <c r="B38" s="2"/>
      <c r="C38" s="101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3"/>
      <c r="P38" s="2"/>
    </row>
    <row r="39" spans="2:16" ht="15.75" customHeight="1">
      <c r="B39" s="2"/>
      <c r="C39" s="101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3"/>
      <c r="P39" s="2"/>
    </row>
    <row r="40" spans="2:16" ht="15.75" customHeight="1">
      <c r="B40" s="2"/>
      <c r="C40" s="101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3"/>
      <c r="P40" s="2"/>
    </row>
    <row r="41" spans="2:16" ht="15.75" customHeight="1">
      <c r="B41" s="2"/>
      <c r="C41" s="101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3"/>
      <c r="P41" s="2"/>
    </row>
    <row r="42" spans="2:16" ht="15.75" customHeight="1">
      <c r="B42" s="2"/>
      <c r="C42" s="101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3"/>
      <c r="P42" s="2"/>
    </row>
    <row r="43" spans="2:16" ht="15.75" customHeight="1">
      <c r="B43" s="2"/>
      <c r="C43" s="101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3"/>
      <c r="P43" s="2"/>
    </row>
    <row r="44" spans="2:16" ht="15.75" customHeight="1">
      <c r="B44" s="2"/>
      <c r="C44" s="101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3"/>
      <c r="P44" s="2"/>
    </row>
    <row r="45" spans="2:16" ht="15.75" customHeight="1">
      <c r="B45" s="2"/>
      <c r="C45" s="101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3"/>
      <c r="P45" s="2"/>
    </row>
    <row r="46" spans="2:16" ht="15.75" customHeight="1">
      <c r="B46" s="2"/>
      <c r="C46" s="101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3"/>
      <c r="P46" s="2"/>
    </row>
    <row r="47" spans="2:16" ht="15.75" customHeight="1">
      <c r="B47" s="2"/>
      <c r="C47" s="104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6"/>
      <c r="P47" s="2"/>
    </row>
    <row r="48" spans="2:16" ht="15.7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3:C3"/>
    <mergeCell ref="D3:G3"/>
    <mergeCell ref="C28:O47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P1000"/>
  <sheetViews>
    <sheetView showGridLines="0" workbookViewId="0"/>
  </sheetViews>
  <sheetFormatPr defaultColWidth="14.42578125" defaultRowHeight="15" customHeight="1"/>
  <cols>
    <col min="1" max="1" width="6.28515625" customWidth="1"/>
    <col min="2" max="2" width="40.7109375" customWidth="1"/>
    <col min="3" max="3" width="41.7109375" customWidth="1"/>
    <col min="4" max="4" width="17.7109375" customWidth="1"/>
    <col min="5" max="5" width="15.85546875" customWidth="1"/>
    <col min="6" max="6" width="11.85546875" customWidth="1"/>
    <col min="7" max="7" width="27" customWidth="1"/>
    <col min="8" max="9" width="8.7109375" customWidth="1"/>
    <col min="10" max="10" width="12.140625" customWidth="1"/>
    <col min="11" max="11" width="12.85546875" customWidth="1"/>
    <col min="12" max="26" width="8.7109375" customWidth="1"/>
  </cols>
  <sheetData>
    <row r="2" spans="1:12" ht="27" customHeight="1">
      <c r="B2" s="1" t="s">
        <v>64</v>
      </c>
      <c r="C2" s="2"/>
      <c r="D2" s="2"/>
      <c r="E2" s="2"/>
      <c r="F2" s="2"/>
      <c r="G2" s="2"/>
      <c r="I2" s="2" t="s">
        <v>1</v>
      </c>
      <c r="J2" s="2"/>
      <c r="K2" s="2"/>
    </row>
    <row r="3" spans="1:12">
      <c r="A3" s="2"/>
      <c r="B3" s="93" t="s">
        <v>2</v>
      </c>
      <c r="C3" s="97"/>
      <c r="D3" s="94" t="s">
        <v>3</v>
      </c>
      <c r="E3" s="97"/>
      <c r="F3" s="97"/>
      <c r="G3" s="98"/>
      <c r="H3" s="2"/>
      <c r="I3" s="3"/>
      <c r="J3" s="4" t="s">
        <v>4</v>
      </c>
      <c r="K3" s="5" t="s">
        <v>5</v>
      </c>
    </row>
    <row r="4" spans="1:12">
      <c r="A4" s="2"/>
      <c r="B4" s="6" t="s">
        <v>6</v>
      </c>
      <c r="C4" s="7" t="s">
        <v>7</v>
      </c>
      <c r="D4" s="8" t="s">
        <v>8</v>
      </c>
      <c r="E4" s="9" t="s">
        <v>9</v>
      </c>
      <c r="F4" s="10" t="s">
        <v>10</v>
      </c>
      <c r="G4" s="11" t="s">
        <v>11</v>
      </c>
      <c r="H4" s="2"/>
      <c r="I4" s="12" t="s">
        <v>12</v>
      </c>
      <c r="J4" s="13">
        <v>1750000</v>
      </c>
      <c r="K4" s="14">
        <f t="shared" ref="K4:K5" si="0">J4/20</f>
        <v>87500</v>
      </c>
      <c r="L4" s="2"/>
    </row>
    <row r="5" spans="1:12">
      <c r="A5" s="2"/>
      <c r="B5" s="15" t="s">
        <v>13</v>
      </c>
      <c r="C5" s="16" t="s">
        <v>14</v>
      </c>
      <c r="D5" s="17">
        <v>75000</v>
      </c>
      <c r="E5" s="88">
        <v>2</v>
      </c>
      <c r="F5" s="18" t="s">
        <v>5</v>
      </c>
      <c r="G5" s="19">
        <f t="shared" ref="G5:G22" si="1">SUM(D5*E5)</f>
        <v>150000</v>
      </c>
      <c r="H5" s="2"/>
      <c r="I5" s="20" t="s">
        <v>15</v>
      </c>
      <c r="J5" s="21">
        <v>1500000</v>
      </c>
      <c r="K5" s="22">
        <f t="shared" si="0"/>
        <v>75000</v>
      </c>
      <c r="L5" s="2"/>
    </row>
    <row r="6" spans="1:12">
      <c r="A6" s="2"/>
      <c r="B6" s="23"/>
      <c r="C6" s="24" t="s">
        <v>16</v>
      </c>
      <c r="D6" s="25">
        <v>75000</v>
      </c>
      <c r="E6" s="89">
        <v>3</v>
      </c>
      <c r="F6" s="26" t="s">
        <v>5</v>
      </c>
      <c r="G6" s="27">
        <f t="shared" si="1"/>
        <v>225000</v>
      </c>
      <c r="H6" s="2"/>
      <c r="I6" s="2"/>
      <c r="J6" s="28"/>
      <c r="K6" s="28"/>
      <c r="L6" s="2"/>
    </row>
    <row r="7" spans="1:12">
      <c r="A7" s="2"/>
      <c r="B7" s="29" t="s">
        <v>17</v>
      </c>
      <c r="C7" s="16" t="s">
        <v>18</v>
      </c>
      <c r="D7" s="30">
        <v>75000</v>
      </c>
      <c r="E7" s="88">
        <v>2</v>
      </c>
      <c r="F7" s="18" t="s">
        <v>5</v>
      </c>
      <c r="G7" s="31">
        <f t="shared" si="1"/>
        <v>150000</v>
      </c>
      <c r="H7" s="2"/>
      <c r="L7" s="2"/>
    </row>
    <row r="8" spans="1:12">
      <c r="A8" s="2"/>
      <c r="B8" s="23"/>
      <c r="C8" s="32" t="s">
        <v>19</v>
      </c>
      <c r="D8" s="30">
        <v>75000</v>
      </c>
      <c r="E8" s="88">
        <v>3</v>
      </c>
      <c r="F8" s="18" t="s">
        <v>5</v>
      </c>
      <c r="G8" s="31">
        <f t="shared" si="1"/>
        <v>225000</v>
      </c>
      <c r="H8" s="2"/>
      <c r="L8" s="2"/>
    </row>
    <row r="9" spans="1:12">
      <c r="A9" s="2"/>
      <c r="B9" s="33" t="s">
        <v>20</v>
      </c>
      <c r="C9" s="34" t="s">
        <v>21</v>
      </c>
      <c r="D9" s="17">
        <v>75000</v>
      </c>
      <c r="E9" s="35">
        <v>3</v>
      </c>
      <c r="F9" s="36" t="s">
        <v>5</v>
      </c>
      <c r="G9" s="19">
        <f t="shared" si="1"/>
        <v>225000</v>
      </c>
      <c r="H9" s="2"/>
    </row>
    <row r="10" spans="1:12">
      <c r="A10" s="2"/>
      <c r="B10" s="33"/>
      <c r="C10" s="37" t="s">
        <v>22</v>
      </c>
      <c r="D10" s="38">
        <v>75000</v>
      </c>
      <c r="E10" s="39">
        <v>5</v>
      </c>
      <c r="F10" s="40" t="s">
        <v>5</v>
      </c>
      <c r="G10" s="41">
        <f t="shared" si="1"/>
        <v>375000</v>
      </c>
      <c r="H10" s="2"/>
    </row>
    <row r="11" spans="1:12">
      <c r="A11" s="2"/>
      <c r="B11" s="33"/>
      <c r="C11" s="42" t="s">
        <v>23</v>
      </c>
      <c r="D11" s="43">
        <v>75000</v>
      </c>
      <c r="E11" s="44">
        <v>2</v>
      </c>
      <c r="F11" s="45" t="s">
        <v>5</v>
      </c>
      <c r="G11" s="46">
        <f t="shared" si="1"/>
        <v>150000</v>
      </c>
      <c r="H11" s="2"/>
    </row>
    <row r="12" spans="1:12" ht="16.5" customHeight="1">
      <c r="A12" s="2"/>
      <c r="B12" s="29" t="s">
        <v>24</v>
      </c>
      <c r="C12" s="51" t="s">
        <v>28</v>
      </c>
      <c r="D12" s="30">
        <v>75000</v>
      </c>
      <c r="E12" s="88">
        <v>2</v>
      </c>
      <c r="F12" s="18" t="s">
        <v>5</v>
      </c>
      <c r="G12" s="31">
        <f t="shared" si="1"/>
        <v>150000</v>
      </c>
      <c r="H12" s="2"/>
      <c r="L12" s="2"/>
    </row>
    <row r="13" spans="1:12">
      <c r="A13" s="2"/>
      <c r="B13" s="29" t="s">
        <v>30</v>
      </c>
      <c r="C13" s="34" t="s">
        <v>21</v>
      </c>
      <c r="D13" s="17">
        <v>75000</v>
      </c>
      <c r="E13" s="35">
        <v>2</v>
      </c>
      <c r="F13" s="36" t="s">
        <v>5</v>
      </c>
      <c r="G13" s="19">
        <f t="shared" si="1"/>
        <v>150000</v>
      </c>
      <c r="H13" s="2"/>
    </row>
    <row r="14" spans="1:12">
      <c r="A14" s="2"/>
      <c r="B14" s="33"/>
      <c r="C14" s="49" t="s">
        <v>32</v>
      </c>
      <c r="D14" s="38">
        <v>75000</v>
      </c>
      <c r="E14" s="39">
        <v>4</v>
      </c>
      <c r="F14" s="40" t="s">
        <v>5</v>
      </c>
      <c r="G14" s="41">
        <f t="shared" si="1"/>
        <v>300000</v>
      </c>
      <c r="H14" s="2"/>
    </row>
    <row r="15" spans="1:12">
      <c r="A15" s="2"/>
      <c r="B15" s="33"/>
      <c r="C15" s="53" t="s">
        <v>33</v>
      </c>
      <c r="D15" s="38">
        <v>75000</v>
      </c>
      <c r="E15" s="54">
        <v>4</v>
      </c>
      <c r="F15" s="40" t="s">
        <v>5</v>
      </c>
      <c r="G15" s="41">
        <f t="shared" si="1"/>
        <v>300000</v>
      </c>
      <c r="H15" s="2"/>
    </row>
    <row r="16" spans="1:12">
      <c r="A16" s="2"/>
      <c r="B16" s="23"/>
      <c r="C16" s="55" t="s">
        <v>23</v>
      </c>
      <c r="D16" s="43">
        <v>75000</v>
      </c>
      <c r="E16" s="44">
        <v>2</v>
      </c>
      <c r="F16" s="45" t="s">
        <v>5</v>
      </c>
      <c r="G16" s="41">
        <f t="shared" si="1"/>
        <v>150000</v>
      </c>
      <c r="H16" s="2"/>
    </row>
    <row r="17" spans="1:16">
      <c r="A17" s="2"/>
      <c r="B17" s="56" t="s">
        <v>36</v>
      </c>
      <c r="C17" s="57" t="s">
        <v>37</v>
      </c>
      <c r="D17" s="30">
        <v>75000</v>
      </c>
      <c r="E17" s="88">
        <v>1</v>
      </c>
      <c r="F17" s="36" t="s">
        <v>5</v>
      </c>
      <c r="G17" s="19">
        <f t="shared" si="1"/>
        <v>75000</v>
      </c>
      <c r="H17" s="2"/>
    </row>
    <row r="18" spans="1:16">
      <c r="A18" s="2"/>
      <c r="B18" s="59"/>
      <c r="C18" s="24" t="s">
        <v>39</v>
      </c>
      <c r="D18" s="25">
        <v>75000</v>
      </c>
      <c r="E18" s="89">
        <v>2</v>
      </c>
      <c r="F18" s="26" t="s">
        <v>5</v>
      </c>
      <c r="G18" s="27">
        <f t="shared" si="1"/>
        <v>150000</v>
      </c>
      <c r="H18" s="2"/>
    </row>
    <row r="19" spans="1:16">
      <c r="A19" s="2"/>
      <c r="B19" s="56" t="s">
        <v>40</v>
      </c>
      <c r="C19" s="16" t="s">
        <v>41</v>
      </c>
      <c r="D19" s="30">
        <v>75000</v>
      </c>
      <c r="E19" s="88">
        <v>1</v>
      </c>
      <c r="F19" s="18" t="s">
        <v>5</v>
      </c>
      <c r="G19" s="31">
        <f t="shared" si="1"/>
        <v>75000</v>
      </c>
      <c r="H19" s="2"/>
    </row>
    <row r="20" spans="1:16">
      <c r="A20" s="2"/>
      <c r="B20" s="59"/>
      <c r="C20" s="24" t="s">
        <v>42</v>
      </c>
      <c r="D20" s="25">
        <v>75000</v>
      </c>
      <c r="E20" s="89">
        <v>2</v>
      </c>
      <c r="F20" s="26" t="s">
        <v>5</v>
      </c>
      <c r="G20" s="27">
        <f t="shared" si="1"/>
        <v>150000</v>
      </c>
      <c r="H20" s="2"/>
    </row>
    <row r="21" spans="1:16" ht="15.75" customHeight="1">
      <c r="A21" s="2"/>
      <c r="B21" s="62" t="s">
        <v>44</v>
      </c>
      <c r="C21" s="16" t="s">
        <v>45</v>
      </c>
      <c r="D21" s="30">
        <v>87500</v>
      </c>
      <c r="E21" s="90">
        <v>2</v>
      </c>
      <c r="F21" s="18" t="s">
        <v>5</v>
      </c>
      <c r="G21" s="31">
        <f t="shared" si="1"/>
        <v>175000</v>
      </c>
      <c r="H21" s="2"/>
    </row>
    <row r="22" spans="1:16" ht="15.75" customHeight="1">
      <c r="A22" s="2"/>
      <c r="B22" s="20" t="s">
        <v>47</v>
      </c>
      <c r="C22" s="63" t="s">
        <v>48</v>
      </c>
      <c r="D22" s="64">
        <v>87500</v>
      </c>
      <c r="E22" s="65">
        <v>2</v>
      </c>
      <c r="F22" s="66" t="s">
        <v>5</v>
      </c>
      <c r="G22" s="68">
        <f t="shared" si="1"/>
        <v>175000</v>
      </c>
      <c r="H22" s="2"/>
    </row>
    <row r="23" spans="1:16" ht="15.75" customHeight="1">
      <c r="B23" s="2"/>
      <c r="C23" s="2"/>
      <c r="D23" s="2"/>
      <c r="E23" s="69">
        <f>SUM(E5:E22)</f>
        <v>44</v>
      </c>
      <c r="F23" s="71" t="s">
        <v>5</v>
      </c>
      <c r="G23" s="72">
        <f>SUM(G5:G22)</f>
        <v>3350000</v>
      </c>
      <c r="H23" s="73"/>
    </row>
    <row r="24" spans="1:16" ht="15.75" customHeight="1">
      <c r="B24" s="2"/>
      <c r="C24" s="2"/>
      <c r="D24" s="2"/>
      <c r="E24" s="2"/>
      <c r="F24" s="2"/>
      <c r="G24" s="2"/>
      <c r="H24" s="2"/>
      <c r="I24" s="2"/>
      <c r="J24" s="2"/>
    </row>
    <row r="25" spans="1:16" ht="15.75" customHeight="1">
      <c r="C25" s="74" t="s">
        <v>56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6" ht="15" customHeight="1">
      <c r="B26" s="2"/>
      <c r="C26" s="96" t="s">
        <v>65</v>
      </c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100"/>
      <c r="P26" s="2"/>
    </row>
    <row r="27" spans="1:16" ht="15.75" customHeight="1">
      <c r="B27" s="2"/>
      <c r="C27" s="101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3"/>
      <c r="P27" s="2"/>
    </row>
    <row r="28" spans="1:16" ht="15.75" customHeight="1">
      <c r="B28" s="2"/>
      <c r="C28" s="101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3"/>
      <c r="P28" s="2"/>
    </row>
    <row r="29" spans="1:16" ht="15.75" customHeight="1">
      <c r="B29" s="2"/>
      <c r="C29" s="101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3"/>
      <c r="P29" s="2"/>
    </row>
    <row r="30" spans="1:16" ht="15.75" customHeight="1">
      <c r="B30" s="2"/>
      <c r="C30" s="101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3"/>
      <c r="P30" s="2"/>
    </row>
    <row r="31" spans="1:16" ht="15.75" customHeight="1">
      <c r="B31" s="2"/>
      <c r="C31" s="101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3"/>
      <c r="P31" s="2"/>
    </row>
    <row r="32" spans="1:16" ht="15.75" customHeight="1">
      <c r="B32" s="2"/>
      <c r="C32" s="101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3"/>
      <c r="P32" s="2"/>
    </row>
    <row r="33" spans="2:16" ht="15.75" customHeight="1">
      <c r="B33" s="2"/>
      <c r="C33" s="101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3"/>
      <c r="P33" s="2"/>
    </row>
    <row r="34" spans="2:16" ht="15.75" customHeight="1">
      <c r="B34" s="2"/>
      <c r="C34" s="101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3"/>
      <c r="P34" s="2"/>
    </row>
    <row r="35" spans="2:16" ht="15.75" customHeight="1">
      <c r="B35" s="2"/>
      <c r="C35" s="101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3"/>
      <c r="P35" s="2"/>
    </row>
    <row r="36" spans="2:16" ht="15.75" customHeight="1">
      <c r="B36" s="2"/>
      <c r="C36" s="101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3"/>
      <c r="P36" s="2"/>
    </row>
    <row r="37" spans="2:16" ht="15.75" customHeight="1">
      <c r="B37" s="2"/>
      <c r="C37" s="101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3"/>
      <c r="P37" s="2"/>
    </row>
    <row r="38" spans="2:16" ht="15.75" customHeight="1">
      <c r="B38" s="2"/>
      <c r="C38" s="101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3"/>
      <c r="P38" s="2"/>
    </row>
    <row r="39" spans="2:16" ht="15.75" customHeight="1">
      <c r="B39" s="2"/>
      <c r="C39" s="101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3"/>
      <c r="P39" s="2"/>
    </row>
    <row r="40" spans="2:16" ht="15.75" customHeight="1">
      <c r="B40" s="2"/>
      <c r="C40" s="101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3"/>
      <c r="P40" s="2"/>
    </row>
    <row r="41" spans="2:16" ht="15.75" customHeight="1">
      <c r="B41" s="2"/>
      <c r="C41" s="101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3"/>
      <c r="P41" s="2"/>
    </row>
    <row r="42" spans="2:16" ht="15.75" customHeight="1">
      <c r="B42" s="2"/>
      <c r="C42" s="101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3"/>
      <c r="P42" s="2"/>
    </row>
    <row r="43" spans="2:16" ht="15.75" customHeight="1">
      <c r="B43" s="2"/>
      <c r="C43" s="101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3"/>
      <c r="P43" s="2"/>
    </row>
    <row r="44" spans="2:16" ht="15.75" customHeight="1">
      <c r="B44" s="2"/>
      <c r="C44" s="101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3"/>
      <c r="P44" s="2"/>
    </row>
    <row r="45" spans="2:16" ht="15.75" customHeight="1">
      <c r="B45" s="2"/>
      <c r="C45" s="104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6"/>
      <c r="P45" s="2"/>
    </row>
    <row r="46" spans="2:16" ht="15.7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2:16" ht="15.75" customHeight="1"/>
    <row r="48" spans="2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3:C3"/>
    <mergeCell ref="D3:G3"/>
    <mergeCell ref="C26:O45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1000"/>
  <sheetViews>
    <sheetView showGridLines="0" workbookViewId="0"/>
  </sheetViews>
  <sheetFormatPr defaultColWidth="14.42578125" defaultRowHeight="15" customHeight="1"/>
  <cols>
    <col min="1" max="1" width="6.28515625" customWidth="1"/>
    <col min="2" max="2" width="40.7109375" customWidth="1"/>
    <col min="3" max="3" width="41.7109375" customWidth="1"/>
    <col min="4" max="4" width="17.7109375" customWidth="1"/>
    <col min="5" max="5" width="15.85546875" customWidth="1"/>
    <col min="6" max="6" width="11.85546875" customWidth="1"/>
    <col min="7" max="7" width="27" customWidth="1"/>
    <col min="8" max="9" width="8.7109375" customWidth="1"/>
    <col min="10" max="10" width="12.140625" customWidth="1"/>
    <col min="11" max="11" width="12.85546875" customWidth="1"/>
    <col min="12" max="26" width="8.7109375" customWidth="1"/>
  </cols>
  <sheetData>
    <row r="2" spans="2:11" ht="27" customHeight="1">
      <c r="B2" s="1" t="s">
        <v>64</v>
      </c>
      <c r="I2" s="48" t="s">
        <v>1</v>
      </c>
    </row>
    <row r="3" spans="2:11">
      <c r="B3" s="93" t="s">
        <v>2</v>
      </c>
      <c r="C3" s="97"/>
      <c r="D3" s="94" t="s">
        <v>3</v>
      </c>
      <c r="E3" s="97"/>
      <c r="F3" s="97"/>
      <c r="G3" s="98"/>
      <c r="I3" s="3"/>
      <c r="J3" s="4" t="s">
        <v>4</v>
      </c>
      <c r="K3" s="5" t="s">
        <v>5</v>
      </c>
    </row>
    <row r="4" spans="2:11">
      <c r="B4" s="6" t="s">
        <v>6</v>
      </c>
      <c r="C4" s="7" t="s">
        <v>7</v>
      </c>
      <c r="D4" s="8" t="s">
        <v>8</v>
      </c>
      <c r="E4" s="9" t="s">
        <v>9</v>
      </c>
      <c r="F4" s="10" t="s">
        <v>10</v>
      </c>
      <c r="G4" s="11" t="s">
        <v>11</v>
      </c>
      <c r="I4" s="12" t="s">
        <v>12</v>
      </c>
      <c r="J4" s="13">
        <v>1750000</v>
      </c>
      <c r="K4" s="14">
        <f t="shared" ref="K4:K5" si="0">J4/20</f>
        <v>87500</v>
      </c>
    </row>
    <row r="5" spans="2:11">
      <c r="B5" s="15" t="s">
        <v>13</v>
      </c>
      <c r="C5" s="16" t="s">
        <v>14</v>
      </c>
      <c r="D5" s="17">
        <v>75000</v>
      </c>
      <c r="E5" s="88">
        <v>5</v>
      </c>
      <c r="F5" s="18" t="s">
        <v>5</v>
      </c>
      <c r="G5" s="19">
        <f t="shared" ref="G5:G22" si="1">SUM(D5*E5)</f>
        <v>375000</v>
      </c>
      <c r="I5" s="20" t="s">
        <v>15</v>
      </c>
      <c r="J5" s="21">
        <v>1500000</v>
      </c>
      <c r="K5" s="22">
        <f t="shared" si="0"/>
        <v>75000</v>
      </c>
    </row>
    <row r="6" spans="2:11">
      <c r="B6" s="23"/>
      <c r="C6" s="24" t="s">
        <v>16</v>
      </c>
      <c r="D6" s="25">
        <v>75000</v>
      </c>
      <c r="E6" s="89">
        <v>5</v>
      </c>
      <c r="F6" s="26" t="s">
        <v>5</v>
      </c>
      <c r="G6" s="27">
        <f t="shared" si="1"/>
        <v>375000</v>
      </c>
      <c r="J6" s="28"/>
      <c r="K6" s="28"/>
    </row>
    <row r="7" spans="2:11">
      <c r="B7" s="29" t="s">
        <v>17</v>
      </c>
      <c r="C7" s="16" t="s">
        <v>18</v>
      </c>
      <c r="D7" s="30">
        <v>75000</v>
      </c>
      <c r="E7" s="88">
        <v>5</v>
      </c>
      <c r="F7" s="18" t="s">
        <v>5</v>
      </c>
      <c r="G7" s="31">
        <f t="shared" si="1"/>
        <v>375000</v>
      </c>
    </row>
    <row r="8" spans="2:11">
      <c r="B8" s="23"/>
      <c r="C8" s="32" t="s">
        <v>19</v>
      </c>
      <c r="D8" s="30">
        <v>75000</v>
      </c>
      <c r="E8" s="88">
        <v>5</v>
      </c>
      <c r="F8" s="18" t="s">
        <v>5</v>
      </c>
      <c r="G8" s="31">
        <f t="shared" si="1"/>
        <v>375000</v>
      </c>
    </row>
    <row r="9" spans="2:11">
      <c r="B9" s="33" t="s">
        <v>20</v>
      </c>
      <c r="C9" s="34" t="s">
        <v>21</v>
      </c>
      <c r="D9" s="17">
        <v>75000</v>
      </c>
      <c r="E9" s="35">
        <v>5</v>
      </c>
      <c r="F9" s="36" t="s">
        <v>5</v>
      </c>
      <c r="G9" s="19">
        <f t="shared" si="1"/>
        <v>375000</v>
      </c>
    </row>
    <row r="10" spans="2:11">
      <c r="B10" s="33"/>
      <c r="C10" s="37" t="s">
        <v>22</v>
      </c>
      <c r="D10" s="38">
        <v>75000</v>
      </c>
      <c r="E10" s="39">
        <v>8</v>
      </c>
      <c r="F10" s="40" t="s">
        <v>5</v>
      </c>
      <c r="G10" s="41">
        <f t="shared" si="1"/>
        <v>600000</v>
      </c>
    </row>
    <row r="11" spans="2:11">
      <c r="B11" s="33"/>
      <c r="C11" s="42" t="s">
        <v>23</v>
      </c>
      <c r="D11" s="43">
        <v>75000</v>
      </c>
      <c r="E11" s="44">
        <v>3</v>
      </c>
      <c r="F11" s="45" t="s">
        <v>5</v>
      </c>
      <c r="G11" s="46">
        <f t="shared" si="1"/>
        <v>225000</v>
      </c>
    </row>
    <row r="12" spans="2:11" ht="16.5" customHeight="1">
      <c r="B12" s="29" t="s">
        <v>24</v>
      </c>
      <c r="C12" s="51" t="s">
        <v>28</v>
      </c>
      <c r="D12" s="30">
        <v>75000</v>
      </c>
      <c r="E12" s="88">
        <v>2</v>
      </c>
      <c r="F12" s="18" t="s">
        <v>5</v>
      </c>
      <c r="G12" s="31">
        <f t="shared" si="1"/>
        <v>150000</v>
      </c>
    </row>
    <row r="13" spans="2:11">
      <c r="B13" s="29" t="s">
        <v>30</v>
      </c>
      <c r="C13" s="34" t="s">
        <v>21</v>
      </c>
      <c r="D13" s="17">
        <v>75000</v>
      </c>
      <c r="E13" s="35">
        <v>5</v>
      </c>
      <c r="F13" s="36" t="s">
        <v>5</v>
      </c>
      <c r="G13" s="19">
        <f t="shared" si="1"/>
        <v>375000</v>
      </c>
    </row>
    <row r="14" spans="2:11">
      <c r="B14" s="33"/>
      <c r="C14" s="49" t="s">
        <v>32</v>
      </c>
      <c r="D14" s="38">
        <v>75000</v>
      </c>
      <c r="E14" s="39">
        <v>8</v>
      </c>
      <c r="F14" s="40" t="s">
        <v>5</v>
      </c>
      <c r="G14" s="41">
        <f t="shared" si="1"/>
        <v>600000</v>
      </c>
    </row>
    <row r="15" spans="2:11">
      <c r="B15" s="33"/>
      <c r="C15" s="53" t="s">
        <v>33</v>
      </c>
      <c r="D15" s="38">
        <v>75000</v>
      </c>
      <c r="E15" s="54">
        <v>8</v>
      </c>
      <c r="F15" s="40" t="s">
        <v>5</v>
      </c>
      <c r="G15" s="41">
        <f t="shared" si="1"/>
        <v>600000</v>
      </c>
    </row>
    <row r="16" spans="2:11">
      <c r="B16" s="23"/>
      <c r="C16" s="55" t="s">
        <v>23</v>
      </c>
      <c r="D16" s="43">
        <v>75000</v>
      </c>
      <c r="E16" s="44">
        <v>4</v>
      </c>
      <c r="F16" s="45" t="s">
        <v>5</v>
      </c>
      <c r="G16" s="41">
        <f t="shared" si="1"/>
        <v>300000</v>
      </c>
    </row>
    <row r="17" spans="2:8">
      <c r="B17" s="56" t="s">
        <v>36</v>
      </c>
      <c r="C17" s="57" t="s">
        <v>37</v>
      </c>
      <c r="D17" s="30">
        <v>75000</v>
      </c>
      <c r="E17" s="88">
        <v>3</v>
      </c>
      <c r="F17" s="36" t="s">
        <v>5</v>
      </c>
      <c r="G17" s="19">
        <f t="shared" si="1"/>
        <v>225000</v>
      </c>
    </row>
    <row r="18" spans="2:8">
      <c r="B18" s="59"/>
      <c r="C18" s="24" t="s">
        <v>39</v>
      </c>
      <c r="D18" s="25">
        <v>75000</v>
      </c>
      <c r="E18" s="89">
        <v>3</v>
      </c>
      <c r="F18" s="26" t="s">
        <v>5</v>
      </c>
      <c r="G18" s="27">
        <f t="shared" si="1"/>
        <v>225000</v>
      </c>
    </row>
    <row r="19" spans="2:8">
      <c r="B19" s="56" t="s">
        <v>40</v>
      </c>
      <c r="C19" s="16" t="s">
        <v>41</v>
      </c>
      <c r="D19" s="30">
        <v>75000</v>
      </c>
      <c r="E19" s="88">
        <v>3</v>
      </c>
      <c r="F19" s="18" t="s">
        <v>5</v>
      </c>
      <c r="G19" s="31">
        <f t="shared" si="1"/>
        <v>225000</v>
      </c>
    </row>
    <row r="20" spans="2:8">
      <c r="B20" s="59"/>
      <c r="C20" s="24" t="s">
        <v>42</v>
      </c>
      <c r="D20" s="25">
        <v>75000</v>
      </c>
      <c r="E20" s="89">
        <v>3</v>
      </c>
      <c r="F20" s="26" t="s">
        <v>5</v>
      </c>
      <c r="G20" s="27">
        <f t="shared" si="1"/>
        <v>225000</v>
      </c>
    </row>
    <row r="21" spans="2:8" ht="15.75" customHeight="1">
      <c r="B21" s="62" t="s">
        <v>44</v>
      </c>
      <c r="C21" s="16" t="s">
        <v>45</v>
      </c>
      <c r="D21" s="30">
        <v>87500</v>
      </c>
      <c r="E21" s="90">
        <v>5</v>
      </c>
      <c r="F21" s="18" t="s">
        <v>5</v>
      </c>
      <c r="G21" s="31">
        <f t="shared" si="1"/>
        <v>437500</v>
      </c>
    </row>
    <row r="22" spans="2:8" ht="15.75" customHeight="1">
      <c r="B22" s="20" t="s">
        <v>47</v>
      </c>
      <c r="C22" s="63" t="s">
        <v>48</v>
      </c>
      <c r="D22" s="64">
        <v>87500</v>
      </c>
      <c r="E22" s="65">
        <v>5</v>
      </c>
      <c r="F22" s="66" t="s">
        <v>5</v>
      </c>
      <c r="G22" s="68">
        <f t="shared" si="1"/>
        <v>437500</v>
      </c>
    </row>
    <row r="23" spans="2:8" ht="15.75" customHeight="1">
      <c r="E23" s="69">
        <f>SUM(E5:E22)</f>
        <v>85</v>
      </c>
      <c r="F23" s="71" t="s">
        <v>5</v>
      </c>
      <c r="G23" s="72">
        <f>SUM(G5:G22)</f>
        <v>6500000</v>
      </c>
      <c r="H23" s="73"/>
    </row>
    <row r="24" spans="2:8" ht="15.75" customHeight="1"/>
    <row r="25" spans="2:8" ht="15.75" customHeight="1">
      <c r="C25" s="74" t="s">
        <v>56</v>
      </c>
    </row>
    <row r="26" spans="2:8" ht="15" customHeight="1">
      <c r="C26" s="95" t="s">
        <v>66</v>
      </c>
      <c r="D26" s="99"/>
      <c r="E26" s="99"/>
      <c r="F26" s="99"/>
      <c r="G26" s="100"/>
    </row>
    <row r="27" spans="2:8" ht="15" customHeight="1">
      <c r="C27" s="101"/>
      <c r="D27" s="102"/>
      <c r="E27" s="102"/>
      <c r="F27" s="102"/>
      <c r="G27" s="103"/>
    </row>
    <row r="28" spans="2:8" ht="15.75" customHeight="1">
      <c r="C28" s="101"/>
      <c r="D28" s="102"/>
      <c r="E28" s="102"/>
      <c r="F28" s="102"/>
      <c r="G28" s="103"/>
    </row>
    <row r="29" spans="2:8" ht="15.75" customHeight="1">
      <c r="C29" s="101"/>
      <c r="D29" s="102"/>
      <c r="E29" s="102"/>
      <c r="F29" s="102"/>
      <c r="G29" s="103"/>
    </row>
    <row r="30" spans="2:8" ht="15.75" customHeight="1">
      <c r="C30" s="101"/>
      <c r="D30" s="102"/>
      <c r="E30" s="102"/>
      <c r="F30" s="102"/>
      <c r="G30" s="103"/>
    </row>
    <row r="31" spans="2:8" ht="15.75" customHeight="1">
      <c r="C31" s="101"/>
      <c r="D31" s="102"/>
      <c r="E31" s="102"/>
      <c r="F31" s="102"/>
      <c r="G31" s="103"/>
    </row>
    <row r="32" spans="2:8" ht="15.75" customHeight="1">
      <c r="C32" s="104"/>
      <c r="D32" s="105"/>
      <c r="E32" s="105"/>
      <c r="F32" s="105"/>
      <c r="G32" s="106"/>
    </row>
    <row r="33" spans="9:9" ht="15.75" customHeight="1"/>
    <row r="34" spans="9:9" ht="15.75" customHeight="1"/>
    <row r="35" spans="9:9" ht="15.75" customHeight="1"/>
    <row r="36" spans="9:9" ht="15.75" customHeight="1"/>
    <row r="37" spans="9:9" ht="15.75" customHeight="1"/>
    <row r="38" spans="9:9" ht="15.75" customHeight="1">
      <c r="I38" s="87"/>
    </row>
    <row r="39" spans="9:9" ht="15.75" customHeight="1"/>
    <row r="40" spans="9:9" ht="15.75" customHeight="1"/>
    <row r="41" spans="9:9" ht="15.75" customHeight="1"/>
    <row r="42" spans="9:9" ht="15.75" customHeight="1"/>
    <row r="43" spans="9:9" ht="15.75" customHeight="1"/>
    <row r="44" spans="9:9" ht="15.75" customHeight="1"/>
    <row r="45" spans="9:9" ht="15.75" customHeight="1"/>
    <row r="46" spans="9:9" ht="15.75" customHeight="1"/>
    <row r="47" spans="9:9" ht="15.75" customHeight="1"/>
    <row r="48" spans="9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3:C3"/>
    <mergeCell ref="D3:G3"/>
    <mergeCell ref="C26:G32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2:I28"/>
  <sheetViews>
    <sheetView tabSelected="1"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2" max="2" width="13.7109375" customWidth="1"/>
    <col min="3" max="3" width="24.140625" customWidth="1"/>
    <col min="4" max="4" width="62.28515625" customWidth="1"/>
    <col min="5" max="5" width="22" customWidth="1"/>
    <col min="6" max="7" width="11.5703125" customWidth="1"/>
    <col min="8" max="9" width="13.7109375" customWidth="1"/>
  </cols>
  <sheetData>
    <row r="2" spans="2:9">
      <c r="B2" s="81" t="s">
        <v>67</v>
      </c>
      <c r="C2" s="82"/>
      <c r="D2" s="82"/>
      <c r="E2" s="82"/>
      <c r="F2" s="82"/>
      <c r="G2" s="82"/>
      <c r="H2" s="82"/>
      <c r="I2" s="82"/>
    </row>
    <row r="3" spans="2:9">
      <c r="B3" s="83" t="s">
        <v>68</v>
      </c>
      <c r="C3" s="82"/>
      <c r="D3" s="82"/>
      <c r="E3" s="82"/>
      <c r="F3" s="82"/>
      <c r="G3" s="82"/>
      <c r="H3" s="82"/>
      <c r="I3" s="82"/>
    </row>
    <row r="4" spans="2:9">
      <c r="B4" s="84" t="s">
        <v>6</v>
      </c>
      <c r="C4" s="84" t="s">
        <v>7</v>
      </c>
      <c r="D4" s="84" t="s">
        <v>69</v>
      </c>
      <c r="E4" s="84" t="s">
        <v>70</v>
      </c>
      <c r="F4" s="84" t="s">
        <v>71</v>
      </c>
      <c r="G4" s="84" t="s">
        <v>72</v>
      </c>
      <c r="H4" s="84" t="s">
        <v>73</v>
      </c>
      <c r="I4" s="84" t="s">
        <v>74</v>
      </c>
    </row>
    <row r="5" spans="2:9" ht="84">
      <c r="B5" s="85" t="s">
        <v>13</v>
      </c>
      <c r="C5" s="85" t="s">
        <v>75</v>
      </c>
      <c r="D5" s="92" t="s">
        <v>76</v>
      </c>
      <c r="E5" s="85" t="s">
        <v>77</v>
      </c>
      <c r="F5" s="85" t="s">
        <v>78</v>
      </c>
      <c r="G5" s="85">
        <v>15</v>
      </c>
      <c r="H5" s="85">
        <v>2</v>
      </c>
      <c r="I5" s="85">
        <v>30</v>
      </c>
    </row>
    <row r="6" spans="2:9" ht="100.5">
      <c r="B6" s="85" t="s">
        <v>13</v>
      </c>
      <c r="C6" s="85" t="s">
        <v>79</v>
      </c>
      <c r="D6" s="92" t="s">
        <v>80</v>
      </c>
      <c r="E6" s="85" t="s">
        <v>81</v>
      </c>
      <c r="F6" s="85" t="s">
        <v>82</v>
      </c>
      <c r="G6" s="85">
        <v>11</v>
      </c>
      <c r="H6" s="85">
        <v>1.5</v>
      </c>
      <c r="I6" s="85">
        <v>16.5</v>
      </c>
    </row>
    <row r="7" spans="2:9">
      <c r="B7" s="85" t="s">
        <v>83</v>
      </c>
      <c r="C7" s="85" t="s">
        <v>84</v>
      </c>
      <c r="D7" s="92" t="s">
        <v>85</v>
      </c>
      <c r="E7" s="85" t="s">
        <v>86</v>
      </c>
      <c r="F7" s="85" t="s">
        <v>78</v>
      </c>
      <c r="G7" s="85">
        <v>15</v>
      </c>
      <c r="H7" s="85">
        <v>3</v>
      </c>
      <c r="I7" s="85">
        <v>45</v>
      </c>
    </row>
    <row r="8" spans="2:9" ht="100.5">
      <c r="B8" s="85" t="s">
        <v>83</v>
      </c>
      <c r="C8" s="85" t="s">
        <v>87</v>
      </c>
      <c r="D8" s="92" t="s">
        <v>88</v>
      </c>
      <c r="E8" s="85" t="s">
        <v>87</v>
      </c>
      <c r="F8" s="85" t="s">
        <v>82</v>
      </c>
      <c r="G8" s="85">
        <v>11</v>
      </c>
      <c r="H8" s="85">
        <v>1.5</v>
      </c>
      <c r="I8" s="85">
        <v>16.5</v>
      </c>
    </row>
    <row r="9" spans="2:9" ht="250.5">
      <c r="B9" s="85" t="s">
        <v>20</v>
      </c>
      <c r="C9" s="85" t="s">
        <v>89</v>
      </c>
      <c r="D9" s="92" t="s">
        <v>90</v>
      </c>
      <c r="E9" s="85" t="s">
        <v>91</v>
      </c>
      <c r="F9" s="85" t="s">
        <v>82</v>
      </c>
      <c r="G9" s="85">
        <v>11</v>
      </c>
      <c r="H9" s="85">
        <v>1.5</v>
      </c>
      <c r="I9" s="85">
        <v>16.5</v>
      </c>
    </row>
    <row r="10" spans="2:9">
      <c r="B10" s="85" t="s">
        <v>24</v>
      </c>
      <c r="C10" s="85" t="s">
        <v>92</v>
      </c>
      <c r="D10" s="85" t="s">
        <v>93</v>
      </c>
      <c r="E10" s="85" t="s">
        <v>94</v>
      </c>
      <c r="F10" s="85" t="s">
        <v>82</v>
      </c>
      <c r="G10" s="85">
        <v>11</v>
      </c>
      <c r="H10" s="85">
        <v>1.5</v>
      </c>
      <c r="I10" s="85">
        <v>16.5</v>
      </c>
    </row>
    <row r="11" spans="2:9">
      <c r="B11" s="85" t="s">
        <v>95</v>
      </c>
      <c r="C11" s="85" t="s">
        <v>96</v>
      </c>
      <c r="D11" s="85" t="s">
        <v>97</v>
      </c>
      <c r="E11" s="85" t="s">
        <v>95</v>
      </c>
      <c r="F11" s="85" t="s">
        <v>82</v>
      </c>
      <c r="G11" s="85">
        <v>11</v>
      </c>
      <c r="H11" s="85">
        <v>2</v>
      </c>
      <c r="I11" s="85">
        <v>22</v>
      </c>
    </row>
    <row r="12" spans="2:9">
      <c r="B12" s="85" t="s">
        <v>98</v>
      </c>
      <c r="C12" s="85" t="s">
        <v>99</v>
      </c>
      <c r="D12" s="85" t="s">
        <v>100</v>
      </c>
      <c r="E12" s="85" t="s">
        <v>101</v>
      </c>
      <c r="F12" s="85" t="s">
        <v>82</v>
      </c>
      <c r="G12" s="85">
        <v>11</v>
      </c>
      <c r="H12" s="85">
        <v>1</v>
      </c>
      <c r="I12" s="85">
        <v>11</v>
      </c>
    </row>
    <row r="13" spans="2:9">
      <c r="B13" s="85" t="s">
        <v>102</v>
      </c>
      <c r="C13" s="85" t="s">
        <v>103</v>
      </c>
      <c r="D13" s="85" t="s">
        <v>104</v>
      </c>
      <c r="E13" s="85" t="s">
        <v>105</v>
      </c>
      <c r="F13" s="85" t="s">
        <v>82</v>
      </c>
      <c r="G13" s="85">
        <v>11</v>
      </c>
      <c r="H13" s="85">
        <v>2</v>
      </c>
      <c r="I13" s="85">
        <v>22</v>
      </c>
    </row>
    <row r="14" spans="2:9">
      <c r="B14" s="85" t="s">
        <v>106</v>
      </c>
      <c r="C14" s="85" t="s">
        <v>107</v>
      </c>
      <c r="D14" s="85" t="s">
        <v>108</v>
      </c>
      <c r="E14" s="85" t="s">
        <v>109</v>
      </c>
      <c r="F14" s="85" t="s">
        <v>110</v>
      </c>
      <c r="G14" s="85">
        <v>8.5</v>
      </c>
      <c r="H14" s="85">
        <v>1.5</v>
      </c>
      <c r="I14" s="85">
        <v>12.75</v>
      </c>
    </row>
    <row r="15" spans="2:9">
      <c r="B15" s="85" t="s">
        <v>106</v>
      </c>
      <c r="C15" s="85" t="s">
        <v>111</v>
      </c>
      <c r="D15" s="85" t="s">
        <v>112</v>
      </c>
      <c r="E15" s="85" t="s">
        <v>113</v>
      </c>
      <c r="F15" s="85" t="s">
        <v>110</v>
      </c>
      <c r="G15" s="85">
        <v>8.5</v>
      </c>
      <c r="H15" s="85">
        <v>4</v>
      </c>
      <c r="I15" s="85">
        <v>34</v>
      </c>
    </row>
    <row r="16" spans="2:9">
      <c r="B16" s="85" t="s">
        <v>106</v>
      </c>
      <c r="C16" s="85" t="s">
        <v>114</v>
      </c>
      <c r="D16" s="85" t="s">
        <v>115</v>
      </c>
      <c r="E16" s="85" t="s">
        <v>113</v>
      </c>
      <c r="F16" s="85" t="s">
        <v>110</v>
      </c>
      <c r="G16" s="85">
        <v>8.5</v>
      </c>
      <c r="H16" s="85">
        <v>2.5</v>
      </c>
      <c r="I16" s="85">
        <v>21.25</v>
      </c>
    </row>
    <row r="17" spans="2:9">
      <c r="B17" s="85" t="s">
        <v>116</v>
      </c>
      <c r="C17" s="85" t="s">
        <v>117</v>
      </c>
      <c r="D17" s="85" t="s">
        <v>118</v>
      </c>
      <c r="E17" s="85" t="s">
        <v>119</v>
      </c>
      <c r="F17" s="85" t="s">
        <v>120</v>
      </c>
      <c r="G17" s="85">
        <v>8</v>
      </c>
      <c r="H17" s="85">
        <v>1.5</v>
      </c>
      <c r="I17" s="85">
        <v>12</v>
      </c>
    </row>
    <row r="18" spans="2:9">
      <c r="B18" s="85" t="s">
        <v>121</v>
      </c>
      <c r="C18" s="85" t="s">
        <v>122</v>
      </c>
      <c r="D18" s="85" t="s">
        <v>123</v>
      </c>
      <c r="E18" s="85" t="s">
        <v>124</v>
      </c>
      <c r="F18" s="85" t="s">
        <v>110</v>
      </c>
      <c r="G18" s="85">
        <v>9</v>
      </c>
      <c r="H18" s="85">
        <v>3</v>
      </c>
      <c r="I18" s="85">
        <v>27</v>
      </c>
    </row>
    <row r="19" spans="2:9">
      <c r="B19" s="85" t="s">
        <v>121</v>
      </c>
      <c r="C19" s="85" t="s">
        <v>125</v>
      </c>
      <c r="D19" s="85" t="s">
        <v>126</v>
      </c>
      <c r="E19" s="85" t="s">
        <v>127</v>
      </c>
      <c r="F19" s="85" t="s">
        <v>128</v>
      </c>
      <c r="G19" s="85">
        <v>9.5</v>
      </c>
      <c r="H19" s="85">
        <v>4</v>
      </c>
      <c r="I19" s="85">
        <v>38</v>
      </c>
    </row>
    <row r="20" spans="2:9">
      <c r="B20" s="85" t="s">
        <v>121</v>
      </c>
      <c r="C20" s="85" t="s">
        <v>129</v>
      </c>
      <c r="D20" s="85" t="s">
        <v>130</v>
      </c>
      <c r="E20" s="85" t="s">
        <v>131</v>
      </c>
      <c r="F20" s="85" t="s">
        <v>128</v>
      </c>
      <c r="G20" s="85">
        <v>9.5</v>
      </c>
      <c r="H20" s="85">
        <v>3</v>
      </c>
      <c r="I20" s="85">
        <v>28.5</v>
      </c>
    </row>
    <row r="21" spans="2:9">
      <c r="B21" s="85" t="s">
        <v>132</v>
      </c>
      <c r="C21" s="85" t="s">
        <v>133</v>
      </c>
      <c r="D21" s="85" t="s">
        <v>134</v>
      </c>
      <c r="E21" s="85" t="s">
        <v>135</v>
      </c>
      <c r="F21" s="85" t="s">
        <v>110</v>
      </c>
      <c r="G21" s="85">
        <v>8.5</v>
      </c>
      <c r="H21" s="85">
        <v>3</v>
      </c>
      <c r="I21" s="85">
        <v>25.5</v>
      </c>
    </row>
    <row r="22" spans="2:9">
      <c r="B22" s="85" t="s">
        <v>136</v>
      </c>
      <c r="C22" s="85" t="s">
        <v>137</v>
      </c>
      <c r="D22" s="85" t="s">
        <v>138</v>
      </c>
      <c r="E22" s="85" t="s">
        <v>139</v>
      </c>
      <c r="F22" s="85" t="s">
        <v>120</v>
      </c>
      <c r="G22" s="85">
        <v>8</v>
      </c>
      <c r="H22" s="85">
        <v>4</v>
      </c>
      <c r="I22" s="85">
        <v>32</v>
      </c>
    </row>
    <row r="23" spans="2:9">
      <c r="B23" s="85" t="s">
        <v>136</v>
      </c>
      <c r="C23" s="85" t="s">
        <v>140</v>
      </c>
      <c r="D23" s="85" t="s">
        <v>141</v>
      </c>
      <c r="E23" s="85" t="s">
        <v>142</v>
      </c>
      <c r="F23" s="85" t="s">
        <v>82</v>
      </c>
      <c r="G23" s="85">
        <v>11</v>
      </c>
      <c r="H23" s="85">
        <v>2</v>
      </c>
      <c r="I23" s="85">
        <v>22</v>
      </c>
    </row>
    <row r="24" spans="2:9">
      <c r="B24" s="85" t="s">
        <v>136</v>
      </c>
      <c r="C24" s="85" t="s">
        <v>143</v>
      </c>
      <c r="D24" s="85" t="s">
        <v>144</v>
      </c>
      <c r="E24" s="85" t="s">
        <v>145</v>
      </c>
      <c r="F24" s="85" t="s">
        <v>82</v>
      </c>
      <c r="G24" s="85">
        <v>11</v>
      </c>
      <c r="H24" s="85">
        <v>1</v>
      </c>
      <c r="I24" s="85">
        <v>11</v>
      </c>
    </row>
    <row r="25" spans="2:9">
      <c r="B25" s="85" t="s">
        <v>146</v>
      </c>
      <c r="C25" s="85" t="s">
        <v>147</v>
      </c>
      <c r="D25" s="85" t="s">
        <v>148</v>
      </c>
      <c r="E25" s="85" t="s">
        <v>149</v>
      </c>
      <c r="F25" s="85" t="s">
        <v>128</v>
      </c>
      <c r="G25" s="85">
        <v>9.5</v>
      </c>
      <c r="H25" s="85">
        <v>1.5</v>
      </c>
      <c r="I25" s="85">
        <v>14.25</v>
      </c>
    </row>
    <row r="26" spans="2:9">
      <c r="B26" s="85" t="s">
        <v>150</v>
      </c>
      <c r="C26" s="85" t="s">
        <v>151</v>
      </c>
      <c r="D26" s="85" t="s">
        <v>152</v>
      </c>
      <c r="E26" s="85" t="s">
        <v>153</v>
      </c>
      <c r="F26" s="85" t="s">
        <v>110</v>
      </c>
      <c r="G26" s="85">
        <v>8.5</v>
      </c>
      <c r="H26" s="85">
        <v>1.5</v>
      </c>
      <c r="I26" s="85">
        <v>12.75</v>
      </c>
    </row>
    <row r="27" spans="2:9">
      <c r="B27" s="85" t="s">
        <v>154</v>
      </c>
      <c r="C27" s="85" t="s">
        <v>44</v>
      </c>
      <c r="D27" s="85" t="s">
        <v>155</v>
      </c>
      <c r="E27" s="85" t="s">
        <v>156</v>
      </c>
      <c r="F27" s="85" t="s">
        <v>48</v>
      </c>
      <c r="G27" s="85">
        <v>13</v>
      </c>
      <c r="H27" s="85">
        <v>3</v>
      </c>
      <c r="I27" s="85">
        <v>39</v>
      </c>
    </row>
    <row r="28" spans="2:9">
      <c r="H28" s="48">
        <f t="shared" ref="H28:I28" si="0">SUM(H5:H27)</f>
        <v>51.5</v>
      </c>
      <c r="I28" s="48">
        <f t="shared" si="0"/>
        <v>526</v>
      </c>
    </row>
  </sheetData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B2:I20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2" max="2" width="20" customWidth="1"/>
    <col min="3" max="3" width="47.28515625" customWidth="1"/>
    <col min="4" max="4" width="64" customWidth="1"/>
    <col min="5" max="5" width="38" customWidth="1"/>
    <col min="6" max="6" width="11.7109375" customWidth="1"/>
    <col min="7" max="7" width="11.5703125" customWidth="1"/>
    <col min="8" max="9" width="13.7109375" customWidth="1"/>
  </cols>
  <sheetData>
    <row r="2" spans="2:9">
      <c r="B2" s="86" t="s">
        <v>157</v>
      </c>
    </row>
    <row r="3" spans="2:9">
      <c r="B3" s="91" t="s">
        <v>158</v>
      </c>
      <c r="C3" s="82"/>
      <c r="D3" s="82"/>
      <c r="E3" s="82"/>
      <c r="F3" s="82"/>
      <c r="G3" s="82"/>
      <c r="H3" s="82"/>
      <c r="I3" s="82"/>
    </row>
    <row r="4" spans="2:9">
      <c r="B4" s="84" t="s">
        <v>6</v>
      </c>
      <c r="C4" s="84" t="s">
        <v>7</v>
      </c>
      <c r="D4" s="84" t="s">
        <v>69</v>
      </c>
      <c r="E4" s="84" t="s">
        <v>70</v>
      </c>
      <c r="F4" s="84" t="s">
        <v>71</v>
      </c>
      <c r="G4" s="84" t="s">
        <v>72</v>
      </c>
      <c r="H4" s="84" t="s">
        <v>73</v>
      </c>
      <c r="I4" s="84" t="s">
        <v>74</v>
      </c>
    </row>
    <row r="5" spans="2:9">
      <c r="B5" s="85" t="s">
        <v>159</v>
      </c>
      <c r="C5" s="85" t="s">
        <v>160</v>
      </c>
      <c r="D5" s="85" t="s">
        <v>161</v>
      </c>
      <c r="E5" s="85" t="s">
        <v>162</v>
      </c>
      <c r="F5" s="85" t="s">
        <v>78</v>
      </c>
      <c r="G5" s="85">
        <v>15</v>
      </c>
      <c r="H5" s="85">
        <v>1.5</v>
      </c>
      <c r="I5" s="85">
        <v>22.5</v>
      </c>
    </row>
    <row r="6" spans="2:9">
      <c r="B6" s="85" t="s">
        <v>83</v>
      </c>
      <c r="C6" s="85" t="s">
        <v>163</v>
      </c>
      <c r="D6" s="85" t="s">
        <v>164</v>
      </c>
      <c r="E6" s="85" t="s">
        <v>165</v>
      </c>
      <c r="F6" s="85" t="s">
        <v>78</v>
      </c>
      <c r="G6" s="85">
        <v>15</v>
      </c>
      <c r="H6" s="85">
        <v>2</v>
      </c>
      <c r="I6" s="85">
        <v>30</v>
      </c>
    </row>
    <row r="7" spans="2:9">
      <c r="B7" s="85" t="s">
        <v>20</v>
      </c>
      <c r="C7" s="85" t="s">
        <v>166</v>
      </c>
      <c r="D7" s="85" t="s">
        <v>167</v>
      </c>
      <c r="E7" s="85" t="s">
        <v>168</v>
      </c>
      <c r="F7" s="85" t="s">
        <v>82</v>
      </c>
      <c r="G7" s="85">
        <v>11</v>
      </c>
      <c r="H7" s="85">
        <v>2</v>
      </c>
      <c r="I7" s="85">
        <v>22</v>
      </c>
    </row>
    <row r="8" spans="2:9">
      <c r="B8" s="85" t="s">
        <v>169</v>
      </c>
      <c r="C8" s="85" t="s">
        <v>170</v>
      </c>
      <c r="D8" s="85" t="s">
        <v>171</v>
      </c>
      <c r="E8" s="85" t="s">
        <v>172</v>
      </c>
      <c r="F8" s="85" t="s">
        <v>82</v>
      </c>
      <c r="G8" s="85">
        <v>11</v>
      </c>
      <c r="H8" s="85">
        <v>1.5</v>
      </c>
      <c r="I8" s="85">
        <v>16.5</v>
      </c>
    </row>
    <row r="9" spans="2:9">
      <c r="B9" s="85" t="s">
        <v>106</v>
      </c>
      <c r="C9" s="85" t="s">
        <v>173</v>
      </c>
      <c r="D9" s="85" t="s">
        <v>174</v>
      </c>
      <c r="E9" s="85" t="s">
        <v>175</v>
      </c>
      <c r="F9" s="85" t="s">
        <v>110</v>
      </c>
      <c r="G9" s="85">
        <v>8.5</v>
      </c>
      <c r="H9" s="85">
        <v>3</v>
      </c>
      <c r="I9" s="85">
        <v>25.5</v>
      </c>
    </row>
    <row r="10" spans="2:9">
      <c r="B10" s="85" t="s">
        <v>176</v>
      </c>
      <c r="C10" s="85" t="s">
        <v>177</v>
      </c>
      <c r="D10" s="85" t="s">
        <v>178</v>
      </c>
      <c r="E10" s="85" t="s">
        <v>179</v>
      </c>
      <c r="F10" s="85" t="s">
        <v>180</v>
      </c>
      <c r="G10" s="85">
        <v>9.5</v>
      </c>
      <c r="H10" s="85">
        <v>1.5</v>
      </c>
      <c r="I10" s="85">
        <v>14.25</v>
      </c>
    </row>
    <row r="11" spans="2:9">
      <c r="B11" s="85" t="s">
        <v>116</v>
      </c>
      <c r="C11" s="85" t="s">
        <v>181</v>
      </c>
      <c r="D11" s="85" t="s">
        <v>182</v>
      </c>
      <c r="E11" s="85" t="s">
        <v>183</v>
      </c>
      <c r="F11" s="85" t="s">
        <v>110</v>
      </c>
      <c r="G11" s="85">
        <v>9</v>
      </c>
      <c r="H11" s="85">
        <v>1</v>
      </c>
      <c r="I11" s="85">
        <v>9</v>
      </c>
    </row>
    <row r="12" spans="2:9">
      <c r="B12" s="85" t="s">
        <v>121</v>
      </c>
      <c r="C12" s="85" t="s">
        <v>184</v>
      </c>
      <c r="D12" s="85" t="s">
        <v>185</v>
      </c>
      <c r="E12" s="85" t="s">
        <v>186</v>
      </c>
      <c r="F12" s="85" t="s">
        <v>180</v>
      </c>
      <c r="G12" s="85">
        <v>9.5</v>
      </c>
      <c r="H12" s="85">
        <v>3</v>
      </c>
      <c r="I12" s="85">
        <v>28.5</v>
      </c>
    </row>
    <row r="13" spans="2:9">
      <c r="B13" s="85" t="s">
        <v>187</v>
      </c>
      <c r="C13" s="85" t="s">
        <v>188</v>
      </c>
      <c r="D13" s="85" t="s">
        <v>189</v>
      </c>
      <c r="E13" s="85" t="s">
        <v>190</v>
      </c>
      <c r="F13" s="85" t="s">
        <v>180</v>
      </c>
      <c r="G13" s="85">
        <v>9.5</v>
      </c>
      <c r="H13" s="85">
        <v>2</v>
      </c>
      <c r="I13" s="85">
        <v>19</v>
      </c>
    </row>
    <row r="14" spans="2:9">
      <c r="B14" s="85" t="s">
        <v>132</v>
      </c>
      <c r="C14" s="85" t="s">
        <v>191</v>
      </c>
      <c r="D14" s="85" t="s">
        <v>192</v>
      </c>
      <c r="E14" s="85" t="s">
        <v>193</v>
      </c>
      <c r="F14" s="85" t="s">
        <v>110</v>
      </c>
      <c r="G14" s="85">
        <v>8.5</v>
      </c>
      <c r="H14" s="85">
        <v>2</v>
      </c>
      <c r="I14" s="85">
        <v>17</v>
      </c>
    </row>
    <row r="15" spans="2:9">
      <c r="B15" s="85" t="s">
        <v>146</v>
      </c>
      <c r="C15" s="85" t="s">
        <v>194</v>
      </c>
      <c r="D15" s="85" t="s">
        <v>195</v>
      </c>
      <c r="E15" s="85" t="s">
        <v>196</v>
      </c>
      <c r="F15" s="85" t="s">
        <v>180</v>
      </c>
      <c r="G15" s="85">
        <v>9.5</v>
      </c>
      <c r="H15" s="85">
        <v>2</v>
      </c>
      <c r="I15" s="85">
        <v>19</v>
      </c>
    </row>
    <row r="16" spans="2:9">
      <c r="B16" s="85" t="s">
        <v>197</v>
      </c>
      <c r="C16" s="85" t="s">
        <v>198</v>
      </c>
      <c r="D16" s="85" t="s">
        <v>199</v>
      </c>
      <c r="E16" s="85" t="s">
        <v>200</v>
      </c>
      <c r="F16" s="85" t="s">
        <v>180</v>
      </c>
      <c r="G16" s="85">
        <v>9.5</v>
      </c>
      <c r="H16" s="85">
        <v>2</v>
      </c>
      <c r="I16" s="85">
        <v>19</v>
      </c>
    </row>
    <row r="17" spans="2:9">
      <c r="B17" s="85" t="s">
        <v>136</v>
      </c>
      <c r="C17" s="85" t="s">
        <v>201</v>
      </c>
      <c r="D17" s="85" t="s">
        <v>202</v>
      </c>
      <c r="E17" s="85" t="s">
        <v>203</v>
      </c>
      <c r="F17" s="85" t="s">
        <v>82</v>
      </c>
      <c r="G17" s="85">
        <v>11</v>
      </c>
      <c r="H17" s="85">
        <v>3</v>
      </c>
      <c r="I17" s="85">
        <v>33</v>
      </c>
    </row>
    <row r="18" spans="2:9">
      <c r="B18" s="85" t="s">
        <v>150</v>
      </c>
      <c r="C18" s="85" t="s">
        <v>204</v>
      </c>
      <c r="D18" s="85" t="s">
        <v>205</v>
      </c>
      <c r="E18" s="85" t="s">
        <v>206</v>
      </c>
      <c r="F18" s="85" t="s">
        <v>110</v>
      </c>
      <c r="G18" s="85">
        <v>8.5</v>
      </c>
      <c r="H18" s="85">
        <v>1.5</v>
      </c>
      <c r="I18" s="85">
        <v>12.75</v>
      </c>
    </row>
    <row r="19" spans="2:9">
      <c r="B19" s="85" t="s">
        <v>207</v>
      </c>
      <c r="C19" s="85" t="s">
        <v>208</v>
      </c>
      <c r="D19" s="85" t="s">
        <v>209</v>
      </c>
      <c r="E19" s="85" t="s">
        <v>210</v>
      </c>
      <c r="F19" s="85" t="s">
        <v>48</v>
      </c>
      <c r="G19" s="85">
        <v>13</v>
      </c>
      <c r="H19" s="85">
        <v>3</v>
      </c>
      <c r="I19" s="85">
        <v>39</v>
      </c>
    </row>
    <row r="20" spans="2:9">
      <c r="H20" s="48">
        <f t="shared" ref="H20:I20" si="0">SUM(H5:H19)</f>
        <v>31</v>
      </c>
      <c r="I20" s="48">
        <f t="shared" si="0"/>
        <v>327</v>
      </c>
    </row>
  </sheetData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B1:I14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2" max="2" width="15.85546875" customWidth="1"/>
    <col min="3" max="3" width="46.42578125" customWidth="1"/>
    <col min="4" max="4" width="43.28515625" customWidth="1"/>
    <col min="5" max="5" width="27.85546875" customWidth="1"/>
    <col min="6" max="6" width="11.7109375" customWidth="1"/>
    <col min="7" max="7" width="11.5703125" customWidth="1"/>
    <col min="8" max="9" width="13.7109375" customWidth="1"/>
  </cols>
  <sheetData>
    <row r="1" spans="2:9">
      <c r="B1" s="86"/>
    </row>
    <row r="2" spans="2:9">
      <c r="B2" s="86" t="s">
        <v>211</v>
      </c>
    </row>
    <row r="3" spans="2:9">
      <c r="B3" s="91" t="s">
        <v>212</v>
      </c>
    </row>
    <row r="4" spans="2:9">
      <c r="B4" s="84" t="s">
        <v>6</v>
      </c>
      <c r="C4" s="84" t="s">
        <v>7</v>
      </c>
      <c r="D4" s="84" t="s">
        <v>69</v>
      </c>
      <c r="E4" s="84" t="s">
        <v>70</v>
      </c>
      <c r="F4" s="84" t="s">
        <v>71</v>
      </c>
      <c r="G4" s="84" t="s">
        <v>72</v>
      </c>
      <c r="H4" s="84" t="s">
        <v>73</v>
      </c>
      <c r="I4" s="84" t="s">
        <v>74</v>
      </c>
    </row>
    <row r="5" spans="2:9">
      <c r="B5" s="48" t="s">
        <v>213</v>
      </c>
      <c r="C5" s="48" t="s">
        <v>214</v>
      </c>
      <c r="D5" s="48" t="s">
        <v>215</v>
      </c>
      <c r="E5" s="48" t="s">
        <v>216</v>
      </c>
      <c r="F5" s="48" t="s">
        <v>82</v>
      </c>
      <c r="G5" s="48">
        <v>11</v>
      </c>
      <c r="H5" s="48">
        <v>0.5</v>
      </c>
      <c r="I5" s="48">
        <v>5.5</v>
      </c>
    </row>
    <row r="6" spans="2:9">
      <c r="B6" s="48" t="s">
        <v>102</v>
      </c>
      <c r="C6" s="48" t="s">
        <v>217</v>
      </c>
      <c r="D6" s="48" t="s">
        <v>218</v>
      </c>
      <c r="E6" s="48" t="s">
        <v>219</v>
      </c>
      <c r="F6" s="48" t="s">
        <v>82</v>
      </c>
      <c r="G6" s="48">
        <v>11</v>
      </c>
      <c r="H6" s="48">
        <v>1</v>
      </c>
      <c r="I6" s="48">
        <v>11</v>
      </c>
    </row>
    <row r="7" spans="2:9">
      <c r="B7" s="48" t="s">
        <v>109</v>
      </c>
      <c r="C7" s="48" t="s">
        <v>220</v>
      </c>
      <c r="D7" s="48" t="s">
        <v>221</v>
      </c>
      <c r="E7" s="48" t="s">
        <v>222</v>
      </c>
      <c r="F7" s="48" t="s">
        <v>110</v>
      </c>
      <c r="G7" s="48">
        <v>8.5</v>
      </c>
      <c r="H7" s="48">
        <v>0.5</v>
      </c>
      <c r="I7" s="48">
        <v>4.25</v>
      </c>
    </row>
    <row r="8" spans="2:9">
      <c r="B8" s="48" t="s">
        <v>223</v>
      </c>
      <c r="C8" s="48" t="s">
        <v>224</v>
      </c>
      <c r="D8" s="48" t="s">
        <v>225</v>
      </c>
      <c r="E8" s="48" t="s">
        <v>226</v>
      </c>
      <c r="F8" s="48" t="s">
        <v>110</v>
      </c>
      <c r="G8" s="48">
        <v>8.5</v>
      </c>
      <c r="H8" s="48">
        <v>0.5</v>
      </c>
      <c r="I8" s="48">
        <v>4.25</v>
      </c>
    </row>
    <row r="9" spans="2:9">
      <c r="B9" s="48" t="s">
        <v>106</v>
      </c>
      <c r="C9" s="48" t="s">
        <v>227</v>
      </c>
      <c r="D9" s="48" t="s">
        <v>228</v>
      </c>
      <c r="E9" s="48" t="s">
        <v>229</v>
      </c>
      <c r="F9" s="48" t="s">
        <v>110</v>
      </c>
      <c r="G9" s="48">
        <v>8.5</v>
      </c>
      <c r="H9" s="48">
        <v>1</v>
      </c>
      <c r="I9" s="48">
        <v>8.5</v>
      </c>
    </row>
    <row r="10" spans="2:9">
      <c r="B10" s="48" t="s">
        <v>121</v>
      </c>
      <c r="C10" s="48" t="s">
        <v>230</v>
      </c>
      <c r="D10" s="48" t="s">
        <v>231</v>
      </c>
      <c r="E10" s="48" t="s">
        <v>232</v>
      </c>
      <c r="F10" s="48" t="s">
        <v>180</v>
      </c>
      <c r="G10" s="48">
        <v>9.5</v>
      </c>
      <c r="H10" s="48">
        <v>1.5</v>
      </c>
      <c r="I10" s="48">
        <v>14.25</v>
      </c>
    </row>
    <row r="11" spans="2:9">
      <c r="B11" s="48" t="s">
        <v>132</v>
      </c>
      <c r="C11" s="48" t="s">
        <v>233</v>
      </c>
      <c r="D11" s="48" t="s">
        <v>234</v>
      </c>
      <c r="E11" s="48" t="s">
        <v>235</v>
      </c>
      <c r="F11" s="48" t="s">
        <v>110</v>
      </c>
      <c r="G11" s="48">
        <v>8.5</v>
      </c>
      <c r="H11" s="48">
        <v>0.5</v>
      </c>
      <c r="I11" s="48">
        <v>4.25</v>
      </c>
    </row>
    <row r="12" spans="2:9">
      <c r="B12" s="48" t="s">
        <v>136</v>
      </c>
      <c r="C12" s="48" t="s">
        <v>236</v>
      </c>
      <c r="D12" s="48" t="s">
        <v>237</v>
      </c>
      <c r="E12" s="48" t="s">
        <v>238</v>
      </c>
      <c r="F12" s="48" t="s">
        <v>110</v>
      </c>
      <c r="G12" s="48">
        <v>8.5</v>
      </c>
      <c r="H12" s="48">
        <v>1.5</v>
      </c>
      <c r="I12" s="48">
        <v>12.75</v>
      </c>
    </row>
    <row r="13" spans="2:9">
      <c r="B13" s="48" t="s">
        <v>150</v>
      </c>
      <c r="C13" s="48" t="s">
        <v>239</v>
      </c>
      <c r="D13" s="48" t="s">
        <v>240</v>
      </c>
      <c r="E13" s="48" t="s">
        <v>241</v>
      </c>
      <c r="F13" s="48" t="s">
        <v>110</v>
      </c>
      <c r="G13" s="48">
        <v>8.5</v>
      </c>
      <c r="H13" s="48">
        <v>0.5</v>
      </c>
      <c r="I13" s="48">
        <v>4.25</v>
      </c>
    </row>
    <row r="14" spans="2:9">
      <c r="H14" s="48">
        <f>SUM(H4:H13)</f>
        <v>7.5</v>
      </c>
      <c r="I14" s="48">
        <f>SUM(I5:I13)</f>
        <v>69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2026-03-26T09:13:12Z</dcterms:created>
  <dcterms:modified xsi:type="dcterms:W3CDTF">2026-07-30T03:19:26Z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0x010100D23F1E4B07BBC341A8F6905F09A2526F</vt:lpwstr>
  </property>
  <property fmtid="{D5CDD505-2E9C-101B-9397-08002B2CF9AE}" pid="3" name="MediaServiceImageTags">
    <vt:lpwstr/>
  </property>
</Properties>
</file>