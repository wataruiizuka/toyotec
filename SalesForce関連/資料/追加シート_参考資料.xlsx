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9C9F338C-C0D3-45A7-8019-D2228E33713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大日程" sheetId="2" r:id="rId1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36" i="2" l="1"/>
  <c r="S36" i="2"/>
  <c r="R36" i="2"/>
  <c r="Q36" i="2"/>
  <c r="P36" i="2"/>
  <c r="M36" i="2"/>
  <c r="L36" i="2"/>
  <c r="N36" i="2"/>
  <c r="K36" i="2"/>
  <c r="T35" i="2"/>
  <c r="S35" i="2"/>
  <c r="R35" i="2"/>
  <c r="Q35" i="2"/>
  <c r="P35" i="2"/>
  <c r="M35" i="2"/>
  <c r="L35" i="2"/>
  <c r="N35" i="2"/>
  <c r="K35" i="2"/>
  <c r="T34" i="2"/>
  <c r="S34" i="2"/>
  <c r="R34" i="2"/>
  <c r="Q34" i="2"/>
  <c r="P34" i="2"/>
  <c r="M34" i="2"/>
  <c r="L34" i="2"/>
  <c r="N34" i="2"/>
  <c r="K34" i="2"/>
  <c r="T33" i="2"/>
  <c r="S33" i="2"/>
  <c r="R33" i="2"/>
  <c r="Q33" i="2"/>
  <c r="P33" i="2"/>
  <c r="M33" i="2"/>
  <c r="L33" i="2"/>
  <c r="N33" i="2"/>
  <c r="K33" i="2"/>
</calcChain>
</file>

<file path=xl/sharedStrings.xml><?xml version="1.0" encoding="utf-8"?>
<sst xmlns="http://schemas.openxmlformats.org/spreadsheetml/2006/main" count="112" uniqueCount="68">
  <si>
    <t>8月</t>
  </si>
  <si>
    <t>9月</t>
  </si>
  <si>
    <t>10月</t>
  </si>
  <si>
    <t>フェーズ</t>
  </si>
  <si>
    <t>ゴール設定</t>
  </si>
  <si>
    <t>阻害要因</t>
  </si>
  <si>
    <t>業務カテゴリ</t>
  </si>
  <si>
    <t>タスク</t>
  </si>
  <si>
    <t>ステータス</t>
  </si>
  <si>
    <t>暫定対応版</t>
  </si>
  <si>
    <t>対象販社の次期Jデータが</t>
  </si>
  <si>
    <t>・利用するデータが確定していない</t>
  </si>
  <si>
    <t>要件定義</t>
  </si>
  <si>
    <t>進行中</t>
  </si>
  <si>
    <t>・対象は1-3販社</t>
  </si>
  <si>
    <t>データ活用基盤に継続的に取り込まれ、</t>
  </si>
  <si>
    <t>・対象販社が確定していない</t>
  </si>
  <si>
    <t>Salesforceデータ調査</t>
  </si>
  <si>
    <t>・NiFiのコネクタによる接続</t>
  </si>
  <si>
    <t>業務アプリが利用できる状態</t>
  </si>
  <si>
    <t>・Salesforceにログインするアカウント情報が必要</t>
  </si>
  <si>
    <t>基本設計</t>
  </si>
  <si>
    <t>全体・非機能設計</t>
  </si>
  <si>
    <t>準備中</t>
  </si>
  <si>
    <t>・リアルタイム性はない方式</t>
  </si>
  <si>
    <t>詳細設計</t>
  </si>
  <si>
    <t>セキュリティ設計</t>
  </si>
  <si>
    <t>ネットワーク設計</t>
  </si>
  <si>
    <t>データ連携・IF設計</t>
  </si>
  <si>
    <t>データ保存・テーブル設計</t>
  </si>
  <si>
    <t>実装</t>
  </si>
  <si>
    <t>セキュリティ・ネットワーク設定</t>
  </si>
  <si>
    <t>Salesforce接続設定</t>
  </si>
  <si>
    <t>データ取得・保存開発</t>
  </si>
  <si>
    <t>単体試験</t>
  </si>
  <si>
    <t>結合試験</t>
  </si>
  <si>
    <t>結合・E2E試験</t>
  </si>
  <si>
    <t>セキュリティ・ネットワーク試験</t>
  </si>
  <si>
    <t>リリース</t>
  </si>
  <si>
    <t>NiFi号口移行</t>
  </si>
  <si>
    <t>リリース後動作確認</t>
  </si>
  <si>
    <t>恒久対応版 PoC（STG環境を想定）</t>
  </si>
  <si>
    <t>事前検証として以下の観点を確認し、</t>
  </si>
  <si>
    <t>・対象：全販社</t>
  </si>
  <si>
    <t>藤原社長から本実装へと進む合意を得られた状態</t>
  </si>
  <si>
    <t>・Salesforce CDCとKafkaのブリッジによる接続</t>
  </si>
  <si>
    <t>・Azure↔Salesforce間の疎通</t>
  </si>
  <si>
    <t>技術方式・アーキテクチャ</t>
  </si>
  <si>
    <t>・準リアルタイムの方式</t>
  </si>
  <si>
    <t>・CDCペイロードの構造</t>
  </si>
  <si>
    <t>・受信側の実装ボリューム、エラー時挙動</t>
  </si>
  <si>
    <t>・PoC</t>
  </si>
  <si>
    <t>・連携方式の技術的リスク（NW/認証/スループット）</t>
  </si>
  <si>
    <t>　・対象：1販社</t>
  </si>
  <si>
    <t>PoC構築</t>
  </si>
  <si>
    <t>　・Salesforce CDCとAzure Functionによる接続</t>
  </si>
  <si>
    <t>機能・E2E検証</t>
  </si>
  <si>
    <t>性能・障害検証</t>
  </si>
  <si>
    <t>評価</t>
  </si>
  <si>
    <t>結果評価・報告</t>
  </si>
  <si>
    <t>夏季休暇</t>
  </si>
  <si>
    <t>シルバーウィーク</t>
  </si>
  <si>
    <t>補足</t>
  </si>
  <si>
    <t>・スケジュールはやや厳しい。</t>
  </si>
  <si>
    <t>　・正直なところ、10月中旬ごろまで欲しいところ。。。</t>
  </si>
  <si>
    <t>　・9/21-23がシルバーウィークとなっている点も懸念しております。</t>
  </si>
  <si>
    <t>Salesforceさんと調整したいこと</t>
  </si>
  <si>
    <t>　・カスタムオブジェクトを確認したい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</si>
</sst>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;;;"/>
  </numFmts>
  <fonts count="4">
    <font>
      <sz val="11"/>
      <color theme="1"/>
      <name val="游ゴシック"/>
      <family val="2"/>
      <scheme val="minor"/>
    </font>
    <font>
      <sz val="11"/>
      <color rgb="FF000000"/>
      <name val="游ゴシック"/>
      <charset val="1"/>
    </font>
    <font>
      <sz val="9"/>
      <color theme="1"/>
      <name val="游ゴシック"/>
    </font>
    <font>
      <b/>
      <sz val="11"/>
      <color theme="1"/>
      <name val="游ゴシック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ashed">
        <color rgb="FF000000"/>
      </bottom>
      <diagonal/>
    </border>
    <border>
      <left/>
      <right style="thin">
        <color rgb="FF000000"/>
      </right>
      <top/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/>
      <right/>
      <top/>
      <bottom style="dashed">
        <color rgb="FF000000"/>
      </bottom>
      <diagonal/>
    </border>
    <border>
      <left/>
      <right style="medium">
        <color rgb="FF000000"/>
      </right>
      <top/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/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/>
      <right/>
      <top style="dashed">
        <color rgb="FF000000"/>
      </top>
      <bottom style="thin">
        <color rgb="FF000000"/>
      </bottom>
      <diagonal/>
    </border>
    <border>
      <left/>
      <right style="medium">
        <color rgb="FF000000"/>
      </right>
      <top style="dashed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/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/>
      <right/>
      <top style="dashed">
        <color rgb="FF000000"/>
      </top>
      <bottom style="dashed">
        <color rgb="FF000000"/>
      </bottom>
      <diagonal/>
    </border>
    <border>
      <left/>
      <right style="medium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/>
      <top/>
      <bottom style="dashed">
        <color rgb="FF000000"/>
      </bottom>
      <diagonal/>
    </border>
    <border>
      <left style="thin">
        <color rgb="FF000000"/>
      </left>
      <right/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/>
      <top style="dashed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5" borderId="17" xfId="0" applyFill="1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6" borderId="19" xfId="0" applyFill="1" applyBorder="1" applyAlignment="1">
      <alignment vertical="center" wrapText="1"/>
    </xf>
    <xf numFmtId="176" fontId="0" fillId="7" borderId="18" xfId="0" applyNumberFormat="1" applyFill="1" applyBorder="1"/>
    <xf numFmtId="176" fontId="0" fillId="7" borderId="19" xfId="0" applyNumberFormat="1" applyFill="1" applyBorder="1"/>
    <xf numFmtId="176" fontId="0" fillId="0" borderId="20" xfId="0" applyNumberFormat="1" applyBorder="1"/>
    <xf numFmtId="176" fontId="0" fillId="0" borderId="16" xfId="0" applyNumberFormat="1" applyBorder="1"/>
    <xf numFmtId="176" fontId="0" fillId="0" borderId="21" xfId="0" applyNumberFormat="1" applyBorder="1"/>
    <xf numFmtId="0" fontId="1" fillId="0" borderId="0" xfId="0" applyFont="1"/>
    <xf numFmtId="0" fontId="0" fillId="0" borderId="22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5" borderId="24" xfId="0" applyFill="1" applyBorder="1" applyAlignment="1">
      <alignment vertical="center" wrapText="1"/>
    </xf>
    <xf numFmtId="176" fontId="0" fillId="7" borderId="25" xfId="0" applyNumberFormat="1" applyFill="1" applyBorder="1"/>
    <xf numFmtId="0" fontId="0" fillId="6" borderId="23" xfId="0" applyFill="1" applyBorder="1" applyAlignment="1">
      <alignment vertical="center" wrapText="1"/>
    </xf>
    <xf numFmtId="176" fontId="0" fillId="7" borderId="23" xfId="0" applyNumberFormat="1" applyFill="1" applyBorder="1"/>
    <xf numFmtId="176" fontId="0" fillId="0" borderId="25" xfId="0" applyNumberFormat="1" applyBorder="1"/>
    <xf numFmtId="176" fontId="0" fillId="0" borderId="23" xfId="0" applyNumberFormat="1" applyBorder="1"/>
    <xf numFmtId="176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vertical="center" wrapText="1"/>
    </xf>
    <xf numFmtId="0" fontId="0" fillId="0" borderId="29" xfId="0" applyBorder="1" applyAlignment="1">
      <alignment vertical="center" wrapText="1"/>
    </xf>
    <xf numFmtId="0" fontId="0" fillId="6" borderId="22" xfId="0" applyFill="1" applyBorder="1" applyAlignment="1">
      <alignment vertical="center" wrapText="1"/>
    </xf>
    <xf numFmtId="176" fontId="0" fillId="7" borderId="22" xfId="0" applyNumberFormat="1" applyFill="1" applyBorder="1"/>
    <xf numFmtId="176" fontId="0" fillId="7" borderId="29" xfId="0" applyNumberFormat="1" applyFill="1" applyBorder="1"/>
    <xf numFmtId="176" fontId="0" fillId="0" borderId="22" xfId="0" applyNumberFormat="1" applyBorder="1"/>
    <xf numFmtId="176" fontId="0" fillId="0" borderId="29" xfId="0" applyNumberFormat="1" applyBorder="1"/>
    <xf numFmtId="176" fontId="0" fillId="0" borderId="30" xfId="0" applyNumberFormat="1" applyBorder="1"/>
    <xf numFmtId="0" fontId="0" fillId="0" borderId="31" xfId="0" applyBorder="1"/>
    <xf numFmtId="0" fontId="0" fillId="8" borderId="16" xfId="0" applyFill="1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6" borderId="16" xfId="0" applyFill="1" applyBorder="1" applyAlignment="1">
      <alignment vertical="center" wrapText="1"/>
    </xf>
    <xf numFmtId="176" fontId="0" fillId="8" borderId="16" xfId="0" applyNumberFormat="1" applyFill="1" applyBorder="1"/>
    <xf numFmtId="0" fontId="0" fillId="8" borderId="32" xfId="0" applyFill="1" applyBorder="1" applyAlignment="1">
      <alignment vertical="center" wrapText="1"/>
    </xf>
    <xf numFmtId="0" fontId="0" fillId="0" borderId="33" xfId="0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0" fillId="6" borderId="32" xfId="0" applyFill="1" applyBorder="1" applyAlignment="1">
      <alignment vertical="center" wrapText="1"/>
    </xf>
    <xf numFmtId="176" fontId="0" fillId="0" borderId="32" xfId="0" applyNumberFormat="1" applyBorder="1"/>
    <xf numFmtId="176" fontId="0" fillId="0" borderId="34" xfId="0" applyNumberFormat="1" applyBorder="1"/>
    <xf numFmtId="176" fontId="0" fillId="8" borderId="32" xfId="0" applyNumberFormat="1" applyFill="1" applyBorder="1"/>
    <xf numFmtId="176" fontId="0" fillId="0" borderId="35" xfId="0" applyNumberFormat="1" applyBorder="1"/>
    <xf numFmtId="0" fontId="0" fillId="0" borderId="32" xfId="0" applyBorder="1" applyAlignment="1">
      <alignment vertical="center" wrapText="1"/>
    </xf>
    <xf numFmtId="176" fontId="0" fillId="7" borderId="32" xfId="0" applyNumberFormat="1" applyFill="1" applyBorder="1"/>
    <xf numFmtId="176" fontId="0" fillId="7" borderId="34" xfId="0" applyNumberFormat="1" applyFill="1" applyBorder="1"/>
    <xf numFmtId="0" fontId="0" fillId="0" borderId="22" xfId="0" applyBorder="1"/>
    <xf numFmtId="0" fontId="0" fillId="0" borderId="24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176" fontId="0" fillId="8" borderId="20" xfId="0" applyNumberFormat="1" applyFill="1" applyBorder="1"/>
    <xf numFmtId="0" fontId="0" fillId="0" borderId="27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176" fontId="0" fillId="7" borderId="16" xfId="0" applyNumberFormat="1" applyFill="1" applyBorder="1"/>
    <xf numFmtId="176" fontId="0" fillId="7" borderId="36" xfId="0" applyNumberFormat="1" applyFill="1" applyBorder="1"/>
    <xf numFmtId="176" fontId="0" fillId="7" borderId="37" xfId="0" applyNumberFormat="1" applyFill="1" applyBorder="1"/>
    <xf numFmtId="176" fontId="0" fillId="7" borderId="38" xfId="0" applyNumberFormat="1" applyFill="1" applyBorder="1"/>
    <xf numFmtId="0" fontId="0" fillId="0" borderId="39" xfId="0" applyBorder="1"/>
    <xf numFmtId="0" fontId="0" fillId="0" borderId="15" xfId="0" applyBorder="1"/>
    <xf numFmtId="176" fontId="0" fillId="9" borderId="16" xfId="0" applyNumberFormat="1" applyFill="1" applyBorder="1"/>
    <xf numFmtId="176" fontId="0" fillId="9" borderId="20" xfId="0" applyNumberFormat="1" applyFill="1" applyBorder="1"/>
    <xf numFmtId="176" fontId="0" fillId="9" borderId="23" xfId="0" applyNumberFormat="1" applyFill="1" applyBorder="1"/>
    <xf numFmtId="176" fontId="0" fillId="9" borderId="25" xfId="0" applyNumberFormat="1" applyFill="1" applyBorder="1"/>
    <xf numFmtId="0" fontId="0" fillId="8" borderId="23" xfId="0" applyFill="1" applyBorder="1" applyAlignment="1">
      <alignment vertical="center" wrapText="1"/>
    </xf>
    <xf numFmtId="176" fontId="0" fillId="8" borderId="23" xfId="0" applyNumberFormat="1" applyFill="1" applyBorder="1"/>
    <xf numFmtId="0" fontId="1" fillId="0" borderId="40" xfId="0" applyFont="1" applyBorder="1"/>
    <xf numFmtId="176" fontId="0" fillId="9" borderId="22" xfId="0" applyNumberFormat="1" applyFill="1" applyBorder="1"/>
    <xf numFmtId="176" fontId="0" fillId="9" borderId="29" xfId="0" applyNumberFormat="1" applyFill="1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2" xfId="0" applyBorder="1" applyAlignment="1">
      <alignment vertical="center" wrapText="1"/>
    </xf>
    <xf numFmtId="0" fontId="0" fillId="0" borderId="44" xfId="0" applyBorder="1" applyAlignment="1">
      <alignment vertical="center" wrapText="1"/>
    </xf>
    <xf numFmtId="0" fontId="0" fillId="0" borderId="45" xfId="0" applyBorder="1" applyAlignment="1">
      <alignment vertical="center" wrapText="1"/>
    </xf>
    <xf numFmtId="0" fontId="0" fillId="6" borderId="42" xfId="0" applyFill="1" applyBorder="1" applyAlignment="1">
      <alignment vertical="center" wrapText="1"/>
    </xf>
    <xf numFmtId="176" fontId="0" fillId="0" borderId="42" xfId="0" applyNumberFormat="1" applyBorder="1"/>
    <xf numFmtId="176" fontId="0" fillId="0" borderId="45" xfId="0" applyNumberFormat="1" applyBorder="1"/>
    <xf numFmtId="176" fontId="0" fillId="9" borderId="42" xfId="0" applyNumberFormat="1" applyFill="1" applyBorder="1"/>
    <xf numFmtId="176" fontId="0" fillId="0" borderId="46" xfId="0" applyNumberFormat="1" applyBorder="1"/>
    <xf numFmtId="0" fontId="2" fillId="0" borderId="0" xfId="0" applyFont="1" applyAlignment="1">
      <alignment horizontal="center"/>
    </xf>
    <xf numFmtId="176" fontId="0" fillId="0" borderId="0" xfId="0" applyNumberFormat="1"/>
    <xf numFmtId="0" fontId="3" fillId="0" borderId="1" xfId="0" applyFont="1" applyBorder="1"/>
    <xf numFmtId="0" fontId="0" fillId="0" borderId="47" xfId="0" applyBorder="1"/>
    <xf numFmtId="0" fontId="0" fillId="0" borderId="40" xfId="0" applyBorder="1"/>
    <xf numFmtId="0" fontId="0" fillId="0" borderId="48" xfId="0" applyBorder="1"/>
    <xf numFmtId="0" fontId="0" fillId="0" borderId="49" xfId="0" applyBorder="1"/>
    <xf numFmtId="0" fontId="0" fillId="0" borderId="46" xfId="0" applyBorder="1"/>
    <xf numFmtId="176" fontId="0" fillId="0" borderId="0" xfId="0" applyNumberFormat="1" applyAlignment="1">
      <alignment horizontal="left" wrapText="1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D2062-C2DA-48F9-86C2-7C19277666C2}">
  <sheetPr>
    <tabColor theme="9" tint="0.79998168889431442"/>
  </sheetPr>
  <dimension ref="B2:T45"/>
  <sheetViews>
    <sheetView showGridLines="0" tabSelected="1" workbookViewId="0"/>
  </sheetViews>
  <sheetFormatPr defaultRowHeight="15.75"/>
  <cols>
    <col min="2" max="2" width="45.375" customWidth="1"/>
    <col min="3" max="3" width="47.375" customWidth="1"/>
    <col min="4" max="4" width="46" customWidth="1"/>
    <col min="5" max="5" width="16.875" customWidth="1"/>
    <col min="6" max="6" width="33.875" customWidth="1"/>
    <col min="7" max="7" width="12.25" customWidth="1"/>
    <col min="8" max="20" width="5.625" customWidth="1"/>
  </cols>
  <sheetData>
    <row r="2" spans="2:20">
      <c r="B2" s="1"/>
      <c r="C2" s="2"/>
      <c r="D2" s="2"/>
      <c r="E2" s="2"/>
      <c r="F2" s="3"/>
      <c r="G2" s="4"/>
      <c r="H2" s="5" t="s">
        <v>0</v>
      </c>
      <c r="I2" s="6"/>
      <c r="J2" s="6"/>
      <c r="K2" s="6"/>
      <c r="L2" s="6"/>
      <c r="M2" s="6" t="s">
        <v>1</v>
      </c>
      <c r="N2" s="6"/>
      <c r="O2" s="6"/>
      <c r="P2" s="6"/>
      <c r="Q2" s="6" t="s">
        <v>2</v>
      </c>
      <c r="R2" s="6"/>
      <c r="S2" s="6"/>
      <c r="T2" s="7"/>
    </row>
    <row r="3" spans="2:20">
      <c r="B3" s="8" t="s">
        <v>3</v>
      </c>
      <c r="C3" s="9" t="s">
        <v>4</v>
      </c>
      <c r="D3" s="9" t="s">
        <v>5</v>
      </c>
      <c r="E3" s="10" t="s">
        <v>6</v>
      </c>
      <c r="F3" s="9" t="s">
        <v>7</v>
      </c>
      <c r="G3" s="11" t="s">
        <v>8</v>
      </c>
      <c r="H3" s="12">
        <v>3</v>
      </c>
      <c r="I3" s="13">
        <v>10</v>
      </c>
      <c r="J3" s="12">
        <v>17</v>
      </c>
      <c r="K3" s="13">
        <v>24</v>
      </c>
      <c r="L3" s="14">
        <v>31</v>
      </c>
      <c r="M3" s="13">
        <v>7</v>
      </c>
      <c r="N3" s="13">
        <v>14</v>
      </c>
      <c r="O3" s="15">
        <v>21</v>
      </c>
      <c r="P3" s="13">
        <v>28</v>
      </c>
      <c r="Q3" s="13">
        <v>5</v>
      </c>
      <c r="R3" s="13">
        <v>12</v>
      </c>
      <c r="S3" s="13">
        <v>19</v>
      </c>
      <c r="T3" s="16">
        <v>26</v>
      </c>
    </row>
    <row r="4" spans="2:20" ht="20.25" customHeight="1">
      <c r="B4" s="17" t="s">
        <v>9</v>
      </c>
      <c r="C4" s="18" t="s">
        <v>10</v>
      </c>
      <c r="D4" s="18" t="s">
        <v>11</v>
      </c>
      <c r="E4" s="19" t="s">
        <v>12</v>
      </c>
      <c r="F4" s="20" t="s">
        <v>12</v>
      </c>
      <c r="G4" s="21" t="s">
        <v>13</v>
      </c>
      <c r="H4" s="22"/>
      <c r="I4" s="23"/>
      <c r="J4" s="24"/>
      <c r="K4" s="25"/>
      <c r="L4" s="26"/>
      <c r="M4" s="27"/>
      <c r="N4" s="26"/>
      <c r="O4" s="23"/>
      <c r="P4" s="26"/>
      <c r="Q4" s="27"/>
      <c r="R4" s="26"/>
      <c r="S4" s="27"/>
      <c r="T4" s="28"/>
    </row>
    <row r="5" spans="2:20" ht="20.25" customHeight="1">
      <c r="B5" s="17" t="s">
        <v>14</v>
      </c>
      <c r="C5" s="29" t="s">
        <v>15</v>
      </c>
      <c r="D5" s="18" t="s">
        <v>16</v>
      </c>
      <c r="E5" s="30"/>
      <c r="F5" s="31" t="s">
        <v>17</v>
      </c>
      <c r="G5" s="32" t="s">
        <v>13</v>
      </c>
      <c r="H5" s="33"/>
      <c r="I5" s="34"/>
      <c r="J5" s="33"/>
      <c r="K5" s="35"/>
      <c r="L5" s="36"/>
      <c r="M5" s="37"/>
      <c r="N5" s="36"/>
      <c r="O5" s="34"/>
      <c r="P5" s="36"/>
      <c r="Q5" s="37"/>
      <c r="R5" s="36"/>
      <c r="S5" s="37"/>
      <c r="T5" s="38"/>
    </row>
    <row r="6" spans="2:20" ht="20.25" customHeight="1">
      <c r="B6" s="17" t="s">
        <v>18</v>
      </c>
      <c r="C6" s="18" t="s">
        <v>19</v>
      </c>
      <c r="D6" s="18" t="s">
        <v>20</v>
      </c>
      <c r="E6" s="39" t="s">
        <v>21</v>
      </c>
      <c r="F6" s="30" t="s">
        <v>22</v>
      </c>
      <c r="G6" s="40" t="s">
        <v>23</v>
      </c>
      <c r="H6" s="41"/>
      <c r="I6" s="42"/>
      <c r="J6" s="41"/>
      <c r="K6" s="43"/>
      <c r="L6" s="44"/>
      <c r="M6" s="45"/>
      <c r="N6" s="46"/>
      <c r="O6" s="42"/>
      <c r="P6" s="46"/>
      <c r="Q6" s="45"/>
      <c r="R6" s="46"/>
      <c r="S6" s="45"/>
      <c r="T6" s="47"/>
    </row>
    <row r="7" spans="2:20" ht="20.25" customHeight="1">
      <c r="B7" s="17" t="s">
        <v>24</v>
      </c>
      <c r="C7" s="18"/>
      <c r="D7" s="48"/>
      <c r="E7" s="18" t="s">
        <v>25</v>
      </c>
      <c r="F7" s="49" t="s">
        <v>26</v>
      </c>
      <c r="G7" s="50" t="s">
        <v>23</v>
      </c>
      <c r="H7" s="51"/>
      <c r="I7" s="52"/>
      <c r="J7" s="51"/>
      <c r="K7" s="27"/>
      <c r="L7" s="26"/>
      <c r="M7" s="53"/>
      <c r="N7" s="26"/>
      <c r="O7" s="52"/>
      <c r="P7" s="26"/>
      <c r="Q7" s="27"/>
      <c r="R7" s="26"/>
      <c r="S7" s="27"/>
      <c r="T7" s="28"/>
    </row>
    <row r="8" spans="2:20" ht="20.25" customHeight="1">
      <c r="B8" s="17"/>
      <c r="C8" s="18"/>
      <c r="D8" s="48"/>
      <c r="E8" s="18"/>
      <c r="F8" s="54" t="s">
        <v>27</v>
      </c>
      <c r="G8" s="55" t="s">
        <v>23</v>
      </c>
      <c r="H8" s="56"/>
      <c r="I8" s="57"/>
      <c r="J8" s="56"/>
      <c r="K8" s="58"/>
      <c r="L8" s="59"/>
      <c r="M8" s="60"/>
      <c r="N8" s="59"/>
      <c r="O8" s="57"/>
      <c r="P8" s="59"/>
      <c r="Q8" s="58"/>
      <c r="R8" s="59"/>
      <c r="S8" s="58"/>
      <c r="T8" s="61"/>
    </row>
    <row r="9" spans="2:20" ht="20.25" customHeight="1">
      <c r="B9" s="17"/>
      <c r="C9" s="18"/>
      <c r="D9" s="48"/>
      <c r="E9" s="18"/>
      <c r="F9" s="62" t="s">
        <v>28</v>
      </c>
      <c r="G9" s="55" t="s">
        <v>23</v>
      </c>
      <c r="H9" s="56"/>
      <c r="I9" s="57"/>
      <c r="J9" s="56"/>
      <c r="K9" s="58"/>
      <c r="L9" s="59"/>
      <c r="M9" s="63"/>
      <c r="N9" s="64"/>
      <c r="O9" s="57"/>
      <c r="P9" s="59"/>
      <c r="Q9" s="58"/>
      <c r="R9" s="59"/>
      <c r="S9" s="58"/>
      <c r="T9" s="61"/>
    </row>
    <row r="10" spans="2:20" ht="20.25" customHeight="1">
      <c r="B10" s="17"/>
      <c r="C10" s="18"/>
      <c r="D10" s="48"/>
      <c r="E10" s="65"/>
      <c r="F10" s="31" t="s">
        <v>29</v>
      </c>
      <c r="G10" s="66" t="s">
        <v>23</v>
      </c>
      <c r="H10" s="67"/>
      <c r="I10" s="34"/>
      <c r="J10" s="67"/>
      <c r="K10" s="37"/>
      <c r="L10" s="36"/>
      <c r="M10" s="35"/>
      <c r="N10" s="33"/>
      <c r="O10" s="34"/>
      <c r="P10" s="36"/>
      <c r="Q10" s="37"/>
      <c r="R10" s="36"/>
      <c r="S10" s="37"/>
      <c r="T10" s="38"/>
    </row>
    <row r="11" spans="2:20" ht="20.25" customHeight="1">
      <c r="B11" s="17"/>
      <c r="C11" s="18"/>
      <c r="D11" s="18"/>
      <c r="E11" s="18" t="s">
        <v>30</v>
      </c>
      <c r="F11" s="49" t="s">
        <v>31</v>
      </c>
      <c r="G11" s="50" t="s">
        <v>23</v>
      </c>
      <c r="H11" s="51"/>
      <c r="I11" s="52"/>
      <c r="J11" s="51"/>
      <c r="K11" s="27"/>
      <c r="L11" s="26"/>
      <c r="M11" s="53"/>
      <c r="N11" s="68"/>
      <c r="O11" s="52"/>
      <c r="P11" s="26"/>
      <c r="Q11" s="27"/>
      <c r="R11" s="26"/>
      <c r="S11" s="27"/>
      <c r="T11" s="28"/>
    </row>
    <row r="12" spans="2:20" ht="20.25" customHeight="1">
      <c r="B12" s="17"/>
      <c r="C12" s="18"/>
      <c r="D12" s="18"/>
      <c r="E12" s="18"/>
      <c r="F12" s="62" t="s">
        <v>32</v>
      </c>
      <c r="G12" s="55" t="s">
        <v>23</v>
      </c>
      <c r="H12" s="56"/>
      <c r="I12" s="57"/>
      <c r="J12" s="56"/>
      <c r="K12" s="58"/>
      <c r="L12" s="59"/>
      <c r="M12" s="58"/>
      <c r="N12" s="63"/>
      <c r="O12" s="57"/>
      <c r="P12" s="64"/>
      <c r="Q12" s="58"/>
      <c r="R12" s="59"/>
      <c r="S12" s="58"/>
      <c r="T12" s="61"/>
    </row>
    <row r="13" spans="2:20" ht="20.25" customHeight="1">
      <c r="B13" s="17"/>
      <c r="C13" s="18"/>
      <c r="D13" s="18"/>
      <c r="E13" s="65"/>
      <c r="F13" s="31" t="s">
        <v>33</v>
      </c>
      <c r="G13" s="66" t="s">
        <v>23</v>
      </c>
      <c r="H13" s="67"/>
      <c r="I13" s="34"/>
      <c r="J13" s="67"/>
      <c r="K13" s="37"/>
      <c r="L13" s="36"/>
      <c r="M13" s="37"/>
      <c r="N13" s="35"/>
      <c r="O13" s="34"/>
      <c r="P13" s="33"/>
      <c r="Q13" s="37"/>
      <c r="R13" s="36"/>
      <c r="S13" s="37"/>
      <c r="T13" s="38"/>
    </row>
    <row r="14" spans="2:20" ht="20.25" customHeight="1">
      <c r="B14" s="17"/>
      <c r="C14" s="18"/>
      <c r="D14" s="18"/>
      <c r="E14" s="69" t="s">
        <v>34</v>
      </c>
      <c r="F14" s="30" t="s">
        <v>34</v>
      </c>
      <c r="G14" s="40" t="s">
        <v>23</v>
      </c>
      <c r="H14" s="41"/>
      <c r="I14" s="42"/>
      <c r="J14" s="41"/>
      <c r="K14" s="45"/>
      <c r="L14" s="46"/>
      <c r="M14" s="45"/>
      <c r="N14" s="45"/>
      <c r="O14" s="42"/>
      <c r="P14" s="46"/>
      <c r="Q14" s="43"/>
      <c r="R14" s="46"/>
      <c r="S14" s="45"/>
      <c r="T14" s="47"/>
    </row>
    <row r="15" spans="2:20" ht="20.25" customHeight="1">
      <c r="B15" s="17"/>
      <c r="C15" s="18"/>
      <c r="D15" s="18"/>
      <c r="E15" s="70" t="s">
        <v>35</v>
      </c>
      <c r="F15" s="20" t="s">
        <v>36</v>
      </c>
      <c r="G15" s="50" t="s">
        <v>23</v>
      </c>
      <c r="H15" s="51"/>
      <c r="I15" s="52"/>
      <c r="J15" s="51"/>
      <c r="K15" s="27"/>
      <c r="L15" s="26"/>
      <c r="M15" s="27"/>
      <c r="N15" s="27"/>
      <c r="O15" s="52"/>
      <c r="P15" s="46"/>
      <c r="Q15" s="71"/>
      <c r="R15" s="26"/>
      <c r="S15" s="27"/>
      <c r="T15" s="28"/>
    </row>
    <row r="16" spans="2:20" ht="20.25" customHeight="1">
      <c r="B16" s="17"/>
      <c r="C16" s="18"/>
      <c r="D16" s="18"/>
      <c r="E16" s="30"/>
      <c r="F16" s="31" t="s">
        <v>37</v>
      </c>
      <c r="G16" s="66" t="s">
        <v>23</v>
      </c>
      <c r="H16" s="67"/>
      <c r="I16" s="34"/>
      <c r="J16" s="67"/>
      <c r="K16" s="37"/>
      <c r="L16" s="36"/>
      <c r="M16" s="37"/>
      <c r="N16" s="37"/>
      <c r="O16" s="34"/>
      <c r="P16" s="46"/>
      <c r="Q16" s="35"/>
      <c r="R16" s="36"/>
      <c r="S16" s="37"/>
      <c r="T16" s="38"/>
    </row>
    <row r="17" spans="2:20" ht="20.25" customHeight="1">
      <c r="B17" s="17"/>
      <c r="C17" s="18"/>
      <c r="D17" s="18"/>
      <c r="E17" s="70" t="s">
        <v>38</v>
      </c>
      <c r="F17" s="20" t="s">
        <v>32</v>
      </c>
      <c r="G17" s="50" t="s">
        <v>23</v>
      </c>
      <c r="H17" s="51"/>
      <c r="I17" s="52"/>
      <c r="J17" s="51"/>
      <c r="K17" s="27"/>
      <c r="L17" s="26"/>
      <c r="M17" s="27"/>
      <c r="N17" s="27"/>
      <c r="O17" s="52"/>
      <c r="P17" s="26"/>
      <c r="Q17" s="27"/>
      <c r="R17" s="72"/>
      <c r="S17" s="27"/>
      <c r="T17" s="28"/>
    </row>
    <row r="18" spans="2:20" ht="20.25" customHeight="1">
      <c r="B18" s="17"/>
      <c r="C18" s="18"/>
      <c r="D18" s="18"/>
      <c r="E18" s="70"/>
      <c r="F18" s="20" t="s">
        <v>39</v>
      </c>
      <c r="G18" s="50" t="s">
        <v>23</v>
      </c>
      <c r="H18" s="51"/>
      <c r="I18" s="52"/>
      <c r="J18" s="51"/>
      <c r="K18" s="27"/>
      <c r="L18" s="26"/>
      <c r="M18" s="27"/>
      <c r="N18" s="27"/>
      <c r="O18" s="52"/>
      <c r="P18" s="26"/>
      <c r="Q18" s="27"/>
      <c r="R18" s="72"/>
      <c r="S18" s="27"/>
      <c r="T18" s="28"/>
    </row>
    <row r="19" spans="2:20" ht="20.25" customHeight="1">
      <c r="B19" s="17"/>
      <c r="C19" s="18"/>
      <c r="D19" s="18"/>
      <c r="E19" s="70"/>
      <c r="F19" s="62" t="s">
        <v>31</v>
      </c>
      <c r="G19" s="55" t="s">
        <v>23</v>
      </c>
      <c r="H19" s="56"/>
      <c r="I19" s="57"/>
      <c r="J19" s="56"/>
      <c r="K19" s="58"/>
      <c r="L19" s="59"/>
      <c r="M19" s="58"/>
      <c r="N19" s="58"/>
      <c r="O19" s="57"/>
      <c r="P19" s="59"/>
      <c r="Q19" s="58"/>
      <c r="R19" s="73"/>
      <c r="S19" s="58"/>
      <c r="T19" s="61"/>
    </row>
    <row r="20" spans="2:20" ht="20.25" customHeight="1">
      <c r="B20" s="17"/>
      <c r="C20" s="18"/>
      <c r="D20" s="18"/>
      <c r="E20" s="30"/>
      <c r="F20" s="31" t="s">
        <v>40</v>
      </c>
      <c r="G20" s="66" t="s">
        <v>23</v>
      </c>
      <c r="H20" s="67"/>
      <c r="I20" s="34"/>
      <c r="J20" s="67"/>
      <c r="K20" s="37"/>
      <c r="L20" s="36"/>
      <c r="M20" s="37"/>
      <c r="N20" s="37"/>
      <c r="O20" s="34"/>
      <c r="P20" s="36"/>
      <c r="Q20" s="37"/>
      <c r="R20" s="74"/>
      <c r="S20" s="37"/>
      <c r="T20" s="38"/>
    </row>
    <row r="21" spans="2:20" ht="20.25" customHeight="1">
      <c r="B21" s="75" t="s">
        <v>41</v>
      </c>
      <c r="C21" s="76" t="s">
        <v>42</v>
      </c>
      <c r="D21" s="76" t="s">
        <v>11</v>
      </c>
      <c r="E21" s="19" t="s">
        <v>12</v>
      </c>
      <c r="F21" s="20" t="s">
        <v>12</v>
      </c>
      <c r="G21" s="50" t="s">
        <v>23</v>
      </c>
      <c r="H21" s="51"/>
      <c r="I21" s="52"/>
      <c r="J21" s="51"/>
      <c r="K21" s="77"/>
      <c r="L21" s="78"/>
      <c r="M21" s="27"/>
      <c r="N21" s="26"/>
      <c r="O21" s="52"/>
      <c r="P21" s="26"/>
      <c r="Q21" s="27"/>
      <c r="R21" s="26"/>
      <c r="S21" s="27"/>
      <c r="T21" s="28"/>
    </row>
    <row r="22" spans="2:20" ht="20.25" customHeight="1">
      <c r="B22" s="17" t="s">
        <v>43</v>
      </c>
      <c r="C22" s="18" t="s">
        <v>44</v>
      </c>
      <c r="D22" s="18" t="s">
        <v>20</v>
      </c>
      <c r="E22" s="30"/>
      <c r="F22" s="31" t="s">
        <v>17</v>
      </c>
      <c r="G22" s="66" t="s">
        <v>23</v>
      </c>
      <c r="H22" s="67"/>
      <c r="I22" s="34"/>
      <c r="J22" s="67"/>
      <c r="K22" s="79"/>
      <c r="L22" s="80"/>
      <c r="M22" s="37"/>
      <c r="N22" s="36"/>
      <c r="O22" s="34"/>
      <c r="P22" s="36"/>
      <c r="Q22" s="37"/>
      <c r="R22" s="36"/>
      <c r="S22" s="37"/>
      <c r="T22" s="38"/>
    </row>
    <row r="23" spans="2:20" ht="20.25" customHeight="1">
      <c r="B23" s="17" t="s">
        <v>45</v>
      </c>
      <c r="C23" s="18" t="s">
        <v>46</v>
      </c>
      <c r="D23" s="18"/>
      <c r="E23" s="18" t="s">
        <v>25</v>
      </c>
      <c r="F23" s="20" t="s">
        <v>47</v>
      </c>
      <c r="G23" s="50" t="s">
        <v>23</v>
      </c>
      <c r="H23" s="51"/>
      <c r="I23" s="52"/>
      <c r="J23" s="51"/>
      <c r="K23" s="27"/>
      <c r="L23" s="78"/>
      <c r="M23" s="27"/>
      <c r="N23" s="26"/>
      <c r="O23" s="52"/>
      <c r="P23" s="26"/>
      <c r="Q23" s="27"/>
      <c r="R23" s="26"/>
      <c r="S23" s="27"/>
      <c r="T23" s="28"/>
    </row>
    <row r="24" spans="2:20" ht="20.25" customHeight="1">
      <c r="B24" s="17" t="s">
        <v>48</v>
      </c>
      <c r="C24" s="18" t="s">
        <v>49</v>
      </c>
      <c r="D24" s="18"/>
      <c r="E24" s="18"/>
      <c r="F24" s="54" t="s">
        <v>26</v>
      </c>
      <c r="G24" s="55" t="s">
        <v>23</v>
      </c>
      <c r="H24" s="56"/>
      <c r="I24" s="57"/>
      <c r="J24" s="56"/>
      <c r="K24" s="58"/>
      <c r="L24" s="59"/>
      <c r="M24" s="60"/>
      <c r="N24" s="59"/>
      <c r="O24" s="57"/>
      <c r="P24" s="59"/>
      <c r="Q24" s="58"/>
      <c r="R24" s="59"/>
      <c r="S24" s="58"/>
      <c r="T24" s="61"/>
    </row>
    <row r="25" spans="2:20" ht="20.25" customHeight="1">
      <c r="B25" s="17"/>
      <c r="C25" s="18" t="s">
        <v>50</v>
      </c>
      <c r="D25" s="48"/>
      <c r="E25" s="65"/>
      <c r="F25" s="81" t="s">
        <v>27</v>
      </c>
      <c r="G25" s="66" t="s">
        <v>23</v>
      </c>
      <c r="H25" s="67"/>
      <c r="I25" s="34"/>
      <c r="J25" s="67"/>
      <c r="K25" s="37"/>
      <c r="L25" s="36"/>
      <c r="M25" s="82"/>
      <c r="N25" s="36"/>
      <c r="O25" s="34"/>
      <c r="P25" s="36"/>
      <c r="Q25" s="37"/>
      <c r="R25" s="36"/>
      <c r="S25" s="37"/>
      <c r="T25" s="38"/>
    </row>
    <row r="26" spans="2:20" ht="20.25" customHeight="1">
      <c r="B26" s="17" t="s">
        <v>51</v>
      </c>
      <c r="C26" s="18" t="s">
        <v>52</v>
      </c>
      <c r="D26" s="48"/>
      <c r="E26" s="18" t="s">
        <v>30</v>
      </c>
      <c r="F26" s="49" t="s">
        <v>31</v>
      </c>
      <c r="G26" s="50" t="s">
        <v>23</v>
      </c>
      <c r="H26" s="51"/>
      <c r="I26" s="52"/>
      <c r="J26" s="51"/>
      <c r="K26" s="27"/>
      <c r="L26" s="26"/>
      <c r="M26" s="53"/>
      <c r="N26" s="68"/>
      <c r="O26" s="52"/>
      <c r="P26" s="26"/>
      <c r="Q26" s="27"/>
      <c r="R26" s="26"/>
      <c r="S26" s="27"/>
      <c r="T26" s="28"/>
    </row>
    <row r="27" spans="2:20" ht="20.25" customHeight="1">
      <c r="B27" s="83" t="s">
        <v>53</v>
      </c>
      <c r="C27" s="18"/>
      <c r="D27" s="48"/>
      <c r="E27" s="65"/>
      <c r="F27" s="31" t="s">
        <v>54</v>
      </c>
      <c r="G27" s="66" t="s">
        <v>23</v>
      </c>
      <c r="H27" s="67"/>
      <c r="I27" s="34"/>
      <c r="J27" s="67"/>
      <c r="K27" s="37"/>
      <c r="L27" s="36"/>
      <c r="M27" s="79"/>
      <c r="N27" s="80"/>
      <c r="O27" s="34"/>
      <c r="P27" s="36"/>
      <c r="Q27" s="37"/>
      <c r="R27" s="36"/>
      <c r="S27" s="37"/>
      <c r="T27" s="38"/>
    </row>
    <row r="28" spans="2:20" ht="20.25" customHeight="1">
      <c r="B28" s="83" t="s">
        <v>55</v>
      </c>
      <c r="C28" s="18"/>
      <c r="D28" s="18"/>
      <c r="E28" s="69" t="s">
        <v>34</v>
      </c>
      <c r="F28" s="30" t="s">
        <v>34</v>
      </c>
      <c r="G28" s="40" t="s">
        <v>23</v>
      </c>
      <c r="H28" s="41"/>
      <c r="I28" s="42"/>
      <c r="J28" s="41"/>
      <c r="K28" s="45"/>
      <c r="L28" s="46"/>
      <c r="M28" s="84"/>
      <c r="N28" s="85"/>
      <c r="O28" s="42"/>
      <c r="P28" s="46"/>
      <c r="Q28" s="45"/>
      <c r="R28" s="46"/>
      <c r="S28" s="45"/>
      <c r="T28" s="47"/>
    </row>
    <row r="29" spans="2:20" ht="20.25" customHeight="1">
      <c r="B29" s="83"/>
      <c r="C29" s="18"/>
      <c r="D29" s="18"/>
      <c r="E29" s="70" t="s">
        <v>35</v>
      </c>
      <c r="F29" s="20" t="s">
        <v>56</v>
      </c>
      <c r="G29" s="50" t="s">
        <v>23</v>
      </c>
      <c r="H29" s="51"/>
      <c r="I29" s="52"/>
      <c r="J29" s="51"/>
      <c r="K29" s="27"/>
      <c r="L29" s="26"/>
      <c r="M29" s="27"/>
      <c r="N29" s="78"/>
      <c r="O29" s="52"/>
      <c r="P29" s="77"/>
      <c r="Q29" s="27"/>
      <c r="R29" s="26"/>
      <c r="S29" s="27"/>
      <c r="T29" s="28"/>
    </row>
    <row r="30" spans="2:20" ht="20.25" customHeight="1">
      <c r="B30" s="83"/>
      <c r="C30" s="18"/>
      <c r="D30" s="18"/>
      <c r="E30" s="30"/>
      <c r="F30" s="31" t="s">
        <v>57</v>
      </c>
      <c r="G30" s="66" t="s">
        <v>23</v>
      </c>
      <c r="H30" s="67"/>
      <c r="I30" s="34"/>
      <c r="J30" s="67"/>
      <c r="K30" s="37"/>
      <c r="L30" s="36"/>
      <c r="M30" s="37"/>
      <c r="N30" s="80"/>
      <c r="O30" s="34"/>
      <c r="P30" s="79"/>
      <c r="Q30" s="37"/>
      <c r="R30" s="36"/>
      <c r="S30" s="37"/>
      <c r="T30" s="38"/>
    </row>
    <row r="31" spans="2:20" ht="20.25" customHeight="1">
      <c r="B31" s="86"/>
      <c r="C31" s="87"/>
      <c r="D31" s="88"/>
      <c r="E31" s="88" t="s">
        <v>58</v>
      </c>
      <c r="F31" s="89" t="s">
        <v>59</v>
      </c>
      <c r="G31" s="90" t="s">
        <v>23</v>
      </c>
      <c r="H31" s="91"/>
      <c r="I31" s="92"/>
      <c r="J31" s="91"/>
      <c r="K31" s="93"/>
      <c r="L31" s="94"/>
      <c r="M31" s="93"/>
      <c r="N31" s="94"/>
      <c r="O31" s="92"/>
      <c r="P31" s="94"/>
      <c r="Q31" s="95"/>
      <c r="R31" s="94"/>
      <c r="S31" s="93"/>
      <c r="T31" s="96"/>
    </row>
    <row r="32" spans="2:20">
      <c r="I32" s="97" t="s">
        <v>60</v>
      </c>
      <c r="K32" s="98"/>
      <c r="L32" s="98"/>
      <c r="M32" s="98"/>
      <c r="N32" s="98"/>
      <c r="O32" s="97" t="s">
        <v>61</v>
      </c>
      <c r="P32" s="98"/>
      <c r="Q32" s="98"/>
      <c r="R32" s="98"/>
      <c r="S32" s="98"/>
      <c r="T32" s="98"/>
    </row>
    <row r="33" spans="2:20">
      <c r="B33" s="99" t="s">
        <v>62</v>
      </c>
      <c r="C33" s="100"/>
      <c r="K33" s="98" t="str">
        <f ca="1">IF(OR($N33="",$O33=""),"",IF(AND($N33&lt;=#REF!+6,$O33&gt;=#REF!),1,""))</f>
        <v/>
      </c>
      <c r="L33" s="98" t="str">
        <f ca="1">IF(OR($N33="",$O33=""),"",IF(AND($N33&lt;=#REF!+6,$O33&gt;=#REF!),1,""))</f>
        <v/>
      </c>
      <c r="M33" s="98" t="str">
        <f ca="1">IF(OR($N33="",$O33=""),"",IF(AND($N33&lt;=#REF!+6,$O33&gt;=#REF!),1,""))</f>
        <v/>
      </c>
      <c r="N33" s="98" t="str">
        <f ca="1">IF(OR($N33="",$O33=""),"",IF(AND($N33&lt;=#REF!+6,$O33&gt;=#REF!),1,""))</f>
        <v/>
      </c>
      <c r="O33" s="98"/>
      <c r="P33" s="98">
        <f ca="1">IF(OR($N33="",$O33=""),"",IF(AND($N33&lt;=#REF!+6,$O33&gt;=#REF!),1,""))</f>
        <v>1</v>
      </c>
      <c r="Q33" s="98" t="str">
        <f ca="1">IF(OR($N33="",$O33=""),"",IF(AND($N33&lt;=#REF!+6,$O33&gt;=#REF!),1,""))</f>
        <v/>
      </c>
      <c r="R33" s="98" t="str">
        <f ca="1">IF(OR($N33="",$O33=""),"",IF(AND($N33&lt;=#REF!+6,$O33&gt;=#REF!),1,""))</f>
        <v/>
      </c>
      <c r="S33" s="98" t="str">
        <f ca="1">IF(OR($N33="",$O33=""),"",IF(AND($N33&lt;=#REF!+6,$O33&gt;=#REF!),1,""))</f>
        <v/>
      </c>
      <c r="T33" s="98" t="str">
        <f ca="1">IF(OR($N33="",$O33=""),"",IF(AND($N33&lt;=#REF!+6,$O33&gt;=#REF!),1,""))</f>
        <v/>
      </c>
    </row>
    <row r="34" spans="2:20">
      <c r="B34" s="101" t="s">
        <v>63</v>
      </c>
      <c r="C34" s="102"/>
      <c r="K34" s="98" t="str">
        <f ca="1">IF(OR($N34="",$O34=""),"",IF(AND($N34&lt;=#REF!+6,$O34&gt;=#REF!),1,""))</f>
        <v/>
      </c>
      <c r="L34" s="98" t="str">
        <f ca="1">IF(OR($N34="",$O34=""),"",IF(AND($N34&lt;=#REF!+6,$O34&gt;=#REF!),1,""))</f>
        <v/>
      </c>
      <c r="M34" s="98" t="str">
        <f ca="1">IF(OR($N34="",$O34=""),"",IF(AND($N34&lt;=#REF!+6,$O34&gt;=#REF!),1,""))</f>
        <v/>
      </c>
      <c r="N34" s="98" t="str">
        <f ca="1">IF(OR($N34="",$O34=""),"",IF(AND($N34&lt;=#REF!+6,$O34&gt;=#REF!),1,""))</f>
        <v/>
      </c>
      <c r="O34" s="98"/>
      <c r="P34" s="98">
        <f ca="1">IF(OR($N34="",$O34=""),"",IF(AND($N34&lt;=#REF!+6,$O34&gt;=#REF!),1,""))</f>
        <v>1</v>
      </c>
      <c r="Q34" s="98" t="str">
        <f ca="1">IF(OR($N34="",$O34=""),"",IF(AND($N34&lt;=#REF!+6,$O34&gt;=#REF!),1,""))</f>
        <v/>
      </c>
      <c r="R34" s="98" t="str">
        <f ca="1">IF(OR($N34="",$O34=""),"",IF(AND($N34&lt;=#REF!+6,$O34&gt;=#REF!),1,""))</f>
        <v/>
      </c>
      <c r="S34" s="98" t="str">
        <f ca="1">IF(OR($N34="",$O34=""),"",IF(AND($N34&lt;=#REF!+6,$O34&gt;=#REF!),1,""))</f>
        <v/>
      </c>
      <c r="T34" s="98" t="str">
        <f ca="1">IF(OR($N34="",$O34=""),"",IF(AND($N34&lt;=#REF!+6,$O34&gt;=#REF!),1,""))</f>
        <v/>
      </c>
    </row>
    <row r="35" spans="2:20">
      <c r="B35" s="101" t="s">
        <v>64</v>
      </c>
      <c r="C35" s="102"/>
      <c r="K35" s="98" t="str">
        <f ca="1">IF(OR($N35="",$O35=""),"",IF(AND($N35&lt;=#REF!+6,$O35&gt;=#REF!),1,""))</f>
        <v/>
      </c>
      <c r="L35" s="98" t="str">
        <f ca="1">IF(OR($N35="",$O35=""),"",IF(AND($N35&lt;=#REF!+6,$O35&gt;=#REF!),1,""))</f>
        <v/>
      </c>
      <c r="M35" s="98" t="str">
        <f ca="1">IF(OR($N35="",$O35=""),"",IF(AND($N35&lt;=#REF!+6,$O35&gt;=#REF!),1,""))</f>
        <v/>
      </c>
      <c r="N35" s="98" t="str">
        <f ca="1">IF(OR($N35="",$O35=""),"",IF(AND($N35&lt;=#REF!+6,$O35&gt;=#REF!),1,""))</f>
        <v/>
      </c>
      <c r="O35" s="98"/>
      <c r="P35" s="98">
        <f ca="1">IF(OR($N35="",$O35=""),"",IF(AND($N35&lt;=#REF!+6,$O35&gt;=#REF!),1,""))</f>
        <v>1</v>
      </c>
      <c r="Q35" s="98" t="str">
        <f ca="1">IF(OR($N35="",$O35=""),"",IF(AND($N35&lt;=#REF!+6,$O35&gt;=#REF!),1,""))</f>
        <v/>
      </c>
      <c r="R35" s="98" t="str">
        <f ca="1">IF(OR($N35="",$O35=""),"",IF(AND($N35&lt;=#REF!+6,$O35&gt;=#REF!),1,""))</f>
        <v/>
      </c>
      <c r="S35" s="98" t="str">
        <f ca="1">IF(OR($N35="",$O35=""),"",IF(AND($N35&lt;=#REF!+6,$O35&gt;=#REF!),1,""))</f>
        <v/>
      </c>
      <c r="T35" s="98" t="str">
        <f ca="1">IF(OR($N35="",$O35=""),"",IF(AND($N35&lt;=#REF!+6,$O35&gt;=#REF!),1,""))</f>
        <v/>
      </c>
    </row>
    <row r="36" spans="2:20">
      <c r="B36" s="101" t="s">
        <v>65</v>
      </c>
      <c r="C36" s="102"/>
      <c r="K36" s="98" t="str">
        <f ca="1">IF(OR($N36="",$O36=""),"",IF(AND($N36&lt;=#REF!+6,$O36&gt;=#REF!),1,""))</f>
        <v/>
      </c>
      <c r="L36" s="98" t="str">
        <f ca="1">IF(OR($N36="",$O36=""),"",IF(AND($N36&lt;=#REF!+6,$O36&gt;=#REF!),1,""))</f>
        <v/>
      </c>
      <c r="M36" s="98" t="str">
        <f ca="1">IF(OR($N36="",$O36=""),"",IF(AND($N36&lt;=#REF!+6,$O36&gt;=#REF!),1,""))</f>
        <v/>
      </c>
      <c r="N36" s="98" t="str">
        <f ca="1">IF(OR($N36="",$O36=""),"",IF(AND($N36&lt;=#REF!+6,$O36&gt;=#REF!),1,""))</f>
        <v/>
      </c>
      <c r="O36" s="98"/>
      <c r="P36" s="98">
        <f ca="1">IF(OR($N36="",$O36=""),"",IF(AND($N36&lt;=#REF!+6,$O36&gt;=#REF!),1,""))</f>
        <v>1</v>
      </c>
      <c r="Q36" s="98" t="str">
        <f ca="1">IF(OR($N36="",$O36=""),"",IF(AND($N36&lt;=#REF!+6,$O36&gt;=#REF!),1,""))</f>
        <v/>
      </c>
      <c r="R36" s="98" t="str">
        <f ca="1">IF(OR($N36="",$O36=""),"",IF(AND($N36&lt;=#REF!+6,$O36&gt;=#REF!),1,""))</f>
        <v/>
      </c>
      <c r="S36" s="98" t="str">
        <f ca="1">IF(OR($N36="",$O36=""),"",IF(AND($N36&lt;=#REF!+6,$O36&gt;=#REF!),1,""))</f>
        <v/>
      </c>
      <c r="T36" s="98" t="str">
        <f ca="1">IF(OR($N36="",$O36=""),"",IF(AND($N36&lt;=#REF!+6,$O36&gt;=#REF!),1,""))</f>
        <v/>
      </c>
    </row>
    <row r="37" spans="2:20">
      <c r="B37" s="101"/>
      <c r="C37" s="102"/>
    </row>
    <row r="38" spans="2:20">
      <c r="B38" s="103"/>
      <c r="C38" s="104"/>
    </row>
    <row r="40" spans="2:20">
      <c r="B40" s="99" t="s">
        <v>66</v>
      </c>
      <c r="C40" s="100"/>
    </row>
    <row r="41" spans="2:20">
      <c r="B41" s="101" t="s">
        <v>20</v>
      </c>
      <c r="C41" s="102"/>
      <c r="O41" s="105"/>
    </row>
    <row r="42" spans="2:20">
      <c r="B42" s="101" t="s">
        <v>67</v>
      </c>
      <c r="C42" s="102"/>
    </row>
    <row r="43" spans="2:20">
      <c r="B43" s="101"/>
      <c r="C43" s="102"/>
    </row>
    <row r="44" spans="2:20">
      <c r="B44" s="101"/>
      <c r="C44" s="102"/>
    </row>
    <row r="45" spans="2:20">
      <c r="B45" s="103"/>
      <c r="C45" s="104"/>
    </row>
  </sheetData>
  <mergeCells count="3">
    <mergeCell ref="H2:L2"/>
    <mergeCell ref="M2:P2"/>
    <mergeCell ref="Q2:T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23F1E4B07BBC341A8F6905F09A2526F" ma:contentTypeVersion="17" ma:contentTypeDescription="新しいドキュメントを作成します。" ma:contentTypeScope="" ma:versionID="1437aaece15ac943c27d84c7bd287707">
  <xsd:schema xmlns:xsd="http://www.w3.org/2001/XMLSchema" xmlns:xs="http://www.w3.org/2001/XMLSchema" xmlns:p="http://schemas.microsoft.com/office/2006/metadata/properties" xmlns:ns2="879ce5c7-7ac0-470a-8fb0-80b8dfe33f1c" xmlns:ns3="00dc9add-bb5d-4974-938e-6de906df2254" targetNamespace="http://schemas.microsoft.com/office/2006/metadata/properties" ma:root="true" ma:fieldsID="a41d73b5ccc80413fe00e27c354e6c45" ns2:_="" ns3:_="">
    <xsd:import namespace="879ce5c7-7ac0-470a-8fb0-80b8dfe33f1c"/>
    <xsd:import namespace="00dc9add-bb5d-4974-938e-6de906df22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CONTENTS" minOccurs="0"/>
                <xsd:element ref="ns2:_x8cc7__x6599__x8aac__x660e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9ce5c7-7ac0-470a-8fb0-80b8dfe33f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def91d17-8bee-472f-b8e3-30905430c6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NTENTS" ma:index="22" nillable="true" ma:displayName="CONTENTS" ma:format="Dropdown" ma:internalName="CONTENTS">
      <xsd:simpleType>
        <xsd:restriction base="dms:Text">
          <xsd:maxLength value="255"/>
        </xsd:restriction>
      </xsd:simpleType>
    </xsd:element>
    <xsd:element name="_x8cc7__x6599__x8aac__x660e_" ma:index="23" nillable="true" ma:displayName="資料説明" ma:format="Dropdown" ma:internalName="_x8cc7__x6599__x8aac__x660e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dc9add-bb5d-4974-938e-6de906df225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5f91764-4324-4dd1-9de8-4bb0ffe7790b}" ma:internalName="TaxCatchAll" ma:showField="CatchAllData" ma:web="00dc9add-bb5d-4974-938e-6de906df22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79ce5c7-7ac0-470a-8fb0-80b8dfe33f1c">
      <Terms xmlns="http://schemas.microsoft.com/office/infopath/2007/PartnerControls"/>
    </lcf76f155ced4ddcb4097134ff3c332f>
    <TaxCatchAll xmlns="00dc9add-bb5d-4974-938e-6de906df2254" xsi:nil="true"/>
    <CONTENTS xmlns="879ce5c7-7ac0-470a-8fb0-80b8dfe33f1c" xsi:nil="true"/>
    <_x8cc7__x6599__x8aac__x660e_ xmlns="879ce5c7-7ac0-470a-8fb0-80b8dfe33f1c" xsi:nil="true"/>
  </documentManagement>
</p:properties>
</file>

<file path=customXml/itemProps1.xml><?xml version="1.0" encoding="utf-8"?>
<ds:datastoreItem xmlns:ds="http://schemas.openxmlformats.org/officeDocument/2006/customXml" ds:itemID="{3594A18E-1891-490C-B29E-12CF4EAA8A56}"/>
</file>

<file path=customXml/itemProps2.xml><?xml version="1.0" encoding="utf-8"?>
<ds:datastoreItem xmlns:ds="http://schemas.openxmlformats.org/officeDocument/2006/customXml" ds:itemID="{189476E0-A4D7-4776-B624-E4DE1035B73D}"/>
</file>

<file path=customXml/itemProps3.xml><?xml version="1.0" encoding="utf-8"?>
<ds:datastoreItem xmlns:ds="http://schemas.openxmlformats.org/officeDocument/2006/customXml" ds:itemID="{80B49694-1C0B-47F7-97CB-177435B32A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2026-08-26T03:13:17Z</dcterms:created>
  <dcterms:modified xsi:type="dcterms:W3CDTF">2026-08-26T03:13:50Z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0x010100D23F1E4B07BBC341A8F6905F09A2526F</vt:lpwstr>
  </property>
</Properties>
</file>