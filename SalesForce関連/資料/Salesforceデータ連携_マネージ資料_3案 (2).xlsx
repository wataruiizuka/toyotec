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atgroup.sharepoint.com/sites/TEC_U-SLIM879/Shared Documents/General/99_Work/06_Whizen/manage/モビリコ/"/>
    </mc:Choice>
  </mc:AlternateContent>
  <xr:revisionPtr revIDLastSave="0" documentId="8_{74CE96F6-B735-4FF4-8970-6B65289D4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概算お見積り" sheetId="15" r:id="rId1"/>
    <sheet name="概算お見積り_案A" sheetId="11" state="hidden" r:id="rId2"/>
    <sheet name="概算お見積り_案B" sheetId="13" state="hidden" r:id="rId3"/>
    <sheet name="概算お見積り_案C" sheetId="14" state="hidden" r:id="rId4"/>
    <sheet name="概算お見積り_金曜時点" sheetId="1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ITYrnSl+CgxA5h0fO/n0lF8fNdt/4yQCPRB4Gfpnip8="/>
    </ext>
  </extLst>
</workbook>
</file>

<file path=xl/calcChain.xml><?xml version="1.0" encoding="utf-8"?>
<calcChain xmlns="http://schemas.openxmlformats.org/spreadsheetml/2006/main">
  <c r="E23" i="17" l="1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K5" i="17"/>
  <c r="G5" i="17"/>
  <c r="G23" i="17" s="1"/>
  <c r="K4" i="17"/>
  <c r="E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48" i="15" s="1"/>
  <c r="E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K5" i="15"/>
  <c r="G5" i="15"/>
  <c r="G25" i="15" s="1"/>
  <c r="K4" i="15"/>
  <c r="G13" i="13"/>
  <c r="G14" i="13"/>
  <c r="G13" i="11"/>
  <c r="G14" i="11"/>
  <c r="G5" i="13"/>
  <c r="G6" i="13"/>
  <c r="G7" i="13"/>
  <c r="G8" i="13"/>
  <c r="G9" i="13"/>
  <c r="G10" i="13"/>
  <c r="G11" i="13"/>
  <c r="G12" i="13"/>
  <c r="G15" i="13"/>
  <c r="G16" i="13"/>
  <c r="G17" i="13"/>
  <c r="G18" i="13"/>
  <c r="G19" i="13"/>
  <c r="G20" i="13"/>
  <c r="G21" i="13"/>
  <c r="G22" i="13"/>
  <c r="G23" i="13"/>
  <c r="G24" i="13"/>
  <c r="E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K5" i="14"/>
  <c r="G5" i="14"/>
  <c r="G23" i="14" s="1"/>
  <c r="K4" i="14"/>
  <c r="E25" i="13"/>
  <c r="K5" i="13"/>
  <c r="G25" i="13"/>
  <c r="K4" i="13"/>
  <c r="G9" i="11"/>
  <c r="G5" i="11"/>
  <c r="G6" i="11"/>
  <c r="G7" i="11"/>
  <c r="G8" i="11"/>
  <c r="G10" i="11"/>
  <c r="G11" i="11"/>
  <c r="G12" i="11"/>
  <c r="G15" i="11"/>
  <c r="G16" i="11"/>
  <c r="G17" i="11"/>
  <c r="G18" i="11"/>
  <c r="G19" i="11"/>
  <c r="G20" i="11"/>
  <c r="G21" i="11"/>
  <c r="G22" i="11"/>
  <c r="G23" i="11"/>
  <c r="G24" i="11"/>
  <c r="E25" i="11"/>
  <c r="G25" i="11"/>
  <c r="K5" i="11"/>
  <c r="K4" i="11"/>
  <c r="G50" i="15" l="1"/>
  <c r="E50" i="15"/>
</calcChain>
</file>

<file path=xl/sharedStrings.xml><?xml version="1.0" encoding="utf-8"?>
<sst xmlns="http://schemas.openxmlformats.org/spreadsheetml/2006/main" count="400" uniqueCount="67">
  <si>
    <t>Salesforceデータ連携案件 初期開発 概算お見積り - A案 通常進行</t>
  </si>
  <si>
    <t>単価情報</t>
  </si>
  <si>
    <t>費目情報</t>
  </si>
  <si>
    <t>コスト情報</t>
  </si>
  <si>
    <t>人月</t>
  </si>
  <si>
    <t>人日</t>
  </si>
  <si>
    <t>カテゴリ</t>
  </si>
  <si>
    <t>タスク</t>
  </si>
  <si>
    <t>単価</t>
  </si>
  <si>
    <t>工数</t>
  </si>
  <si>
    <t>単位</t>
  </si>
  <si>
    <t>小計（税抜き）</t>
  </si>
  <si>
    <t>管理</t>
  </si>
  <si>
    <t>要件定義</t>
  </si>
  <si>
    <t>調査</t>
  </si>
  <si>
    <t>一般</t>
  </si>
  <si>
    <t>定義書作成</t>
  </si>
  <si>
    <t>基本設計</t>
  </si>
  <si>
    <t>構成図作成</t>
  </si>
  <si>
    <t>方式設計</t>
  </si>
  <si>
    <t>セキュリティ</t>
  </si>
  <si>
    <t>詳細設計</t>
  </si>
  <si>
    <t>実装</t>
  </si>
  <si>
    <t>単体テスト</t>
  </si>
  <si>
    <t>ネットワーク</t>
  </si>
  <si>
    <t>窓口・調整</t>
  </si>
  <si>
    <t>メモ</t>
  </si>
  <si>
    <t>イニシャルで必要なもの</t>
  </si>
  <si>
    <t>疎通確認</t>
  </si>
  <si>
    <t>販社追加で必要なもの</t>
  </si>
  <si>
    <t>データソース</t>
  </si>
  <si>
    <t>毎回必要な作業が何か</t>
  </si>
  <si>
    <t>NiFI for Salesforce連携開発（データ取得）</t>
  </si>
  <si>
    <t>NiFI for Salesforce連携開発（データ保存）</t>
  </si>
  <si>
    <t>APIのアカウント設定</t>
  </si>
  <si>
    <t>IP制限設定</t>
  </si>
  <si>
    <t>結合テスト</t>
  </si>
  <si>
    <t>テスト設計</t>
  </si>
  <si>
    <t>など</t>
  </si>
  <si>
    <t>テスト実施</t>
  </si>
  <si>
    <t>リリース対応</t>
  </si>
  <si>
    <t>設計</t>
  </si>
  <si>
    <t>実施</t>
  </si>
  <si>
    <t>最初わからないことが多い中で、今のデータ活用基盤に取り込むために必須でやらなければいけないこと</t>
  </si>
  <si>
    <t>プロジェクト管理</t>
  </si>
  <si>
    <t>PM</t>
  </si>
  <si>
    <t>セキュリティ+ネットワーク</t>
  </si>
  <si>
    <t>※窓口対応・進行管理・ディレクション</t>
  </si>
  <si>
    <t>PL</t>
  </si>
  <si>
    <t>データ</t>
  </si>
  <si>
    <t>中身。項目、集計の仕方も必要なのでは</t>
  </si>
  <si>
    <t>サブ(上記の経験から、工数を下げることができると見込んでいる)</t>
  </si>
  <si>
    <t>構築</t>
  </si>
  <si>
    <t>2販社分を取り込む環境を作る + 調査（4人月？）</t>
  </si>
  <si>
    <t>データは2回に分けて取る（1回取ってみないとわからない）</t>
  </si>
  <si>
    <t>合計</t>
  </si>
  <si>
    <t>補足</t>
  </si>
  <si>
    <t>【案A：現行範囲を維持して効率化】
・現行の2販社対応と、要件定義からリリースまでの工程を原則維持する一般的な試算です。
・既存のNiFiフロー、Salesforce接続設定、ネットワーク経路、認証・セキュリティ機能、構成図、設計書、テストケース、リリース手順を再利用できることを前提としています。
・2販社の処理は可能な範囲で共通化し、個別開発、重複資料、重複テスト、PM・PLの重複管理を削減します。
・現行の85人日・6,500,000円から、71人日5,425,000円へ見直す一般的な試算です。削減幅は14人日・1,075,000円です。
・対象オブジェクト、対象項目、データ量、連携頻度、削除データの扱い、保存先、セキュリティ要件は未確定のため、要件確認後に再見積もりが必要です。
・既存資産を利用できない場合、2販社の構成が異なる場合、新規ネットワーク・認証・セキュリティ対応が必要な場合は追加工数となります。
・対象販社の追加や、本資料の範囲外となる作業は別途見積もりとし、納期は要件確定後に調整します。</t>
  </si>
  <si>
    <t>Salesforceデータ連携案件 初期開発 概算お見積り - B案 1販社を先行して対応し、移行は量産的に扱うことでコスト削減を見込む場合</t>
  </si>
  <si>
    <t>マスター</t>
  </si>
  <si>
    <t>販社A</t>
  </si>
  <si>
    <t>サブ</t>
  </si>
  <si>
    <t>販社B</t>
  </si>
  <si>
    <r>
      <rPr>
        <sz val="11"/>
        <color rgb="FF000000"/>
        <rFont val="Calibri"/>
      </rPr>
      <t>【案B：初回の対象範囲を限定】
・現行見積もりの全範囲を同じ条件で安く実施する案ではなく、初回の対象販社、Salesforceオブジェクト、取得項目、対象期間などを限定する一般的な試算です。
・削減方法として、</t>
    </r>
    <r>
      <rPr>
        <b/>
        <sz val="11"/>
        <color rgb="FF000000"/>
        <rFont val="Calibri"/>
      </rPr>
      <t>2販社のうち1販社を先行</t>
    </r>
    <r>
      <rPr>
        <sz val="11"/>
        <color rgb="FF000000"/>
        <rFont val="Calibri"/>
      </rPr>
      <t>する、または2販社とも対象としつつ主要オブジェクト
・必要項目だけに限定することを想定しています。 ・連携方式は日次1回の差分連携を基本とし、添付ファイル、複雑なデータ加工・集計、大量の過去データ移行、リアルタイム・高頻度連携は初回対象外とする想定です。
・既存のNiFi環境、接続設定、ネットワーク経路、認証・セキュリティ機能、設計資料、テストケース、リリース手順を利用できることを前提としています。
・現行の85人日・6,500,000円から、58人日・4,425,000円へ見直す一般的な試算です。削減幅は27人日・2,075,000円です。
・対象外とした販社、オブジェクト、項目、過去データ、添付ファイル、加工処理などを後から追加する場合は、設計・開発・テスト・リリースの追加費用が発生する可能性があります。
・対象オブジェクト、必須項目、データ量、更新・削除データの扱い、保存先、個人情報、セキュリティ要件は未確定のため、要件確認後に工数と金額の再計算が必要です。
・対象販社の追加や、本資料の範囲外となる作業は別途見積もりとし、納期は要件確定後に調整します。</t>
    </r>
  </si>
  <si>
    <t>Salesforceデータ連携案件 初期開発 概算お見積り</t>
  </si>
  <si>
    <t>【案C：第1段階のみを先行実施】
・現行見積もりと同じ完成範囲を安く実施する案ではなく、接続・取得・保存が可能かを確認するため、初回対応を最小限の範囲に限定する一般的な試算です。
・初回は1販社または限定環境、少数の主要Salesforceオブジェクト、必要最小限の項目、日次1回の連携、データ基盤への単純保存を想定しています。
・最低限必要な認証・セキュリティ対応、基本的な正常系・異常系テスト、限定範囲でのリリースは実施します。
・2販社目への展開、対象オブジェクト・項目の追加、大量の過去データ移行、添付ファイル、複雑なデータ加工・集計、高度な監視・通知、自動再実行、長期運用保守は後続対応とする想定です。
・既存のNiFi環境、接続設定、ネットワーク経路、認証・セキュリティ機能、設計資料、テストケース、リリース手順を利用できることを前提としています。
・現行の85人日・6,500,000円から、44人日・3,350,000円へ見直す一般的な試算です。削減幅は41人日・3,150,000円です。
・初回費用は抑えられますが、第1段階だけでは本格運用に必要な機能が不足する可能性があり、後続対応まで含めた総額が現行見積もりを下回るとは限りません。
・対象販社、対象オブジェクト、対象項目、データ量、連携方式、更新・削除データの扱い、保存先、セキュリティ要件、第1段階の完了条件は未確定のため、要件確認後に再見積もりが必要です。
・後続作業および本資料の範囲外となる作業は別途見積もりとし、納期は要件確定後に調整します。</t>
  </si>
  <si>
    <t>・対象となるSalesforceは2販社分を想定
　※追加で対象販社を増やす場合には、別途計画、お見積もりとさせてください。
・セキュリティ要件（特に個人情報の取り扱い）についてはTMCより提示をお願いいたします。
・追加の作業が必要な場合は改めてお見積りとさせてください。
・納期：要件確定後に別途ご相談とさせてください。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</si>
</sst>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&quot;¥&quot;#,##0_);[Red]\(&quot;¥&quot;#,##0\)"/>
  </numFmts>
  <fonts count="9"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8" xfId="0" applyBorder="1"/>
    <xf numFmtId="0" fontId="0" fillId="0" borderId="51" xfId="0" applyBorder="1"/>
    <xf numFmtId="0" fontId="0" fillId="0" borderId="35" xfId="0" applyBorder="1"/>
    <xf numFmtId="0" fontId="0" fillId="0" borderId="19" xfId="0" applyBorder="1"/>
    <xf numFmtId="0" fontId="0" fillId="0" borderId="36" xfId="0" applyBorder="1"/>
    <xf numFmtId="0" fontId="0" fillId="0" borderId="52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4" fillId="0" borderId="1" xfId="0" applyFont="1" applyBorder="1"/>
    <xf numFmtId="41" fontId="0" fillId="0" borderId="22" xfId="0" applyNumberFormat="1" applyBorder="1" applyAlignment="1">
      <alignment vertical="center"/>
    </xf>
    <xf numFmtId="41" fontId="0" fillId="0" borderId="23" xfId="0" applyNumberFormat="1" applyBorder="1" applyAlignment="1">
      <alignment vertical="center"/>
    </xf>
    <xf numFmtId="41" fontId="0" fillId="0" borderId="29" xfId="0" applyNumberFormat="1" applyBorder="1" applyAlignment="1">
      <alignment vertical="center"/>
    </xf>
    <xf numFmtId="41" fontId="0" fillId="0" borderId="53" xfId="0" applyNumberFormat="1" applyBorder="1" applyAlignment="1">
      <alignment vertical="center"/>
    </xf>
    <xf numFmtId="41" fontId="0" fillId="0" borderId="25" xfId="0" applyNumberFormat="1" applyBorder="1" applyAlignment="1">
      <alignment vertical="center"/>
    </xf>
    <xf numFmtId="41" fontId="0" fillId="0" borderId="38" xfId="0" applyNumberFormat="1" applyBorder="1" applyAlignment="1">
      <alignment vertical="center"/>
    </xf>
    <xf numFmtId="0" fontId="0" fillId="0" borderId="41" xfId="0" applyBorder="1"/>
    <xf numFmtId="41" fontId="0" fillId="0" borderId="26" xfId="0" applyNumberFormat="1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41" fontId="0" fillId="0" borderId="27" xfId="0" applyNumberFormat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176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5" fillId="0" borderId="0" xfId="0" quotePrefix="1" applyFont="1"/>
    <xf numFmtId="41" fontId="0" fillId="0" borderId="31" xfId="0" applyNumberFormat="1" applyBorder="1" applyAlignment="1">
      <alignment vertical="center"/>
    </xf>
    <xf numFmtId="41" fontId="0" fillId="0" borderId="60" xfId="0" applyNumberFormat="1" applyBorder="1" applyAlignment="1">
      <alignment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0" fillId="3" borderId="61" xfId="0" applyFill="1" applyBorder="1"/>
    <xf numFmtId="0" fontId="0" fillId="3" borderId="62" xfId="0" applyFill="1" applyBorder="1"/>
    <xf numFmtId="0" fontId="0" fillId="3" borderId="63" xfId="0" applyFill="1" applyBorder="1"/>
    <xf numFmtId="0" fontId="0" fillId="0" borderId="64" xfId="0" applyBorder="1"/>
    <xf numFmtId="176" fontId="0" fillId="0" borderId="41" xfId="0" applyNumberFormat="1" applyBorder="1"/>
    <xf numFmtId="176" fontId="0" fillId="0" borderId="65" xfId="0" applyNumberFormat="1" applyBorder="1"/>
    <xf numFmtId="176" fontId="0" fillId="0" borderId="37" xfId="0" applyNumberFormat="1" applyBorder="1"/>
    <xf numFmtId="176" fontId="0" fillId="0" borderId="66" xfId="0" applyNumberFormat="1" applyBorder="1"/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0" fontId="0" fillId="0" borderId="21" xfId="0" applyBorder="1"/>
    <xf numFmtId="0" fontId="0" fillId="0" borderId="33" xfId="0" applyBorder="1"/>
    <xf numFmtId="0" fontId="0" fillId="0" borderId="34" xfId="0" applyBorder="1"/>
    <xf numFmtId="0" fontId="0" fillId="0" borderId="24" xfId="0" applyBorder="1"/>
    <xf numFmtId="0" fontId="0" fillId="0" borderId="14" xfId="0" applyBorder="1"/>
    <xf numFmtId="41" fontId="0" fillId="0" borderId="32" xfId="0" applyNumberFormat="1" applyBorder="1" applyAlignment="1">
      <alignment vertical="center"/>
    </xf>
    <xf numFmtId="0" fontId="0" fillId="0" borderId="20" xfId="0" applyBorder="1" applyAlignment="1">
      <alignment wrapText="1"/>
    </xf>
    <xf numFmtId="0" fontId="0" fillId="0" borderId="30" xfId="0" applyBorder="1"/>
    <xf numFmtId="0" fontId="0" fillId="0" borderId="35" xfId="0" applyBorder="1" applyAlignment="1">
      <alignment vertical="top"/>
    </xf>
    <xf numFmtId="41" fontId="0" fillId="0" borderId="67" xfId="0" applyNumberFormat="1" applyBorder="1" applyAlignment="1">
      <alignment vertical="center"/>
    </xf>
    <xf numFmtId="0" fontId="0" fillId="0" borderId="51" xfId="0" applyBorder="1" applyAlignment="1">
      <alignment vertical="top"/>
    </xf>
    <xf numFmtId="176" fontId="0" fillId="0" borderId="1" xfId="0" applyNumberFormat="1" applyBorder="1"/>
    <xf numFmtId="0" fontId="0" fillId="0" borderId="68" xfId="0" applyBorder="1"/>
    <xf numFmtId="0" fontId="0" fillId="0" borderId="19" xfId="0" applyBorder="1" applyAlignment="1">
      <alignment wrapText="1"/>
    </xf>
    <xf numFmtId="0" fontId="0" fillId="0" borderId="69" xfId="0" applyBorder="1" applyAlignment="1">
      <alignment wrapText="1"/>
    </xf>
    <xf numFmtId="0" fontId="4" fillId="0" borderId="1" xfId="0" applyFont="1" applyBorder="1" applyAlignment="1">
      <alignment horizontal="right"/>
    </xf>
    <xf numFmtId="176" fontId="4" fillId="0" borderId="1" xfId="0" applyNumberFormat="1" applyFont="1" applyBorder="1" applyAlignment="1">
      <alignment horizontal="right" vertical="center"/>
    </xf>
    <xf numFmtId="0" fontId="5" fillId="0" borderId="1" xfId="0" quotePrefix="1" applyFont="1" applyBorder="1"/>
    <xf numFmtId="0" fontId="0" fillId="0" borderId="70" xfId="0" applyBorder="1"/>
    <xf numFmtId="0" fontId="4" fillId="2" borderId="70" xfId="0" applyFont="1" applyFill="1" applyBorder="1"/>
    <xf numFmtId="0" fontId="4" fillId="2" borderId="70" xfId="0" applyFont="1" applyFill="1" applyBorder="1" applyAlignment="1">
      <alignment horizontal="right"/>
    </xf>
    <xf numFmtId="176" fontId="4" fillId="2" borderId="70" xfId="0" applyNumberFormat="1" applyFont="1" applyFill="1" applyBorder="1" applyAlignment="1">
      <alignment horizontal="right" vertical="center"/>
    </xf>
    <xf numFmtId="0" fontId="0" fillId="4" borderId="3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11" xfId="0" applyFill="1" applyBorder="1" applyAlignment="1">
      <alignment horizontal="right" vertical="center"/>
    </xf>
    <xf numFmtId="0" fontId="0" fillId="4" borderId="39" xfId="0" applyFill="1" applyBorder="1" applyAlignment="1">
      <alignment vertical="center"/>
    </xf>
    <xf numFmtId="0" fontId="4" fillId="0" borderId="0" xfId="0" applyFont="1"/>
    <xf numFmtId="176" fontId="0" fillId="0" borderId="0" xfId="0" applyNumberForma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176" fontId="4" fillId="2" borderId="0" xfId="0" applyNumberFormat="1" applyFont="1" applyFill="1" applyAlignment="1">
      <alignment horizontal="right" vertical="center"/>
    </xf>
    <xf numFmtId="0" fontId="3" fillId="0" borderId="0" xfId="0" applyFont="1"/>
    <xf numFmtId="0" fontId="6" fillId="0" borderId="0" xfId="0" applyFont="1"/>
    <xf numFmtId="0" fontId="3" fillId="3" borderId="45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D9E2F3"/>
      <color rgb="FF6AA8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5FA2-F8F0-4639-8D7C-66FF2B3F0A56}">
  <dimension ref="A2:P74"/>
  <sheetViews>
    <sheetView showGridLines="0" tabSelected="1" topLeftCell="A10" workbookViewId="0">
      <selection activeCell="L8" sqref="L8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0</v>
      </c>
      <c r="C2" s="1"/>
      <c r="D2" s="1"/>
      <c r="E2" s="1"/>
      <c r="F2" s="1"/>
      <c r="G2" s="1"/>
      <c r="I2" s="1" t="s">
        <v>1</v>
      </c>
      <c r="J2" s="1"/>
      <c r="K2" s="1"/>
    </row>
    <row r="3" spans="1:12">
      <c r="A3" s="1"/>
      <c r="B3" s="91" t="s">
        <v>2</v>
      </c>
      <c r="C3" s="92"/>
      <c r="D3" s="93" t="s">
        <v>3</v>
      </c>
      <c r="E3" s="92"/>
      <c r="F3" s="92"/>
      <c r="G3" s="94"/>
      <c r="H3" s="1"/>
      <c r="I3" s="44"/>
      <c r="J3" s="45" t="s">
        <v>4</v>
      </c>
      <c r="K3" s="46" t="s">
        <v>5</v>
      </c>
    </row>
    <row r="4" spans="1:12">
      <c r="A4" s="1"/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H4" s="1"/>
      <c r="I4" s="47" t="s">
        <v>12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13</v>
      </c>
      <c r="C5" s="26" t="s">
        <v>14</v>
      </c>
      <c r="D5" s="20">
        <v>75000</v>
      </c>
      <c r="E5" s="52">
        <v>2.5</v>
      </c>
      <c r="F5" s="29" t="s">
        <v>5</v>
      </c>
      <c r="G5" s="21">
        <f>SUM(D5*E5)</f>
        <v>187500</v>
      </c>
      <c r="H5" s="1"/>
      <c r="I5" s="7" t="s">
        <v>15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16</v>
      </c>
      <c r="D6" s="37">
        <v>75000</v>
      </c>
      <c r="E6" s="12">
        <v>2.5</v>
      </c>
      <c r="F6" s="10" t="s">
        <v>5</v>
      </c>
      <c r="G6" s="64">
        <f>SUM(D6*E6)</f>
        <v>187500</v>
      </c>
      <c r="H6" s="1"/>
      <c r="I6" s="1"/>
      <c r="J6" s="66"/>
      <c r="K6" s="66"/>
      <c r="L6" s="1"/>
    </row>
    <row r="7" spans="1:12">
      <c r="A7" s="1"/>
      <c r="B7" s="5" t="s">
        <v>17</v>
      </c>
      <c r="C7" s="26" t="s">
        <v>18</v>
      </c>
      <c r="D7" s="27">
        <v>75000</v>
      </c>
      <c r="E7" s="52">
        <v>1</v>
      </c>
      <c r="F7" s="29" t="s">
        <v>5</v>
      </c>
      <c r="G7" s="30">
        <f t="shared" ref="G7:G8" si="0">SUM(D7*E7)</f>
        <v>75000</v>
      </c>
      <c r="H7" s="1"/>
      <c r="L7" s="1"/>
    </row>
    <row r="8" spans="1:12">
      <c r="A8" s="1"/>
      <c r="B8" s="4"/>
      <c r="C8" s="54" t="s">
        <v>19</v>
      </c>
      <c r="D8" s="27">
        <v>75000</v>
      </c>
      <c r="E8" s="52">
        <v>2</v>
      </c>
      <c r="F8" s="29" t="s">
        <v>5</v>
      </c>
      <c r="G8" s="30">
        <f t="shared" si="0"/>
        <v>150000</v>
      </c>
      <c r="H8" s="1"/>
      <c r="L8" s="1"/>
    </row>
    <row r="9" spans="1:12">
      <c r="A9" s="1"/>
      <c r="B9" s="6" t="s">
        <v>20</v>
      </c>
      <c r="C9" s="55" t="s">
        <v>21</v>
      </c>
      <c r="D9" s="20">
        <v>75000</v>
      </c>
      <c r="E9" s="13">
        <v>2</v>
      </c>
      <c r="F9" s="9" t="s">
        <v>5</v>
      </c>
      <c r="G9" s="21">
        <f>SUM(D9*E9)</f>
        <v>150000</v>
      </c>
      <c r="H9" s="1"/>
    </row>
    <row r="10" spans="1:12">
      <c r="A10" s="1"/>
      <c r="B10" s="6"/>
      <c r="C10" s="56" t="s">
        <v>22</v>
      </c>
      <c r="D10" s="24">
        <v>75000</v>
      </c>
      <c r="E10" s="14">
        <v>3</v>
      </c>
      <c r="F10" s="15" t="s">
        <v>5</v>
      </c>
      <c r="G10" s="22">
        <f t="shared" ref="G10:G24" si="1">SUM(D10*E10)</f>
        <v>225000</v>
      </c>
      <c r="H10" s="1"/>
    </row>
    <row r="11" spans="1:12">
      <c r="A11" s="1"/>
      <c r="B11" s="6"/>
      <c r="C11" s="59" t="s">
        <v>23</v>
      </c>
      <c r="D11" s="36">
        <v>75000</v>
      </c>
      <c r="E11" s="16">
        <v>1.5</v>
      </c>
      <c r="F11" s="17" t="s">
        <v>5</v>
      </c>
      <c r="G11" s="60">
        <f t="shared" si="1"/>
        <v>112500</v>
      </c>
      <c r="H11" s="1"/>
    </row>
    <row r="12" spans="1:12" ht="16.5" customHeight="1">
      <c r="A12" s="1"/>
      <c r="B12" s="5" t="s">
        <v>24</v>
      </c>
      <c r="C12" s="69" t="s">
        <v>25</v>
      </c>
      <c r="D12" s="27">
        <v>75000</v>
      </c>
      <c r="E12" s="52">
        <v>1</v>
      </c>
      <c r="F12" s="29" t="s">
        <v>5</v>
      </c>
      <c r="G12" s="30">
        <f t="shared" si="1"/>
        <v>75000</v>
      </c>
      <c r="H12" s="1"/>
      <c r="J12" t="s">
        <v>26</v>
      </c>
    </row>
    <row r="13" spans="1:12" ht="16.5" customHeight="1">
      <c r="A13" s="1"/>
      <c r="B13" s="6"/>
      <c r="C13" s="58" t="s">
        <v>21</v>
      </c>
      <c r="D13" s="24">
        <v>75000</v>
      </c>
      <c r="E13" s="14">
        <v>2</v>
      </c>
      <c r="F13" s="15" t="s">
        <v>5</v>
      </c>
      <c r="G13" s="22">
        <f>SUM(D13*E13)</f>
        <v>150000</v>
      </c>
      <c r="H13" s="1"/>
      <c r="J13" t="s">
        <v>27</v>
      </c>
    </row>
    <row r="14" spans="1:12" ht="16.5" customHeight="1">
      <c r="A14" s="1"/>
      <c r="B14" s="4"/>
      <c r="C14" s="52" t="s">
        <v>28</v>
      </c>
      <c r="D14" s="36">
        <v>75000</v>
      </c>
      <c r="E14" s="16">
        <v>1</v>
      </c>
      <c r="F14" s="17" t="s">
        <v>5</v>
      </c>
      <c r="G14" s="60">
        <f>SUM(D14*E14)</f>
        <v>75000</v>
      </c>
      <c r="H14" s="1"/>
      <c r="J14" t="s">
        <v>29</v>
      </c>
    </row>
    <row r="15" spans="1:12">
      <c r="A15" s="1"/>
      <c r="B15" s="6" t="s">
        <v>30</v>
      </c>
      <c r="C15" s="55" t="s">
        <v>21</v>
      </c>
      <c r="D15" s="20">
        <v>75000</v>
      </c>
      <c r="E15" s="77">
        <v>3</v>
      </c>
      <c r="F15" s="9" t="s">
        <v>5</v>
      </c>
      <c r="G15" s="21">
        <f t="shared" si="1"/>
        <v>225000</v>
      </c>
      <c r="H15" s="1"/>
      <c r="J15" t="s">
        <v>31</v>
      </c>
    </row>
    <row r="16" spans="1:12">
      <c r="A16" s="1"/>
      <c r="B16" s="6"/>
      <c r="C16" s="58" t="s">
        <v>32</v>
      </c>
      <c r="D16" s="24">
        <v>75000</v>
      </c>
      <c r="E16" s="78">
        <v>4</v>
      </c>
      <c r="F16" s="15" t="s">
        <v>5</v>
      </c>
      <c r="G16" s="22">
        <f t="shared" si="1"/>
        <v>300000</v>
      </c>
      <c r="H16" s="1"/>
    </row>
    <row r="17" spans="1:12">
      <c r="A17" s="1"/>
      <c r="B17" s="6"/>
      <c r="C17" s="57" t="s">
        <v>33</v>
      </c>
      <c r="D17" s="24">
        <v>75000</v>
      </c>
      <c r="E17" s="78">
        <v>4</v>
      </c>
      <c r="F17" s="15" t="s">
        <v>5</v>
      </c>
      <c r="G17" s="22">
        <f t="shared" si="1"/>
        <v>300000</v>
      </c>
      <c r="H17" s="1"/>
      <c r="J17" t="s">
        <v>34</v>
      </c>
    </row>
    <row r="18" spans="1:12">
      <c r="A18" s="1"/>
      <c r="B18" s="4"/>
      <c r="C18" s="62" t="s">
        <v>23</v>
      </c>
      <c r="D18" s="36">
        <v>75000</v>
      </c>
      <c r="E18" s="79">
        <v>2</v>
      </c>
      <c r="F18" s="17" t="s">
        <v>5</v>
      </c>
      <c r="G18" s="22">
        <f t="shared" si="1"/>
        <v>150000</v>
      </c>
      <c r="H18" s="1"/>
      <c r="J18" t="s">
        <v>35</v>
      </c>
    </row>
    <row r="19" spans="1:12">
      <c r="A19" s="1"/>
      <c r="B19" s="63" t="s">
        <v>36</v>
      </c>
      <c r="C19" s="2" t="s">
        <v>37</v>
      </c>
      <c r="D19" s="27">
        <v>75000</v>
      </c>
      <c r="E19" s="80">
        <v>1</v>
      </c>
      <c r="F19" s="9" t="s">
        <v>5</v>
      </c>
      <c r="G19" s="21">
        <f t="shared" si="1"/>
        <v>75000</v>
      </c>
      <c r="H19" s="1"/>
      <c r="J19" t="s">
        <v>38</v>
      </c>
    </row>
    <row r="20" spans="1:12">
      <c r="A20" s="1"/>
      <c r="B20" s="65"/>
      <c r="C20" s="3" t="s">
        <v>39</v>
      </c>
      <c r="D20" s="37">
        <v>75000</v>
      </c>
      <c r="E20" s="81">
        <v>1.5</v>
      </c>
      <c r="F20" s="10" t="s">
        <v>5</v>
      </c>
      <c r="G20" s="64">
        <f t="shared" si="1"/>
        <v>112500</v>
      </c>
      <c r="H20" s="1"/>
    </row>
    <row r="21" spans="1:12">
      <c r="A21" s="1"/>
      <c r="B21" s="63" t="s">
        <v>40</v>
      </c>
      <c r="C21" s="26" t="s">
        <v>41</v>
      </c>
      <c r="D21" s="27">
        <v>75000</v>
      </c>
      <c r="E21" s="80">
        <v>1</v>
      </c>
      <c r="F21" s="29" t="s">
        <v>5</v>
      </c>
      <c r="G21" s="30">
        <f t="shared" si="1"/>
        <v>75000</v>
      </c>
      <c r="H21" s="1"/>
    </row>
    <row r="22" spans="1:12">
      <c r="A22" s="1"/>
      <c r="B22" s="65"/>
      <c r="C22" s="3" t="s">
        <v>42</v>
      </c>
      <c r="D22" s="37">
        <v>75000</v>
      </c>
      <c r="E22" s="81">
        <v>1.5</v>
      </c>
      <c r="F22" s="10" t="s">
        <v>5</v>
      </c>
      <c r="G22" s="64">
        <f t="shared" si="1"/>
        <v>112500</v>
      </c>
      <c r="H22" s="1"/>
      <c r="J22" t="s">
        <v>43</v>
      </c>
    </row>
    <row r="23" spans="1:12" ht="16.5">
      <c r="A23" s="1"/>
      <c r="B23" s="68" t="s">
        <v>44</v>
      </c>
      <c r="C23" s="26" t="s">
        <v>45</v>
      </c>
      <c r="D23" s="27">
        <v>87500</v>
      </c>
      <c r="E23" s="82">
        <v>2</v>
      </c>
      <c r="F23" s="29" t="s">
        <v>5</v>
      </c>
      <c r="G23" s="30">
        <f t="shared" si="1"/>
        <v>175000</v>
      </c>
      <c r="H23" s="1"/>
      <c r="J23" t="s">
        <v>46</v>
      </c>
    </row>
    <row r="24" spans="1:12">
      <c r="A24" s="1"/>
      <c r="B24" s="7" t="s">
        <v>47</v>
      </c>
      <c r="C24" s="8" t="s">
        <v>48</v>
      </c>
      <c r="D24" s="25">
        <v>87500</v>
      </c>
      <c r="E24" s="83">
        <v>2</v>
      </c>
      <c r="F24" s="11" t="s">
        <v>5</v>
      </c>
      <c r="G24" s="23">
        <f t="shared" si="1"/>
        <v>175000</v>
      </c>
      <c r="H24" s="1"/>
      <c r="J24" t="s">
        <v>14</v>
      </c>
    </row>
    <row r="25" spans="1:12" ht="18.75">
      <c r="B25" s="1"/>
      <c r="C25" s="1"/>
      <c r="D25" s="1"/>
      <c r="E25" s="31">
        <f>SUM(E5:E24)</f>
        <v>40.5</v>
      </c>
      <c r="F25" s="32" t="s">
        <v>5</v>
      </c>
      <c r="G25" s="33">
        <f>SUM(G5:G24)</f>
        <v>3087500</v>
      </c>
      <c r="H25" s="35"/>
      <c r="K25" t="s">
        <v>49</v>
      </c>
      <c r="L25" t="s">
        <v>50</v>
      </c>
    </row>
    <row r="26" spans="1:12" ht="18.75">
      <c r="B26" s="1" t="s">
        <v>51</v>
      </c>
      <c r="C26" s="1"/>
      <c r="D26" s="1"/>
      <c r="E26" s="19"/>
      <c r="F26" s="70"/>
      <c r="G26" s="71"/>
      <c r="H26" s="35"/>
      <c r="K26" t="s">
        <v>52</v>
      </c>
    </row>
    <row r="27" spans="1:12" ht="15.75">
      <c r="B27" s="38" t="s">
        <v>6</v>
      </c>
      <c r="C27" s="39" t="s">
        <v>7</v>
      </c>
      <c r="D27" s="40" t="s">
        <v>8</v>
      </c>
      <c r="E27" s="41" t="s">
        <v>9</v>
      </c>
      <c r="F27" s="42" t="s">
        <v>10</v>
      </c>
      <c r="G27" s="43" t="s">
        <v>11</v>
      </c>
      <c r="H27" s="35"/>
    </row>
    <row r="28" spans="1:12" ht="15.75">
      <c r="B28" s="67" t="s">
        <v>13</v>
      </c>
      <c r="C28" s="26" t="s">
        <v>14</v>
      </c>
      <c r="D28" s="20">
        <v>75000</v>
      </c>
      <c r="E28" s="52">
        <v>2.5</v>
      </c>
      <c r="F28" s="29" t="s">
        <v>5</v>
      </c>
      <c r="G28" s="21">
        <f>SUM(D28*E28)</f>
        <v>187500</v>
      </c>
      <c r="H28" s="35"/>
      <c r="J28" t="s">
        <v>53</v>
      </c>
    </row>
    <row r="29" spans="1:12" ht="15.75">
      <c r="B29" s="4"/>
      <c r="C29" s="3" t="s">
        <v>16</v>
      </c>
      <c r="D29" s="37">
        <v>75000</v>
      </c>
      <c r="E29" s="12">
        <v>2.5</v>
      </c>
      <c r="F29" s="10" t="s">
        <v>5</v>
      </c>
      <c r="G29" s="64">
        <f>SUM(D29*E29)</f>
        <v>187500</v>
      </c>
      <c r="H29" s="35"/>
      <c r="J29" t="s">
        <v>54</v>
      </c>
    </row>
    <row r="30" spans="1:12" ht="15.75">
      <c r="B30" s="5" t="s">
        <v>17</v>
      </c>
      <c r="C30" s="26" t="s">
        <v>18</v>
      </c>
      <c r="D30" s="27">
        <v>75000</v>
      </c>
      <c r="E30" s="52">
        <v>1</v>
      </c>
      <c r="F30" s="29" t="s">
        <v>5</v>
      </c>
      <c r="G30" s="30">
        <f t="shared" ref="G30:G31" si="2">SUM(D30*E30)</f>
        <v>75000</v>
      </c>
      <c r="H30" s="35"/>
    </row>
    <row r="31" spans="1:12" ht="15.75">
      <c r="B31" s="4"/>
      <c r="C31" s="54" t="s">
        <v>19</v>
      </c>
      <c r="D31" s="27">
        <v>75000</v>
      </c>
      <c r="E31" s="52">
        <v>2</v>
      </c>
      <c r="F31" s="29" t="s">
        <v>5</v>
      </c>
      <c r="G31" s="30">
        <f t="shared" si="2"/>
        <v>150000</v>
      </c>
      <c r="H31" s="35"/>
    </row>
    <row r="32" spans="1:12" ht="15.75">
      <c r="B32" s="6" t="s">
        <v>20</v>
      </c>
      <c r="C32" s="55" t="s">
        <v>21</v>
      </c>
      <c r="D32" s="20">
        <v>75000</v>
      </c>
      <c r="E32" s="13">
        <v>2</v>
      </c>
      <c r="F32" s="9" t="s">
        <v>5</v>
      </c>
      <c r="G32" s="21">
        <f>SUM(D32*E32)</f>
        <v>150000</v>
      </c>
      <c r="H32" s="35"/>
    </row>
    <row r="33" spans="2:8" ht="15.75">
      <c r="B33" s="6"/>
      <c r="C33" s="56" t="s">
        <v>22</v>
      </c>
      <c r="D33" s="24">
        <v>75000</v>
      </c>
      <c r="E33" s="14">
        <v>3</v>
      </c>
      <c r="F33" s="15" t="s">
        <v>5</v>
      </c>
      <c r="G33" s="22">
        <f t="shared" ref="G33:G47" si="3">SUM(D33*E33)</f>
        <v>225000</v>
      </c>
      <c r="H33" s="35"/>
    </row>
    <row r="34" spans="2:8" ht="15.75">
      <c r="B34" s="6"/>
      <c r="C34" s="59" t="s">
        <v>23</v>
      </c>
      <c r="D34" s="36">
        <v>75000</v>
      </c>
      <c r="E34" s="16">
        <v>1.5</v>
      </c>
      <c r="F34" s="17" t="s">
        <v>5</v>
      </c>
      <c r="G34" s="60">
        <f t="shared" si="3"/>
        <v>112500</v>
      </c>
      <c r="H34" s="35"/>
    </row>
    <row r="35" spans="2:8" ht="16.5">
      <c r="B35" s="5" t="s">
        <v>24</v>
      </c>
      <c r="C35" s="69" t="s">
        <v>25</v>
      </c>
      <c r="D35" s="27">
        <v>75000</v>
      </c>
      <c r="E35" s="52">
        <v>1</v>
      </c>
      <c r="F35" s="29" t="s">
        <v>5</v>
      </c>
      <c r="G35" s="30">
        <f t="shared" si="3"/>
        <v>75000</v>
      </c>
      <c r="H35" s="35"/>
    </row>
    <row r="36" spans="2:8" ht="15.75">
      <c r="B36" s="6"/>
      <c r="C36" s="58" t="s">
        <v>21</v>
      </c>
      <c r="D36" s="24">
        <v>75000</v>
      </c>
      <c r="E36" s="14">
        <v>2</v>
      </c>
      <c r="F36" s="15" t="s">
        <v>5</v>
      </c>
      <c r="G36" s="22">
        <f>SUM(D36*E36)</f>
        <v>150000</v>
      </c>
      <c r="H36" s="35"/>
    </row>
    <row r="37" spans="2:8" ht="15.75">
      <c r="B37" s="4"/>
      <c r="C37" s="52" t="s">
        <v>28</v>
      </c>
      <c r="D37" s="36">
        <v>75000</v>
      </c>
      <c r="E37" s="16">
        <v>1</v>
      </c>
      <c r="F37" s="17" t="s">
        <v>5</v>
      </c>
      <c r="G37" s="60">
        <f>SUM(D37*E37)</f>
        <v>75000</v>
      </c>
      <c r="H37" s="35"/>
    </row>
    <row r="38" spans="2:8" ht="15.75">
      <c r="B38" s="5" t="s">
        <v>30</v>
      </c>
      <c r="C38" s="55" t="s">
        <v>21</v>
      </c>
      <c r="D38" s="20">
        <v>75000</v>
      </c>
      <c r="E38" s="77">
        <v>1</v>
      </c>
      <c r="F38" s="9" t="s">
        <v>5</v>
      </c>
      <c r="G38" s="21">
        <f t="shared" si="3"/>
        <v>75000</v>
      </c>
      <c r="H38" s="35"/>
    </row>
    <row r="39" spans="2:8" ht="15.75">
      <c r="B39" s="6"/>
      <c r="C39" s="58" t="s">
        <v>32</v>
      </c>
      <c r="D39" s="24">
        <v>75000</v>
      </c>
      <c r="E39" s="78">
        <v>1.5</v>
      </c>
      <c r="F39" s="15" t="s">
        <v>5</v>
      </c>
      <c r="G39" s="22">
        <f t="shared" si="3"/>
        <v>112500</v>
      </c>
      <c r="H39" s="35"/>
    </row>
    <row r="40" spans="2:8" ht="15.75">
      <c r="B40" s="6"/>
      <c r="C40" s="57" t="s">
        <v>33</v>
      </c>
      <c r="D40" s="24">
        <v>75000</v>
      </c>
      <c r="E40" s="78">
        <v>1.5</v>
      </c>
      <c r="F40" s="15" t="s">
        <v>5</v>
      </c>
      <c r="G40" s="22">
        <f t="shared" si="3"/>
        <v>112500</v>
      </c>
      <c r="H40" s="35"/>
    </row>
    <row r="41" spans="2:8" ht="15.75">
      <c r="B41" s="4"/>
      <c r="C41" s="62" t="s">
        <v>23</v>
      </c>
      <c r="D41" s="36">
        <v>75000</v>
      </c>
      <c r="E41" s="79">
        <v>1</v>
      </c>
      <c r="F41" s="17" t="s">
        <v>5</v>
      </c>
      <c r="G41" s="22">
        <f t="shared" si="3"/>
        <v>75000</v>
      </c>
      <c r="H41" s="35"/>
    </row>
    <row r="42" spans="2:8" ht="15.75">
      <c r="B42" s="63" t="s">
        <v>36</v>
      </c>
      <c r="C42" s="2" t="s">
        <v>37</v>
      </c>
      <c r="D42" s="27">
        <v>75000</v>
      </c>
      <c r="E42" s="80">
        <v>1</v>
      </c>
      <c r="F42" s="9" t="s">
        <v>5</v>
      </c>
      <c r="G42" s="21">
        <f t="shared" si="3"/>
        <v>75000</v>
      </c>
      <c r="H42" s="35"/>
    </row>
    <row r="43" spans="2:8" ht="15.75">
      <c r="B43" s="65"/>
      <c r="C43" s="3" t="s">
        <v>39</v>
      </c>
      <c r="D43" s="37">
        <v>75000</v>
      </c>
      <c r="E43" s="81">
        <v>1</v>
      </c>
      <c r="F43" s="10" t="s">
        <v>5</v>
      </c>
      <c r="G43" s="64">
        <f t="shared" si="3"/>
        <v>75000</v>
      </c>
      <c r="H43" s="35"/>
    </row>
    <row r="44" spans="2:8" ht="15.75">
      <c r="B44" s="63" t="s">
        <v>40</v>
      </c>
      <c r="C44" s="26" t="s">
        <v>41</v>
      </c>
      <c r="D44" s="27">
        <v>75000</v>
      </c>
      <c r="E44" s="80">
        <v>1</v>
      </c>
      <c r="F44" s="29" t="s">
        <v>5</v>
      </c>
      <c r="G44" s="30">
        <f t="shared" si="3"/>
        <v>75000</v>
      </c>
      <c r="H44" s="35"/>
    </row>
    <row r="45" spans="2:8" ht="15.75">
      <c r="B45" s="65"/>
      <c r="C45" s="3" t="s">
        <v>42</v>
      </c>
      <c r="D45" s="37">
        <v>75000</v>
      </c>
      <c r="E45" s="81">
        <v>1</v>
      </c>
      <c r="F45" s="10" t="s">
        <v>5</v>
      </c>
      <c r="G45" s="64">
        <f t="shared" si="3"/>
        <v>75000</v>
      </c>
      <c r="H45" s="35"/>
    </row>
    <row r="46" spans="2:8" ht="16.5">
      <c r="B46" s="68" t="s">
        <v>44</v>
      </c>
      <c r="C46" s="26" t="s">
        <v>45</v>
      </c>
      <c r="D46" s="27">
        <v>87500</v>
      </c>
      <c r="E46" s="82">
        <v>1.5</v>
      </c>
      <c r="F46" s="29" t="s">
        <v>5</v>
      </c>
      <c r="G46" s="30">
        <f t="shared" si="3"/>
        <v>131250</v>
      </c>
      <c r="H46" s="35"/>
    </row>
    <row r="47" spans="2:8" ht="15.75">
      <c r="B47" s="7" t="s">
        <v>47</v>
      </c>
      <c r="C47" s="8" t="s">
        <v>48</v>
      </c>
      <c r="D47" s="25">
        <v>87500</v>
      </c>
      <c r="E47" s="83">
        <v>1.5</v>
      </c>
      <c r="F47" s="11" t="s">
        <v>5</v>
      </c>
      <c r="G47" s="23">
        <f t="shared" si="3"/>
        <v>131250</v>
      </c>
      <c r="H47" s="35"/>
    </row>
    <row r="48" spans="2:8" ht="18.75">
      <c r="B48" s="1"/>
      <c r="C48" s="1"/>
      <c r="D48" s="1"/>
      <c r="E48" s="31">
        <f>SUM(E28:E47)</f>
        <v>30.5</v>
      </c>
      <c r="F48" s="32" t="s">
        <v>5</v>
      </c>
      <c r="G48" s="33">
        <f>SUM(G28:G47)</f>
        <v>2325000</v>
      </c>
      <c r="H48" s="35"/>
    </row>
    <row r="49" spans="2:16" ht="18.75">
      <c r="B49" s="1"/>
      <c r="C49" s="1"/>
      <c r="D49" s="1"/>
      <c r="E49" s="19"/>
      <c r="F49" s="70"/>
      <c r="G49" s="71"/>
      <c r="H49" s="35"/>
    </row>
    <row r="50" spans="2:16" ht="18.75">
      <c r="B50" s="1"/>
      <c r="C50" s="1"/>
      <c r="D50" s="73" t="s">
        <v>55</v>
      </c>
      <c r="E50" s="74">
        <f>SUM(E25,E48)</f>
        <v>71</v>
      </c>
      <c r="F50" s="75" t="s">
        <v>5</v>
      </c>
      <c r="G50" s="76">
        <f>SUM(G25,G48)</f>
        <v>5412500</v>
      </c>
      <c r="H50" s="72"/>
    </row>
    <row r="51" spans="2:16" ht="18.75">
      <c r="B51" s="1"/>
      <c r="C51" s="1"/>
      <c r="D51" s="1"/>
      <c r="E51" s="19"/>
      <c r="F51" s="70"/>
      <c r="G51" s="71"/>
      <c r="H51" s="35"/>
    </row>
    <row r="52" spans="2:16">
      <c r="B52" s="1"/>
      <c r="C52" s="1"/>
      <c r="D52" s="1"/>
      <c r="E52" s="1"/>
      <c r="F52" s="1"/>
      <c r="G52" s="1"/>
      <c r="H52" s="1"/>
      <c r="I52" s="1"/>
      <c r="J52" s="1"/>
    </row>
    <row r="53" spans="2:16">
      <c r="C53" s="34" t="s">
        <v>56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6" ht="15" customHeight="1">
      <c r="B54" s="1"/>
      <c r="C54" s="95" t="s">
        <v>57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7"/>
      <c r="P54" s="1"/>
    </row>
    <row r="55" spans="2:16">
      <c r="B55" s="1"/>
      <c r="C55" s="98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100"/>
      <c r="P55" s="1"/>
    </row>
    <row r="56" spans="2:16">
      <c r="B56" s="1"/>
      <c r="C56" s="98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100"/>
      <c r="P56" s="1"/>
    </row>
    <row r="57" spans="2:16">
      <c r="B57" s="1"/>
      <c r="C57" s="98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100"/>
      <c r="P57" s="1"/>
    </row>
    <row r="58" spans="2:16">
      <c r="B58" s="1"/>
      <c r="C58" s="98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100"/>
      <c r="P58" s="1"/>
    </row>
    <row r="59" spans="2:16">
      <c r="B59" s="1"/>
      <c r="C59" s="98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100"/>
      <c r="P59" s="1"/>
    </row>
    <row r="60" spans="2:16">
      <c r="B60" s="1"/>
      <c r="C60" s="98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100"/>
      <c r="P60" s="1"/>
    </row>
    <row r="61" spans="2:16">
      <c r="B61" s="1"/>
      <c r="C61" s="98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100"/>
      <c r="P61" s="1"/>
    </row>
    <row r="62" spans="2:16">
      <c r="B62" s="1"/>
      <c r="C62" s="98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100"/>
      <c r="P62" s="1"/>
    </row>
    <row r="63" spans="2:16">
      <c r="B63" s="1"/>
      <c r="C63" s="98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100"/>
      <c r="P63" s="1"/>
    </row>
    <row r="64" spans="2:16">
      <c r="B64" s="1"/>
      <c r="C64" s="98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100"/>
      <c r="P64" s="1"/>
    </row>
    <row r="65" spans="2:16">
      <c r="B65" s="1"/>
      <c r="C65" s="98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100"/>
      <c r="P65" s="1"/>
    </row>
    <row r="66" spans="2:16">
      <c r="B66" s="1"/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100"/>
      <c r="P66" s="1"/>
    </row>
    <row r="67" spans="2:16">
      <c r="B67" s="1"/>
      <c r="C67" s="98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100"/>
      <c r="P67" s="1"/>
    </row>
    <row r="68" spans="2:16">
      <c r="B68" s="1"/>
      <c r="C68" s="98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100"/>
      <c r="P68" s="1"/>
    </row>
    <row r="69" spans="2:16">
      <c r="B69" s="1"/>
      <c r="C69" s="98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100"/>
      <c r="P69" s="1"/>
    </row>
    <row r="70" spans="2:16">
      <c r="B70" s="1"/>
      <c r="C70" s="98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100"/>
      <c r="P70" s="1"/>
    </row>
    <row r="71" spans="2:16">
      <c r="B71" s="1"/>
      <c r="C71" s="98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100"/>
      <c r="P71" s="1"/>
    </row>
    <row r="72" spans="2:16">
      <c r="B72" s="1"/>
      <c r="C72" s="98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100"/>
      <c r="P72" s="1"/>
    </row>
    <row r="73" spans="2:16">
      <c r="B73" s="1"/>
      <c r="C73" s="101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3"/>
      <c r="P73" s="1"/>
    </row>
    <row r="74" spans="2:16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</sheetData>
  <mergeCells count="3">
    <mergeCell ref="B3:C3"/>
    <mergeCell ref="D3:G3"/>
    <mergeCell ref="C54:O7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87DB-7209-41A7-8290-F6B8DDE59D8B}">
  <dimension ref="A2:P48"/>
  <sheetViews>
    <sheetView showGridLines="0" workbookViewId="0">
      <selection activeCell="K10" sqref="K10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0</v>
      </c>
      <c r="C2" s="1"/>
      <c r="D2" s="1"/>
      <c r="E2" s="1"/>
      <c r="F2" s="1"/>
      <c r="G2" s="1"/>
      <c r="I2" s="1" t="s">
        <v>1</v>
      </c>
      <c r="J2" s="1"/>
      <c r="K2" s="1"/>
    </row>
    <row r="3" spans="1:12">
      <c r="A3" s="1"/>
      <c r="B3" s="91" t="s">
        <v>2</v>
      </c>
      <c r="C3" s="92"/>
      <c r="D3" s="93" t="s">
        <v>3</v>
      </c>
      <c r="E3" s="92"/>
      <c r="F3" s="92"/>
      <c r="G3" s="94"/>
      <c r="H3" s="1"/>
      <c r="I3" s="44"/>
      <c r="J3" s="45" t="s">
        <v>4</v>
      </c>
      <c r="K3" s="46" t="s">
        <v>5</v>
      </c>
    </row>
    <row r="4" spans="1:12">
      <c r="A4" s="1"/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H4" s="1"/>
      <c r="I4" s="47" t="s">
        <v>12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13</v>
      </c>
      <c r="C5" s="26" t="s">
        <v>14</v>
      </c>
      <c r="D5" s="20">
        <v>75000</v>
      </c>
      <c r="E5" s="52">
        <v>5</v>
      </c>
      <c r="F5" s="29" t="s">
        <v>5</v>
      </c>
      <c r="G5" s="21">
        <f>SUM(D5*E5)</f>
        <v>375000</v>
      </c>
      <c r="H5" s="1"/>
      <c r="I5" s="7" t="s">
        <v>15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16</v>
      </c>
      <c r="D6" s="37">
        <v>75000</v>
      </c>
      <c r="E6" s="12">
        <v>5</v>
      </c>
      <c r="F6" s="10" t="s">
        <v>5</v>
      </c>
      <c r="G6" s="64">
        <f>SUM(D6*E6)</f>
        <v>375000</v>
      </c>
      <c r="H6" s="1"/>
      <c r="I6" s="1"/>
      <c r="J6" s="66"/>
      <c r="K6" s="66"/>
      <c r="L6" s="1"/>
    </row>
    <row r="7" spans="1:12">
      <c r="A7" s="1"/>
      <c r="B7" s="5" t="s">
        <v>17</v>
      </c>
      <c r="C7" s="26" t="s">
        <v>18</v>
      </c>
      <c r="D7" s="27">
        <v>75000</v>
      </c>
      <c r="E7" s="52">
        <v>2</v>
      </c>
      <c r="F7" s="29" t="s">
        <v>5</v>
      </c>
      <c r="G7" s="30">
        <f t="shared" ref="G7:G8" si="0">SUM(D7*E7)</f>
        <v>150000</v>
      </c>
      <c r="H7" s="1"/>
      <c r="L7" s="1"/>
    </row>
    <row r="8" spans="1:12">
      <c r="A8" s="1"/>
      <c r="B8" s="4"/>
      <c r="C8" s="54" t="s">
        <v>19</v>
      </c>
      <c r="D8" s="27">
        <v>75000</v>
      </c>
      <c r="E8" s="52">
        <v>4</v>
      </c>
      <c r="F8" s="29" t="s">
        <v>5</v>
      </c>
      <c r="G8" s="30">
        <f t="shared" si="0"/>
        <v>300000</v>
      </c>
      <c r="H8" s="1"/>
      <c r="L8" s="1"/>
    </row>
    <row r="9" spans="1:12">
      <c r="A9" s="1"/>
      <c r="B9" s="6" t="s">
        <v>20</v>
      </c>
      <c r="C9" s="55" t="s">
        <v>21</v>
      </c>
      <c r="D9" s="20">
        <v>75000</v>
      </c>
      <c r="E9" s="13">
        <v>4</v>
      </c>
      <c r="F9" s="9" t="s">
        <v>5</v>
      </c>
      <c r="G9" s="21">
        <f>SUM(D9*E9)</f>
        <v>300000</v>
      </c>
      <c r="H9" s="1"/>
    </row>
    <row r="10" spans="1:12">
      <c r="A10" s="1"/>
      <c r="B10" s="6"/>
      <c r="C10" s="56" t="s">
        <v>22</v>
      </c>
      <c r="D10" s="24">
        <v>75000</v>
      </c>
      <c r="E10" s="14">
        <v>7</v>
      </c>
      <c r="F10" s="15" t="s">
        <v>5</v>
      </c>
      <c r="G10" s="22">
        <f t="shared" ref="G10:G11" si="1">SUM(D10*E10)</f>
        <v>525000</v>
      </c>
      <c r="H10" s="1"/>
    </row>
    <row r="11" spans="1:12">
      <c r="A11" s="1"/>
      <c r="B11" s="6"/>
      <c r="C11" s="59" t="s">
        <v>23</v>
      </c>
      <c r="D11" s="36">
        <v>75000</v>
      </c>
      <c r="E11" s="16">
        <v>3</v>
      </c>
      <c r="F11" s="17" t="s">
        <v>5</v>
      </c>
      <c r="G11" s="60">
        <f t="shared" si="1"/>
        <v>225000</v>
      </c>
      <c r="H11" s="1"/>
    </row>
    <row r="12" spans="1:12" ht="16.5" customHeight="1">
      <c r="A12" s="1"/>
      <c r="B12" s="5" t="s">
        <v>24</v>
      </c>
      <c r="C12" s="69" t="s">
        <v>25</v>
      </c>
      <c r="D12" s="27">
        <v>75000</v>
      </c>
      <c r="E12" s="52">
        <v>1</v>
      </c>
      <c r="F12" s="29" t="s">
        <v>5</v>
      </c>
      <c r="G12" s="30">
        <f t="shared" ref="G12:G24" si="2">SUM(D12*E12)</f>
        <v>75000</v>
      </c>
      <c r="H12" s="1"/>
      <c r="L12" s="1"/>
    </row>
    <row r="13" spans="1:12" ht="16.5" customHeight="1">
      <c r="A13" s="1"/>
      <c r="B13" s="6"/>
      <c r="C13" s="58" t="s">
        <v>21</v>
      </c>
      <c r="D13" s="24">
        <v>75000</v>
      </c>
      <c r="E13" s="14">
        <v>2</v>
      </c>
      <c r="F13" s="15" t="s">
        <v>5</v>
      </c>
      <c r="G13" s="22">
        <f>SUM(D13*E13)</f>
        <v>150000</v>
      </c>
      <c r="H13" s="1"/>
      <c r="L13" s="1"/>
    </row>
    <row r="14" spans="1:12" ht="16.5" customHeight="1">
      <c r="A14" s="1"/>
      <c r="B14" s="4"/>
      <c r="C14" s="52" t="s">
        <v>28</v>
      </c>
      <c r="D14" s="36">
        <v>75000</v>
      </c>
      <c r="E14" s="16">
        <v>1</v>
      </c>
      <c r="F14" s="17" t="s">
        <v>5</v>
      </c>
      <c r="G14" s="60">
        <f>SUM(D14*E14)</f>
        <v>75000</v>
      </c>
      <c r="H14" s="1"/>
      <c r="L14" s="1"/>
    </row>
    <row r="15" spans="1:12">
      <c r="A15" s="1"/>
      <c r="B15" s="6" t="s">
        <v>30</v>
      </c>
      <c r="C15" s="55" t="s">
        <v>21</v>
      </c>
      <c r="D15" s="20">
        <v>75000</v>
      </c>
      <c r="E15" s="13">
        <v>4</v>
      </c>
      <c r="F15" s="9" t="s">
        <v>5</v>
      </c>
      <c r="G15" s="21">
        <f t="shared" si="2"/>
        <v>300000</v>
      </c>
      <c r="H15" s="1"/>
    </row>
    <row r="16" spans="1:12">
      <c r="A16" s="1"/>
      <c r="B16" s="6"/>
      <c r="C16" s="58" t="s">
        <v>32</v>
      </c>
      <c r="D16" s="24">
        <v>75000</v>
      </c>
      <c r="E16" s="14">
        <v>7</v>
      </c>
      <c r="F16" s="15" t="s">
        <v>5</v>
      </c>
      <c r="G16" s="22">
        <f t="shared" si="2"/>
        <v>525000</v>
      </c>
      <c r="H16" s="1"/>
    </row>
    <row r="17" spans="1:16">
      <c r="A17" s="1"/>
      <c r="B17" s="6"/>
      <c r="C17" s="57" t="s">
        <v>33</v>
      </c>
      <c r="D17" s="24">
        <v>75000</v>
      </c>
      <c r="E17" s="53">
        <v>7</v>
      </c>
      <c r="F17" s="15" t="s">
        <v>5</v>
      </c>
      <c r="G17" s="22">
        <f t="shared" si="2"/>
        <v>525000</v>
      </c>
      <c r="H17" s="1"/>
    </row>
    <row r="18" spans="1:16">
      <c r="A18" s="1"/>
      <c r="B18" s="4"/>
      <c r="C18" s="62" t="s">
        <v>23</v>
      </c>
      <c r="D18" s="36">
        <v>75000</v>
      </c>
      <c r="E18" s="16">
        <v>3</v>
      </c>
      <c r="F18" s="17" t="s">
        <v>5</v>
      </c>
      <c r="G18" s="22">
        <f t="shared" si="2"/>
        <v>225000</v>
      </c>
      <c r="H18" s="1"/>
    </row>
    <row r="19" spans="1:16">
      <c r="A19" s="1"/>
      <c r="B19" s="63" t="s">
        <v>36</v>
      </c>
      <c r="C19" s="2" t="s">
        <v>37</v>
      </c>
      <c r="D19" s="27">
        <v>75000</v>
      </c>
      <c r="E19" s="52">
        <v>2</v>
      </c>
      <c r="F19" s="9" t="s">
        <v>5</v>
      </c>
      <c r="G19" s="21">
        <f t="shared" si="2"/>
        <v>150000</v>
      </c>
      <c r="H19" s="1"/>
    </row>
    <row r="20" spans="1:16">
      <c r="A20" s="1"/>
      <c r="B20" s="65"/>
      <c r="C20" s="3" t="s">
        <v>39</v>
      </c>
      <c r="D20" s="37">
        <v>75000</v>
      </c>
      <c r="E20" s="12">
        <v>3</v>
      </c>
      <c r="F20" s="10" t="s">
        <v>5</v>
      </c>
      <c r="G20" s="64">
        <f t="shared" si="2"/>
        <v>225000</v>
      </c>
      <c r="H20" s="1"/>
    </row>
    <row r="21" spans="1:16">
      <c r="A21" s="1"/>
      <c r="B21" s="63" t="s">
        <v>40</v>
      </c>
      <c r="C21" s="26" t="s">
        <v>41</v>
      </c>
      <c r="D21" s="27">
        <v>75000</v>
      </c>
      <c r="E21" s="52">
        <v>2</v>
      </c>
      <c r="F21" s="29" t="s">
        <v>5</v>
      </c>
      <c r="G21" s="30">
        <f t="shared" si="2"/>
        <v>150000</v>
      </c>
      <c r="H21" s="1"/>
    </row>
    <row r="22" spans="1:16">
      <c r="A22" s="1"/>
      <c r="B22" s="65"/>
      <c r="C22" s="3" t="s">
        <v>42</v>
      </c>
      <c r="D22" s="37">
        <v>75000</v>
      </c>
      <c r="E22" s="12">
        <v>3</v>
      </c>
      <c r="F22" s="10" t="s">
        <v>5</v>
      </c>
      <c r="G22" s="64">
        <f t="shared" si="2"/>
        <v>225000</v>
      </c>
      <c r="H22" s="1"/>
    </row>
    <row r="23" spans="1:16" ht="16.5">
      <c r="A23" s="1"/>
      <c r="B23" s="68" t="s">
        <v>44</v>
      </c>
      <c r="C23" s="26" t="s">
        <v>45</v>
      </c>
      <c r="D23" s="27">
        <v>87500</v>
      </c>
      <c r="E23" s="28">
        <v>4</v>
      </c>
      <c r="F23" s="29" t="s">
        <v>5</v>
      </c>
      <c r="G23" s="30">
        <f t="shared" si="2"/>
        <v>350000</v>
      </c>
      <c r="H23" s="1"/>
    </row>
    <row r="24" spans="1:16">
      <c r="A24" s="1"/>
      <c r="B24" s="7" t="s">
        <v>47</v>
      </c>
      <c r="C24" s="8" t="s">
        <v>48</v>
      </c>
      <c r="D24" s="25">
        <v>87500</v>
      </c>
      <c r="E24" s="18">
        <v>4</v>
      </c>
      <c r="F24" s="11" t="s">
        <v>5</v>
      </c>
      <c r="G24" s="23">
        <f t="shared" si="2"/>
        <v>350000</v>
      </c>
      <c r="H24" s="1"/>
    </row>
    <row r="25" spans="1:16" ht="18.75">
      <c r="B25" s="1"/>
      <c r="C25" s="1"/>
      <c r="D25" s="1"/>
      <c r="E25" s="31">
        <f>SUM(E5:E24)</f>
        <v>73</v>
      </c>
      <c r="F25" s="32" t="s">
        <v>5</v>
      </c>
      <c r="G25" s="33">
        <f>SUM(G5:G24)</f>
        <v>5575000</v>
      </c>
      <c r="H25" s="35"/>
    </row>
    <row r="26" spans="1:16">
      <c r="B26" s="1"/>
      <c r="C26" s="1"/>
      <c r="D26" s="1"/>
      <c r="E26" s="1"/>
      <c r="F26" s="1"/>
      <c r="G26" s="1"/>
      <c r="H26" s="1"/>
      <c r="I26" s="1"/>
      <c r="J26" s="1"/>
    </row>
    <row r="27" spans="1:16">
      <c r="C27" s="34" t="s">
        <v>56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customHeight="1">
      <c r="B28" s="1"/>
      <c r="C28" s="95" t="s">
        <v>57</v>
      </c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7"/>
      <c r="P28" s="1"/>
    </row>
    <row r="29" spans="1:16">
      <c r="B29" s="1"/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100"/>
      <c r="P29" s="1"/>
    </row>
    <row r="30" spans="1:16">
      <c r="B30" s="1"/>
      <c r="C30" s="98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100"/>
      <c r="P30" s="1"/>
    </row>
    <row r="31" spans="1:16">
      <c r="B31" s="1"/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100"/>
      <c r="P31" s="1"/>
    </row>
    <row r="32" spans="1:16">
      <c r="B32" s="1"/>
      <c r="C32" s="98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100"/>
      <c r="P32" s="1"/>
    </row>
    <row r="33" spans="2:16">
      <c r="B33" s="1"/>
      <c r="C33" s="98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100"/>
      <c r="P33" s="1"/>
    </row>
    <row r="34" spans="2:16">
      <c r="B34" s="1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  <c r="P34" s="1"/>
    </row>
    <row r="35" spans="2:16">
      <c r="B35" s="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0"/>
      <c r="P35" s="1"/>
    </row>
    <row r="36" spans="2:16">
      <c r="B36" s="1"/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  <c r="P36" s="1"/>
    </row>
    <row r="37" spans="2:16">
      <c r="B37" s="1"/>
      <c r="C37" s="98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100"/>
      <c r="P37" s="1"/>
    </row>
    <row r="38" spans="2:16">
      <c r="B38" s="1"/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100"/>
      <c r="P38" s="1"/>
    </row>
    <row r="39" spans="2:16">
      <c r="B39" s="1"/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100"/>
      <c r="P39" s="1"/>
    </row>
    <row r="40" spans="2:16">
      <c r="B40" s="1"/>
      <c r="C40" s="98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100"/>
      <c r="P40" s="1"/>
    </row>
    <row r="41" spans="2:16">
      <c r="B41" s="1"/>
      <c r="C41" s="98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100"/>
      <c r="P41" s="1"/>
    </row>
    <row r="42" spans="2:16">
      <c r="B42" s="1"/>
      <c r="C42" s="98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100"/>
      <c r="P42" s="1"/>
    </row>
    <row r="43" spans="2:16">
      <c r="B43" s="1"/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100"/>
      <c r="P43" s="1"/>
    </row>
    <row r="44" spans="2:16">
      <c r="B44" s="1"/>
      <c r="C44" s="98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100"/>
      <c r="P44" s="1"/>
    </row>
    <row r="45" spans="2:16">
      <c r="B45" s="1"/>
      <c r="C45" s="98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100"/>
      <c r="P45" s="1"/>
    </row>
    <row r="46" spans="2:16">
      <c r="B46" s="1"/>
      <c r="C46" s="98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100"/>
      <c r="P46" s="1"/>
    </row>
    <row r="47" spans="2:16">
      <c r="B47" s="1"/>
      <c r="C47" s="101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3"/>
      <c r="P47" s="1"/>
    </row>
    <row r="48" spans="2:1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mergeCells count="3">
    <mergeCell ref="D3:G3"/>
    <mergeCell ref="B3:C3"/>
    <mergeCell ref="C28:O47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7F14-1244-4D74-B3C8-020DD41EA619}">
  <dimension ref="A2:P48"/>
  <sheetViews>
    <sheetView showGridLines="0" workbookViewId="0">
      <selection activeCell="B5" sqref="B5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58</v>
      </c>
      <c r="C2" s="1"/>
      <c r="D2" s="1"/>
      <c r="E2" s="1"/>
      <c r="F2" s="1"/>
      <c r="G2" s="1"/>
      <c r="I2" s="1" t="s">
        <v>1</v>
      </c>
      <c r="J2" s="1"/>
      <c r="K2" s="1"/>
    </row>
    <row r="3" spans="1:12">
      <c r="A3" s="1"/>
      <c r="B3" s="91" t="s">
        <v>2</v>
      </c>
      <c r="C3" s="92"/>
      <c r="D3" s="93" t="s">
        <v>3</v>
      </c>
      <c r="E3" s="92"/>
      <c r="F3" s="92"/>
      <c r="G3" s="94"/>
      <c r="H3" s="1"/>
      <c r="I3" s="44"/>
      <c r="J3" s="45" t="s">
        <v>4</v>
      </c>
      <c r="K3" s="46" t="s">
        <v>5</v>
      </c>
    </row>
    <row r="4" spans="1:12">
      <c r="A4" s="1"/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H4" s="1"/>
      <c r="I4" s="47" t="s">
        <v>12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13</v>
      </c>
      <c r="C5" s="26" t="s">
        <v>14</v>
      </c>
      <c r="D5" s="20">
        <v>75000</v>
      </c>
      <c r="E5" s="52">
        <v>3</v>
      </c>
      <c r="F5" s="29" t="s">
        <v>5</v>
      </c>
      <c r="G5" s="21">
        <f>SUM(D5*E5)</f>
        <v>225000</v>
      </c>
      <c r="H5" s="1"/>
      <c r="I5" s="7" t="s">
        <v>15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16</v>
      </c>
      <c r="D6" s="37">
        <v>75000</v>
      </c>
      <c r="E6" s="12">
        <v>4</v>
      </c>
      <c r="F6" s="10" t="s">
        <v>5</v>
      </c>
      <c r="G6" s="64">
        <f>SUM(D6*E6)</f>
        <v>300000</v>
      </c>
      <c r="H6" s="1"/>
      <c r="I6" s="1"/>
      <c r="J6" s="66"/>
      <c r="K6" s="66"/>
      <c r="L6" s="1"/>
    </row>
    <row r="7" spans="1:12">
      <c r="A7" s="1"/>
      <c r="B7" s="5" t="s">
        <v>17</v>
      </c>
      <c r="C7" s="26" t="s">
        <v>18</v>
      </c>
      <c r="D7" s="27">
        <v>75000</v>
      </c>
      <c r="E7" s="52">
        <v>3</v>
      </c>
      <c r="F7" s="29" t="s">
        <v>5</v>
      </c>
      <c r="G7" s="30">
        <f t="shared" ref="G7:G8" si="0">SUM(D7*E7)</f>
        <v>225000</v>
      </c>
      <c r="H7" s="1"/>
      <c r="L7" s="1"/>
    </row>
    <row r="8" spans="1:12">
      <c r="A8" s="1"/>
      <c r="B8" s="4"/>
      <c r="C8" s="54" t="s">
        <v>19</v>
      </c>
      <c r="D8" s="27">
        <v>75000</v>
      </c>
      <c r="E8" s="52">
        <v>4</v>
      </c>
      <c r="F8" s="29" t="s">
        <v>5</v>
      </c>
      <c r="G8" s="30">
        <f t="shared" si="0"/>
        <v>300000</v>
      </c>
      <c r="H8" s="1"/>
      <c r="L8" s="1"/>
    </row>
    <row r="9" spans="1:12">
      <c r="A9" s="1"/>
      <c r="B9" s="6" t="s">
        <v>20</v>
      </c>
      <c r="C9" s="55" t="s">
        <v>21</v>
      </c>
      <c r="D9" s="20">
        <v>75000</v>
      </c>
      <c r="E9" s="13">
        <v>3</v>
      </c>
      <c r="F9" s="9" t="s">
        <v>5</v>
      </c>
      <c r="G9" s="21">
        <f>SUM(D9*E9)</f>
        <v>225000</v>
      </c>
      <c r="H9" s="1"/>
    </row>
    <row r="10" spans="1:12">
      <c r="A10" s="1"/>
      <c r="B10" s="6"/>
      <c r="C10" s="56" t="s">
        <v>22</v>
      </c>
      <c r="D10" s="24">
        <v>75000</v>
      </c>
      <c r="E10" s="14">
        <v>6</v>
      </c>
      <c r="F10" s="15" t="s">
        <v>5</v>
      </c>
      <c r="G10" s="22">
        <f t="shared" ref="G10:G24" si="1">SUM(D10*E10)</f>
        <v>450000</v>
      </c>
      <c r="H10" s="1"/>
    </row>
    <row r="11" spans="1:12">
      <c r="A11" s="1"/>
      <c r="B11" s="6"/>
      <c r="C11" s="59" t="s">
        <v>23</v>
      </c>
      <c r="D11" s="36">
        <v>75000</v>
      </c>
      <c r="E11" s="16">
        <v>3</v>
      </c>
      <c r="F11" s="17" t="s">
        <v>5</v>
      </c>
      <c r="G11" s="60">
        <f t="shared" si="1"/>
        <v>225000</v>
      </c>
      <c r="H11" s="1"/>
    </row>
    <row r="12" spans="1:12" ht="16.5" customHeight="1">
      <c r="A12" s="1"/>
      <c r="B12" s="5" t="s">
        <v>24</v>
      </c>
      <c r="C12" s="69" t="s">
        <v>25</v>
      </c>
      <c r="D12" s="27">
        <v>75000</v>
      </c>
      <c r="E12" s="52">
        <v>1</v>
      </c>
      <c r="F12" s="29" t="s">
        <v>5</v>
      </c>
      <c r="G12" s="30">
        <f t="shared" si="1"/>
        <v>75000</v>
      </c>
      <c r="H12" s="1"/>
      <c r="L12" s="1"/>
    </row>
    <row r="13" spans="1:12" ht="16.5" customHeight="1">
      <c r="A13" s="1"/>
      <c r="B13" s="6"/>
      <c r="C13" s="58" t="s">
        <v>21</v>
      </c>
      <c r="D13" s="24">
        <v>75000</v>
      </c>
      <c r="E13" s="14">
        <v>2</v>
      </c>
      <c r="F13" s="15" t="s">
        <v>5</v>
      </c>
      <c r="G13" s="22">
        <f>SUM(D13*E13)</f>
        <v>150000</v>
      </c>
      <c r="H13" s="1"/>
      <c r="L13" s="1"/>
    </row>
    <row r="14" spans="1:12" ht="16.5" customHeight="1">
      <c r="A14" s="1"/>
      <c r="B14" s="4"/>
      <c r="C14" s="52" t="s">
        <v>28</v>
      </c>
      <c r="D14" s="36">
        <v>75000</v>
      </c>
      <c r="E14" s="16">
        <v>1</v>
      </c>
      <c r="F14" s="17" t="s">
        <v>5</v>
      </c>
      <c r="G14" s="60">
        <f>SUM(D14*E14)</f>
        <v>75000</v>
      </c>
      <c r="H14" s="1"/>
      <c r="I14" t="s">
        <v>59</v>
      </c>
      <c r="K14" t="s">
        <v>60</v>
      </c>
      <c r="L14" s="1"/>
    </row>
    <row r="15" spans="1:12">
      <c r="A15" s="1"/>
      <c r="B15" s="5" t="s">
        <v>30</v>
      </c>
      <c r="C15" s="55" t="s">
        <v>21</v>
      </c>
      <c r="D15" s="20">
        <v>75000</v>
      </c>
      <c r="E15" s="13">
        <v>3</v>
      </c>
      <c r="F15" s="9" t="s">
        <v>5</v>
      </c>
      <c r="G15" s="21">
        <f t="shared" si="1"/>
        <v>225000</v>
      </c>
      <c r="H15" s="1"/>
      <c r="J15" t="s">
        <v>61</v>
      </c>
      <c r="K15" t="s">
        <v>62</v>
      </c>
    </row>
    <row r="16" spans="1:12">
      <c r="A16" s="1"/>
      <c r="B16" s="6"/>
      <c r="C16" s="58" t="s">
        <v>32</v>
      </c>
      <c r="D16" s="24">
        <v>75000</v>
      </c>
      <c r="E16" s="14">
        <v>5</v>
      </c>
      <c r="F16" s="15" t="s">
        <v>5</v>
      </c>
      <c r="G16" s="22">
        <f t="shared" si="1"/>
        <v>375000</v>
      </c>
      <c r="H16" s="1"/>
    </row>
    <row r="17" spans="1:16">
      <c r="A17" s="1"/>
      <c r="B17" s="6"/>
      <c r="C17" s="57" t="s">
        <v>33</v>
      </c>
      <c r="D17" s="24">
        <v>75000</v>
      </c>
      <c r="E17" s="53">
        <v>5</v>
      </c>
      <c r="F17" s="15" t="s">
        <v>5</v>
      </c>
      <c r="G17" s="22">
        <f t="shared" si="1"/>
        <v>375000</v>
      </c>
      <c r="H17" s="1"/>
    </row>
    <row r="18" spans="1:16">
      <c r="A18" s="1"/>
      <c r="B18" s="4"/>
      <c r="C18" s="62" t="s">
        <v>23</v>
      </c>
      <c r="D18" s="36">
        <v>75000</v>
      </c>
      <c r="E18" s="16">
        <v>3</v>
      </c>
      <c r="F18" s="17" t="s">
        <v>5</v>
      </c>
      <c r="G18" s="22">
        <f t="shared" si="1"/>
        <v>225000</v>
      </c>
      <c r="H18" s="1"/>
    </row>
    <row r="19" spans="1:16">
      <c r="A19" s="1"/>
      <c r="B19" s="63" t="s">
        <v>36</v>
      </c>
      <c r="C19" s="2" t="s">
        <v>37</v>
      </c>
      <c r="D19" s="27">
        <v>75000</v>
      </c>
      <c r="E19" s="52">
        <v>2</v>
      </c>
      <c r="F19" s="9" t="s">
        <v>5</v>
      </c>
      <c r="G19" s="21">
        <f t="shared" si="1"/>
        <v>150000</v>
      </c>
      <c r="H19" s="1"/>
    </row>
    <row r="20" spans="1:16">
      <c r="A20" s="1"/>
      <c r="B20" s="65"/>
      <c r="C20" s="3" t="s">
        <v>39</v>
      </c>
      <c r="D20" s="37">
        <v>75000</v>
      </c>
      <c r="E20" s="12">
        <v>2</v>
      </c>
      <c r="F20" s="10" t="s">
        <v>5</v>
      </c>
      <c r="G20" s="64">
        <f t="shared" si="1"/>
        <v>150000</v>
      </c>
      <c r="H20" s="1"/>
    </row>
    <row r="21" spans="1:16">
      <c r="A21" s="1"/>
      <c r="B21" s="63" t="s">
        <v>40</v>
      </c>
      <c r="C21" s="26" t="s">
        <v>41</v>
      </c>
      <c r="D21" s="27">
        <v>75000</v>
      </c>
      <c r="E21" s="52">
        <v>2</v>
      </c>
      <c r="F21" s="29" t="s">
        <v>5</v>
      </c>
      <c r="G21" s="30">
        <f t="shared" si="1"/>
        <v>150000</v>
      </c>
      <c r="H21" s="1"/>
    </row>
    <row r="22" spans="1:16">
      <c r="A22" s="1"/>
      <c r="B22" s="65"/>
      <c r="C22" s="3" t="s">
        <v>42</v>
      </c>
      <c r="D22" s="37">
        <v>75000</v>
      </c>
      <c r="E22" s="12">
        <v>2</v>
      </c>
      <c r="F22" s="10" t="s">
        <v>5</v>
      </c>
      <c r="G22" s="64">
        <f t="shared" si="1"/>
        <v>150000</v>
      </c>
      <c r="H22" s="1"/>
    </row>
    <row r="23" spans="1:16" ht="16.5">
      <c r="A23" s="1"/>
      <c r="B23" s="68" t="s">
        <v>44</v>
      </c>
      <c r="C23" s="26" t="s">
        <v>45</v>
      </c>
      <c r="D23" s="27">
        <v>87500</v>
      </c>
      <c r="E23" s="28">
        <v>3</v>
      </c>
      <c r="F23" s="29" t="s">
        <v>5</v>
      </c>
      <c r="G23" s="30">
        <f t="shared" si="1"/>
        <v>262500</v>
      </c>
      <c r="H23" s="1"/>
    </row>
    <row r="24" spans="1:16">
      <c r="A24" s="1"/>
      <c r="B24" s="7" t="s">
        <v>47</v>
      </c>
      <c r="C24" s="8" t="s">
        <v>48</v>
      </c>
      <c r="D24" s="25">
        <v>87500</v>
      </c>
      <c r="E24" s="18">
        <v>3</v>
      </c>
      <c r="F24" s="11" t="s">
        <v>5</v>
      </c>
      <c r="G24" s="23">
        <f t="shared" si="1"/>
        <v>262500</v>
      </c>
      <c r="H24" s="1"/>
    </row>
    <row r="25" spans="1:16" ht="18.75">
      <c r="B25" s="1"/>
      <c r="C25" s="1"/>
      <c r="D25" s="1"/>
      <c r="E25" s="31">
        <f>SUM(E5:E24)</f>
        <v>60</v>
      </c>
      <c r="F25" s="32" t="s">
        <v>5</v>
      </c>
      <c r="G25" s="33">
        <f>SUM(G5:G24)</f>
        <v>4575000</v>
      </c>
      <c r="H25" s="35"/>
    </row>
    <row r="26" spans="1:16">
      <c r="B26" s="1"/>
      <c r="C26" s="1"/>
      <c r="D26" s="1"/>
      <c r="E26" s="1"/>
      <c r="F26" s="1"/>
      <c r="G26" s="1"/>
      <c r="H26" s="1"/>
      <c r="I26" s="1"/>
      <c r="J26" s="1"/>
    </row>
    <row r="27" spans="1:16">
      <c r="C27" s="34" t="s">
        <v>56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customHeight="1">
      <c r="B28" s="1"/>
      <c r="C28" s="104" t="s">
        <v>63</v>
      </c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7"/>
      <c r="P28" s="1"/>
    </row>
    <row r="29" spans="1:16">
      <c r="B29" s="1"/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100"/>
      <c r="P29" s="1"/>
    </row>
    <row r="30" spans="1:16">
      <c r="B30" s="1"/>
      <c r="C30" s="98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100"/>
      <c r="P30" s="1"/>
    </row>
    <row r="31" spans="1:16">
      <c r="B31" s="1"/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100"/>
      <c r="P31" s="1"/>
    </row>
    <row r="32" spans="1:16">
      <c r="B32" s="1"/>
      <c r="C32" s="98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100"/>
      <c r="P32" s="1"/>
    </row>
    <row r="33" spans="2:16">
      <c r="B33" s="1"/>
      <c r="C33" s="98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100"/>
      <c r="P33" s="1"/>
    </row>
    <row r="34" spans="2:16">
      <c r="B34" s="1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  <c r="P34" s="1"/>
    </row>
    <row r="35" spans="2:16">
      <c r="B35" s="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0"/>
      <c r="P35" s="1"/>
    </row>
    <row r="36" spans="2:16">
      <c r="B36" s="1"/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  <c r="P36" s="1"/>
    </row>
    <row r="37" spans="2:16">
      <c r="B37" s="1"/>
      <c r="C37" s="98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100"/>
      <c r="P37" s="1"/>
    </row>
    <row r="38" spans="2:16">
      <c r="B38" s="1"/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100"/>
      <c r="P38" s="1"/>
    </row>
    <row r="39" spans="2:16">
      <c r="B39" s="1"/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100"/>
      <c r="P39" s="1"/>
    </row>
    <row r="40" spans="2:16">
      <c r="B40" s="1"/>
      <c r="C40" s="98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100"/>
      <c r="P40" s="1"/>
    </row>
    <row r="41" spans="2:16">
      <c r="B41" s="1"/>
      <c r="C41" s="98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100"/>
      <c r="P41" s="1"/>
    </row>
    <row r="42" spans="2:16">
      <c r="B42" s="1"/>
      <c r="C42" s="98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100"/>
      <c r="P42" s="1"/>
    </row>
    <row r="43" spans="2:16">
      <c r="B43" s="1"/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100"/>
      <c r="P43" s="1"/>
    </row>
    <row r="44" spans="2:16">
      <c r="B44" s="1"/>
      <c r="C44" s="98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100"/>
      <c r="P44" s="1"/>
    </row>
    <row r="45" spans="2:16">
      <c r="B45" s="1"/>
      <c r="C45" s="98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100"/>
      <c r="P45" s="1"/>
    </row>
    <row r="46" spans="2:16">
      <c r="B46" s="1"/>
      <c r="C46" s="98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100"/>
      <c r="P46" s="1"/>
    </row>
    <row r="47" spans="2:16">
      <c r="B47" s="1"/>
      <c r="C47" s="101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3"/>
      <c r="P47" s="1"/>
    </row>
    <row r="48" spans="2:1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mergeCells count="3">
    <mergeCell ref="B3:C3"/>
    <mergeCell ref="D3:G3"/>
    <mergeCell ref="C28:O47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37BE-3E4E-4A87-90BF-CA5798A0ACC7}">
  <dimension ref="A2:P46"/>
  <sheetViews>
    <sheetView showGridLines="0" workbookViewId="0">
      <selection activeCell="K21" sqref="K21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64</v>
      </c>
      <c r="C2" s="1"/>
      <c r="D2" s="1"/>
      <c r="E2" s="1"/>
      <c r="F2" s="1"/>
      <c r="G2" s="1"/>
      <c r="I2" s="1" t="s">
        <v>1</v>
      </c>
      <c r="J2" s="1"/>
      <c r="K2" s="1"/>
    </row>
    <row r="3" spans="1:12">
      <c r="A3" s="1"/>
      <c r="B3" s="91" t="s">
        <v>2</v>
      </c>
      <c r="C3" s="92"/>
      <c r="D3" s="93" t="s">
        <v>3</v>
      </c>
      <c r="E3" s="92"/>
      <c r="F3" s="92"/>
      <c r="G3" s="94"/>
      <c r="H3" s="1"/>
      <c r="I3" s="44"/>
      <c r="J3" s="45" t="s">
        <v>4</v>
      </c>
      <c r="K3" s="46" t="s">
        <v>5</v>
      </c>
    </row>
    <row r="4" spans="1:12">
      <c r="A4" s="1"/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H4" s="1"/>
      <c r="I4" s="47" t="s">
        <v>12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13</v>
      </c>
      <c r="C5" s="26" t="s">
        <v>14</v>
      </c>
      <c r="D5" s="20">
        <v>75000</v>
      </c>
      <c r="E5" s="52">
        <v>2</v>
      </c>
      <c r="F5" s="29" t="s">
        <v>5</v>
      </c>
      <c r="G5" s="21">
        <f>SUM(D5*E5)</f>
        <v>150000</v>
      </c>
      <c r="H5" s="1"/>
      <c r="I5" s="7" t="s">
        <v>15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16</v>
      </c>
      <c r="D6" s="37">
        <v>75000</v>
      </c>
      <c r="E6" s="12">
        <v>3</v>
      </c>
      <c r="F6" s="10" t="s">
        <v>5</v>
      </c>
      <c r="G6" s="64">
        <f>SUM(D6*E6)</f>
        <v>225000</v>
      </c>
      <c r="H6" s="1"/>
      <c r="I6" s="1"/>
      <c r="J6" s="66"/>
      <c r="K6" s="66"/>
      <c r="L6" s="1"/>
    </row>
    <row r="7" spans="1:12">
      <c r="A7" s="1"/>
      <c r="B7" s="5" t="s">
        <v>17</v>
      </c>
      <c r="C7" s="26" t="s">
        <v>18</v>
      </c>
      <c r="D7" s="27">
        <v>75000</v>
      </c>
      <c r="E7" s="52">
        <v>2</v>
      </c>
      <c r="F7" s="29" t="s">
        <v>5</v>
      </c>
      <c r="G7" s="30">
        <f t="shared" ref="G7:G8" si="0">SUM(D7*E7)</f>
        <v>150000</v>
      </c>
      <c r="H7" s="1"/>
      <c r="L7" s="1"/>
    </row>
    <row r="8" spans="1:12">
      <c r="A8" s="1"/>
      <c r="B8" s="4"/>
      <c r="C8" s="54" t="s">
        <v>19</v>
      </c>
      <c r="D8" s="27">
        <v>75000</v>
      </c>
      <c r="E8" s="52">
        <v>3</v>
      </c>
      <c r="F8" s="29" t="s">
        <v>5</v>
      </c>
      <c r="G8" s="30">
        <f t="shared" si="0"/>
        <v>225000</v>
      </c>
      <c r="H8" s="1"/>
      <c r="L8" s="1"/>
    </row>
    <row r="9" spans="1:12">
      <c r="A9" s="1"/>
      <c r="B9" s="6" t="s">
        <v>20</v>
      </c>
      <c r="C9" s="55" t="s">
        <v>21</v>
      </c>
      <c r="D9" s="20">
        <v>75000</v>
      </c>
      <c r="E9" s="13">
        <v>3</v>
      </c>
      <c r="F9" s="9" t="s">
        <v>5</v>
      </c>
      <c r="G9" s="21">
        <f>SUM(D9*E9)</f>
        <v>225000</v>
      </c>
      <c r="H9" s="1"/>
    </row>
    <row r="10" spans="1:12">
      <c r="A10" s="1"/>
      <c r="B10" s="6"/>
      <c r="C10" s="56" t="s">
        <v>22</v>
      </c>
      <c r="D10" s="24">
        <v>75000</v>
      </c>
      <c r="E10" s="14">
        <v>5</v>
      </c>
      <c r="F10" s="15" t="s">
        <v>5</v>
      </c>
      <c r="G10" s="22">
        <f t="shared" ref="G10:G22" si="1">SUM(D10*E10)</f>
        <v>375000</v>
      </c>
      <c r="H10" s="1"/>
    </row>
    <row r="11" spans="1:12">
      <c r="A11" s="1"/>
      <c r="B11" s="6"/>
      <c r="C11" s="59" t="s">
        <v>23</v>
      </c>
      <c r="D11" s="36">
        <v>75000</v>
      </c>
      <c r="E11" s="16">
        <v>2</v>
      </c>
      <c r="F11" s="17" t="s">
        <v>5</v>
      </c>
      <c r="G11" s="60">
        <f t="shared" si="1"/>
        <v>150000</v>
      </c>
      <c r="H11" s="1"/>
    </row>
    <row r="12" spans="1:12" ht="16.5" customHeight="1">
      <c r="A12" s="1"/>
      <c r="B12" s="5" t="s">
        <v>24</v>
      </c>
      <c r="C12" s="61" t="s">
        <v>28</v>
      </c>
      <c r="D12" s="27">
        <v>75000</v>
      </c>
      <c r="E12" s="52">
        <v>2</v>
      </c>
      <c r="F12" s="29" t="s">
        <v>5</v>
      </c>
      <c r="G12" s="30">
        <f t="shared" si="1"/>
        <v>150000</v>
      </c>
      <c r="H12" s="1"/>
      <c r="L12" s="1"/>
    </row>
    <row r="13" spans="1:12">
      <c r="A13" s="1"/>
      <c r="B13" s="5" t="s">
        <v>30</v>
      </c>
      <c r="C13" s="55" t="s">
        <v>21</v>
      </c>
      <c r="D13" s="20">
        <v>75000</v>
      </c>
      <c r="E13" s="13">
        <v>2</v>
      </c>
      <c r="F13" s="9" t="s">
        <v>5</v>
      </c>
      <c r="G13" s="21">
        <f t="shared" si="1"/>
        <v>150000</v>
      </c>
      <c r="H13" s="1"/>
    </row>
    <row r="14" spans="1:12">
      <c r="A14" s="1"/>
      <c r="B14" s="6"/>
      <c r="C14" s="58" t="s">
        <v>32</v>
      </c>
      <c r="D14" s="24">
        <v>75000</v>
      </c>
      <c r="E14" s="14">
        <v>4</v>
      </c>
      <c r="F14" s="15" t="s">
        <v>5</v>
      </c>
      <c r="G14" s="22">
        <f t="shared" si="1"/>
        <v>300000</v>
      </c>
      <c r="H14" s="1"/>
    </row>
    <row r="15" spans="1:12">
      <c r="A15" s="1"/>
      <c r="B15" s="6"/>
      <c r="C15" s="57" t="s">
        <v>33</v>
      </c>
      <c r="D15" s="24">
        <v>75000</v>
      </c>
      <c r="E15" s="53">
        <v>4</v>
      </c>
      <c r="F15" s="15" t="s">
        <v>5</v>
      </c>
      <c r="G15" s="22">
        <f t="shared" si="1"/>
        <v>300000</v>
      </c>
      <c r="H15" s="1"/>
    </row>
    <row r="16" spans="1:12">
      <c r="A16" s="1"/>
      <c r="B16" s="4"/>
      <c r="C16" s="62" t="s">
        <v>23</v>
      </c>
      <c r="D16" s="36">
        <v>75000</v>
      </c>
      <c r="E16" s="16">
        <v>2</v>
      </c>
      <c r="F16" s="17" t="s">
        <v>5</v>
      </c>
      <c r="G16" s="22">
        <f t="shared" si="1"/>
        <v>150000</v>
      </c>
      <c r="H16" s="1"/>
    </row>
    <row r="17" spans="1:16">
      <c r="A17" s="1"/>
      <c r="B17" s="63" t="s">
        <v>36</v>
      </c>
      <c r="C17" s="2" t="s">
        <v>37</v>
      </c>
      <c r="D17" s="27">
        <v>75000</v>
      </c>
      <c r="E17" s="52">
        <v>1</v>
      </c>
      <c r="F17" s="9" t="s">
        <v>5</v>
      </c>
      <c r="G17" s="21">
        <f t="shared" si="1"/>
        <v>75000</v>
      </c>
      <c r="H17" s="1"/>
    </row>
    <row r="18" spans="1:16">
      <c r="A18" s="1"/>
      <c r="B18" s="65"/>
      <c r="C18" s="3" t="s">
        <v>39</v>
      </c>
      <c r="D18" s="37">
        <v>75000</v>
      </c>
      <c r="E18" s="12">
        <v>2</v>
      </c>
      <c r="F18" s="10" t="s">
        <v>5</v>
      </c>
      <c r="G18" s="64">
        <f t="shared" si="1"/>
        <v>150000</v>
      </c>
      <c r="H18" s="1"/>
    </row>
    <row r="19" spans="1:16">
      <c r="A19" s="1"/>
      <c r="B19" s="63" t="s">
        <v>40</v>
      </c>
      <c r="C19" s="26" t="s">
        <v>41</v>
      </c>
      <c r="D19" s="27">
        <v>75000</v>
      </c>
      <c r="E19" s="52">
        <v>1</v>
      </c>
      <c r="F19" s="29" t="s">
        <v>5</v>
      </c>
      <c r="G19" s="30">
        <f t="shared" si="1"/>
        <v>75000</v>
      </c>
      <c r="H19" s="1"/>
    </row>
    <row r="20" spans="1:16">
      <c r="A20" s="1"/>
      <c r="B20" s="65"/>
      <c r="C20" s="3" t="s">
        <v>42</v>
      </c>
      <c r="D20" s="37">
        <v>75000</v>
      </c>
      <c r="E20" s="12">
        <v>2</v>
      </c>
      <c r="F20" s="10" t="s">
        <v>5</v>
      </c>
      <c r="G20" s="64">
        <f t="shared" si="1"/>
        <v>150000</v>
      </c>
      <c r="H20" s="1"/>
    </row>
    <row r="21" spans="1:16" ht="16.5">
      <c r="A21" s="1"/>
      <c r="B21" s="68" t="s">
        <v>44</v>
      </c>
      <c r="C21" s="26" t="s">
        <v>45</v>
      </c>
      <c r="D21" s="27">
        <v>87500</v>
      </c>
      <c r="E21" s="28">
        <v>2</v>
      </c>
      <c r="F21" s="29" t="s">
        <v>5</v>
      </c>
      <c r="G21" s="30">
        <f t="shared" si="1"/>
        <v>175000</v>
      </c>
      <c r="H21" s="1"/>
    </row>
    <row r="22" spans="1:16">
      <c r="A22" s="1"/>
      <c r="B22" s="7" t="s">
        <v>47</v>
      </c>
      <c r="C22" s="8" t="s">
        <v>48</v>
      </c>
      <c r="D22" s="25">
        <v>87500</v>
      </c>
      <c r="E22" s="18">
        <v>2</v>
      </c>
      <c r="F22" s="11" t="s">
        <v>5</v>
      </c>
      <c r="G22" s="23">
        <f t="shared" si="1"/>
        <v>175000</v>
      </c>
      <c r="H22" s="1"/>
    </row>
    <row r="23" spans="1:16" ht="18.75">
      <c r="B23" s="1"/>
      <c r="C23" s="1"/>
      <c r="D23" s="1"/>
      <c r="E23" s="31">
        <f>SUM(E5:E22)</f>
        <v>44</v>
      </c>
      <c r="F23" s="32" t="s">
        <v>5</v>
      </c>
      <c r="G23" s="33">
        <f>SUM(G5:G22)</f>
        <v>3350000</v>
      </c>
      <c r="H23" s="35"/>
    </row>
    <row r="24" spans="1:16">
      <c r="B24" s="1"/>
      <c r="C24" s="1"/>
      <c r="D24" s="1"/>
      <c r="E24" s="1"/>
      <c r="F24" s="1"/>
      <c r="G24" s="1"/>
      <c r="H24" s="1"/>
      <c r="I24" s="1"/>
      <c r="J24" s="1"/>
    </row>
    <row r="25" spans="1:16">
      <c r="C25" s="34" t="s">
        <v>56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6" ht="15" customHeight="1">
      <c r="B26" s="1"/>
      <c r="C26" s="105" t="s">
        <v>65</v>
      </c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7"/>
      <c r="P26" s="1"/>
    </row>
    <row r="27" spans="1:16">
      <c r="B27" s="1"/>
      <c r="C27" s="98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100"/>
      <c r="P27" s="1"/>
    </row>
    <row r="28" spans="1:16">
      <c r="B28" s="1"/>
      <c r="C28" s="98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100"/>
      <c r="P28" s="1"/>
    </row>
    <row r="29" spans="1:16">
      <c r="B29" s="1"/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100"/>
      <c r="P29" s="1"/>
    </row>
    <row r="30" spans="1:16">
      <c r="B30" s="1"/>
      <c r="C30" s="98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100"/>
      <c r="P30" s="1"/>
    </row>
    <row r="31" spans="1:16">
      <c r="B31" s="1"/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100"/>
      <c r="P31" s="1"/>
    </row>
    <row r="32" spans="1:16">
      <c r="B32" s="1"/>
      <c r="C32" s="98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100"/>
      <c r="P32" s="1"/>
    </row>
    <row r="33" spans="2:16">
      <c r="B33" s="1"/>
      <c r="C33" s="98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100"/>
      <c r="P33" s="1"/>
    </row>
    <row r="34" spans="2:16">
      <c r="B34" s="1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  <c r="P34" s="1"/>
    </row>
    <row r="35" spans="2:16">
      <c r="B35" s="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0"/>
      <c r="P35" s="1"/>
    </row>
    <row r="36" spans="2:16">
      <c r="B36" s="1"/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  <c r="P36" s="1"/>
    </row>
    <row r="37" spans="2:16">
      <c r="B37" s="1"/>
      <c r="C37" s="98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100"/>
      <c r="P37" s="1"/>
    </row>
    <row r="38" spans="2:16">
      <c r="B38" s="1"/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100"/>
      <c r="P38" s="1"/>
    </row>
    <row r="39" spans="2:16">
      <c r="B39" s="1"/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100"/>
      <c r="P39" s="1"/>
    </row>
    <row r="40" spans="2:16">
      <c r="B40" s="1"/>
      <c r="C40" s="98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100"/>
      <c r="P40" s="1"/>
    </row>
    <row r="41" spans="2:16">
      <c r="B41" s="1"/>
      <c r="C41" s="98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100"/>
      <c r="P41" s="1"/>
    </row>
    <row r="42" spans="2:16">
      <c r="B42" s="1"/>
      <c r="C42" s="98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100"/>
      <c r="P42" s="1"/>
    </row>
    <row r="43" spans="2:16">
      <c r="B43" s="1"/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100"/>
      <c r="P43" s="1"/>
    </row>
    <row r="44" spans="2:16">
      <c r="B44" s="1"/>
      <c r="C44" s="98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100"/>
      <c r="P44" s="1"/>
    </row>
    <row r="45" spans="2:16">
      <c r="B45" s="1"/>
      <c r="C45" s="101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3"/>
      <c r="P45" s="1"/>
    </row>
    <row r="46" spans="2:1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3">
    <mergeCell ref="B3:C3"/>
    <mergeCell ref="D3:G3"/>
    <mergeCell ref="C26:O45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D3FE-9D35-4EF0-ACD7-216C5A0D7B86}">
  <dimension ref="B2:K38"/>
  <sheetViews>
    <sheetView showGridLines="0" workbookViewId="0"/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2:11" ht="27" customHeight="1">
      <c r="B2" s="84" t="s">
        <v>64</v>
      </c>
      <c r="I2" t="s">
        <v>1</v>
      </c>
    </row>
    <row r="3" spans="2:11">
      <c r="B3" s="91" t="s">
        <v>2</v>
      </c>
      <c r="C3" s="92"/>
      <c r="D3" s="93" t="s">
        <v>3</v>
      </c>
      <c r="E3" s="92"/>
      <c r="F3" s="92"/>
      <c r="G3" s="94"/>
      <c r="I3" s="44"/>
      <c r="J3" s="45" t="s">
        <v>4</v>
      </c>
      <c r="K3" s="46" t="s">
        <v>5</v>
      </c>
    </row>
    <row r="4" spans="2:11"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I4" s="47" t="s">
        <v>12</v>
      </c>
      <c r="J4" s="48">
        <v>1750000</v>
      </c>
      <c r="K4" s="49">
        <f>J4/20</f>
        <v>87500</v>
      </c>
    </row>
    <row r="5" spans="2:11">
      <c r="B5" s="67" t="s">
        <v>13</v>
      </c>
      <c r="C5" s="26" t="s">
        <v>14</v>
      </c>
      <c r="D5" s="20">
        <v>75000</v>
      </c>
      <c r="E5" s="52">
        <v>5</v>
      </c>
      <c r="F5" s="29" t="s">
        <v>5</v>
      </c>
      <c r="G5" s="21">
        <f>SUM(D5*E5)</f>
        <v>375000</v>
      </c>
      <c r="I5" s="7" t="s">
        <v>15</v>
      </c>
      <c r="J5" s="50">
        <v>1500000</v>
      </c>
      <c r="K5" s="51">
        <f>J5/20</f>
        <v>75000</v>
      </c>
    </row>
    <row r="6" spans="2:11">
      <c r="B6" s="4"/>
      <c r="C6" s="3" t="s">
        <v>16</v>
      </c>
      <c r="D6" s="37">
        <v>75000</v>
      </c>
      <c r="E6" s="12">
        <v>5</v>
      </c>
      <c r="F6" s="10" t="s">
        <v>5</v>
      </c>
      <c r="G6" s="64">
        <f>SUM(D6*E6)</f>
        <v>375000</v>
      </c>
      <c r="J6" s="85"/>
      <c r="K6" s="85"/>
    </row>
    <row r="7" spans="2:11">
      <c r="B7" s="5" t="s">
        <v>17</v>
      </c>
      <c r="C7" s="26" t="s">
        <v>18</v>
      </c>
      <c r="D7" s="27">
        <v>75000</v>
      </c>
      <c r="E7" s="52">
        <v>5</v>
      </c>
      <c r="F7" s="29" t="s">
        <v>5</v>
      </c>
      <c r="G7" s="30">
        <f t="shared" ref="G7:G8" si="0">SUM(D7*E7)</f>
        <v>375000</v>
      </c>
    </row>
    <row r="8" spans="2:11">
      <c r="B8" s="4"/>
      <c r="C8" s="54" t="s">
        <v>19</v>
      </c>
      <c r="D8" s="27">
        <v>75000</v>
      </c>
      <c r="E8" s="52">
        <v>5</v>
      </c>
      <c r="F8" s="29" t="s">
        <v>5</v>
      </c>
      <c r="G8" s="30">
        <f t="shared" si="0"/>
        <v>375000</v>
      </c>
    </row>
    <row r="9" spans="2:11">
      <c r="B9" s="6" t="s">
        <v>20</v>
      </c>
      <c r="C9" s="55" t="s">
        <v>21</v>
      </c>
      <c r="D9" s="20">
        <v>75000</v>
      </c>
      <c r="E9" s="13">
        <v>5</v>
      </c>
      <c r="F9" s="9" t="s">
        <v>5</v>
      </c>
      <c r="G9" s="21">
        <f>SUM(D9*E9)</f>
        <v>375000</v>
      </c>
    </row>
    <row r="10" spans="2:11">
      <c r="B10" s="6"/>
      <c r="C10" s="56" t="s">
        <v>22</v>
      </c>
      <c r="D10" s="24">
        <v>75000</v>
      </c>
      <c r="E10" s="14">
        <v>8</v>
      </c>
      <c r="F10" s="15" t="s">
        <v>5</v>
      </c>
      <c r="G10" s="22">
        <f t="shared" ref="G10:G22" si="1">SUM(D10*E10)</f>
        <v>600000</v>
      </c>
    </row>
    <row r="11" spans="2:11">
      <c r="B11" s="6"/>
      <c r="C11" s="59" t="s">
        <v>23</v>
      </c>
      <c r="D11" s="36">
        <v>75000</v>
      </c>
      <c r="E11" s="16">
        <v>3</v>
      </c>
      <c r="F11" s="17" t="s">
        <v>5</v>
      </c>
      <c r="G11" s="60">
        <f t="shared" si="1"/>
        <v>225000</v>
      </c>
    </row>
    <row r="12" spans="2:11" ht="16.5" customHeight="1">
      <c r="B12" s="5" t="s">
        <v>24</v>
      </c>
      <c r="C12" s="61" t="s">
        <v>28</v>
      </c>
      <c r="D12" s="27">
        <v>75000</v>
      </c>
      <c r="E12" s="52">
        <v>2</v>
      </c>
      <c r="F12" s="29" t="s">
        <v>5</v>
      </c>
      <c r="G12" s="30">
        <f t="shared" si="1"/>
        <v>150000</v>
      </c>
    </row>
    <row r="13" spans="2:11">
      <c r="B13" s="5" t="s">
        <v>30</v>
      </c>
      <c r="C13" s="55" t="s">
        <v>21</v>
      </c>
      <c r="D13" s="20">
        <v>75000</v>
      </c>
      <c r="E13" s="13">
        <v>5</v>
      </c>
      <c r="F13" s="9" t="s">
        <v>5</v>
      </c>
      <c r="G13" s="21">
        <f t="shared" si="1"/>
        <v>375000</v>
      </c>
    </row>
    <row r="14" spans="2:11">
      <c r="B14" s="6"/>
      <c r="C14" s="58" t="s">
        <v>32</v>
      </c>
      <c r="D14" s="24">
        <v>75000</v>
      </c>
      <c r="E14" s="14">
        <v>8</v>
      </c>
      <c r="F14" s="15" t="s">
        <v>5</v>
      </c>
      <c r="G14" s="22">
        <f t="shared" si="1"/>
        <v>600000</v>
      </c>
    </row>
    <row r="15" spans="2:11">
      <c r="B15" s="6"/>
      <c r="C15" s="57" t="s">
        <v>33</v>
      </c>
      <c r="D15" s="24">
        <v>75000</v>
      </c>
      <c r="E15" s="53">
        <v>8</v>
      </c>
      <c r="F15" s="15" t="s">
        <v>5</v>
      </c>
      <c r="G15" s="22">
        <f t="shared" si="1"/>
        <v>600000</v>
      </c>
    </row>
    <row r="16" spans="2:11">
      <c r="B16" s="4"/>
      <c r="C16" s="62" t="s">
        <v>23</v>
      </c>
      <c r="D16" s="36">
        <v>75000</v>
      </c>
      <c r="E16" s="16">
        <v>4</v>
      </c>
      <c r="F16" s="17" t="s">
        <v>5</v>
      </c>
      <c r="G16" s="22">
        <f t="shared" si="1"/>
        <v>300000</v>
      </c>
    </row>
    <row r="17" spans="2:8">
      <c r="B17" s="63" t="s">
        <v>36</v>
      </c>
      <c r="C17" s="2" t="s">
        <v>37</v>
      </c>
      <c r="D17" s="27">
        <v>75000</v>
      </c>
      <c r="E17" s="52">
        <v>3</v>
      </c>
      <c r="F17" s="9" t="s">
        <v>5</v>
      </c>
      <c r="G17" s="21">
        <f t="shared" si="1"/>
        <v>225000</v>
      </c>
    </row>
    <row r="18" spans="2:8">
      <c r="B18" s="65"/>
      <c r="C18" s="3" t="s">
        <v>39</v>
      </c>
      <c r="D18" s="37">
        <v>75000</v>
      </c>
      <c r="E18" s="12">
        <v>3</v>
      </c>
      <c r="F18" s="10" t="s">
        <v>5</v>
      </c>
      <c r="G18" s="64">
        <f t="shared" si="1"/>
        <v>225000</v>
      </c>
    </row>
    <row r="19" spans="2:8">
      <c r="B19" s="63" t="s">
        <v>40</v>
      </c>
      <c r="C19" s="26" t="s">
        <v>41</v>
      </c>
      <c r="D19" s="27">
        <v>75000</v>
      </c>
      <c r="E19" s="52">
        <v>3</v>
      </c>
      <c r="F19" s="29" t="s">
        <v>5</v>
      </c>
      <c r="G19" s="30">
        <f t="shared" si="1"/>
        <v>225000</v>
      </c>
    </row>
    <row r="20" spans="2:8">
      <c r="B20" s="65"/>
      <c r="C20" s="3" t="s">
        <v>42</v>
      </c>
      <c r="D20" s="37">
        <v>75000</v>
      </c>
      <c r="E20" s="12">
        <v>3</v>
      </c>
      <c r="F20" s="10" t="s">
        <v>5</v>
      </c>
      <c r="G20" s="64">
        <f t="shared" si="1"/>
        <v>225000</v>
      </c>
    </row>
    <row r="21" spans="2:8" ht="16.5">
      <c r="B21" s="68" t="s">
        <v>44</v>
      </c>
      <c r="C21" s="26" t="s">
        <v>45</v>
      </c>
      <c r="D21" s="27">
        <v>87500</v>
      </c>
      <c r="E21" s="28">
        <v>5</v>
      </c>
      <c r="F21" s="29" t="s">
        <v>5</v>
      </c>
      <c r="G21" s="30">
        <f t="shared" si="1"/>
        <v>437500</v>
      </c>
    </row>
    <row r="22" spans="2:8">
      <c r="B22" s="7" t="s">
        <v>47</v>
      </c>
      <c r="C22" s="8" t="s">
        <v>48</v>
      </c>
      <c r="D22" s="25">
        <v>87500</v>
      </c>
      <c r="E22" s="18">
        <v>5</v>
      </c>
      <c r="F22" s="11" t="s">
        <v>5</v>
      </c>
      <c r="G22" s="23">
        <f t="shared" si="1"/>
        <v>437500</v>
      </c>
    </row>
    <row r="23" spans="2:8" ht="18.75">
      <c r="E23" s="86">
        <f>SUM(E5:E22)</f>
        <v>85</v>
      </c>
      <c r="F23" s="87" t="s">
        <v>5</v>
      </c>
      <c r="G23" s="88">
        <f>SUM(G5:G22)</f>
        <v>6500000</v>
      </c>
      <c r="H23" s="35"/>
    </row>
    <row r="25" spans="2:8">
      <c r="C25" s="89" t="s">
        <v>56</v>
      </c>
    </row>
    <row r="26" spans="2:8" ht="15" customHeight="1">
      <c r="C26" s="95" t="s">
        <v>66</v>
      </c>
      <c r="D26" s="96"/>
      <c r="E26" s="96"/>
      <c r="F26" s="96"/>
      <c r="G26" s="97"/>
    </row>
    <row r="27" spans="2:8" ht="15" customHeight="1">
      <c r="C27" s="98"/>
      <c r="D27" s="106"/>
      <c r="E27" s="106"/>
      <c r="F27" s="106"/>
      <c r="G27" s="100"/>
    </row>
    <row r="28" spans="2:8">
      <c r="C28" s="98"/>
      <c r="D28" s="106"/>
      <c r="E28" s="106"/>
      <c r="F28" s="106"/>
      <c r="G28" s="100"/>
    </row>
    <row r="29" spans="2:8">
      <c r="C29" s="98"/>
      <c r="D29" s="106"/>
      <c r="E29" s="106"/>
      <c r="F29" s="106"/>
      <c r="G29" s="100"/>
    </row>
    <row r="30" spans="2:8">
      <c r="C30" s="98"/>
      <c r="D30" s="106"/>
      <c r="E30" s="106"/>
      <c r="F30" s="106"/>
      <c r="G30" s="100"/>
    </row>
    <row r="31" spans="2:8">
      <c r="C31" s="98"/>
      <c r="D31" s="106"/>
      <c r="E31" s="106"/>
      <c r="F31" s="106"/>
      <c r="G31" s="100"/>
    </row>
    <row r="32" spans="2:8">
      <c r="C32" s="101"/>
      <c r="D32" s="102"/>
      <c r="E32" s="102"/>
      <c r="F32" s="102"/>
      <c r="G32" s="103"/>
    </row>
    <row r="38" spans="9:9">
      <c r="I38" s="90"/>
    </row>
  </sheetData>
  <mergeCells count="3">
    <mergeCell ref="B3:C3"/>
    <mergeCell ref="D3:G3"/>
    <mergeCell ref="C26:G32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cc7__x6599__x8aac__x660e_ xmlns="879ce5c7-7ac0-470a-8fb0-80b8dfe33f1c" xsi:nil="true"/>
    <CONTENTS xmlns="879ce5c7-7ac0-470a-8fb0-80b8dfe33f1c" xsi:nil="true"/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575628-7ECE-4306-8941-D22ABDCEBDD0}"/>
</file>

<file path=customXml/itemProps2.xml><?xml version="1.0" encoding="utf-8"?>
<ds:datastoreItem xmlns:ds="http://schemas.openxmlformats.org/officeDocument/2006/customXml" ds:itemID="{F4C78D29-AEA0-4087-BB43-789168F44837}"/>
</file>

<file path=customXml/itemProps3.xml><?xml version="1.0" encoding="utf-8"?>
<ds:datastoreItem xmlns:ds="http://schemas.openxmlformats.org/officeDocument/2006/customXml" ds:itemID="{7B048BCE-80CE-41CB-8F4A-37E70C71D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2026-03-26T09:13:12Z</dcterms:created>
  <dcterms:modified xsi:type="dcterms:W3CDTF">2026-07-28T01:59:07Z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