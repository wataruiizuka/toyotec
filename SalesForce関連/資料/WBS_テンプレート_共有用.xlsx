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853781B0-7C45-4A41-A443-2D4D9EED241E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README_入力規則設定" sheetId="4" r:id="rId1"/>
    <sheet name="WBS_テンプレ" sheetId="3" r:id="rId2"/>
    <sheet name="_old_WBS_Kuduバージョン" sheetId="1" state="hidden" r:id="rId3"/>
    <sheet name="ref_祝日・トヨテック休日一覧2026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L5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EL4" i="3"/>
  <c r="EM4" i="3"/>
  <c r="EN4" i="3"/>
  <c r="EO4" i="3"/>
  <c r="EP4" i="3"/>
  <c r="EQ4" i="3"/>
  <c r="ER4" i="3"/>
  <c r="ES4" i="3"/>
  <c r="ET4" i="3"/>
  <c r="EU4" i="3"/>
  <c r="EV4" i="3"/>
  <c r="EW4" i="3"/>
  <c r="EX4" i="3"/>
  <c r="EY4" i="3"/>
  <c r="EZ4" i="3"/>
  <c r="FA4" i="3"/>
  <c r="FB4" i="3"/>
  <c r="FC4" i="3"/>
  <c r="FD4" i="3"/>
  <c r="FE4" i="3"/>
  <c r="FF4" i="3"/>
  <c r="FG4" i="3"/>
  <c r="FH4" i="3"/>
  <c r="FI4" i="3"/>
  <c r="FJ4" i="3"/>
  <c r="FK4" i="3"/>
  <c r="FL4" i="3"/>
  <c r="FM4" i="3"/>
  <c r="FN4" i="3"/>
  <c r="FO4" i="3"/>
  <c r="FP4" i="3"/>
  <c r="FQ4" i="3"/>
  <c r="FR4" i="3"/>
  <c r="FS4" i="3"/>
  <c r="FT4" i="3"/>
  <c r="FU4" i="3"/>
  <c r="FV4" i="3"/>
  <c r="FW4" i="3"/>
  <c r="FX4" i="3"/>
  <c r="FY4" i="3"/>
  <c r="FZ4" i="3"/>
  <c r="GA4" i="3"/>
  <c r="GB4" i="3"/>
  <c r="GC4" i="3"/>
  <c r="GD4" i="3"/>
  <c r="GE4" i="3"/>
  <c r="GF4" i="3"/>
  <c r="GG4" i="3"/>
  <c r="GH4" i="3"/>
  <c r="GI4" i="3"/>
  <c r="GJ4" i="3"/>
  <c r="GK4" i="3"/>
  <c r="GL4" i="3"/>
  <c r="GM4" i="3"/>
  <c r="GN4" i="3"/>
  <c r="GO4" i="3"/>
  <c r="GP4" i="3"/>
  <c r="GQ4" i="3"/>
  <c r="GR4" i="3"/>
  <c r="GS4" i="3"/>
  <c r="GT4" i="3"/>
  <c r="GU4" i="3"/>
  <c r="GV4" i="3"/>
  <c r="GW4" i="3"/>
  <c r="GX4" i="3"/>
  <c r="GY4" i="3"/>
  <c r="GZ4" i="3"/>
  <c r="HA4" i="3"/>
  <c r="HB4" i="3"/>
  <c r="HC4" i="3"/>
  <c r="HD4" i="3"/>
  <c r="HE4" i="3"/>
  <c r="HF4" i="3"/>
  <c r="HG4" i="3"/>
  <c r="HH4" i="3"/>
  <c r="HI4" i="3"/>
  <c r="HJ4" i="3"/>
  <c r="HK4" i="3"/>
  <c r="HL4" i="3"/>
  <c r="HM4" i="3"/>
  <c r="HN4" i="3"/>
  <c r="HO4" i="3"/>
  <c r="HP4" i="3"/>
  <c r="HQ4" i="3"/>
  <c r="HR4" i="3"/>
  <c r="HS4" i="3"/>
  <c r="HT4" i="3"/>
  <c r="HU4" i="3"/>
  <c r="HV4" i="3"/>
  <c r="HW4" i="3"/>
  <c r="HX4" i="3"/>
  <c r="HY4" i="3"/>
  <c r="HZ4" i="3"/>
  <c r="IA4" i="3"/>
  <c r="IB4" i="3"/>
  <c r="IC4" i="3"/>
  <c r="ID4" i="3"/>
  <c r="IE4" i="3"/>
  <c r="IF4" i="3"/>
  <c r="IG4" i="3"/>
  <c r="IH4" i="3"/>
  <c r="II4" i="3"/>
  <c r="IJ4" i="3"/>
  <c r="IK4" i="3"/>
  <c r="IL4" i="3"/>
  <c r="IM4" i="3"/>
  <c r="IN4" i="3"/>
  <c r="IO4" i="3"/>
  <c r="IP4" i="3"/>
  <c r="IQ4" i="3"/>
  <c r="IR4" i="3"/>
  <c r="IS4" i="3"/>
  <c r="IT4" i="3"/>
  <c r="IU4" i="3"/>
  <c r="IV4" i="3"/>
  <c r="IW4" i="3"/>
  <c r="IX4" i="3"/>
  <c r="IY4" i="3"/>
  <c r="IZ4" i="3"/>
  <c r="JA4" i="3"/>
  <c r="JB4" i="3"/>
  <c r="JC4" i="3"/>
  <c r="JD4" i="3"/>
  <c r="JE4" i="3"/>
  <c r="JF4" i="3"/>
  <c r="JG4" i="3"/>
  <c r="JH4" i="3"/>
  <c r="JI4" i="3"/>
  <c r="JJ4" i="3"/>
  <c r="JK4" i="3"/>
  <c r="JL4" i="3"/>
  <c r="JM4" i="3"/>
  <c r="JN4" i="3"/>
  <c r="JO4" i="3"/>
  <c r="JP4" i="3"/>
  <c r="JQ4" i="3"/>
  <c r="JR4" i="3"/>
  <c r="JS4" i="3"/>
  <c r="JT4" i="3"/>
  <c r="JU4" i="3"/>
  <c r="JV4" i="3"/>
  <c r="JW4" i="3"/>
  <c r="JX4" i="3"/>
  <c r="JY4" i="3"/>
  <c r="JZ4" i="3"/>
  <c r="KA4" i="3"/>
  <c r="KB4" i="3"/>
  <c r="KC4" i="3"/>
  <c r="KD4" i="3"/>
  <c r="KE4" i="3"/>
  <c r="KF4" i="3"/>
  <c r="KG4" i="3"/>
  <c r="KH4" i="3"/>
  <c r="KI4" i="3"/>
  <c r="KJ4" i="3"/>
  <c r="KK4" i="3"/>
  <c r="KL4" i="3"/>
  <c r="KM4" i="3"/>
  <c r="KN4" i="3"/>
  <c r="KO4" i="3"/>
  <c r="KP4" i="3"/>
  <c r="KQ4" i="3"/>
  <c r="KR4" i="3"/>
  <c r="KS4" i="3"/>
  <c r="KT4" i="3"/>
  <c r="KU4" i="3"/>
  <c r="KV4" i="3"/>
  <c r="KW4" i="3"/>
  <c r="KX4" i="3"/>
  <c r="KY4" i="3"/>
  <c r="KZ4" i="3"/>
  <c r="LA4" i="3"/>
  <c r="LB4" i="3"/>
  <c r="LC4" i="3"/>
  <c r="LD4" i="3"/>
  <c r="LE4" i="3"/>
  <c r="LF4" i="3"/>
  <c r="LG4" i="3"/>
  <c r="LH4" i="3"/>
  <c r="LI4" i="3"/>
  <c r="LJ4" i="3"/>
  <c r="LK4" i="3"/>
  <c r="LL4" i="3"/>
  <c r="LM4" i="3"/>
  <c r="LN4" i="3"/>
  <c r="LO4" i="3"/>
  <c r="LP4" i="3"/>
  <c r="LQ4" i="3"/>
  <c r="LR4" i="3"/>
  <c r="LS4" i="3"/>
  <c r="LT4" i="3"/>
  <c r="LU4" i="3"/>
  <c r="LV4" i="3"/>
  <c r="LW4" i="3"/>
  <c r="LX4" i="3"/>
  <c r="LY4" i="3"/>
  <c r="LZ4" i="3"/>
  <c r="MA4" i="3"/>
  <c r="MB4" i="3"/>
  <c r="MC4" i="3"/>
  <c r="MD4" i="3"/>
  <c r="ME4" i="3"/>
  <c r="MF4" i="3"/>
  <c r="MG4" i="3"/>
  <c r="MH4" i="3"/>
  <c r="MI4" i="3"/>
  <c r="MJ4" i="3"/>
  <c r="MK4" i="3"/>
  <c r="ML4" i="3"/>
  <c r="MM4" i="3"/>
  <c r="MN4" i="3"/>
  <c r="MO4" i="3"/>
  <c r="MP4" i="3"/>
  <c r="MQ4" i="3"/>
  <c r="MR4" i="3"/>
  <c r="MS4" i="3"/>
  <c r="MT4" i="3"/>
  <c r="MU4" i="3"/>
  <c r="MV4" i="3"/>
  <c r="MW4" i="3"/>
  <c r="MX4" i="3"/>
  <c r="MY4" i="3"/>
  <c r="MZ4" i="3"/>
  <c r="NA4" i="3"/>
  <c r="NB4" i="3"/>
  <c r="NC4" i="3"/>
  <c r="ND4" i="3"/>
  <c r="NE4" i="3"/>
  <c r="NF4" i="3"/>
  <c r="NG4" i="3"/>
  <c r="NH4" i="3"/>
  <c r="NI4" i="3"/>
  <c r="NJ4" i="3"/>
  <c r="NK4" i="3"/>
  <c r="NL4" i="3"/>
  <c r="NM4" i="3"/>
  <c r="NN4" i="3"/>
  <c r="NO4" i="3"/>
  <c r="NP4" i="3"/>
  <c r="NQ4" i="3"/>
  <c r="NR4" i="3"/>
  <c r="NS4" i="3"/>
  <c r="NT4" i="3"/>
  <c r="NU4" i="3"/>
  <c r="NV4" i="3"/>
  <c r="NW4" i="3"/>
  <c r="NX4" i="3"/>
  <c r="NY4" i="3"/>
  <c r="NZ4" i="3"/>
  <c r="OA4" i="3"/>
  <c r="OB4" i="3"/>
  <c r="OC4" i="3"/>
  <c r="OD4" i="3"/>
  <c r="OE4" i="3"/>
  <c r="OF4" i="3"/>
  <c r="OG4" i="3"/>
  <c r="OH4" i="3"/>
  <c r="OI4" i="3"/>
  <c r="OJ4" i="3"/>
  <c r="OK4" i="3"/>
  <c r="OL4" i="3"/>
  <c r="OM4" i="3"/>
  <c r="ON4" i="3"/>
  <c r="OO4" i="3"/>
  <c r="OP4" i="3"/>
  <c r="OQ4" i="3"/>
  <c r="OR4" i="3"/>
  <c r="OS4" i="3"/>
  <c r="OT4" i="3"/>
  <c r="OU4" i="3"/>
  <c r="OV4" i="3"/>
  <c r="OW4" i="3"/>
  <c r="OX4" i="3"/>
  <c r="OY4" i="3"/>
  <c r="OZ4" i="3"/>
  <c r="PA4" i="3"/>
  <c r="PB4" i="3"/>
  <c r="PC4" i="3"/>
  <c r="PD4" i="3"/>
  <c r="PE4" i="3"/>
  <c r="PF4" i="3"/>
  <c r="PG4" i="3"/>
  <c r="PH4" i="3"/>
  <c r="PI4" i="3"/>
  <c r="PJ4" i="3"/>
  <c r="PK4" i="3"/>
  <c r="PL4" i="3"/>
  <c r="PM4" i="3"/>
  <c r="PN4" i="3"/>
  <c r="PO4" i="3"/>
  <c r="PP4" i="3"/>
  <c r="PQ4" i="3"/>
  <c r="PR4" i="3"/>
  <c r="PS4" i="3"/>
  <c r="PT4" i="3"/>
  <c r="PU4" i="3"/>
  <c r="PV4" i="3"/>
  <c r="PW4" i="3"/>
  <c r="PX4" i="3"/>
  <c r="PY4" i="3"/>
  <c r="PZ4" i="3"/>
  <c r="QA4" i="3"/>
  <c r="QB4" i="3"/>
  <c r="QC4" i="3"/>
  <c r="QD4" i="3"/>
  <c r="QE4" i="3"/>
  <c r="QF4" i="3"/>
  <c r="QG4" i="3"/>
  <c r="QH4" i="3"/>
  <c r="QI4" i="3"/>
  <c r="QJ4" i="3"/>
  <c r="QK4" i="3"/>
  <c r="QL4" i="3"/>
  <c r="QM4" i="3"/>
  <c r="QN4" i="3"/>
  <c r="QO4" i="3"/>
  <c r="QP4" i="3"/>
  <c r="QQ4" i="3"/>
  <c r="QR4" i="3"/>
  <c r="QS4" i="3"/>
  <c r="QT4" i="3"/>
  <c r="QU4" i="3"/>
  <c r="QV4" i="3"/>
  <c r="QW4" i="3"/>
  <c r="QX4" i="3"/>
  <c r="QY4" i="3"/>
  <c r="QZ4" i="3"/>
  <c r="RA4" i="3"/>
  <c r="RB4" i="3"/>
  <c r="RC4" i="3"/>
  <c r="RD4" i="3"/>
  <c r="RE4" i="3"/>
  <c r="RF4" i="3"/>
  <c r="RG4" i="3"/>
  <c r="RH4" i="3"/>
  <c r="RI4" i="3"/>
  <c r="RJ4" i="3"/>
  <c r="RK4" i="3"/>
  <c r="RL4" i="3"/>
  <c r="RM4" i="3"/>
  <c r="RN4" i="3"/>
  <c r="RO4" i="3"/>
  <c r="RP4" i="3"/>
  <c r="RQ4" i="3"/>
  <c r="RR4" i="3"/>
  <c r="RS4" i="3"/>
  <c r="RT4" i="3"/>
  <c r="RU4" i="3"/>
  <c r="RV4" i="3"/>
  <c r="RW4" i="3"/>
  <c r="RX4" i="3"/>
  <c r="RY4" i="3"/>
  <c r="RZ4" i="3"/>
  <c r="SA4" i="3"/>
  <c r="SB4" i="3"/>
  <c r="SC4" i="3"/>
  <c r="SD4" i="3"/>
  <c r="SE4" i="3"/>
  <c r="SF4" i="3"/>
  <c r="SG4" i="3"/>
  <c r="SH4" i="3"/>
  <c r="SI4" i="3"/>
  <c r="SJ4" i="3"/>
  <c r="SK4" i="3"/>
  <c r="SL4" i="3"/>
  <c r="SM4" i="3"/>
  <c r="SN4" i="3"/>
  <c r="SO4" i="3"/>
  <c r="SP4" i="3"/>
  <c r="SQ4" i="3"/>
  <c r="SR4" i="3"/>
  <c r="SS4" i="3"/>
  <c r="ST4" i="3"/>
  <c r="SU4" i="3"/>
  <c r="SV4" i="3"/>
  <c r="SW4" i="3"/>
  <c r="SX4" i="3"/>
  <c r="SY4" i="3"/>
  <c r="SZ4" i="3"/>
  <c r="TA4" i="3"/>
  <c r="TB4" i="3"/>
  <c r="TC4" i="3"/>
  <c r="TD4" i="3"/>
  <c r="TE4" i="3"/>
  <c r="TF4" i="3"/>
  <c r="TG4" i="3"/>
  <c r="TH4" i="3"/>
  <c r="TI4" i="3"/>
  <c r="TJ4" i="3"/>
  <c r="TK4" i="3"/>
  <c r="TL4" i="3"/>
  <c r="TM4" i="3"/>
  <c r="TN4" i="3"/>
  <c r="TO4" i="3"/>
  <c r="TP4" i="3"/>
  <c r="TQ4" i="3"/>
  <c r="TR4" i="3"/>
  <c r="TS4" i="3"/>
  <c r="TT4" i="3"/>
  <c r="TU4" i="3"/>
  <c r="TV4" i="3"/>
  <c r="TW4" i="3"/>
  <c r="TX4" i="3"/>
  <c r="TY4" i="3"/>
  <c r="TZ4" i="3"/>
  <c r="UA4" i="3"/>
  <c r="UB4" i="3"/>
  <c r="UC4" i="3"/>
  <c r="UD4" i="3"/>
  <c r="UE4" i="3"/>
  <c r="UF4" i="3"/>
  <c r="UG4" i="3"/>
  <c r="UH4" i="3"/>
  <c r="UI4" i="3"/>
  <c r="UJ4" i="3"/>
  <c r="UK4" i="3"/>
  <c r="UL4" i="3"/>
  <c r="UM4" i="3"/>
  <c r="UN4" i="3"/>
  <c r="UO4" i="3"/>
  <c r="UP4" i="3"/>
  <c r="UQ4" i="3"/>
  <c r="UR4" i="3"/>
  <c r="US4" i="3"/>
  <c r="UT4" i="3"/>
  <c r="UU4" i="3"/>
  <c r="UV4" i="3"/>
  <c r="UW4" i="3"/>
  <c r="UX4" i="3"/>
  <c r="UY4" i="3"/>
  <c r="UZ4" i="3"/>
  <c r="VA4" i="3"/>
  <c r="VB4" i="3"/>
  <c r="VC4" i="3"/>
  <c r="VD4" i="3"/>
  <c r="VE4" i="3"/>
  <c r="VF4" i="3"/>
  <c r="VG4" i="3"/>
  <c r="VH4" i="3"/>
  <c r="VI4" i="3"/>
  <c r="VJ4" i="3"/>
  <c r="VK4" i="3"/>
  <c r="VL4" i="3"/>
  <c r="VM4" i="3"/>
  <c r="VN4" i="3"/>
  <c r="VO4" i="3"/>
  <c r="VP4" i="3"/>
  <c r="VQ4" i="3"/>
  <c r="VR4" i="3"/>
  <c r="VS4" i="3"/>
  <c r="VT4" i="3"/>
  <c r="VU4" i="3"/>
  <c r="VV4" i="3"/>
  <c r="VW4" i="3"/>
  <c r="VX4" i="3"/>
  <c r="VY4" i="3"/>
  <c r="VZ4" i="3"/>
  <c r="WA4" i="3"/>
  <c r="WB4" i="3"/>
  <c r="WC4" i="3"/>
  <c r="WD4" i="3"/>
  <c r="WE4" i="3"/>
  <c r="WF4" i="3"/>
  <c r="WG4" i="3"/>
  <c r="WH4" i="3"/>
  <c r="WI4" i="3"/>
  <c r="WJ4" i="3"/>
  <c r="WK4" i="3"/>
  <c r="WL4" i="3"/>
  <c r="WM4" i="3"/>
  <c r="WN4" i="3"/>
  <c r="WO4" i="3"/>
  <c r="WP4" i="3"/>
  <c r="WQ4" i="3"/>
  <c r="WR4" i="3"/>
  <c r="WS4" i="3"/>
  <c r="WT4" i="3"/>
  <c r="WU4" i="3"/>
  <c r="WV4" i="3"/>
  <c r="WW4" i="3"/>
  <c r="WX4" i="3"/>
  <c r="WY4" i="3"/>
  <c r="WZ4" i="3"/>
  <c r="XA4" i="3"/>
  <c r="XB4" i="3"/>
  <c r="XC4" i="3"/>
  <c r="XD4" i="3"/>
  <c r="XE4" i="3"/>
  <c r="XF4" i="3"/>
  <c r="XG4" i="3"/>
  <c r="XH4" i="3"/>
  <c r="XI4" i="3"/>
  <c r="XJ4" i="3"/>
  <c r="XK4" i="3"/>
  <c r="XL4" i="3"/>
  <c r="XM4" i="3"/>
  <c r="XN4" i="3"/>
  <c r="XO4" i="3"/>
  <c r="XP4" i="3"/>
  <c r="XQ4" i="3"/>
  <c r="XR4" i="3"/>
  <c r="XS4" i="3"/>
  <c r="XT4" i="3"/>
  <c r="XU4" i="3"/>
  <c r="XV4" i="3"/>
  <c r="XW4" i="3"/>
  <c r="XX4" i="3"/>
  <c r="XY4" i="3"/>
  <c r="XZ4" i="3"/>
  <c r="YA4" i="3"/>
  <c r="YB4" i="3"/>
  <c r="YC4" i="3"/>
  <c r="YD4" i="3"/>
  <c r="YE4" i="3"/>
  <c r="YF4" i="3"/>
  <c r="YG4" i="3"/>
  <c r="YH4" i="3"/>
  <c r="YI4" i="3"/>
  <c r="YJ4" i="3"/>
  <c r="YK4" i="3"/>
  <c r="YL4" i="3"/>
  <c r="YM4" i="3"/>
  <c r="YN4" i="3"/>
  <c r="YO4" i="3"/>
  <c r="YP4" i="3"/>
  <c r="YQ4" i="3"/>
  <c r="YR4" i="3"/>
  <c r="YS4" i="3"/>
  <c r="YT4" i="3"/>
  <c r="YU4" i="3"/>
  <c r="YV4" i="3"/>
  <c r="YW4" i="3"/>
  <c r="YX4" i="3"/>
  <c r="YY4" i="3"/>
  <c r="YZ4" i="3"/>
  <c r="ZA4" i="3"/>
  <c r="ZB4" i="3"/>
  <c r="ZC4" i="3"/>
  <c r="ZD4" i="3"/>
  <c r="ZE4" i="3"/>
  <c r="ZF4" i="3"/>
  <c r="ZG4" i="3"/>
  <c r="ZH4" i="3"/>
  <c r="ZI4" i="3"/>
  <c r="ZJ4" i="3"/>
  <c r="ZK4" i="3"/>
  <c r="ZL4" i="3"/>
  <c r="ZM4" i="3"/>
  <c r="ZN4" i="3"/>
  <c r="ZO4" i="3"/>
  <c r="ZP4" i="3"/>
  <c r="ZQ4" i="3"/>
  <c r="ZR4" i="3"/>
  <c r="ZS4" i="3"/>
  <c r="ZT4" i="3"/>
  <c r="ZU4" i="3"/>
  <c r="ZV4" i="3"/>
  <c r="ZW4" i="3"/>
  <c r="ZX4" i="3"/>
  <c r="ZY4" i="3"/>
  <c r="ZZ4" i="3"/>
  <c r="P4" i="3"/>
  <c r="L6" i="3"/>
  <c r="L7" i="3"/>
  <c r="L8" i="3"/>
  <c r="L9" i="3"/>
  <c r="L10" i="3"/>
  <c r="L11" i="3"/>
  <c r="L12" i="3"/>
  <c r="L13" i="3"/>
  <c r="L14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E6" i="3" a="1"/>
  <c r="E6" i="3"/>
  <c r="E7" i="3" a="1"/>
  <c r="E7" i="3"/>
  <c r="E8" i="3" a="1"/>
  <c r="E8" i="3"/>
  <c r="E9" i="3" a="1"/>
  <c r="E9" i="3"/>
  <c r="E10" i="3" a="1"/>
  <c r="E10" i="3"/>
  <c r="E11" i="3" a="1"/>
  <c r="E11" i="3"/>
  <c r="E12" i="3" a="1"/>
  <c r="E12" i="3"/>
  <c r="E13" i="3" a="1"/>
  <c r="E13" i="3"/>
  <c r="E14" i="3" a="1"/>
  <c r="E14" i="3"/>
  <c r="E15" i="3" a="1"/>
  <c r="E15" i="3"/>
  <c r="E16" i="3" a="1"/>
  <c r="E16" i="3"/>
  <c r="E17" i="3" a="1"/>
  <c r="E17" i="3"/>
  <c r="E18" i="3" a="1"/>
  <c r="E18" i="3"/>
  <c r="E19" i="3" a="1"/>
  <c r="E19" i="3"/>
  <c r="E20" i="3" a="1"/>
  <c r="E20" i="3"/>
  <c r="E21" i="3" a="1"/>
  <c r="E21" i="3"/>
  <c r="E22" i="3" a="1"/>
  <c r="E22" i="3"/>
  <c r="E23" i="3" a="1"/>
  <c r="E23" i="3"/>
  <c r="E24" i="3" a="1"/>
  <c r="E24" i="3"/>
  <c r="E25" i="3" a="1"/>
  <c r="E25" i="3"/>
  <c r="E26" i="3" a="1"/>
  <c r="E26" i="3"/>
  <c r="E27" i="3" a="1"/>
  <c r="E27" i="3"/>
  <c r="E28" i="3" a="1"/>
  <c r="E28" i="3"/>
  <c r="E29" i="3" a="1"/>
  <c r="E29" i="3"/>
  <c r="E30" i="3" a="1"/>
  <c r="E30" i="3"/>
  <c r="E31" i="3" a="1"/>
  <c r="E31" i="3"/>
  <c r="E32" i="3" a="1"/>
  <c r="E32" i="3"/>
  <c r="E33" i="3" a="1"/>
  <c r="E33" i="3"/>
  <c r="E34" i="3" a="1"/>
  <c r="E34" i="3"/>
  <c r="E35" i="3" a="1"/>
  <c r="E35" i="3"/>
  <c r="E36" i="3" a="1"/>
  <c r="E36" i="3"/>
  <c r="E37" i="3" a="1"/>
  <c r="E37" i="3"/>
  <c r="E38" i="3" a="1"/>
  <c r="E38" i="3"/>
  <c r="E39" i="3" a="1"/>
  <c r="E39" i="3"/>
  <c r="E40" i="3" a="1"/>
  <c r="E40" i="3"/>
  <c r="E41" i="3" a="1"/>
  <c r="E41" i="3"/>
  <c r="E42" i="3" a="1"/>
  <c r="E42" i="3"/>
  <c r="E43" i="3" a="1"/>
  <c r="E43" i="3"/>
  <c r="E44" i="3" a="1"/>
  <c r="E44" i="3"/>
  <c r="E45" i="3" a="1"/>
  <c r="E45" i="3"/>
  <c r="E46" i="3" a="1"/>
  <c r="E46" i="3"/>
  <c r="E47" i="3" a="1"/>
  <c r="E47" i="3"/>
  <c r="E48" i="3" a="1"/>
  <c r="E48" i="3"/>
  <c r="E49" i="3" a="1"/>
  <c r="E49" i="3"/>
  <c r="E50" i="3" a="1"/>
  <c r="E50" i="3"/>
  <c r="E51" i="3" a="1"/>
  <c r="E51" i="3"/>
  <c r="E52" i="3" a="1"/>
  <c r="E52" i="3"/>
  <c r="E53" i="3" a="1"/>
  <c r="E53" i="3"/>
  <c r="E54" i="3" a="1"/>
  <c r="E54" i="3"/>
  <c r="E55" i="3" a="1"/>
  <c r="E55" i="3"/>
  <c r="E56" i="3" a="1"/>
  <c r="E56" i="3"/>
  <c r="E57" i="3" a="1"/>
  <c r="E57" i="3"/>
  <c r="E58" i="3" a="1"/>
  <c r="E58" i="3"/>
  <c r="E59" i="3" a="1"/>
  <c r="E59" i="3"/>
  <c r="E60" i="3" a="1"/>
  <c r="E60" i="3"/>
  <c r="E61" i="3" a="1"/>
  <c r="E61" i="3"/>
  <c r="E62" i="3" a="1"/>
  <c r="E62" i="3"/>
  <c r="E63" i="3" a="1"/>
  <c r="E63" i="3"/>
  <c r="E64" i="3" a="1"/>
  <c r="E64" i="3"/>
  <c r="E65" i="3" a="1"/>
  <c r="E65" i="3"/>
  <c r="E66" i="3" a="1"/>
  <c r="E66" i="3"/>
  <c r="E67" i="3" a="1"/>
  <c r="E67" i="3"/>
  <c r="E68" i="3" a="1"/>
  <c r="E68" i="3"/>
  <c r="E69" i="3" a="1"/>
  <c r="E69" i="3"/>
  <c r="E70" i="3" a="1"/>
  <c r="E70" i="3"/>
  <c r="E71" i="3" a="1"/>
  <c r="E71" i="3"/>
  <c r="E72" i="3" a="1"/>
  <c r="E72" i="3"/>
  <c r="E73" i="3" a="1"/>
  <c r="E73" i="3"/>
  <c r="E74" i="3" a="1"/>
  <c r="E74" i="3"/>
  <c r="E75" i="3" a="1"/>
  <c r="E75" i="3"/>
  <c r="E76" i="3" a="1"/>
  <c r="E76" i="3"/>
  <c r="E77" i="3" a="1"/>
  <c r="E77" i="3"/>
  <c r="E78" i="3" a="1"/>
  <c r="E78" i="3"/>
  <c r="E79" i="3" a="1"/>
  <c r="E79" i="3"/>
  <c r="E80" i="3" a="1"/>
  <c r="E80" i="3"/>
  <c r="E81" i="3" a="1"/>
  <c r="E81" i="3"/>
  <c r="E82" i="3" a="1"/>
  <c r="E82" i="3"/>
  <c r="E83" i="3" a="1"/>
  <c r="E83" i="3"/>
  <c r="E84" i="3" a="1"/>
  <c r="E84" i="3"/>
  <c r="E85" i="3" a="1"/>
  <c r="E85" i="3"/>
  <c r="E86" i="3" a="1"/>
  <c r="E86" i="3"/>
  <c r="E87" i="3" a="1"/>
  <c r="E87" i="3"/>
  <c r="E88" i="3" a="1"/>
  <c r="E88" i="3"/>
  <c r="E89" i="3" a="1"/>
  <c r="E89" i="3"/>
  <c r="E90" i="3" a="1"/>
  <c r="E90" i="3"/>
  <c r="E91" i="3" a="1"/>
  <c r="E91" i="3"/>
  <c r="E92" i="3" a="1"/>
  <c r="E92" i="3"/>
  <c r="E93" i="3" a="1"/>
  <c r="E93" i="3"/>
  <c r="E94" i="3" a="1"/>
  <c r="E94" i="3"/>
  <c r="E95" i="3" a="1"/>
  <c r="E95" i="3"/>
  <c r="E96" i="3" a="1"/>
  <c r="E96" i="3"/>
  <c r="E97" i="3" a="1"/>
  <c r="E97" i="3"/>
  <c r="E98" i="3" a="1"/>
  <c r="E98" i="3"/>
  <c r="E99" i="3" a="1"/>
  <c r="E99" i="3"/>
  <c r="E100" i="3" a="1"/>
  <c r="E100" i="3"/>
  <c r="E101" i="3" a="1"/>
  <c r="E101" i="3"/>
  <c r="E102" i="3" a="1"/>
  <c r="E102" i="3"/>
  <c r="E103" i="3" a="1"/>
  <c r="E103" i="3"/>
  <c r="E104" i="3" a="1"/>
  <c r="E104" i="3"/>
  <c r="E105" i="3" a="1"/>
  <c r="E105" i="3"/>
  <c r="E106" i="3" a="1"/>
  <c r="E106" i="3"/>
  <c r="E107" i="3" a="1"/>
  <c r="E107" i="3"/>
  <c r="E108" i="3" a="1"/>
  <c r="E108" i="3"/>
  <c r="E109" i="3" a="1"/>
  <c r="E109" i="3"/>
  <c r="E110" i="3" a="1"/>
  <c r="E110" i="3"/>
  <c r="E111" i="3" a="1"/>
  <c r="E111" i="3"/>
  <c r="E112" i="3" a="1"/>
  <c r="E112" i="3"/>
  <c r="E113" i="3" a="1"/>
  <c r="E113" i="3"/>
  <c r="E114" i="3" a="1"/>
  <c r="E114" i="3"/>
  <c r="E115" i="3" a="1"/>
  <c r="E115" i="3"/>
  <c r="E116" i="3" a="1"/>
  <c r="E116" i="3"/>
  <c r="E117" i="3" a="1"/>
  <c r="E117" i="3"/>
  <c r="E118" i="3" a="1"/>
  <c r="E118" i="3"/>
  <c r="E119" i="3" a="1"/>
  <c r="E119" i="3"/>
  <c r="E120" i="3" a="1"/>
  <c r="E120" i="3"/>
  <c r="E121" i="3" a="1"/>
  <c r="E121" i="3"/>
  <c r="E122" i="3" a="1"/>
  <c r="E122" i="3"/>
  <c r="E123" i="3" a="1"/>
  <c r="E123" i="3"/>
  <c r="E124" i="3" a="1"/>
  <c r="E124" i="3"/>
  <c r="E125" i="3" a="1"/>
  <c r="E125" i="3"/>
  <c r="E126" i="3" a="1"/>
  <c r="E126" i="3"/>
  <c r="E127" i="3" a="1"/>
  <c r="E127" i="3"/>
  <c r="E128" i="3" a="1"/>
  <c r="E128" i="3"/>
  <c r="E129" i="3" a="1"/>
  <c r="E129" i="3"/>
  <c r="E130" i="3" a="1"/>
  <c r="E130" i="3"/>
  <c r="E131" i="3" a="1"/>
  <c r="E131" i="3"/>
  <c r="E132" i="3" a="1"/>
  <c r="E132" i="3"/>
  <c r="E133" i="3" a="1"/>
  <c r="E133" i="3"/>
  <c r="E134" i="3" a="1"/>
  <c r="E134" i="3"/>
  <c r="E135" i="3" a="1"/>
  <c r="E135" i="3"/>
  <c r="E136" i="3" a="1"/>
  <c r="E136" i="3"/>
  <c r="E137" i="3" a="1"/>
  <c r="E137" i="3"/>
  <c r="E138" i="3" a="1"/>
  <c r="E138" i="3"/>
  <c r="E139" i="3" a="1"/>
  <c r="E139" i="3"/>
  <c r="E140" i="3" a="1"/>
  <c r="E140" i="3"/>
  <c r="E141" i="3" a="1"/>
  <c r="E141" i="3"/>
  <c r="E142" i="3" a="1"/>
  <c r="E142" i="3"/>
  <c r="E143" i="3" a="1"/>
  <c r="E143" i="3"/>
  <c r="E144" i="3" a="1"/>
  <c r="E144" i="3"/>
  <c r="E145" i="3" a="1"/>
  <c r="E145" i="3"/>
  <c r="E146" i="3" a="1"/>
  <c r="E146" i="3"/>
  <c r="E147" i="3" a="1"/>
  <c r="E147" i="3"/>
  <c r="E148" i="3" a="1"/>
  <c r="E148" i="3"/>
  <c r="E149" i="3" a="1"/>
  <c r="E149" i="3"/>
  <c r="E150" i="3" a="1"/>
  <c r="E150" i="3"/>
  <c r="E151" i="3" a="1"/>
  <c r="E151" i="3"/>
  <c r="E152" i="3" a="1"/>
  <c r="E152" i="3"/>
  <c r="E153" i="3" a="1"/>
  <c r="E153" i="3"/>
  <c r="E154" i="3" a="1"/>
  <c r="E154" i="3"/>
  <c r="E155" i="3" a="1"/>
  <c r="E155" i="3"/>
  <c r="E156" i="3" a="1"/>
  <c r="E156" i="3"/>
  <c r="E157" i="3" a="1"/>
  <c r="E157" i="3"/>
  <c r="E158" i="3" a="1"/>
  <c r="E158" i="3"/>
  <c r="E159" i="3" a="1"/>
  <c r="E159" i="3"/>
  <c r="E160" i="3" a="1"/>
  <c r="E160" i="3"/>
  <c r="E161" i="3" a="1"/>
  <c r="E161" i="3"/>
  <c r="E162" i="3" a="1"/>
  <c r="E162" i="3"/>
  <c r="E163" i="3" a="1"/>
  <c r="E163" i="3"/>
  <c r="E164" i="3" a="1"/>
  <c r="E164" i="3"/>
  <c r="E165" i="3" a="1"/>
  <c r="E165" i="3"/>
  <c r="E166" i="3" a="1"/>
  <c r="E166" i="3"/>
  <c r="E167" i="3" a="1"/>
  <c r="E167" i="3"/>
  <c r="E168" i="3" a="1"/>
  <c r="E168" i="3"/>
  <c r="E169" i="3" a="1"/>
  <c r="E169" i="3"/>
  <c r="E170" i="3" a="1"/>
  <c r="E170" i="3"/>
  <c r="E171" i="3" a="1"/>
  <c r="E171" i="3"/>
  <c r="E172" i="3" a="1"/>
  <c r="E172" i="3"/>
  <c r="E173" i="3" a="1"/>
  <c r="E173" i="3"/>
  <c r="E174" i="3" a="1"/>
  <c r="E174" i="3"/>
  <c r="E175" i="3" a="1"/>
  <c r="E175" i="3"/>
  <c r="E176" i="3" a="1"/>
  <c r="E176" i="3"/>
  <c r="E177" i="3" a="1"/>
  <c r="E177" i="3"/>
  <c r="E178" i="3" a="1"/>
  <c r="E178" i="3"/>
  <c r="E179" i="3" a="1"/>
  <c r="E179" i="3"/>
  <c r="E180" i="3" a="1"/>
  <c r="E180" i="3"/>
  <c r="E181" i="3" a="1"/>
  <c r="E181" i="3"/>
  <c r="E182" i="3" a="1"/>
  <c r="E182" i="3"/>
  <c r="E183" i="3" a="1"/>
  <c r="E183" i="3"/>
  <c r="E184" i="3" a="1"/>
  <c r="E184" i="3"/>
  <c r="E185" i="3" a="1"/>
  <c r="E185" i="3"/>
  <c r="E186" i="3" a="1"/>
  <c r="E186" i="3"/>
  <c r="E187" i="3" a="1"/>
  <c r="E187" i="3"/>
  <c r="E188" i="3" a="1"/>
  <c r="E188" i="3"/>
  <c r="E189" i="3" a="1"/>
  <c r="E189" i="3"/>
  <c r="E190" i="3" a="1"/>
  <c r="E190" i="3"/>
  <c r="E191" i="3" a="1"/>
  <c r="E191" i="3"/>
  <c r="E192" i="3" a="1"/>
  <c r="E192" i="3"/>
  <c r="E193" i="3" a="1"/>
  <c r="E193" i="3"/>
  <c r="E194" i="3" a="1"/>
  <c r="E194" i="3"/>
  <c r="E195" i="3" a="1"/>
  <c r="E195" i="3"/>
  <c r="E196" i="3" a="1"/>
  <c r="E196" i="3"/>
  <c r="E197" i="3" a="1"/>
  <c r="E197" i="3"/>
  <c r="E198" i="3" a="1"/>
  <c r="E198" i="3"/>
  <c r="E199" i="3" a="1"/>
  <c r="E199" i="3"/>
  <c r="E200" i="3" a="1"/>
  <c r="E200" i="3"/>
  <c r="E5" i="3" a="1"/>
  <c r="E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5" i="3"/>
  <c r="F5" i="3"/>
  <c r="D5" i="3"/>
  <c r="G12" i="1"/>
  <c r="H13" i="1"/>
  <c r="F18" i="1"/>
  <c r="H18" i="1"/>
  <c r="G11" i="1"/>
  <c r="H11" i="1"/>
  <c r="F11" i="1"/>
  <c r="F5" i="1"/>
  <c r="G13" i="1"/>
  <c r="G14" i="1"/>
  <c r="G15" i="1"/>
  <c r="G16" i="1"/>
  <c r="F12" i="1"/>
  <c r="H12" i="1"/>
  <c r="F13" i="1"/>
  <c r="F14" i="1"/>
  <c r="H14" i="1"/>
  <c r="F15" i="1"/>
  <c r="H15" i="1"/>
  <c r="F16" i="1"/>
  <c r="H16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F38" i="1"/>
  <c r="G38" i="1"/>
  <c r="H38" i="1"/>
  <c r="F17" i="1"/>
  <c r="G17" i="1"/>
  <c r="H17" i="1"/>
  <c r="G39" i="1"/>
  <c r="H39" i="1"/>
  <c r="G40" i="1"/>
  <c r="H40" i="1"/>
  <c r="G41" i="1"/>
  <c r="G42" i="1"/>
  <c r="G43" i="1"/>
  <c r="G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5" i="1"/>
  <c r="H5" i="1"/>
  <c r="G6" i="1"/>
  <c r="H6" i="1"/>
  <c r="G7" i="1"/>
  <c r="H7" i="1"/>
  <c r="G8" i="1"/>
  <c r="H8" i="1"/>
  <c r="G9" i="1"/>
  <c r="H9" i="1"/>
  <c r="G10" i="1"/>
  <c r="H10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F204" i="1"/>
  <c r="G204" i="1"/>
  <c r="H204" i="1"/>
  <c r="F205" i="1"/>
  <c r="G205" i="1"/>
  <c r="H205" i="1"/>
  <c r="F206" i="1"/>
  <c r="G206" i="1"/>
  <c r="H206" i="1"/>
  <c r="F207" i="1"/>
  <c r="G207" i="1"/>
  <c r="H207" i="1"/>
  <c r="F208" i="1"/>
  <c r="G208" i="1"/>
  <c r="H208" i="1"/>
  <c r="F209" i="1"/>
  <c r="G209" i="1"/>
  <c r="H209" i="1"/>
  <c r="F210" i="1"/>
  <c r="G210" i="1"/>
  <c r="H210" i="1"/>
  <c r="F211" i="1"/>
  <c r="G211" i="1"/>
  <c r="H211" i="1"/>
  <c r="F212" i="1"/>
  <c r="G212" i="1"/>
  <c r="H212" i="1"/>
  <c r="F213" i="1"/>
  <c r="G213" i="1"/>
  <c r="H213" i="1"/>
  <c r="F214" i="1"/>
  <c r="G214" i="1"/>
  <c r="H214" i="1"/>
  <c r="F215" i="1"/>
  <c r="G215" i="1"/>
  <c r="H215" i="1"/>
  <c r="F216" i="1"/>
  <c r="G216" i="1"/>
  <c r="H216" i="1"/>
  <c r="F217" i="1"/>
  <c r="G217" i="1"/>
  <c r="H217" i="1"/>
  <c r="F218" i="1"/>
  <c r="G218" i="1"/>
  <c r="H218" i="1"/>
  <c r="F219" i="1"/>
  <c r="G219" i="1"/>
  <c r="H219" i="1"/>
  <c r="F220" i="1"/>
  <c r="G220" i="1"/>
  <c r="H220" i="1"/>
  <c r="F221" i="1"/>
  <c r="G221" i="1"/>
  <c r="H221" i="1"/>
  <c r="F222" i="1"/>
  <c r="G222" i="1"/>
  <c r="H222" i="1"/>
  <c r="F223" i="1"/>
  <c r="G223" i="1"/>
  <c r="H223" i="1"/>
  <c r="F224" i="1"/>
  <c r="G224" i="1"/>
  <c r="H224" i="1"/>
  <c r="F225" i="1"/>
  <c r="G225" i="1"/>
  <c r="H225" i="1"/>
  <c r="F226" i="1"/>
  <c r="G226" i="1"/>
  <c r="H226" i="1"/>
  <c r="F227" i="1"/>
  <c r="G227" i="1"/>
  <c r="H227" i="1"/>
  <c r="F228" i="1"/>
  <c r="G228" i="1"/>
  <c r="H228" i="1"/>
  <c r="F229" i="1"/>
  <c r="G229" i="1"/>
  <c r="H229" i="1"/>
  <c r="F230" i="1"/>
  <c r="G230" i="1"/>
  <c r="H230" i="1"/>
  <c r="F231" i="1"/>
  <c r="G231" i="1"/>
  <c r="H231" i="1"/>
  <c r="F232" i="1"/>
  <c r="G232" i="1"/>
  <c r="H232" i="1"/>
  <c r="F233" i="1"/>
  <c r="G233" i="1"/>
  <c r="H233" i="1"/>
  <c r="F234" i="1"/>
  <c r="G234" i="1"/>
  <c r="H234" i="1"/>
  <c r="F235" i="1"/>
  <c r="G235" i="1"/>
  <c r="H235" i="1"/>
  <c r="F236" i="1"/>
  <c r="G236" i="1"/>
  <c r="H236" i="1"/>
  <c r="F237" i="1"/>
  <c r="G237" i="1"/>
  <c r="H237" i="1"/>
  <c r="F238" i="1"/>
  <c r="G238" i="1"/>
  <c r="H238" i="1"/>
  <c r="F239" i="1"/>
  <c r="G239" i="1"/>
  <c r="H239" i="1"/>
  <c r="F240" i="1"/>
  <c r="G240" i="1"/>
  <c r="H240" i="1"/>
  <c r="F241" i="1"/>
  <c r="G241" i="1"/>
  <c r="H241" i="1"/>
  <c r="F242" i="1"/>
  <c r="G242" i="1"/>
  <c r="H242" i="1"/>
  <c r="F243" i="1"/>
  <c r="G243" i="1"/>
  <c r="H243" i="1"/>
  <c r="F244" i="1"/>
  <c r="G244" i="1"/>
  <c r="H244" i="1"/>
  <c r="F245" i="1"/>
  <c r="G245" i="1"/>
  <c r="H245" i="1"/>
  <c r="F246" i="1"/>
  <c r="G246" i="1"/>
  <c r="H246" i="1"/>
  <c r="F247" i="1"/>
  <c r="G247" i="1"/>
  <c r="H247" i="1"/>
  <c r="F248" i="1"/>
  <c r="G248" i="1"/>
  <c r="H248" i="1"/>
  <c r="F249" i="1"/>
  <c r="G249" i="1"/>
  <c r="H249" i="1"/>
  <c r="F250" i="1"/>
  <c r="G250" i="1"/>
  <c r="H250" i="1"/>
  <c r="F251" i="1"/>
  <c r="G251" i="1"/>
  <c r="H251" i="1"/>
  <c r="F252" i="1"/>
  <c r="G252" i="1"/>
  <c r="H252" i="1"/>
  <c r="F253" i="1"/>
  <c r="G253" i="1"/>
  <c r="H253" i="1"/>
  <c r="F254" i="1"/>
  <c r="G254" i="1"/>
  <c r="H254" i="1"/>
  <c r="F255" i="1"/>
  <c r="G255" i="1"/>
  <c r="H255" i="1"/>
  <c r="F256" i="1"/>
  <c r="G256" i="1"/>
  <c r="H256" i="1"/>
  <c r="F257" i="1"/>
  <c r="G257" i="1"/>
  <c r="H257" i="1"/>
  <c r="F258" i="1"/>
  <c r="G258" i="1"/>
  <c r="H258" i="1"/>
  <c r="F259" i="1"/>
  <c r="G259" i="1"/>
  <c r="H259" i="1"/>
  <c r="F260" i="1"/>
  <c r="G260" i="1"/>
  <c r="H260" i="1"/>
  <c r="F261" i="1"/>
  <c r="G261" i="1"/>
  <c r="H261" i="1"/>
  <c r="F262" i="1"/>
  <c r="G262" i="1"/>
  <c r="H262" i="1"/>
  <c r="F263" i="1"/>
  <c r="G263" i="1"/>
  <c r="H263" i="1"/>
  <c r="F264" i="1"/>
  <c r="G264" i="1"/>
  <c r="H264" i="1"/>
  <c r="F265" i="1"/>
  <c r="G265" i="1"/>
  <c r="H265" i="1"/>
  <c r="F266" i="1"/>
  <c r="G266" i="1"/>
  <c r="H266" i="1"/>
  <c r="F267" i="1"/>
  <c r="G267" i="1"/>
  <c r="H267" i="1"/>
  <c r="F268" i="1"/>
  <c r="G268" i="1"/>
  <c r="H268" i="1"/>
  <c r="F269" i="1"/>
  <c r="G269" i="1"/>
  <c r="H269" i="1"/>
  <c r="F270" i="1"/>
  <c r="G270" i="1"/>
  <c r="H270" i="1"/>
  <c r="F271" i="1"/>
  <c r="G271" i="1"/>
  <c r="H271" i="1"/>
  <c r="F272" i="1"/>
  <c r="G272" i="1"/>
  <c r="H272" i="1"/>
  <c r="F273" i="1"/>
  <c r="G273" i="1"/>
  <c r="H273" i="1"/>
  <c r="F274" i="1"/>
  <c r="G274" i="1"/>
  <c r="H274" i="1"/>
  <c r="F275" i="1"/>
  <c r="G275" i="1"/>
  <c r="H275" i="1"/>
  <c r="F276" i="1"/>
  <c r="G276" i="1"/>
  <c r="H276" i="1"/>
  <c r="F277" i="1"/>
  <c r="G277" i="1"/>
  <c r="H277" i="1"/>
  <c r="F278" i="1"/>
  <c r="G278" i="1"/>
  <c r="H278" i="1"/>
  <c r="F279" i="1"/>
  <c r="G279" i="1"/>
  <c r="H279" i="1"/>
  <c r="F280" i="1"/>
  <c r="G280" i="1"/>
  <c r="H280" i="1"/>
  <c r="F281" i="1"/>
  <c r="G281" i="1"/>
  <c r="H281" i="1"/>
  <c r="F282" i="1"/>
  <c r="G282" i="1"/>
  <c r="H282" i="1"/>
  <c r="F283" i="1"/>
  <c r="G283" i="1"/>
  <c r="H283" i="1"/>
  <c r="F284" i="1"/>
  <c r="G284" i="1"/>
  <c r="H284" i="1"/>
  <c r="F285" i="1"/>
  <c r="G285" i="1"/>
  <c r="H285" i="1"/>
  <c r="F286" i="1"/>
  <c r="G286" i="1"/>
  <c r="H286" i="1"/>
  <c r="F287" i="1"/>
  <c r="G287" i="1"/>
  <c r="H287" i="1"/>
  <c r="F288" i="1"/>
  <c r="G288" i="1"/>
  <c r="H288" i="1"/>
  <c r="F289" i="1"/>
  <c r="G289" i="1"/>
  <c r="H289" i="1"/>
  <c r="F290" i="1"/>
  <c r="G290" i="1"/>
  <c r="H290" i="1"/>
  <c r="F291" i="1"/>
  <c r="G291" i="1"/>
  <c r="H291" i="1"/>
  <c r="F292" i="1"/>
  <c r="G292" i="1"/>
  <c r="H292" i="1"/>
  <c r="F293" i="1"/>
  <c r="G293" i="1"/>
  <c r="H293" i="1"/>
  <c r="F294" i="1"/>
  <c r="G294" i="1"/>
  <c r="H294" i="1"/>
  <c r="F295" i="1"/>
  <c r="G295" i="1"/>
  <c r="H295" i="1"/>
  <c r="F296" i="1"/>
  <c r="G296" i="1"/>
  <c r="H296" i="1"/>
  <c r="F297" i="1"/>
  <c r="G297" i="1"/>
  <c r="H297" i="1"/>
  <c r="E6" i="1"/>
  <c r="E7" i="1"/>
  <c r="E8" i="1"/>
  <c r="E9" i="1"/>
  <c r="E10" i="1"/>
  <c r="E11" i="1"/>
  <c r="E12" i="1"/>
  <c r="E13" i="1"/>
  <c r="E14" i="1"/>
  <c r="E15" i="1"/>
  <c r="E16" i="1"/>
  <c r="E19" i="1"/>
  <c r="E20" i="1"/>
  <c r="E22" i="1"/>
  <c r="E23" i="1"/>
  <c r="E24" i="1"/>
  <c r="E25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5" i="1"/>
  <c r="F7" i="1"/>
  <c r="F8" i="1"/>
  <c r="F9" i="1"/>
  <c r="F10" i="1"/>
  <c r="B39" i="1"/>
  <c r="F39" i="1" s="1"/>
  <c r="B40" i="1"/>
  <c r="F40" i="1" s="1"/>
  <c r="B41" i="1"/>
  <c r="F41" i="1" s="1"/>
  <c r="B42" i="1"/>
  <c r="F42" i="1" s="1"/>
  <c r="B43" i="1"/>
  <c r="F43" i="1" s="1"/>
  <c r="B44" i="1"/>
  <c r="F44" i="1" s="1"/>
  <c r="B45" i="1"/>
  <c r="F45" i="1" s="1"/>
  <c r="B46" i="1"/>
  <c r="F46" i="1" s="1"/>
  <c r="B47" i="1"/>
  <c r="F47" i="1" s="1"/>
  <c r="B48" i="1"/>
  <c r="F48" i="1" s="1"/>
  <c r="B49" i="1"/>
  <c r="F49" i="1" s="1"/>
  <c r="B50" i="1"/>
  <c r="F50" i="1" s="1"/>
  <c r="B51" i="1"/>
  <c r="F51" i="1" s="1"/>
  <c r="B52" i="1"/>
  <c r="F52" i="1" s="1"/>
  <c r="B53" i="1"/>
  <c r="F53" i="1" s="1"/>
  <c r="B54" i="1"/>
  <c r="F54" i="1" s="1"/>
  <c r="B55" i="1"/>
  <c r="F55" i="1" s="1"/>
  <c r="B56" i="1"/>
  <c r="F56" i="1" s="1"/>
  <c r="B57" i="1"/>
  <c r="F57" i="1" s="1"/>
  <c r="B58" i="1"/>
  <c r="F58" i="1" s="1"/>
  <c r="B59" i="1"/>
  <c r="F59" i="1" s="1"/>
  <c r="B60" i="1"/>
  <c r="F60" i="1" s="1"/>
  <c r="B61" i="1"/>
  <c r="F61" i="1" s="1"/>
  <c r="B62" i="1"/>
  <c r="F62" i="1" s="1"/>
  <c r="B63" i="1"/>
  <c r="F63" i="1" s="1"/>
  <c r="B64" i="1"/>
  <c r="F64" i="1" s="1"/>
  <c r="B65" i="1"/>
  <c r="F65" i="1" s="1"/>
  <c r="B66" i="1"/>
  <c r="F66" i="1" s="1"/>
  <c r="B67" i="1"/>
  <c r="F67" i="1" s="1"/>
  <c r="B68" i="1"/>
  <c r="F68" i="1" s="1"/>
  <c r="B69" i="1"/>
  <c r="F69" i="1" s="1"/>
  <c r="B70" i="1"/>
  <c r="F70" i="1" s="1"/>
  <c r="B71" i="1"/>
  <c r="F71" i="1" s="1"/>
  <c r="B72" i="1"/>
  <c r="F72" i="1" s="1"/>
  <c r="B73" i="1"/>
  <c r="F73" i="1" s="1"/>
  <c r="B74" i="1"/>
  <c r="F74" i="1" s="1"/>
  <c r="B75" i="1"/>
  <c r="F75" i="1" s="1"/>
  <c r="B76" i="1"/>
  <c r="F76" i="1" s="1"/>
  <c r="B77" i="1"/>
  <c r="F77" i="1" s="1"/>
  <c r="B78" i="1"/>
  <c r="F78" i="1" s="1"/>
  <c r="B79" i="1"/>
  <c r="F79" i="1" s="1"/>
  <c r="B80" i="1"/>
  <c r="F80" i="1" s="1"/>
  <c r="B81" i="1"/>
  <c r="F81" i="1" s="1"/>
  <c r="B82" i="1"/>
  <c r="F82" i="1" s="1"/>
  <c r="B83" i="1"/>
  <c r="F83" i="1" s="1"/>
  <c r="B84" i="1"/>
  <c r="F84" i="1" s="1"/>
  <c r="B85" i="1"/>
  <c r="F85" i="1" s="1"/>
  <c r="B86" i="1"/>
  <c r="F86" i="1" s="1"/>
  <c r="B87" i="1"/>
  <c r="F87" i="1" s="1"/>
  <c r="B88" i="1"/>
  <c r="F88" i="1" s="1"/>
  <c r="B89" i="1"/>
  <c r="F89" i="1" s="1"/>
  <c r="B90" i="1"/>
  <c r="F90" i="1" s="1"/>
  <c r="B91" i="1"/>
  <c r="F91" i="1" s="1"/>
  <c r="B92" i="1"/>
  <c r="F92" i="1" s="1"/>
  <c r="B93" i="1"/>
  <c r="F93" i="1" s="1"/>
  <c r="B94" i="1"/>
  <c r="F94" i="1" s="1"/>
  <c r="B95" i="1"/>
  <c r="F95" i="1" s="1"/>
  <c r="B96" i="1"/>
  <c r="F96" i="1" s="1"/>
  <c r="B97" i="1"/>
  <c r="F97" i="1" s="1"/>
  <c r="B98" i="1"/>
  <c r="F98" i="1" s="1"/>
  <c r="B99" i="1"/>
  <c r="F99" i="1" s="1"/>
  <c r="B100" i="1"/>
  <c r="F100" i="1" s="1"/>
  <c r="B101" i="1"/>
  <c r="F101" i="1" s="1"/>
  <c r="B102" i="1"/>
  <c r="F102" i="1" s="1"/>
  <c r="B103" i="1"/>
  <c r="F103" i="1" s="1"/>
  <c r="B104" i="1"/>
  <c r="F104" i="1" s="1"/>
  <c r="B105" i="1"/>
  <c r="F105" i="1" s="1"/>
  <c r="B106" i="1"/>
  <c r="F106" i="1" s="1"/>
  <c r="B107" i="1"/>
  <c r="F107" i="1" s="1"/>
  <c r="B108" i="1"/>
  <c r="F108" i="1" s="1"/>
  <c r="B109" i="1"/>
  <c r="F109" i="1" s="1"/>
  <c r="B110" i="1"/>
  <c r="F110" i="1" s="1"/>
  <c r="B111" i="1"/>
  <c r="F111" i="1" s="1"/>
  <c r="B112" i="1"/>
  <c r="F112" i="1" s="1"/>
  <c r="B113" i="1"/>
  <c r="F113" i="1" s="1"/>
  <c r="B114" i="1"/>
  <c r="F114" i="1" s="1"/>
  <c r="B115" i="1"/>
  <c r="F115" i="1" s="1"/>
  <c r="B116" i="1"/>
  <c r="F116" i="1" s="1"/>
  <c r="B117" i="1"/>
  <c r="F117" i="1" s="1"/>
  <c r="B118" i="1"/>
  <c r="F118" i="1" s="1"/>
  <c r="B119" i="1"/>
  <c r="F119" i="1" s="1"/>
  <c r="B120" i="1"/>
  <c r="F120" i="1" s="1"/>
  <c r="B121" i="1"/>
  <c r="F121" i="1" s="1"/>
  <c r="B122" i="1"/>
  <c r="F122" i="1" s="1"/>
  <c r="B123" i="1"/>
  <c r="F123" i="1" s="1"/>
  <c r="B124" i="1"/>
  <c r="F124" i="1" s="1"/>
  <c r="B125" i="1"/>
  <c r="F125" i="1" s="1"/>
  <c r="B126" i="1"/>
  <c r="F126" i="1" s="1"/>
  <c r="B127" i="1"/>
  <c r="F127" i="1" s="1"/>
  <c r="B128" i="1"/>
  <c r="F128" i="1" s="1"/>
  <c r="B129" i="1"/>
  <c r="F129" i="1" s="1"/>
  <c r="B130" i="1"/>
  <c r="F130" i="1" s="1"/>
  <c r="B131" i="1"/>
  <c r="F131" i="1" s="1"/>
  <c r="B132" i="1"/>
  <c r="F132" i="1" s="1"/>
  <c r="B133" i="1"/>
  <c r="F133" i="1" s="1"/>
  <c r="B134" i="1"/>
  <c r="F134" i="1" s="1"/>
  <c r="B135" i="1"/>
  <c r="F135" i="1" s="1"/>
  <c r="B136" i="1"/>
  <c r="F136" i="1" s="1"/>
  <c r="B137" i="1"/>
  <c r="F137" i="1" s="1"/>
  <c r="B138" i="1"/>
  <c r="F138" i="1" s="1"/>
  <c r="B139" i="1"/>
  <c r="F139" i="1" s="1"/>
  <c r="B140" i="1"/>
  <c r="F140" i="1" s="1"/>
  <c r="B141" i="1"/>
  <c r="F141" i="1" s="1"/>
  <c r="B142" i="1"/>
  <c r="F142" i="1" s="1"/>
  <c r="B143" i="1"/>
  <c r="F143" i="1" s="1"/>
  <c r="B144" i="1"/>
  <c r="F144" i="1" s="1"/>
  <c r="B145" i="1"/>
  <c r="F145" i="1" s="1"/>
  <c r="B146" i="1"/>
  <c r="F146" i="1" s="1"/>
  <c r="B147" i="1"/>
  <c r="F147" i="1" s="1"/>
  <c r="B148" i="1"/>
  <c r="F148" i="1" s="1"/>
  <c r="B149" i="1"/>
  <c r="F149" i="1" s="1"/>
  <c r="B150" i="1"/>
  <c r="F150" i="1" s="1"/>
  <c r="B151" i="1"/>
  <c r="F151" i="1" s="1"/>
  <c r="B152" i="1"/>
  <c r="F152" i="1" s="1"/>
  <c r="B153" i="1"/>
  <c r="F153" i="1" s="1"/>
  <c r="B154" i="1"/>
  <c r="F154" i="1" s="1"/>
  <c r="B155" i="1"/>
  <c r="F155" i="1" s="1"/>
  <c r="B156" i="1"/>
  <c r="F156" i="1" s="1"/>
  <c r="B157" i="1"/>
  <c r="F157" i="1" s="1"/>
  <c r="B158" i="1"/>
  <c r="F158" i="1" s="1"/>
  <c r="B159" i="1"/>
  <c r="F159" i="1" s="1"/>
  <c r="B160" i="1"/>
  <c r="F160" i="1" s="1"/>
  <c r="B161" i="1"/>
  <c r="F161" i="1" s="1"/>
  <c r="B162" i="1"/>
  <c r="F162" i="1" s="1"/>
  <c r="B163" i="1"/>
  <c r="F163" i="1" s="1"/>
  <c r="B164" i="1"/>
  <c r="F164" i="1" s="1"/>
  <c r="B165" i="1"/>
  <c r="F165" i="1" s="1"/>
  <c r="B166" i="1"/>
  <c r="F166" i="1" s="1"/>
  <c r="B167" i="1"/>
  <c r="F167" i="1" s="1"/>
  <c r="B168" i="1"/>
  <c r="F168" i="1" s="1"/>
  <c r="B169" i="1"/>
  <c r="F169" i="1" s="1"/>
  <c r="B170" i="1"/>
  <c r="F170" i="1" s="1"/>
  <c r="B171" i="1"/>
  <c r="F171" i="1" s="1"/>
  <c r="B172" i="1"/>
  <c r="F172" i="1" s="1"/>
  <c r="B173" i="1"/>
  <c r="F173" i="1" s="1"/>
  <c r="B174" i="1"/>
  <c r="F174" i="1" s="1"/>
  <c r="B175" i="1"/>
  <c r="F175" i="1" s="1"/>
  <c r="B176" i="1"/>
  <c r="F176" i="1" s="1"/>
  <c r="B177" i="1"/>
  <c r="F177" i="1" s="1"/>
  <c r="B178" i="1"/>
  <c r="F178" i="1" s="1"/>
  <c r="B179" i="1"/>
  <c r="F179" i="1" s="1"/>
  <c r="B180" i="1"/>
  <c r="F180" i="1" s="1"/>
  <c r="B181" i="1"/>
  <c r="F181" i="1" s="1"/>
  <c r="B182" i="1"/>
  <c r="F182" i="1" s="1"/>
  <c r="B183" i="1"/>
  <c r="F183" i="1" s="1"/>
  <c r="B184" i="1"/>
  <c r="F184" i="1" s="1"/>
  <c r="B185" i="1"/>
  <c r="F185" i="1" s="1"/>
  <c r="B186" i="1"/>
  <c r="F186" i="1" s="1"/>
  <c r="B187" i="1"/>
  <c r="F187" i="1" s="1"/>
  <c r="B188" i="1"/>
  <c r="F188" i="1" s="1"/>
  <c r="B189" i="1"/>
  <c r="F189" i="1" s="1"/>
  <c r="B190" i="1"/>
  <c r="F190" i="1" s="1"/>
  <c r="B191" i="1"/>
  <c r="F191" i="1" s="1"/>
  <c r="B192" i="1"/>
  <c r="F192" i="1" s="1"/>
  <c r="B193" i="1"/>
  <c r="F193" i="1" s="1"/>
  <c r="B194" i="1"/>
  <c r="F194" i="1" s="1"/>
  <c r="B195" i="1"/>
  <c r="F195" i="1" s="1"/>
  <c r="B196" i="1"/>
  <c r="F196" i="1" s="1"/>
  <c r="B197" i="1"/>
  <c r="F197" i="1" s="1"/>
  <c r="B198" i="1"/>
  <c r="F198" i="1" s="1"/>
  <c r="B199" i="1"/>
  <c r="F199" i="1" s="1"/>
  <c r="B200" i="1"/>
  <c r="F200" i="1" s="1"/>
  <c r="B201" i="1"/>
  <c r="F201" i="1" s="1"/>
  <c r="B202" i="1"/>
  <c r="F202" i="1" s="1"/>
  <c r="B203" i="1"/>
  <c r="F203" i="1" s="1"/>
  <c r="L16" i="3" l="1"/>
  <c r="L15" i="3"/>
  <c r="F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<sst xmlns="http://schemas.openxmlformats.org/spreadsheetml/2006/main" count="497" uniqueCount="161">
  <si>
    <t>範囲</t>
  </si>
  <si>
    <t>入力規則</t>
  </si>
  <si>
    <t>A:D</t>
  </si>
  <si>
    <t>自由入力</t>
  </si>
  <si>
    <t>E:H</t>
  </si>
  <si>
    <t>編集禁止</t>
  </si>
  <si>
    <t>J:J</t>
  </si>
  <si>
    <t>チーム一覧</t>
  </si>
  <si>
    <t>M:M</t>
  </si>
  <si>
    <t>ステータス一覧</t>
  </si>
  <si>
    <t>入力用</t>
  </si>
  <si>
    <t>表示用</t>
  </si>
  <si>
    <t>Sprint7</t>
  </si>
  <si>
    <t>Sprint8</t>
  </si>
  <si>
    <t>Sprint9</t>
  </si>
  <si>
    <t>夏休みーーーーーーーーーーーーーーーーーーーーーーーーーー＞</t>
  </si>
  <si>
    <t>Sprint10</t>
  </si>
  <si>
    <t>Sprint11</t>
  </si>
  <si>
    <t>大項目</t>
  </si>
  <si>
    <t>中項目</t>
  </si>
  <si>
    <t>小項目</t>
  </si>
  <si>
    <t>プロジェクト</t>
  </si>
  <si>
    <t>タスク明細</t>
  </si>
  <si>
    <t>担当</t>
  </si>
  <si>
    <t>PROEVER情報</t>
  </si>
  <si>
    <t>スケジュール</t>
  </si>
  <si>
    <t>ステータス</t>
  </si>
  <si>
    <t>タイトル</t>
  </si>
  <si>
    <t>中項番</t>
  </si>
  <si>
    <t>小項番</t>
  </si>
  <si>
    <t>チーム</t>
  </si>
  <si>
    <t>担当者</t>
  </si>
  <si>
    <t>URL</t>
  </si>
  <si>
    <t>タイトル（自動作成）</t>
  </si>
  <si>
    <t>開始日</t>
  </si>
  <si>
    <t>終了日</t>
  </si>
  <si>
    <t>-</t>
  </si>
  <si>
    <t>大項目（プロジェクト名）</t>
  </si>
  <si>
    <t>中項目1</t>
  </si>
  <si>
    <t>小項目1</t>
  </si>
  <si>
    <t>トヨタシステムズ</t>
  </si>
  <si>
    <t>A</t>
  </si>
  <si>
    <t>完了</t>
  </si>
  <si>
    <t>小項目2</t>
  </si>
  <si>
    <t>データ基盤</t>
  </si>
  <si>
    <t>B</t>
  </si>
  <si>
    <t>中項目2</t>
  </si>
  <si>
    <t>小項目3</t>
  </si>
  <si>
    <t>インフラ</t>
  </si>
  <si>
    <t>C</t>
  </si>
  <si>
    <t>進行中</t>
  </si>
  <si>
    <t>小項目4</t>
  </si>
  <si>
    <t>DX道場</t>
  </si>
  <si>
    <t>準備中</t>
  </si>
  <si>
    <t>中項目3</t>
  </si>
  <si>
    <t>小項目5</t>
  </si>
  <si>
    <t>E</t>
  </si>
  <si>
    <t>中項目４</t>
  </si>
  <si>
    <t>小項目6</t>
  </si>
  <si>
    <t>F</t>
  </si>
  <si>
    <t>小項目7</t>
  </si>
  <si>
    <t>U-SLIM</t>
  </si>
  <si>
    <t>G</t>
  </si>
  <si>
    <t>小項目8</t>
  </si>
  <si>
    <t>Cloudera</t>
  </si>
  <si>
    <t>H</t>
  </si>
  <si>
    <t>小項目9</t>
  </si>
  <si>
    <t>I</t>
  </si>
  <si>
    <t>中項目５</t>
  </si>
  <si>
    <t>小項目10</t>
  </si>
  <si>
    <t>J</t>
  </si>
  <si>
    <t>小項目11</t>
  </si>
  <si>
    <t>Kuduバージョン</t>
  </si>
  <si>
    <t>※タスクの項番はDX道場チーム資料準拠</t>
  </si>
  <si>
    <t>夏休みーー</t>
  </si>
  <si>
    <t>ーーー</t>
  </si>
  <si>
    <t>ーー＞</t>
  </si>
  <si>
    <t>Sprint12</t>
  </si>
  <si>
    <t>Sprint13</t>
  </si>
  <si>
    <t>項番</t>
  </si>
  <si>
    <t>PROEVER URL</t>
  </si>
  <si>
    <t>月</t>
  </si>
  <si>
    <t>火</t>
  </si>
  <si>
    <t>水</t>
  </si>
  <si>
    <t>木</t>
  </si>
  <si>
    <t>金</t>
  </si>
  <si>
    <t>土</t>
  </si>
  <si>
    <t>日</t>
  </si>
  <si>
    <t>Dataviz</t>
  </si>
  <si>
    <t>プロジェクト管理</t>
  </si>
  <si>
    <t>PowerBI関連</t>
  </si>
  <si>
    <t>dataviz関連</t>
    <rPh sb="7" eb="9">
      <t>カンレン</t>
    </rPh>
    <phoneticPr fontId="2"/>
  </si>
  <si>
    <t>PowerBI帳票仕様変更対応</t>
  </si>
  <si>
    <t>NEO帳票仕様変更対応(仕様変更と全国展開対応)</t>
  </si>
  <si>
    <t>問合せ</t>
  </si>
  <si>
    <t>顧客問合せ対応</t>
    <rPh sb="0" eb="4">
      <t>コキャクトイアワ</t>
    </rPh>
    <rPh sb="5" eb="7">
      <t>タイオウ</t>
    </rPh>
    <phoneticPr fontId="2"/>
  </si>
  <si>
    <t>dataviz開発（既存機能）</t>
  </si>
  <si>
    <t>残った帳票の開発（SMB空き枠カレンダー、新車受注分析、長崎_経営ダッシュボード 、マスタメンテナンス機能の一部）</t>
    <rPh sb="0" eb="1">
      <t>ノコ</t>
    </rPh>
    <rPh sb="3" eb="5">
      <t>チョウヒョウ</t>
    </rPh>
    <rPh sb="6" eb="8">
      <t>カイハツ</t>
    </rPh>
    <rPh sb="54" eb="56">
      <t>イチブ</t>
    </rPh>
    <phoneticPr fontId="2"/>
  </si>
  <si>
    <t>dataviz開発（マージ対応）</t>
  </si>
  <si>
    <t>新車受注分析</t>
  </si>
  <si>
    <t>中古車受注分析（マスタ画面含め）</t>
    <rPh sb="11" eb="13">
      <t>ガメン</t>
    </rPh>
    <rPh sb="13" eb="14">
      <t>フク</t>
    </rPh>
    <phoneticPr fontId="2"/>
  </si>
  <si>
    <t>中古車仕入・在庫情報</t>
  </si>
  <si>
    <t>市場処置の実施状況と部品管理見える化</t>
  </si>
  <si>
    <t>NEO 契約№変更対応の帳票改修</t>
  </si>
  <si>
    <t>ストール充足率の見える化</t>
  </si>
  <si>
    <t>事前準備</t>
  </si>
  <si>
    <t>Dataviz構成図整理</t>
  </si>
  <si>
    <t>Schiffer</t>
  </si>
  <si>
    <t>【DATA VIZ】コンポーネント図作成 | PROEVER</t>
  </si>
  <si>
    <t>WBS作成</t>
  </si>
  <si>
    <t>木村</t>
  </si>
  <si>
    <t>【Data Viz】WBS詳細の作成 | PROEVER</t>
  </si>
  <si>
    <t>権限設計</t>
  </si>
  <si>
    <t>各販社のユーザー情報収集</t>
  </si>
  <si>
    <t>Ranger権限設定のデモのスクリプト作成とインフラチームへの説明</t>
    <rPh sb="31" eb="33">
      <t>セツメイ</t>
    </rPh>
    <phoneticPr fontId="2"/>
  </si>
  <si>
    <t>Ranger権限設定のレビュー（Clouderaに連携）</t>
  </si>
  <si>
    <t>各販社ユーザー向けRangeロール作成（検証環境）</t>
    <rPh sb="20" eb="22">
      <t>ケンショウ</t>
    </rPh>
    <rPh sb="22" eb="24">
      <t>カンキョウ</t>
    </rPh>
    <phoneticPr fontId="2"/>
  </si>
  <si>
    <t>各販社ユーザー向けユーザ権限付与（検証環境）</t>
    <rPh sb="12" eb="14">
      <t>ケンゲン</t>
    </rPh>
    <rPh sb="14" eb="16">
      <t>フヨ</t>
    </rPh>
    <phoneticPr fontId="2"/>
  </si>
  <si>
    <t>Dataviz関連ユーザ権限設計レビュー（設計は６月にやった）</t>
    <rPh sb="7" eb="9">
      <t>カンレン</t>
    </rPh>
    <rPh sb="12" eb="14">
      <t>ケンゲン</t>
    </rPh>
    <rPh sb="14" eb="16">
      <t>セッケイ</t>
    </rPh>
    <rPh sb="21" eb="23">
      <t>セッケイ</t>
    </rPh>
    <rPh sb="25" eb="26">
      <t>ガツ</t>
    </rPh>
    <phoneticPr fontId="1"/>
  </si>
  <si>
    <t>Dataviz関連ユーザ権限設計検証</t>
    <rPh sb="7" eb="9">
      <t>カンレン</t>
    </rPh>
    <rPh sb="12" eb="14">
      <t>ケンゲン</t>
    </rPh>
    <rPh sb="14" eb="16">
      <t>セッケイ</t>
    </rPh>
    <rPh sb="16" eb="18">
      <t>ケンショウ</t>
    </rPh>
    <phoneticPr fontId="1"/>
  </si>
  <si>
    <t>D</t>
  </si>
  <si>
    <t>認証方式変更</t>
  </si>
  <si>
    <t>GAC申請</t>
  </si>
  <si>
    <r>
      <rPr>
        <sz val="11"/>
        <color rgb="FF000000"/>
        <rFont val="Yu Gothic UI"/>
      </rPr>
      <t xml:space="preserve">ATSC／GAC CDP導入（検証環境）
</t>
    </r>
    <r>
      <rPr>
        <sz val="11"/>
        <color rgb="FFFF0000"/>
        <rFont val="Meiryo UI"/>
      </rPr>
      <t>※望ましいのは7月末前に完了、できない場合、</t>
    </r>
    <r>
      <rPr>
        <sz val="11"/>
        <color rgb="FFFF0000"/>
        <rFont val="Noto Sans JP"/>
      </rPr>
      <t>8/7前</t>
    </r>
    <r>
      <rPr>
        <sz val="11"/>
        <color rgb="FFFF0000"/>
        <rFont val="Meiryo UI"/>
      </rPr>
      <t>に完了必須</t>
    </r>
  </si>
  <si>
    <t>ATSC／GAC  Web導入（検証環境）</t>
    <rPh sb="13" eb="15">
      <t>ドウニュウ</t>
    </rPh>
    <phoneticPr fontId="1"/>
  </si>
  <si>
    <t>中間テーブル</t>
  </si>
  <si>
    <t>JOB環境の申込</t>
    <rPh sb="3" eb="5">
      <t>カンキョウ</t>
    </rPh>
    <rPh sb="6" eb="8">
      <t>モウシコミ</t>
    </rPh>
    <phoneticPr fontId="2"/>
  </si>
  <si>
    <t>JOB環境の構築</t>
    <rPh sb="6" eb="8">
      <t>コウチク</t>
    </rPh>
    <phoneticPr fontId="2"/>
  </si>
  <si>
    <t>中間テーブル更新のJOB作成</t>
    <rPh sb="6" eb="8">
      <t>コウシン</t>
    </rPh>
    <rPh sb="12" eb="14">
      <t>サクセイ</t>
    </rPh>
    <phoneticPr fontId="2"/>
  </si>
  <si>
    <t>テスト</t>
  </si>
  <si>
    <t>詳細設計書改修</t>
  </si>
  <si>
    <t>資料整備</t>
  </si>
  <si>
    <t>マニュアル改修</t>
  </si>
  <si>
    <t>受入テスト対応</t>
  </si>
  <si>
    <t>受入テスト</t>
  </si>
  <si>
    <t>ユーザーアクセス権限の本番データ移行</t>
  </si>
  <si>
    <t>本番リリース</t>
  </si>
  <si>
    <t>本番情報設定（役割グループ、Ranger、Job）</t>
    <rPh sb="0" eb="2">
      <t>ホンバン</t>
    </rPh>
    <rPh sb="2" eb="4">
      <t>ジョウホウ</t>
    </rPh>
    <rPh sb="4" eb="6">
      <t>セッテイ</t>
    </rPh>
    <rPh sb="7" eb="9">
      <t>ヤクワリ</t>
    </rPh>
    <phoneticPr fontId="2"/>
  </si>
  <si>
    <t>リリース準備と実施</t>
  </si>
  <si>
    <t>祝日名</t>
  </si>
  <si>
    <t>日付</t>
  </si>
  <si>
    <t>曜日</t>
  </si>
  <si>
    <t>元日</t>
  </si>
  <si>
    <t>成人の日</t>
  </si>
  <si>
    <t>建国記念の日</t>
  </si>
  <si>
    <t>天皇誕生日</t>
  </si>
  <si>
    <t>春分の日</t>
  </si>
  <si>
    <t>昭和の日</t>
  </si>
  <si>
    <t>憲法記念日</t>
  </si>
  <si>
    <t>みどりの日</t>
  </si>
  <si>
    <t>こどもの日</t>
  </si>
  <si>
    <t>憲法記念日振替休日</t>
  </si>
  <si>
    <t>海の日</t>
  </si>
  <si>
    <t>山の日</t>
  </si>
  <si>
    <t>敬老の日</t>
  </si>
  <si>
    <t>国民の休日</t>
  </si>
  <si>
    <t>秋分の日</t>
  </si>
  <si>
    <t>スポーツの日</t>
  </si>
  <si>
    <t>文化の日</t>
  </si>
  <si>
    <t>勤労感謝の日</t>
  </si>
  <si>
    <t>夏休み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</si>
</sst>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6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8"/>
      <color theme="3"/>
      <name val="Yu Gothic"/>
      <charset val="128"/>
      <scheme val="major"/>
    </font>
    <font>
      <sz val="11"/>
      <color theme="1"/>
      <name val="Yu Gothic UI"/>
    </font>
    <font>
      <sz val="8"/>
      <color rgb="FF000000"/>
      <name val="Yu Gothic UI"/>
    </font>
    <font>
      <sz val="11"/>
      <color rgb="FF000000"/>
      <name val="Yu Gothic UI"/>
    </font>
    <font>
      <sz val="11"/>
      <color rgb="FFFF0000"/>
      <name val="Meiryo UI"/>
    </font>
    <font>
      <sz val="11"/>
      <color rgb="FFFF0000"/>
      <name val="Noto Sans JP"/>
    </font>
    <font>
      <b/>
      <sz val="11"/>
      <color rgb="FFC00000"/>
      <name val="Yu Gothic UI"/>
    </font>
    <font>
      <b/>
      <sz val="11"/>
      <color theme="5" tint="-0.249977111117893"/>
      <name val="Yu Gothic UI"/>
    </font>
    <font>
      <b/>
      <sz val="11"/>
      <color theme="1"/>
      <name val="Yu Gothic UI"/>
    </font>
    <font>
      <sz val="9"/>
      <color rgb="FF002060"/>
      <name val="Yu Gothic UI"/>
    </font>
    <font>
      <u/>
      <sz val="11"/>
      <color theme="10"/>
      <name val="游ゴシック"/>
      <family val="2"/>
      <scheme val="minor"/>
    </font>
    <font>
      <sz val="11"/>
      <color rgb="FFC00000"/>
      <name val="Yu Gothic UI"/>
    </font>
    <font>
      <sz val="11"/>
      <color rgb="FF000000"/>
      <name val="游ゴシック"/>
      <family val="2"/>
      <scheme val="minor"/>
    </font>
    <font>
      <sz val="11"/>
      <color theme="10"/>
      <name val="游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51">
    <border>
      <left/>
      <right/>
      <top/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/>
      <right style="dotted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thin">
        <color rgb="FF000000"/>
      </left>
      <right/>
      <top style="dotted">
        <color rgb="FF000000"/>
      </top>
      <bottom style="double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D2D2D2"/>
      </bottom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uble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71">
    <xf numFmtId="0" fontId="0" fillId="0" borderId="0" xfId="0"/>
    <xf numFmtId="0" fontId="3" fillId="0" borderId="0" xfId="0" applyFont="1"/>
    <xf numFmtId="176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wrapText="1"/>
    </xf>
    <xf numFmtId="17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/>
    <xf numFmtId="0" fontId="3" fillId="2" borderId="2" xfId="0" applyFont="1" applyFill="1" applyBorder="1"/>
    <xf numFmtId="0" fontId="3" fillId="3" borderId="2" xfId="0" applyFont="1" applyFill="1" applyBorder="1"/>
    <xf numFmtId="0" fontId="3" fillId="0" borderId="4" xfId="0" applyFont="1" applyBorder="1"/>
    <xf numFmtId="0" fontId="3" fillId="2" borderId="4" xfId="0" applyFont="1" applyFill="1" applyBorder="1"/>
    <xf numFmtId="0" fontId="3" fillId="3" borderId="4" xfId="0" applyFont="1" applyFill="1" applyBorder="1"/>
    <xf numFmtId="176" fontId="3" fillId="0" borderId="2" xfId="0" applyNumberFormat="1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176" fontId="3" fillId="2" borderId="2" xfId="0" applyNumberFormat="1" applyFont="1" applyFill="1" applyBorder="1" applyAlignment="1">
      <alignment horizontal="center"/>
    </xf>
    <xf numFmtId="176" fontId="3" fillId="3" borderId="2" xfId="0" applyNumberFormat="1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10" xfId="0" applyFont="1" applyBorder="1"/>
    <xf numFmtId="0" fontId="3" fillId="2" borderId="10" xfId="0" applyFont="1" applyFill="1" applyBorder="1"/>
    <xf numFmtId="0" fontId="3" fillId="3" borderId="10" xfId="0" applyFont="1" applyFill="1" applyBorder="1"/>
    <xf numFmtId="0" fontId="3" fillId="0" borderId="11" xfId="0" applyFont="1" applyBorder="1"/>
    <xf numFmtId="0" fontId="3" fillId="0" borderId="12" xfId="0" applyFont="1" applyBorder="1"/>
    <xf numFmtId="0" fontId="3" fillId="0" borderId="12" xfId="0" applyFont="1" applyBorder="1" applyAlignment="1">
      <alignment wrapText="1"/>
    </xf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" xfId="0" applyFont="1" applyBorder="1"/>
    <xf numFmtId="0" fontId="3" fillId="0" borderId="3" xfId="0" applyFont="1" applyBorder="1"/>
    <xf numFmtId="0" fontId="3" fillId="0" borderId="9" xfId="0" applyFont="1" applyBorder="1"/>
    <xf numFmtId="0" fontId="3" fillId="0" borderId="18" xfId="0" applyFont="1" applyBorder="1"/>
    <xf numFmtId="0" fontId="8" fillId="0" borderId="8" xfId="0" applyFont="1" applyBorder="1"/>
    <xf numFmtId="176" fontId="3" fillId="0" borderId="3" xfId="0" applyNumberFormat="1" applyFont="1" applyBorder="1" applyAlignment="1">
      <alignment horizontal="center"/>
    </xf>
    <xf numFmtId="176" fontId="3" fillId="0" borderId="9" xfId="0" applyNumberFormat="1" applyFont="1" applyBorder="1" applyAlignment="1">
      <alignment horizontal="center"/>
    </xf>
    <xf numFmtId="176" fontId="3" fillId="0" borderId="7" xfId="0" applyNumberFormat="1" applyFont="1" applyBorder="1" applyAlignment="1">
      <alignment horizontal="center"/>
    </xf>
    <xf numFmtId="176" fontId="3" fillId="0" borderId="8" xfId="0" applyNumberFormat="1" applyFont="1" applyBorder="1" applyAlignment="1">
      <alignment horizontal="center"/>
    </xf>
    <xf numFmtId="176" fontId="3" fillId="0" borderId="11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176" fontId="3" fillId="0" borderId="15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176" fontId="3" fillId="2" borderId="1" xfId="0" applyNumberFormat="1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3" xfId="0" applyFont="1" applyFill="1" applyBorder="1"/>
    <xf numFmtId="0" fontId="3" fillId="2" borderId="9" xfId="0" applyFont="1" applyFill="1" applyBorder="1"/>
    <xf numFmtId="176" fontId="8" fillId="0" borderId="2" xfId="0" applyNumberFormat="1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" fillId="0" borderId="26" xfId="0" applyFont="1" applyBorder="1"/>
    <xf numFmtId="0" fontId="3" fillId="0" borderId="19" xfId="0" applyFont="1" applyBorder="1"/>
    <xf numFmtId="0" fontId="3" fillId="0" borderId="21" xfId="0" applyFont="1" applyBorder="1"/>
    <xf numFmtId="0" fontId="3" fillId="0" borderId="25" xfId="0" applyFont="1" applyBorder="1"/>
    <xf numFmtId="176" fontId="3" fillId="0" borderId="19" xfId="0" applyNumberFormat="1" applyFont="1" applyBorder="1"/>
    <xf numFmtId="176" fontId="3" fillId="0" borderId="21" xfId="0" applyNumberFormat="1" applyFont="1" applyBorder="1"/>
    <xf numFmtId="0" fontId="3" fillId="0" borderId="27" xfId="0" applyFont="1" applyBorder="1"/>
    <xf numFmtId="0" fontId="3" fillId="0" borderId="28" xfId="0" applyFont="1" applyBorder="1"/>
    <xf numFmtId="0" fontId="3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0" fontId="3" fillId="0" borderId="32" xfId="0" applyFont="1" applyBorder="1"/>
    <xf numFmtId="176" fontId="3" fillId="0" borderId="29" xfId="0" applyNumberFormat="1" applyFont="1" applyBorder="1" applyAlignment="1">
      <alignment horizontal="center"/>
    </xf>
    <xf numFmtId="176" fontId="3" fillId="0" borderId="31" xfId="0" applyNumberFormat="1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/>
    <xf numFmtId="0" fontId="3" fillId="2" borderId="29" xfId="0" applyFont="1" applyFill="1" applyBorder="1"/>
    <xf numFmtId="0" fontId="3" fillId="3" borderId="33" xfId="0" applyFont="1" applyFill="1" applyBorder="1"/>
    <xf numFmtId="0" fontId="3" fillId="2" borderId="33" xfId="0" applyFont="1" applyFill="1" applyBorder="1"/>
    <xf numFmtId="0" fontId="3" fillId="0" borderId="34" xfId="0" applyFont="1" applyBorder="1"/>
    <xf numFmtId="0" fontId="3" fillId="0" borderId="35" xfId="0" applyFont="1" applyBorder="1"/>
    <xf numFmtId="0" fontId="3" fillId="0" borderId="36" xfId="0" applyFont="1" applyBorder="1"/>
    <xf numFmtId="176" fontId="3" fillId="0" borderId="34" xfId="0" applyNumberFormat="1" applyFont="1" applyBorder="1" applyAlignment="1">
      <alignment horizontal="center"/>
    </xf>
    <xf numFmtId="176" fontId="3" fillId="0" borderId="35" xfId="0" applyNumberFormat="1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/>
    <xf numFmtId="0" fontId="3" fillId="2" borderId="34" xfId="0" applyFont="1" applyFill="1" applyBorder="1"/>
    <xf numFmtId="0" fontId="3" fillId="3" borderId="37" xfId="0" applyFont="1" applyFill="1" applyBorder="1"/>
    <xf numFmtId="0" fontId="3" fillId="2" borderId="37" xfId="0" applyFont="1" applyFill="1" applyBorder="1"/>
    <xf numFmtId="0" fontId="3" fillId="0" borderId="38" xfId="0" applyFont="1" applyBorder="1"/>
    <xf numFmtId="0" fontId="3" fillId="0" borderId="39" xfId="0" applyFont="1" applyBorder="1"/>
    <xf numFmtId="0" fontId="3" fillId="0" borderId="40" xfId="0" applyFont="1" applyBorder="1"/>
    <xf numFmtId="0" fontId="3" fillId="0" borderId="24" xfId="0" applyFont="1" applyBorder="1"/>
    <xf numFmtId="176" fontId="3" fillId="0" borderId="38" xfId="0" applyNumberFormat="1" applyFont="1" applyBorder="1" applyAlignment="1">
      <alignment horizontal="center"/>
    </xf>
    <xf numFmtId="176" fontId="3" fillId="0" borderId="40" xfId="0" applyNumberFormat="1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2" borderId="38" xfId="0" applyFont="1" applyFill="1" applyBorder="1"/>
    <xf numFmtId="0" fontId="3" fillId="3" borderId="39" xfId="0" applyFont="1" applyFill="1" applyBorder="1"/>
    <xf numFmtId="0" fontId="3" fillId="2" borderId="39" xfId="0" applyFont="1" applyFill="1" applyBorder="1"/>
    <xf numFmtId="0" fontId="3" fillId="0" borderId="41" xfId="0" applyFont="1" applyBorder="1"/>
    <xf numFmtId="0" fontId="3" fillId="0" borderId="42" xfId="0" applyFont="1" applyBorder="1"/>
    <xf numFmtId="176" fontId="3" fillId="0" borderId="26" xfId="0" applyNumberFormat="1" applyFont="1" applyBorder="1" applyAlignment="1">
      <alignment horizontal="center"/>
    </xf>
    <xf numFmtId="176" fontId="3" fillId="0" borderId="41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2" borderId="26" xfId="0" applyFont="1" applyFill="1" applyBorder="1"/>
    <xf numFmtId="0" fontId="3" fillId="3" borderId="18" xfId="0" applyFont="1" applyFill="1" applyBorder="1"/>
    <xf numFmtId="0" fontId="3" fillId="2" borderId="18" xfId="0" applyFont="1" applyFill="1" applyBorder="1"/>
    <xf numFmtId="0" fontId="8" fillId="0" borderId="7" xfId="0" applyFont="1" applyBorder="1"/>
    <xf numFmtId="0" fontId="10" fillId="0" borderId="5" xfId="0" applyFont="1" applyBorder="1"/>
    <xf numFmtId="0" fontId="10" fillId="0" borderId="6" xfId="0" applyFont="1" applyBorder="1"/>
    <xf numFmtId="0" fontId="10" fillId="0" borderId="14" xfId="0" applyFont="1" applyBorder="1" applyAlignment="1">
      <alignment wrapText="1"/>
    </xf>
    <xf numFmtId="0" fontId="10" fillId="0" borderId="14" xfId="0" applyFont="1" applyBorder="1"/>
    <xf numFmtId="176" fontId="10" fillId="0" borderId="6" xfId="0" applyNumberFormat="1" applyFont="1" applyBorder="1"/>
    <xf numFmtId="176" fontId="10" fillId="0" borderId="14" xfId="0" applyNumberFormat="1" applyFont="1" applyBorder="1"/>
    <xf numFmtId="56" fontId="3" fillId="0" borderId="43" xfId="0" applyNumberFormat="1" applyFont="1" applyBorder="1"/>
    <xf numFmtId="0" fontId="3" fillId="0" borderId="43" xfId="0" applyFont="1" applyBorder="1"/>
    <xf numFmtId="56" fontId="3" fillId="0" borderId="0" xfId="0" applyNumberFormat="1" applyFont="1"/>
    <xf numFmtId="0" fontId="3" fillId="4" borderId="23" xfId="0" applyFont="1" applyFill="1" applyBorder="1"/>
    <xf numFmtId="0" fontId="9" fillId="4" borderId="23" xfId="0" applyFont="1" applyFill="1" applyBorder="1"/>
    <xf numFmtId="0" fontId="9" fillId="4" borderId="24" xfId="0" applyFont="1" applyFill="1" applyBorder="1"/>
    <xf numFmtId="0" fontId="11" fillId="0" borderId="0" xfId="0" applyFont="1"/>
    <xf numFmtId="0" fontId="3" fillId="0" borderId="44" xfId="0" applyFont="1" applyBorder="1"/>
    <xf numFmtId="0" fontId="3" fillId="0" borderId="45" xfId="0" applyFont="1" applyBorder="1"/>
    <xf numFmtId="176" fontId="3" fillId="0" borderId="44" xfId="0" applyNumberFormat="1" applyFont="1" applyBorder="1" applyAlignment="1">
      <alignment horizontal="center"/>
    </xf>
    <xf numFmtId="176" fontId="3" fillId="0" borderId="45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2" borderId="44" xfId="0" applyFont="1" applyFill="1" applyBorder="1"/>
    <xf numFmtId="0" fontId="3" fillId="3" borderId="30" xfId="0" applyFont="1" applyFill="1" applyBorder="1"/>
    <xf numFmtId="0" fontId="3" fillId="2" borderId="30" xfId="0" applyFont="1" applyFill="1" applyBorder="1"/>
    <xf numFmtId="0" fontId="5" fillId="0" borderId="3" xfId="0" applyFont="1" applyBorder="1"/>
    <xf numFmtId="0" fontId="5" fillId="0" borderId="1" xfId="0" applyFont="1" applyBorder="1"/>
    <xf numFmtId="0" fontId="5" fillId="0" borderId="9" xfId="0" applyFont="1" applyBorder="1"/>
    <xf numFmtId="0" fontId="3" fillId="0" borderId="14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3" fillId="0" borderId="36" xfId="0" applyFont="1" applyBorder="1" applyAlignment="1">
      <alignment wrapText="1"/>
    </xf>
    <xf numFmtId="0" fontId="3" fillId="0" borderId="25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46" xfId="0" applyFont="1" applyBorder="1"/>
    <xf numFmtId="0" fontId="3" fillId="0" borderId="32" xfId="0" applyFont="1" applyBorder="1" applyAlignment="1">
      <alignment wrapText="1"/>
    </xf>
    <xf numFmtId="0" fontId="3" fillId="0" borderId="17" xfId="0" applyFont="1" applyBorder="1" applyAlignment="1">
      <alignment wrapText="1"/>
    </xf>
    <xf numFmtId="0" fontId="3" fillId="0" borderId="42" xfId="0" applyFont="1" applyBorder="1" applyAlignment="1">
      <alignment wrapText="1"/>
    </xf>
    <xf numFmtId="0" fontId="10" fillId="4" borderId="22" xfId="0" applyFont="1" applyFill="1" applyBorder="1"/>
    <xf numFmtId="0" fontId="10" fillId="4" borderId="23" xfId="0" applyFont="1" applyFill="1" applyBorder="1"/>
    <xf numFmtId="0" fontId="10" fillId="4" borderId="24" xfId="0" applyFont="1" applyFill="1" applyBorder="1"/>
    <xf numFmtId="0" fontId="12" fillId="0" borderId="32" xfId="1" applyBorder="1"/>
    <xf numFmtId="0" fontId="12" fillId="0" borderId="17" xfId="1" applyBorder="1"/>
    <xf numFmtId="0" fontId="3" fillId="0" borderId="1" xfId="0" applyFont="1" applyBorder="1" applyAlignment="1">
      <alignment horizontal="right" vertical="top"/>
    </xf>
    <xf numFmtId="0" fontId="3" fillId="0" borderId="34" xfId="0" applyFont="1" applyBorder="1" applyAlignment="1">
      <alignment horizontal="right" vertical="top"/>
    </xf>
    <xf numFmtId="0" fontId="3" fillId="0" borderId="29" xfId="0" applyFont="1" applyBorder="1" applyAlignment="1">
      <alignment horizontal="right" vertical="top"/>
    </xf>
    <xf numFmtId="0" fontId="3" fillId="0" borderId="9" xfId="0" applyFont="1" applyBorder="1" applyAlignment="1">
      <alignment horizontal="right" vertical="top"/>
    </xf>
    <xf numFmtId="0" fontId="3" fillId="0" borderId="26" xfId="0" applyFont="1" applyBorder="1" applyAlignment="1">
      <alignment horizontal="right" vertical="top"/>
    </xf>
    <xf numFmtId="0" fontId="3" fillId="0" borderId="44" xfId="0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0" fontId="3" fillId="0" borderId="0" xfId="0" applyFont="1" applyAlignment="1">
      <alignment horizontal="right" vertical="top"/>
    </xf>
    <xf numFmtId="0" fontId="10" fillId="0" borderId="47" xfId="0" applyFont="1" applyBorder="1"/>
    <xf numFmtId="0" fontId="3" fillId="2" borderId="0" xfId="0" applyFont="1" applyFill="1"/>
    <xf numFmtId="0" fontId="3" fillId="3" borderId="0" xfId="0" applyFont="1" applyFill="1"/>
    <xf numFmtId="0" fontId="12" fillId="0" borderId="0" xfId="1" applyBorder="1"/>
    <xf numFmtId="0" fontId="14" fillId="0" borderId="0" xfId="1" applyFont="1" applyBorder="1"/>
    <xf numFmtId="0" fontId="5" fillId="0" borderId="0" xfId="0" applyFont="1"/>
    <xf numFmtId="0" fontId="15" fillId="0" borderId="0" xfId="1" applyFont="1" applyBorder="1"/>
    <xf numFmtId="0" fontId="13" fillId="0" borderId="0" xfId="0" applyFont="1"/>
    <xf numFmtId="0" fontId="3" fillId="0" borderId="48" xfId="0" applyFont="1" applyBorder="1"/>
    <xf numFmtId="0" fontId="3" fillId="0" borderId="49" xfId="0" applyFont="1" applyBorder="1"/>
    <xf numFmtId="176" fontId="5" fillId="0" borderId="0" xfId="0" applyNumberFormat="1" applyFont="1" applyAlignment="1">
      <alignment horizontal="center"/>
    </xf>
    <xf numFmtId="176" fontId="5" fillId="2" borderId="0" xfId="0" applyNumberFormat="1" applyFont="1" applyFill="1" applyAlignment="1">
      <alignment horizontal="center"/>
    </xf>
    <xf numFmtId="176" fontId="5" fillId="3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0" fontId="3" fillId="0" borderId="21" xfId="0" applyFont="1" applyBorder="1" applyAlignment="1">
      <alignment wrapText="1"/>
    </xf>
    <xf numFmtId="0" fontId="3" fillId="0" borderId="50" xfId="0" applyFont="1" applyBorder="1"/>
    <xf numFmtId="176" fontId="10" fillId="0" borderId="5" xfId="0" applyNumberFormat="1" applyFont="1" applyBorder="1"/>
    <xf numFmtId="176" fontId="3" fillId="0" borderId="27" xfId="0" applyNumberFormat="1" applyFont="1" applyBorder="1"/>
  </cellXfs>
  <cellStyles count="2">
    <cellStyle name="Hyperlink" xfId="1" xr:uid="{00000000-000B-0000-0000-000008000000}"/>
    <cellStyle name="標準" xfId="0" builtinId="0"/>
  </cellStyles>
  <dxfs count="48">
    <dxf>
      <font>
        <color theme="1"/>
      </font>
      <fill>
        <patternFill patternType="solid">
          <bgColor theme="0" tint="-4.9989318521683403E-2"/>
        </patternFill>
      </fill>
    </dxf>
    <dxf>
      <font>
        <color rgb="FF002060"/>
      </font>
      <fill>
        <patternFill patternType="solid"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060"/>
      </font>
      <fill>
        <patternFill patternType="solid"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5" tint="0.79998168889431442"/>
        </patternFill>
      </fill>
    </dxf>
    <dxf>
      <font>
        <b/>
        <i val="0"/>
        <color rgb="FFC00000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theme="1"/>
      </font>
      <fill>
        <patternFill patternType="solid">
          <bgColor theme="0" tint="-4.9989318521683403E-2"/>
        </patternFill>
      </fill>
    </dxf>
    <dxf>
      <font>
        <color theme="0" tint="-0.34998626667073579"/>
      </font>
    </dxf>
    <dxf>
      <font>
        <color theme="1"/>
      </font>
      <fill>
        <patternFill patternType="solid">
          <bgColor theme="0" tint="-4.9989318521683403E-2"/>
        </patternFill>
      </fill>
    </dxf>
    <dxf>
      <font>
        <color theme="1"/>
      </font>
      <fill>
        <patternFill patternType="solid">
          <bgColor theme="0" tint="-4.9989318521683403E-2"/>
        </patternFill>
      </fill>
    </dxf>
    <dxf>
      <font>
        <b/>
        <i val="0"/>
      </font>
      <fill>
        <patternFill patternType="solid">
          <bgColor theme="4" tint="0.79998168889431442"/>
        </patternFill>
      </fill>
    </dxf>
    <dxf>
      <border>
        <bottom style="thin">
          <color rgb="FF000000"/>
        </bottom>
      </border>
    </dxf>
    <dxf>
      <border>
        <bottom style="thin">
          <color rgb="FF000000"/>
        </bottom>
      </border>
    </dxf>
    <dxf>
      <border>
        <right style="thin">
          <color rgb="FF000000"/>
        </right>
      </border>
    </dxf>
    <dxf>
      <border>
        <right style="thin">
          <color rgb="FF000000"/>
        </right>
      </border>
    </dxf>
    <dxf>
      <font>
        <b/>
        <i val="0"/>
        <color rgb="FF9C0006"/>
      </font>
    </dxf>
    <dxf>
      <border>
        <left style="thin">
          <color rgb="FF000000"/>
        </left>
      </border>
    </dxf>
    <dxf>
      <border>
        <left style="thin">
          <color rgb="FF000000"/>
        </left>
      </border>
    </dxf>
    <dxf>
      <border>
        <right style="dotted">
          <color rgb="FF000000"/>
        </right>
      </border>
    </dxf>
    <dxf>
      <border>
        <top style="thin">
          <color rgb="FF000000"/>
        </top>
      </border>
    </dxf>
    <dxf>
      <border>
        <top style="thin">
          <color rgb="FF000000"/>
        </top>
        <bottom style="dotted">
          <color rgb="FF000000"/>
        </bottom>
      </border>
    </dxf>
    <dxf>
      <border>
        <bottom style="thin">
          <color rgb="FF000000"/>
        </bottom>
      </border>
    </dxf>
    <dxf>
      <border>
        <bottom style="thin">
          <color rgb="FF000000"/>
        </bottom>
      </border>
    </dxf>
    <dxf>
      <border>
        <left style="thin">
          <color rgb="FF000000"/>
        </left>
      </border>
    </dxf>
    <dxf>
      <border>
        <left style="thin">
          <color rgb="FF000000"/>
        </left>
        <right style="dotted">
          <color rgb="FF000000"/>
        </right>
      </border>
    </dxf>
    <dxf>
      <border>
        <right style="thin">
          <color rgb="FF000000"/>
        </right>
      </border>
    </dxf>
    <dxf>
      <border>
        <right style="thin">
          <color rgb="FF000000"/>
        </right>
      </border>
    </dxf>
    <dxf>
      <border>
        <left style="thin">
          <color rgb="FF000000"/>
        </left>
      </border>
    </dxf>
    <dxf>
      <border>
        <left style="thin">
          <color rgb="FF000000"/>
        </left>
      </border>
    </dxf>
    <dxf>
      <border>
        <right style="thin">
          <color rgb="FF000000"/>
        </right>
      </border>
    </dxf>
    <dxf>
      <font>
        <color theme="1"/>
      </font>
      <fill>
        <patternFill patternType="solid">
          <bgColor theme="0"/>
        </patternFill>
      </fill>
      <border>
        <left style="dotted">
          <color rgb="FF000000"/>
        </left>
        <right style="dotted">
          <color rgb="FF000000"/>
        </right>
        <bottom style="dotted">
          <color rgb="FF000000"/>
        </bottom>
      </border>
    </dxf>
    <dxf>
      <font>
        <color theme="1"/>
      </font>
      <fill>
        <patternFill patternType="solid">
          <bgColor theme="0"/>
        </patternFill>
      </fill>
      <border>
        <left style="dotted">
          <color rgb="FF000000"/>
        </left>
        <right style="dotted">
          <color rgb="FF000000"/>
        </right>
        <bottom style="dotted">
          <color rgb="FF000000"/>
        </bottom>
      </border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rgb="FF002060"/>
      </font>
      <fill>
        <patternFill patternType="solid"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5" tint="0.79998168889431442"/>
        </patternFill>
      </fill>
    </dxf>
    <dxf>
      <font>
        <b/>
        <i val="0"/>
        <color rgb="FFC00000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theme="1"/>
      </font>
      <fill>
        <patternFill patternType="solid">
          <bgColor theme="0" tint="-4.9989318521683403E-2"/>
        </patternFill>
      </fill>
    </dxf>
    <dxf>
      <font>
        <color theme="0" tint="-0.3499862666707357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proever.app/projects/9929cdc5-3270-413b-8857-231754974640/tickets/b6f79b2a-c5d6-48ae-8f59-b0f39438d41e" TargetMode="External"/><Relationship Id="rId1" Type="http://schemas.openxmlformats.org/officeDocument/2006/relationships/hyperlink" Target="https://proever.app/projects/9929cdc5-3270-413b-8857-231754974640/tickets/ece7fcff-7d48-4ca9-99b2-7fdd4dd4be4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FB240-DE28-46DD-90D3-C2BE0367442D}">
  <dimension ref="A1:B5"/>
  <sheetViews>
    <sheetView workbookViewId="0">
      <selection activeCell="D9" sqref="D9"/>
    </sheetView>
  </sheetViews>
  <sheetFormatPr defaultRowHeight="16.5"/>
  <cols>
    <col min="1" max="16384" width="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CDCCD-C583-41BC-9AA8-AB6381BF8955}">
  <dimension ref="A1:ZZ200"/>
  <sheetViews>
    <sheetView showGridLines="0" tabSelected="1" workbookViewId="0">
      <pane xSplit="15" ySplit="4" topLeftCell="P5" activePane="bottomRight" state="frozen"/>
      <selection pane="bottomRight" activeCell="C20" sqref="C20"/>
      <selection pane="bottomLeft"/>
      <selection pane="topRight"/>
    </sheetView>
  </sheetViews>
  <sheetFormatPr defaultColWidth="9" defaultRowHeight="16.5"/>
  <cols>
    <col min="1" max="1" width="9" style="1" customWidth="1"/>
    <col min="2" max="2" width="20.75" style="1" customWidth="1"/>
    <col min="3" max="3" width="27" style="4" customWidth="1"/>
    <col min="4" max="4" width="19.25" style="1" customWidth="1"/>
    <col min="5" max="5" width="5.25" style="150" customWidth="1"/>
    <col min="6" max="6" width="21" style="1" customWidth="1"/>
    <col min="7" max="7" width="6" style="1" customWidth="1"/>
    <col min="8" max="8" width="20.125" style="4" customWidth="1"/>
    <col min="9" max="10" width="11.625" style="1" customWidth="1"/>
    <col min="11" max="11" width="12.875" style="1" customWidth="1"/>
    <col min="12" max="12" width="17.25" style="1" customWidth="1"/>
    <col min="13" max="14" width="6.375" style="5" customWidth="1"/>
    <col min="15" max="15" width="11.375" style="6" customWidth="1"/>
    <col min="16" max="100" width="4.375" style="1" customWidth="1"/>
    <col min="101" max="16384" width="9" style="1"/>
  </cols>
  <sheetData>
    <row r="1" spans="1:702">
      <c r="A1" s="1" t="s">
        <v>10</v>
      </c>
      <c r="D1" s="1" t="s">
        <v>11</v>
      </c>
      <c r="E1" s="1"/>
      <c r="M1" s="2"/>
      <c r="N1" s="2"/>
      <c r="O1" s="1"/>
    </row>
    <row r="2" spans="1:702">
      <c r="E2" s="117"/>
      <c r="M2" s="2"/>
      <c r="N2" s="2"/>
      <c r="O2" s="1"/>
      <c r="P2" s="165" t="s">
        <v>12</v>
      </c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 t="s">
        <v>13</v>
      </c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 t="s">
        <v>14</v>
      </c>
      <c r="AS2" s="165"/>
      <c r="AW2" s="166" t="s">
        <v>15</v>
      </c>
      <c r="AX2" s="166"/>
      <c r="AY2" s="166"/>
      <c r="AZ2" s="166"/>
      <c r="BA2" s="166"/>
      <c r="BB2" s="166"/>
      <c r="BC2" s="166"/>
      <c r="BD2" s="166"/>
      <c r="BE2" s="166"/>
      <c r="BF2" s="165" t="s">
        <v>16</v>
      </c>
      <c r="BG2" s="165"/>
      <c r="BH2" s="165"/>
      <c r="BI2" s="165"/>
      <c r="BJ2" s="165"/>
      <c r="BK2" s="165"/>
      <c r="BL2" s="165"/>
      <c r="BM2" s="165"/>
      <c r="BN2" s="165"/>
      <c r="BO2" s="165"/>
      <c r="BP2" s="165"/>
      <c r="BQ2" s="165"/>
      <c r="BR2" s="165"/>
      <c r="BS2" s="165"/>
      <c r="BT2" s="165" t="s">
        <v>17</v>
      </c>
      <c r="BU2" s="165"/>
      <c r="BV2" s="165"/>
      <c r="BW2" s="165"/>
      <c r="BX2" s="165"/>
      <c r="BY2" s="165"/>
      <c r="BZ2" s="165"/>
      <c r="CA2" s="165"/>
      <c r="CB2" s="165"/>
      <c r="CC2" s="165"/>
      <c r="CD2" s="165"/>
      <c r="CE2" s="165"/>
      <c r="CF2" s="165"/>
      <c r="CG2" s="165"/>
      <c r="CH2" s="165"/>
      <c r="CI2" s="165"/>
      <c r="CJ2" s="165"/>
      <c r="CK2" s="165"/>
      <c r="CL2" s="165"/>
      <c r="CM2" s="165"/>
      <c r="CN2" s="165"/>
      <c r="CO2" s="165"/>
      <c r="CP2" s="165"/>
      <c r="CQ2" s="165"/>
      <c r="CR2" s="165"/>
      <c r="CS2" s="165"/>
      <c r="CT2" s="165"/>
      <c r="CU2" s="165"/>
      <c r="CV2" s="165"/>
    </row>
    <row r="3" spans="1:702">
      <c r="A3" s="1" t="s">
        <v>18</v>
      </c>
      <c r="B3" s="1" t="s">
        <v>19</v>
      </c>
      <c r="C3" s="4" t="s">
        <v>20</v>
      </c>
      <c r="D3" s="151" t="s">
        <v>21</v>
      </c>
      <c r="E3" s="106" t="s">
        <v>22</v>
      </c>
      <c r="F3" s="106"/>
      <c r="G3" s="106"/>
      <c r="H3" s="107"/>
      <c r="I3" s="106" t="s">
        <v>23</v>
      </c>
      <c r="J3" s="106"/>
      <c r="K3" s="105" t="s">
        <v>24</v>
      </c>
      <c r="L3" s="106"/>
      <c r="M3" s="169" t="s">
        <v>25</v>
      </c>
      <c r="N3" s="110"/>
      <c r="O3" s="106" t="s">
        <v>26</v>
      </c>
      <c r="P3" s="161">
        <v>46209</v>
      </c>
      <c r="Q3" s="161">
        <v>46210</v>
      </c>
      <c r="R3" s="161">
        <v>46211</v>
      </c>
      <c r="S3" s="161">
        <v>46212</v>
      </c>
      <c r="T3" s="161">
        <v>46213</v>
      </c>
      <c r="U3" s="161">
        <v>46214</v>
      </c>
      <c r="V3" s="161">
        <v>46215</v>
      </c>
      <c r="W3" s="161">
        <v>46216</v>
      </c>
      <c r="X3" s="161">
        <v>46217</v>
      </c>
      <c r="Y3" s="161">
        <v>46218</v>
      </c>
      <c r="Z3" s="161">
        <v>46219</v>
      </c>
      <c r="AA3" s="161">
        <v>46220</v>
      </c>
      <c r="AB3" s="161">
        <v>46221</v>
      </c>
      <c r="AC3" s="161">
        <v>46222</v>
      </c>
      <c r="AD3" s="162">
        <v>46223</v>
      </c>
      <c r="AE3" s="161">
        <v>46224</v>
      </c>
      <c r="AF3" s="161">
        <v>46225</v>
      </c>
      <c r="AG3" s="161">
        <v>46226</v>
      </c>
      <c r="AH3" s="161">
        <v>46227</v>
      </c>
      <c r="AI3" s="161">
        <v>46228</v>
      </c>
      <c r="AJ3" s="161">
        <v>46229</v>
      </c>
      <c r="AK3" s="161">
        <v>46230</v>
      </c>
      <c r="AL3" s="161">
        <v>46231</v>
      </c>
      <c r="AM3" s="161">
        <v>46232</v>
      </c>
      <c r="AN3" s="161">
        <v>46233</v>
      </c>
      <c r="AO3" s="161">
        <v>46234</v>
      </c>
      <c r="AP3" s="161">
        <v>46235</v>
      </c>
      <c r="AQ3" s="161">
        <v>46236</v>
      </c>
      <c r="AR3" s="161">
        <v>46237</v>
      </c>
      <c r="AS3" s="161">
        <v>46238</v>
      </c>
      <c r="AT3" s="161">
        <v>46239</v>
      </c>
      <c r="AU3" s="161">
        <v>46240</v>
      </c>
      <c r="AV3" s="161">
        <v>46241</v>
      </c>
      <c r="AW3" s="161">
        <v>46242</v>
      </c>
      <c r="AX3" s="161">
        <v>46243</v>
      </c>
      <c r="AY3" s="163">
        <v>46244</v>
      </c>
      <c r="AZ3" s="162">
        <v>46245</v>
      </c>
      <c r="BA3" s="163">
        <v>46246</v>
      </c>
      <c r="BB3" s="163">
        <v>46247</v>
      </c>
      <c r="BC3" s="163">
        <v>46248</v>
      </c>
      <c r="BD3" s="161">
        <v>46249</v>
      </c>
      <c r="BE3" s="161">
        <v>46250</v>
      </c>
      <c r="BF3" s="161">
        <v>46251</v>
      </c>
      <c r="BG3" s="161">
        <v>46252</v>
      </c>
      <c r="BH3" s="161">
        <v>46253</v>
      </c>
      <c r="BI3" s="161">
        <v>46254</v>
      </c>
      <c r="BJ3" s="161">
        <v>46255</v>
      </c>
      <c r="BK3" s="161">
        <v>46256</v>
      </c>
      <c r="BL3" s="161">
        <v>46257</v>
      </c>
      <c r="BM3" s="161">
        <v>46258</v>
      </c>
      <c r="BN3" s="161">
        <v>46259</v>
      </c>
      <c r="BO3" s="161">
        <v>46260</v>
      </c>
      <c r="BP3" s="161">
        <v>46261</v>
      </c>
      <c r="BQ3" s="161">
        <v>46262</v>
      </c>
      <c r="BR3" s="161">
        <v>46263</v>
      </c>
      <c r="BS3" s="161">
        <v>46264</v>
      </c>
      <c r="BT3" s="161">
        <v>46265</v>
      </c>
      <c r="BU3" s="161"/>
      <c r="BV3" s="161"/>
      <c r="BW3" s="161"/>
      <c r="BX3" s="161"/>
      <c r="BY3" s="161"/>
      <c r="BZ3" s="161"/>
      <c r="CA3" s="161"/>
      <c r="CB3" s="161"/>
      <c r="CC3" s="161"/>
      <c r="CD3" s="161"/>
      <c r="CE3" s="161"/>
      <c r="CF3" s="161"/>
      <c r="CG3" s="161"/>
      <c r="CH3" s="161"/>
      <c r="CI3" s="161"/>
      <c r="CJ3" s="161"/>
      <c r="CK3" s="161"/>
      <c r="CL3" s="161"/>
      <c r="CM3" s="161"/>
      <c r="CN3" s="161"/>
      <c r="CO3" s="161"/>
      <c r="CP3" s="161"/>
      <c r="CQ3" s="161"/>
      <c r="CR3" s="161"/>
      <c r="CS3" s="161"/>
      <c r="CT3" s="161"/>
      <c r="CU3" s="161"/>
      <c r="CV3" s="161"/>
      <c r="CW3" s="2"/>
    </row>
    <row r="4" spans="1:702">
      <c r="B4" s="1" t="s">
        <v>27</v>
      </c>
      <c r="C4" s="4" t="s">
        <v>27</v>
      </c>
      <c r="D4" s="159" t="s">
        <v>18</v>
      </c>
      <c r="E4" s="58" t="s">
        <v>28</v>
      </c>
      <c r="F4" s="58" t="s">
        <v>19</v>
      </c>
      <c r="G4" s="160" t="s">
        <v>29</v>
      </c>
      <c r="H4" s="167" t="s">
        <v>20</v>
      </c>
      <c r="I4" s="58" t="s">
        <v>30</v>
      </c>
      <c r="J4" s="168" t="s">
        <v>31</v>
      </c>
      <c r="K4" s="63" t="s">
        <v>32</v>
      </c>
      <c r="L4" s="168" t="s">
        <v>33</v>
      </c>
      <c r="M4" s="170" t="s">
        <v>34</v>
      </c>
      <c r="N4" s="62" t="s">
        <v>35</v>
      </c>
      <c r="O4" s="160" t="s">
        <v>36</v>
      </c>
      <c r="P4" s="164" t="str">
        <f>IF(P3="","",TEXT(P3,"aaa"))</f>
        <v>月</v>
      </c>
      <c r="Q4" s="164" t="str">
        <f t="shared" ref="Q4:CB4" si="0">IF(Q3="","",TEXT(Q3,"aaa"))</f>
        <v>火</v>
      </c>
      <c r="R4" s="164" t="str">
        <f t="shared" si="0"/>
        <v>水</v>
      </c>
      <c r="S4" s="164" t="str">
        <f t="shared" si="0"/>
        <v>木</v>
      </c>
      <c r="T4" s="164" t="str">
        <f t="shared" si="0"/>
        <v>金</v>
      </c>
      <c r="U4" s="164" t="str">
        <f t="shared" si="0"/>
        <v>土</v>
      </c>
      <c r="V4" s="164" t="str">
        <f t="shared" si="0"/>
        <v>日</v>
      </c>
      <c r="W4" s="164" t="str">
        <f t="shared" si="0"/>
        <v>月</v>
      </c>
      <c r="X4" s="164" t="str">
        <f t="shared" si="0"/>
        <v>火</v>
      </c>
      <c r="Y4" s="164" t="str">
        <f t="shared" si="0"/>
        <v>水</v>
      </c>
      <c r="Z4" s="164" t="str">
        <f t="shared" si="0"/>
        <v>木</v>
      </c>
      <c r="AA4" s="164" t="str">
        <f t="shared" si="0"/>
        <v>金</v>
      </c>
      <c r="AB4" s="164" t="str">
        <f t="shared" si="0"/>
        <v>土</v>
      </c>
      <c r="AC4" s="164" t="str">
        <f t="shared" si="0"/>
        <v>日</v>
      </c>
      <c r="AD4" s="164" t="str">
        <f t="shared" si="0"/>
        <v>月</v>
      </c>
      <c r="AE4" s="164" t="str">
        <f t="shared" si="0"/>
        <v>火</v>
      </c>
      <c r="AF4" s="164" t="str">
        <f t="shared" si="0"/>
        <v>水</v>
      </c>
      <c r="AG4" s="164" t="str">
        <f t="shared" si="0"/>
        <v>木</v>
      </c>
      <c r="AH4" s="164" t="str">
        <f t="shared" si="0"/>
        <v>金</v>
      </c>
      <c r="AI4" s="164" t="str">
        <f t="shared" si="0"/>
        <v>土</v>
      </c>
      <c r="AJ4" s="164" t="str">
        <f t="shared" si="0"/>
        <v>日</v>
      </c>
      <c r="AK4" s="164" t="str">
        <f t="shared" si="0"/>
        <v>月</v>
      </c>
      <c r="AL4" s="164" t="str">
        <f t="shared" si="0"/>
        <v>火</v>
      </c>
      <c r="AM4" s="164" t="str">
        <f t="shared" si="0"/>
        <v>水</v>
      </c>
      <c r="AN4" s="164" t="str">
        <f t="shared" si="0"/>
        <v>木</v>
      </c>
      <c r="AO4" s="164" t="str">
        <f t="shared" si="0"/>
        <v>金</v>
      </c>
      <c r="AP4" s="164" t="str">
        <f t="shared" si="0"/>
        <v>土</v>
      </c>
      <c r="AQ4" s="164" t="str">
        <f t="shared" si="0"/>
        <v>日</v>
      </c>
      <c r="AR4" s="164" t="str">
        <f t="shared" si="0"/>
        <v>月</v>
      </c>
      <c r="AS4" s="164" t="str">
        <f t="shared" si="0"/>
        <v>火</v>
      </c>
      <c r="AT4" s="164" t="str">
        <f t="shared" si="0"/>
        <v>水</v>
      </c>
      <c r="AU4" s="164" t="str">
        <f t="shared" si="0"/>
        <v>木</v>
      </c>
      <c r="AV4" s="164" t="str">
        <f t="shared" si="0"/>
        <v>金</v>
      </c>
      <c r="AW4" s="164" t="str">
        <f t="shared" si="0"/>
        <v>土</v>
      </c>
      <c r="AX4" s="164" t="str">
        <f t="shared" si="0"/>
        <v>日</v>
      </c>
      <c r="AY4" s="164" t="str">
        <f t="shared" si="0"/>
        <v>月</v>
      </c>
      <c r="AZ4" s="164" t="str">
        <f t="shared" si="0"/>
        <v>火</v>
      </c>
      <c r="BA4" s="164" t="str">
        <f t="shared" si="0"/>
        <v>水</v>
      </c>
      <c r="BB4" s="164" t="str">
        <f t="shared" si="0"/>
        <v>木</v>
      </c>
      <c r="BC4" s="164" t="str">
        <f t="shared" si="0"/>
        <v>金</v>
      </c>
      <c r="BD4" s="164" t="str">
        <f t="shared" si="0"/>
        <v>土</v>
      </c>
      <c r="BE4" s="164" t="str">
        <f t="shared" si="0"/>
        <v>日</v>
      </c>
      <c r="BF4" s="164" t="str">
        <f t="shared" si="0"/>
        <v>月</v>
      </c>
      <c r="BG4" s="164" t="str">
        <f t="shared" si="0"/>
        <v>火</v>
      </c>
      <c r="BH4" s="164" t="str">
        <f t="shared" si="0"/>
        <v>水</v>
      </c>
      <c r="BI4" s="164" t="str">
        <f t="shared" si="0"/>
        <v>木</v>
      </c>
      <c r="BJ4" s="164" t="str">
        <f t="shared" si="0"/>
        <v>金</v>
      </c>
      <c r="BK4" s="164" t="str">
        <f t="shared" si="0"/>
        <v>土</v>
      </c>
      <c r="BL4" s="164" t="str">
        <f t="shared" si="0"/>
        <v>日</v>
      </c>
      <c r="BM4" s="164" t="str">
        <f t="shared" si="0"/>
        <v>月</v>
      </c>
      <c r="BN4" s="164" t="str">
        <f t="shared" si="0"/>
        <v>火</v>
      </c>
      <c r="BO4" s="164" t="str">
        <f t="shared" si="0"/>
        <v>水</v>
      </c>
      <c r="BP4" s="164" t="str">
        <f t="shared" si="0"/>
        <v>木</v>
      </c>
      <c r="BQ4" s="164" t="str">
        <f t="shared" si="0"/>
        <v>金</v>
      </c>
      <c r="BR4" s="164" t="str">
        <f t="shared" si="0"/>
        <v>土</v>
      </c>
      <c r="BS4" s="164" t="str">
        <f t="shared" si="0"/>
        <v>日</v>
      </c>
      <c r="BT4" s="164" t="str">
        <f t="shared" si="0"/>
        <v>月</v>
      </c>
      <c r="BU4" s="164" t="str">
        <f t="shared" si="0"/>
        <v/>
      </c>
      <c r="BV4" s="164" t="str">
        <f t="shared" si="0"/>
        <v/>
      </c>
      <c r="BW4" s="164" t="str">
        <f t="shared" si="0"/>
        <v/>
      </c>
      <c r="BX4" s="164" t="str">
        <f t="shared" si="0"/>
        <v/>
      </c>
      <c r="BY4" s="164" t="str">
        <f t="shared" si="0"/>
        <v/>
      </c>
      <c r="BZ4" s="164" t="str">
        <f t="shared" si="0"/>
        <v/>
      </c>
      <c r="CA4" s="164" t="str">
        <f t="shared" si="0"/>
        <v/>
      </c>
      <c r="CB4" s="164" t="str">
        <f t="shared" si="0"/>
        <v/>
      </c>
      <c r="CC4" s="164" t="str">
        <f t="shared" ref="CC4:EN4" si="1">IF(CC3="","",TEXT(CC3,"aaa"))</f>
        <v/>
      </c>
      <c r="CD4" s="164" t="str">
        <f t="shared" si="1"/>
        <v/>
      </c>
      <c r="CE4" s="164" t="str">
        <f t="shared" si="1"/>
        <v/>
      </c>
      <c r="CF4" s="164" t="str">
        <f t="shared" si="1"/>
        <v/>
      </c>
      <c r="CG4" s="164" t="str">
        <f t="shared" si="1"/>
        <v/>
      </c>
      <c r="CH4" s="164" t="str">
        <f t="shared" si="1"/>
        <v/>
      </c>
      <c r="CI4" s="164" t="str">
        <f t="shared" si="1"/>
        <v/>
      </c>
      <c r="CJ4" s="164" t="str">
        <f t="shared" si="1"/>
        <v/>
      </c>
      <c r="CK4" s="164" t="str">
        <f t="shared" si="1"/>
        <v/>
      </c>
      <c r="CL4" s="164" t="str">
        <f t="shared" si="1"/>
        <v/>
      </c>
      <c r="CM4" s="164" t="str">
        <f t="shared" si="1"/>
        <v/>
      </c>
      <c r="CN4" s="164" t="str">
        <f t="shared" si="1"/>
        <v/>
      </c>
      <c r="CO4" s="164" t="str">
        <f t="shared" si="1"/>
        <v/>
      </c>
      <c r="CP4" s="164" t="str">
        <f t="shared" si="1"/>
        <v/>
      </c>
      <c r="CQ4" s="164" t="str">
        <f t="shared" si="1"/>
        <v/>
      </c>
      <c r="CR4" s="164" t="str">
        <f t="shared" si="1"/>
        <v/>
      </c>
      <c r="CS4" s="164" t="str">
        <f t="shared" si="1"/>
        <v/>
      </c>
      <c r="CT4" s="164" t="str">
        <f t="shared" si="1"/>
        <v/>
      </c>
      <c r="CU4" s="164" t="str">
        <f t="shared" si="1"/>
        <v/>
      </c>
      <c r="CV4" s="164" t="str">
        <f t="shared" si="1"/>
        <v/>
      </c>
      <c r="CW4" s="164" t="str">
        <f t="shared" si="1"/>
        <v/>
      </c>
      <c r="CX4" s="164" t="str">
        <f t="shared" si="1"/>
        <v/>
      </c>
      <c r="CY4" s="164" t="str">
        <f t="shared" si="1"/>
        <v/>
      </c>
      <c r="CZ4" s="164" t="str">
        <f t="shared" si="1"/>
        <v/>
      </c>
      <c r="DA4" s="164" t="str">
        <f t="shared" si="1"/>
        <v/>
      </c>
      <c r="DB4" s="164" t="str">
        <f t="shared" si="1"/>
        <v/>
      </c>
      <c r="DC4" s="164" t="str">
        <f t="shared" si="1"/>
        <v/>
      </c>
      <c r="DD4" s="164" t="str">
        <f t="shared" si="1"/>
        <v/>
      </c>
      <c r="DE4" s="164" t="str">
        <f t="shared" si="1"/>
        <v/>
      </c>
      <c r="DF4" s="164" t="str">
        <f t="shared" si="1"/>
        <v/>
      </c>
      <c r="DG4" s="164" t="str">
        <f t="shared" si="1"/>
        <v/>
      </c>
      <c r="DH4" s="164" t="str">
        <f t="shared" si="1"/>
        <v/>
      </c>
      <c r="DI4" s="164" t="str">
        <f t="shared" si="1"/>
        <v/>
      </c>
      <c r="DJ4" s="164" t="str">
        <f t="shared" si="1"/>
        <v/>
      </c>
      <c r="DK4" s="164" t="str">
        <f t="shared" si="1"/>
        <v/>
      </c>
      <c r="DL4" s="164" t="str">
        <f t="shared" si="1"/>
        <v/>
      </c>
      <c r="DM4" s="164" t="str">
        <f t="shared" si="1"/>
        <v/>
      </c>
      <c r="DN4" s="164" t="str">
        <f t="shared" si="1"/>
        <v/>
      </c>
      <c r="DO4" s="164" t="str">
        <f t="shared" si="1"/>
        <v/>
      </c>
      <c r="DP4" s="164" t="str">
        <f t="shared" si="1"/>
        <v/>
      </c>
      <c r="DQ4" s="164" t="str">
        <f t="shared" si="1"/>
        <v/>
      </c>
      <c r="DR4" s="164" t="str">
        <f t="shared" si="1"/>
        <v/>
      </c>
      <c r="DS4" s="164" t="str">
        <f t="shared" si="1"/>
        <v/>
      </c>
      <c r="DT4" s="164" t="str">
        <f t="shared" si="1"/>
        <v/>
      </c>
      <c r="DU4" s="164" t="str">
        <f t="shared" si="1"/>
        <v/>
      </c>
      <c r="DV4" s="164" t="str">
        <f t="shared" si="1"/>
        <v/>
      </c>
      <c r="DW4" s="164" t="str">
        <f t="shared" si="1"/>
        <v/>
      </c>
      <c r="DX4" s="164" t="str">
        <f t="shared" si="1"/>
        <v/>
      </c>
      <c r="DY4" s="164" t="str">
        <f t="shared" si="1"/>
        <v/>
      </c>
      <c r="DZ4" s="164" t="str">
        <f t="shared" si="1"/>
        <v/>
      </c>
      <c r="EA4" s="164" t="str">
        <f t="shared" si="1"/>
        <v/>
      </c>
      <c r="EB4" s="164" t="str">
        <f t="shared" si="1"/>
        <v/>
      </c>
      <c r="EC4" s="164" t="str">
        <f t="shared" si="1"/>
        <v/>
      </c>
      <c r="ED4" s="164" t="str">
        <f t="shared" si="1"/>
        <v/>
      </c>
      <c r="EE4" s="164" t="str">
        <f t="shared" si="1"/>
        <v/>
      </c>
      <c r="EF4" s="164" t="str">
        <f t="shared" si="1"/>
        <v/>
      </c>
      <c r="EG4" s="164" t="str">
        <f t="shared" si="1"/>
        <v/>
      </c>
      <c r="EH4" s="164" t="str">
        <f t="shared" si="1"/>
        <v/>
      </c>
      <c r="EI4" s="164" t="str">
        <f t="shared" si="1"/>
        <v/>
      </c>
      <c r="EJ4" s="164" t="str">
        <f t="shared" si="1"/>
        <v/>
      </c>
      <c r="EK4" s="164" t="str">
        <f t="shared" si="1"/>
        <v/>
      </c>
      <c r="EL4" s="164" t="str">
        <f t="shared" si="1"/>
        <v/>
      </c>
      <c r="EM4" s="164" t="str">
        <f t="shared" si="1"/>
        <v/>
      </c>
      <c r="EN4" s="164" t="str">
        <f t="shared" si="1"/>
        <v/>
      </c>
      <c r="EO4" s="164" t="str">
        <f t="shared" ref="EO4:GZ4" si="2">IF(EO3="","",TEXT(EO3,"aaa"))</f>
        <v/>
      </c>
      <c r="EP4" s="164" t="str">
        <f t="shared" si="2"/>
        <v/>
      </c>
      <c r="EQ4" s="164" t="str">
        <f t="shared" si="2"/>
        <v/>
      </c>
      <c r="ER4" s="164" t="str">
        <f t="shared" si="2"/>
        <v/>
      </c>
      <c r="ES4" s="164" t="str">
        <f t="shared" si="2"/>
        <v/>
      </c>
      <c r="ET4" s="164" t="str">
        <f t="shared" si="2"/>
        <v/>
      </c>
      <c r="EU4" s="164" t="str">
        <f t="shared" si="2"/>
        <v/>
      </c>
      <c r="EV4" s="164" t="str">
        <f t="shared" si="2"/>
        <v/>
      </c>
      <c r="EW4" s="164" t="str">
        <f t="shared" si="2"/>
        <v/>
      </c>
      <c r="EX4" s="164" t="str">
        <f t="shared" si="2"/>
        <v/>
      </c>
      <c r="EY4" s="164" t="str">
        <f t="shared" si="2"/>
        <v/>
      </c>
      <c r="EZ4" s="164" t="str">
        <f t="shared" si="2"/>
        <v/>
      </c>
      <c r="FA4" s="164" t="str">
        <f t="shared" si="2"/>
        <v/>
      </c>
      <c r="FB4" s="164" t="str">
        <f t="shared" si="2"/>
        <v/>
      </c>
      <c r="FC4" s="164" t="str">
        <f t="shared" si="2"/>
        <v/>
      </c>
      <c r="FD4" s="164" t="str">
        <f t="shared" si="2"/>
        <v/>
      </c>
      <c r="FE4" s="164" t="str">
        <f t="shared" si="2"/>
        <v/>
      </c>
      <c r="FF4" s="164" t="str">
        <f t="shared" si="2"/>
        <v/>
      </c>
      <c r="FG4" s="164" t="str">
        <f t="shared" si="2"/>
        <v/>
      </c>
      <c r="FH4" s="164" t="str">
        <f t="shared" si="2"/>
        <v/>
      </c>
      <c r="FI4" s="164" t="str">
        <f t="shared" si="2"/>
        <v/>
      </c>
      <c r="FJ4" s="164" t="str">
        <f t="shared" si="2"/>
        <v/>
      </c>
      <c r="FK4" s="164" t="str">
        <f t="shared" si="2"/>
        <v/>
      </c>
      <c r="FL4" s="164" t="str">
        <f t="shared" si="2"/>
        <v/>
      </c>
      <c r="FM4" s="164" t="str">
        <f t="shared" si="2"/>
        <v/>
      </c>
      <c r="FN4" s="164" t="str">
        <f t="shared" si="2"/>
        <v/>
      </c>
      <c r="FO4" s="164" t="str">
        <f t="shared" si="2"/>
        <v/>
      </c>
      <c r="FP4" s="164" t="str">
        <f t="shared" si="2"/>
        <v/>
      </c>
      <c r="FQ4" s="164" t="str">
        <f t="shared" si="2"/>
        <v/>
      </c>
      <c r="FR4" s="164" t="str">
        <f t="shared" si="2"/>
        <v/>
      </c>
      <c r="FS4" s="164" t="str">
        <f t="shared" si="2"/>
        <v/>
      </c>
      <c r="FT4" s="164" t="str">
        <f t="shared" si="2"/>
        <v/>
      </c>
      <c r="FU4" s="164" t="str">
        <f t="shared" si="2"/>
        <v/>
      </c>
      <c r="FV4" s="164" t="str">
        <f t="shared" si="2"/>
        <v/>
      </c>
      <c r="FW4" s="164" t="str">
        <f t="shared" si="2"/>
        <v/>
      </c>
      <c r="FX4" s="164" t="str">
        <f t="shared" si="2"/>
        <v/>
      </c>
      <c r="FY4" s="164" t="str">
        <f t="shared" si="2"/>
        <v/>
      </c>
      <c r="FZ4" s="164" t="str">
        <f t="shared" si="2"/>
        <v/>
      </c>
      <c r="GA4" s="164" t="str">
        <f t="shared" si="2"/>
        <v/>
      </c>
      <c r="GB4" s="164" t="str">
        <f t="shared" si="2"/>
        <v/>
      </c>
      <c r="GC4" s="164" t="str">
        <f t="shared" si="2"/>
        <v/>
      </c>
      <c r="GD4" s="164" t="str">
        <f t="shared" si="2"/>
        <v/>
      </c>
      <c r="GE4" s="164" t="str">
        <f t="shared" si="2"/>
        <v/>
      </c>
      <c r="GF4" s="164" t="str">
        <f t="shared" si="2"/>
        <v/>
      </c>
      <c r="GG4" s="164" t="str">
        <f t="shared" si="2"/>
        <v/>
      </c>
      <c r="GH4" s="164" t="str">
        <f t="shared" si="2"/>
        <v/>
      </c>
      <c r="GI4" s="164" t="str">
        <f t="shared" si="2"/>
        <v/>
      </c>
      <c r="GJ4" s="164" t="str">
        <f t="shared" si="2"/>
        <v/>
      </c>
      <c r="GK4" s="164" t="str">
        <f t="shared" si="2"/>
        <v/>
      </c>
      <c r="GL4" s="164" t="str">
        <f t="shared" si="2"/>
        <v/>
      </c>
      <c r="GM4" s="164" t="str">
        <f t="shared" si="2"/>
        <v/>
      </c>
      <c r="GN4" s="164" t="str">
        <f t="shared" si="2"/>
        <v/>
      </c>
      <c r="GO4" s="164" t="str">
        <f t="shared" si="2"/>
        <v/>
      </c>
      <c r="GP4" s="164" t="str">
        <f t="shared" si="2"/>
        <v/>
      </c>
      <c r="GQ4" s="164" t="str">
        <f t="shared" si="2"/>
        <v/>
      </c>
      <c r="GR4" s="164" t="str">
        <f t="shared" si="2"/>
        <v/>
      </c>
      <c r="GS4" s="164" t="str">
        <f t="shared" si="2"/>
        <v/>
      </c>
      <c r="GT4" s="164" t="str">
        <f t="shared" si="2"/>
        <v/>
      </c>
      <c r="GU4" s="164" t="str">
        <f t="shared" si="2"/>
        <v/>
      </c>
      <c r="GV4" s="164" t="str">
        <f t="shared" si="2"/>
        <v/>
      </c>
      <c r="GW4" s="164" t="str">
        <f t="shared" si="2"/>
        <v/>
      </c>
      <c r="GX4" s="164" t="str">
        <f t="shared" si="2"/>
        <v/>
      </c>
      <c r="GY4" s="164" t="str">
        <f t="shared" si="2"/>
        <v/>
      </c>
      <c r="GZ4" s="164" t="str">
        <f t="shared" si="2"/>
        <v/>
      </c>
      <c r="HA4" s="164" t="str">
        <f t="shared" ref="HA4:JL4" si="3">IF(HA3="","",TEXT(HA3,"aaa"))</f>
        <v/>
      </c>
      <c r="HB4" s="164" t="str">
        <f t="shared" si="3"/>
        <v/>
      </c>
      <c r="HC4" s="164" t="str">
        <f t="shared" si="3"/>
        <v/>
      </c>
      <c r="HD4" s="164" t="str">
        <f t="shared" si="3"/>
        <v/>
      </c>
      <c r="HE4" s="164" t="str">
        <f t="shared" si="3"/>
        <v/>
      </c>
      <c r="HF4" s="164" t="str">
        <f t="shared" si="3"/>
        <v/>
      </c>
      <c r="HG4" s="164" t="str">
        <f t="shared" si="3"/>
        <v/>
      </c>
      <c r="HH4" s="164" t="str">
        <f t="shared" si="3"/>
        <v/>
      </c>
      <c r="HI4" s="164" t="str">
        <f t="shared" si="3"/>
        <v/>
      </c>
      <c r="HJ4" s="164" t="str">
        <f t="shared" si="3"/>
        <v/>
      </c>
      <c r="HK4" s="164" t="str">
        <f t="shared" si="3"/>
        <v/>
      </c>
      <c r="HL4" s="164" t="str">
        <f t="shared" si="3"/>
        <v/>
      </c>
      <c r="HM4" s="164" t="str">
        <f t="shared" si="3"/>
        <v/>
      </c>
      <c r="HN4" s="164" t="str">
        <f t="shared" si="3"/>
        <v/>
      </c>
      <c r="HO4" s="164" t="str">
        <f t="shared" si="3"/>
        <v/>
      </c>
      <c r="HP4" s="164" t="str">
        <f t="shared" si="3"/>
        <v/>
      </c>
      <c r="HQ4" s="164" t="str">
        <f t="shared" si="3"/>
        <v/>
      </c>
      <c r="HR4" s="164" t="str">
        <f t="shared" si="3"/>
        <v/>
      </c>
      <c r="HS4" s="164" t="str">
        <f t="shared" si="3"/>
        <v/>
      </c>
      <c r="HT4" s="164" t="str">
        <f t="shared" si="3"/>
        <v/>
      </c>
      <c r="HU4" s="164" t="str">
        <f t="shared" si="3"/>
        <v/>
      </c>
      <c r="HV4" s="164" t="str">
        <f t="shared" si="3"/>
        <v/>
      </c>
      <c r="HW4" s="164" t="str">
        <f t="shared" si="3"/>
        <v/>
      </c>
      <c r="HX4" s="164" t="str">
        <f t="shared" si="3"/>
        <v/>
      </c>
      <c r="HY4" s="164" t="str">
        <f t="shared" si="3"/>
        <v/>
      </c>
      <c r="HZ4" s="164" t="str">
        <f t="shared" si="3"/>
        <v/>
      </c>
      <c r="IA4" s="164" t="str">
        <f t="shared" si="3"/>
        <v/>
      </c>
      <c r="IB4" s="164" t="str">
        <f t="shared" si="3"/>
        <v/>
      </c>
      <c r="IC4" s="164" t="str">
        <f t="shared" si="3"/>
        <v/>
      </c>
      <c r="ID4" s="164" t="str">
        <f t="shared" si="3"/>
        <v/>
      </c>
      <c r="IE4" s="164" t="str">
        <f t="shared" si="3"/>
        <v/>
      </c>
      <c r="IF4" s="164" t="str">
        <f t="shared" si="3"/>
        <v/>
      </c>
      <c r="IG4" s="164" t="str">
        <f t="shared" si="3"/>
        <v/>
      </c>
      <c r="IH4" s="164" t="str">
        <f t="shared" si="3"/>
        <v/>
      </c>
      <c r="II4" s="164" t="str">
        <f t="shared" si="3"/>
        <v/>
      </c>
      <c r="IJ4" s="164" t="str">
        <f t="shared" si="3"/>
        <v/>
      </c>
      <c r="IK4" s="164" t="str">
        <f t="shared" si="3"/>
        <v/>
      </c>
      <c r="IL4" s="164" t="str">
        <f t="shared" si="3"/>
        <v/>
      </c>
      <c r="IM4" s="164" t="str">
        <f t="shared" si="3"/>
        <v/>
      </c>
      <c r="IN4" s="164" t="str">
        <f t="shared" si="3"/>
        <v/>
      </c>
      <c r="IO4" s="164" t="str">
        <f t="shared" si="3"/>
        <v/>
      </c>
      <c r="IP4" s="164" t="str">
        <f t="shared" si="3"/>
        <v/>
      </c>
      <c r="IQ4" s="164" t="str">
        <f t="shared" si="3"/>
        <v/>
      </c>
      <c r="IR4" s="164" t="str">
        <f t="shared" si="3"/>
        <v/>
      </c>
      <c r="IS4" s="164" t="str">
        <f t="shared" si="3"/>
        <v/>
      </c>
      <c r="IT4" s="164" t="str">
        <f t="shared" si="3"/>
        <v/>
      </c>
      <c r="IU4" s="164" t="str">
        <f t="shared" si="3"/>
        <v/>
      </c>
      <c r="IV4" s="164" t="str">
        <f t="shared" si="3"/>
        <v/>
      </c>
      <c r="IW4" s="164" t="str">
        <f t="shared" si="3"/>
        <v/>
      </c>
      <c r="IX4" s="164" t="str">
        <f t="shared" si="3"/>
        <v/>
      </c>
      <c r="IY4" s="164" t="str">
        <f t="shared" si="3"/>
        <v/>
      </c>
      <c r="IZ4" s="164" t="str">
        <f t="shared" si="3"/>
        <v/>
      </c>
      <c r="JA4" s="164" t="str">
        <f t="shared" si="3"/>
        <v/>
      </c>
      <c r="JB4" s="164" t="str">
        <f t="shared" si="3"/>
        <v/>
      </c>
      <c r="JC4" s="164" t="str">
        <f t="shared" si="3"/>
        <v/>
      </c>
      <c r="JD4" s="164" t="str">
        <f t="shared" si="3"/>
        <v/>
      </c>
      <c r="JE4" s="164" t="str">
        <f t="shared" si="3"/>
        <v/>
      </c>
      <c r="JF4" s="164" t="str">
        <f t="shared" si="3"/>
        <v/>
      </c>
      <c r="JG4" s="164" t="str">
        <f t="shared" si="3"/>
        <v/>
      </c>
      <c r="JH4" s="164" t="str">
        <f t="shared" si="3"/>
        <v/>
      </c>
      <c r="JI4" s="164" t="str">
        <f t="shared" si="3"/>
        <v/>
      </c>
      <c r="JJ4" s="164" t="str">
        <f t="shared" si="3"/>
        <v/>
      </c>
      <c r="JK4" s="164" t="str">
        <f t="shared" si="3"/>
        <v/>
      </c>
      <c r="JL4" s="164" t="str">
        <f t="shared" si="3"/>
        <v/>
      </c>
      <c r="JM4" s="164" t="str">
        <f t="shared" ref="JM4:LX4" si="4">IF(JM3="","",TEXT(JM3,"aaa"))</f>
        <v/>
      </c>
      <c r="JN4" s="164" t="str">
        <f t="shared" si="4"/>
        <v/>
      </c>
      <c r="JO4" s="164" t="str">
        <f t="shared" si="4"/>
        <v/>
      </c>
      <c r="JP4" s="164" t="str">
        <f t="shared" si="4"/>
        <v/>
      </c>
      <c r="JQ4" s="164" t="str">
        <f t="shared" si="4"/>
        <v/>
      </c>
      <c r="JR4" s="164" t="str">
        <f t="shared" si="4"/>
        <v/>
      </c>
      <c r="JS4" s="164" t="str">
        <f t="shared" si="4"/>
        <v/>
      </c>
      <c r="JT4" s="164" t="str">
        <f t="shared" si="4"/>
        <v/>
      </c>
      <c r="JU4" s="164" t="str">
        <f t="shared" si="4"/>
        <v/>
      </c>
      <c r="JV4" s="164" t="str">
        <f t="shared" si="4"/>
        <v/>
      </c>
      <c r="JW4" s="164" t="str">
        <f t="shared" si="4"/>
        <v/>
      </c>
      <c r="JX4" s="164" t="str">
        <f t="shared" si="4"/>
        <v/>
      </c>
      <c r="JY4" s="164" t="str">
        <f t="shared" si="4"/>
        <v/>
      </c>
      <c r="JZ4" s="164" t="str">
        <f t="shared" si="4"/>
        <v/>
      </c>
      <c r="KA4" s="164" t="str">
        <f t="shared" si="4"/>
        <v/>
      </c>
      <c r="KB4" s="164" t="str">
        <f t="shared" si="4"/>
        <v/>
      </c>
      <c r="KC4" s="164" t="str">
        <f t="shared" si="4"/>
        <v/>
      </c>
      <c r="KD4" s="164" t="str">
        <f t="shared" si="4"/>
        <v/>
      </c>
      <c r="KE4" s="164" t="str">
        <f t="shared" si="4"/>
        <v/>
      </c>
      <c r="KF4" s="164" t="str">
        <f t="shared" si="4"/>
        <v/>
      </c>
      <c r="KG4" s="164" t="str">
        <f t="shared" si="4"/>
        <v/>
      </c>
      <c r="KH4" s="164" t="str">
        <f t="shared" si="4"/>
        <v/>
      </c>
      <c r="KI4" s="164" t="str">
        <f t="shared" si="4"/>
        <v/>
      </c>
      <c r="KJ4" s="164" t="str">
        <f t="shared" si="4"/>
        <v/>
      </c>
      <c r="KK4" s="164" t="str">
        <f t="shared" si="4"/>
        <v/>
      </c>
      <c r="KL4" s="164" t="str">
        <f t="shared" si="4"/>
        <v/>
      </c>
      <c r="KM4" s="164" t="str">
        <f t="shared" si="4"/>
        <v/>
      </c>
      <c r="KN4" s="164" t="str">
        <f t="shared" si="4"/>
        <v/>
      </c>
      <c r="KO4" s="164" t="str">
        <f t="shared" si="4"/>
        <v/>
      </c>
      <c r="KP4" s="164" t="str">
        <f t="shared" si="4"/>
        <v/>
      </c>
      <c r="KQ4" s="164" t="str">
        <f t="shared" si="4"/>
        <v/>
      </c>
      <c r="KR4" s="164" t="str">
        <f t="shared" si="4"/>
        <v/>
      </c>
      <c r="KS4" s="164" t="str">
        <f t="shared" si="4"/>
        <v/>
      </c>
      <c r="KT4" s="164" t="str">
        <f t="shared" si="4"/>
        <v/>
      </c>
      <c r="KU4" s="164" t="str">
        <f t="shared" si="4"/>
        <v/>
      </c>
      <c r="KV4" s="164" t="str">
        <f t="shared" si="4"/>
        <v/>
      </c>
      <c r="KW4" s="164" t="str">
        <f t="shared" si="4"/>
        <v/>
      </c>
      <c r="KX4" s="164" t="str">
        <f t="shared" si="4"/>
        <v/>
      </c>
      <c r="KY4" s="164" t="str">
        <f t="shared" si="4"/>
        <v/>
      </c>
      <c r="KZ4" s="164" t="str">
        <f t="shared" si="4"/>
        <v/>
      </c>
      <c r="LA4" s="164" t="str">
        <f t="shared" si="4"/>
        <v/>
      </c>
      <c r="LB4" s="164" t="str">
        <f t="shared" si="4"/>
        <v/>
      </c>
      <c r="LC4" s="164" t="str">
        <f t="shared" si="4"/>
        <v/>
      </c>
      <c r="LD4" s="164" t="str">
        <f t="shared" si="4"/>
        <v/>
      </c>
      <c r="LE4" s="164" t="str">
        <f t="shared" si="4"/>
        <v/>
      </c>
      <c r="LF4" s="164" t="str">
        <f t="shared" si="4"/>
        <v/>
      </c>
      <c r="LG4" s="164" t="str">
        <f t="shared" si="4"/>
        <v/>
      </c>
      <c r="LH4" s="164" t="str">
        <f t="shared" si="4"/>
        <v/>
      </c>
      <c r="LI4" s="164" t="str">
        <f t="shared" si="4"/>
        <v/>
      </c>
      <c r="LJ4" s="164" t="str">
        <f t="shared" si="4"/>
        <v/>
      </c>
      <c r="LK4" s="164" t="str">
        <f t="shared" si="4"/>
        <v/>
      </c>
      <c r="LL4" s="164" t="str">
        <f t="shared" si="4"/>
        <v/>
      </c>
      <c r="LM4" s="164" t="str">
        <f t="shared" si="4"/>
        <v/>
      </c>
      <c r="LN4" s="164" t="str">
        <f t="shared" si="4"/>
        <v/>
      </c>
      <c r="LO4" s="164" t="str">
        <f t="shared" si="4"/>
        <v/>
      </c>
      <c r="LP4" s="164" t="str">
        <f t="shared" si="4"/>
        <v/>
      </c>
      <c r="LQ4" s="164" t="str">
        <f t="shared" si="4"/>
        <v/>
      </c>
      <c r="LR4" s="164" t="str">
        <f t="shared" si="4"/>
        <v/>
      </c>
      <c r="LS4" s="164" t="str">
        <f t="shared" si="4"/>
        <v/>
      </c>
      <c r="LT4" s="164" t="str">
        <f t="shared" si="4"/>
        <v/>
      </c>
      <c r="LU4" s="164" t="str">
        <f t="shared" si="4"/>
        <v/>
      </c>
      <c r="LV4" s="164" t="str">
        <f t="shared" si="4"/>
        <v/>
      </c>
      <c r="LW4" s="164" t="str">
        <f t="shared" si="4"/>
        <v/>
      </c>
      <c r="LX4" s="164" t="str">
        <f t="shared" si="4"/>
        <v/>
      </c>
      <c r="LY4" s="164" t="str">
        <f t="shared" ref="LY4:OJ4" si="5">IF(LY3="","",TEXT(LY3,"aaa"))</f>
        <v/>
      </c>
      <c r="LZ4" s="164" t="str">
        <f t="shared" si="5"/>
        <v/>
      </c>
      <c r="MA4" s="164" t="str">
        <f t="shared" si="5"/>
        <v/>
      </c>
      <c r="MB4" s="164" t="str">
        <f t="shared" si="5"/>
        <v/>
      </c>
      <c r="MC4" s="164" t="str">
        <f t="shared" si="5"/>
        <v/>
      </c>
      <c r="MD4" s="164" t="str">
        <f t="shared" si="5"/>
        <v/>
      </c>
      <c r="ME4" s="164" t="str">
        <f t="shared" si="5"/>
        <v/>
      </c>
      <c r="MF4" s="164" t="str">
        <f t="shared" si="5"/>
        <v/>
      </c>
      <c r="MG4" s="164" t="str">
        <f t="shared" si="5"/>
        <v/>
      </c>
      <c r="MH4" s="164" t="str">
        <f t="shared" si="5"/>
        <v/>
      </c>
      <c r="MI4" s="164" t="str">
        <f t="shared" si="5"/>
        <v/>
      </c>
      <c r="MJ4" s="164" t="str">
        <f t="shared" si="5"/>
        <v/>
      </c>
      <c r="MK4" s="164" t="str">
        <f t="shared" si="5"/>
        <v/>
      </c>
      <c r="ML4" s="164" t="str">
        <f t="shared" si="5"/>
        <v/>
      </c>
      <c r="MM4" s="164" t="str">
        <f t="shared" si="5"/>
        <v/>
      </c>
      <c r="MN4" s="164" t="str">
        <f t="shared" si="5"/>
        <v/>
      </c>
      <c r="MO4" s="164" t="str">
        <f t="shared" si="5"/>
        <v/>
      </c>
      <c r="MP4" s="164" t="str">
        <f t="shared" si="5"/>
        <v/>
      </c>
      <c r="MQ4" s="164" t="str">
        <f t="shared" si="5"/>
        <v/>
      </c>
      <c r="MR4" s="164" t="str">
        <f t="shared" si="5"/>
        <v/>
      </c>
      <c r="MS4" s="164" t="str">
        <f t="shared" si="5"/>
        <v/>
      </c>
      <c r="MT4" s="164" t="str">
        <f t="shared" si="5"/>
        <v/>
      </c>
      <c r="MU4" s="164" t="str">
        <f t="shared" si="5"/>
        <v/>
      </c>
      <c r="MV4" s="164" t="str">
        <f t="shared" si="5"/>
        <v/>
      </c>
      <c r="MW4" s="164" t="str">
        <f t="shared" si="5"/>
        <v/>
      </c>
      <c r="MX4" s="164" t="str">
        <f t="shared" si="5"/>
        <v/>
      </c>
      <c r="MY4" s="164" t="str">
        <f t="shared" si="5"/>
        <v/>
      </c>
      <c r="MZ4" s="164" t="str">
        <f t="shared" si="5"/>
        <v/>
      </c>
      <c r="NA4" s="164" t="str">
        <f t="shared" si="5"/>
        <v/>
      </c>
      <c r="NB4" s="164" t="str">
        <f t="shared" si="5"/>
        <v/>
      </c>
      <c r="NC4" s="164" t="str">
        <f t="shared" si="5"/>
        <v/>
      </c>
      <c r="ND4" s="164" t="str">
        <f t="shared" si="5"/>
        <v/>
      </c>
      <c r="NE4" s="164" t="str">
        <f t="shared" si="5"/>
        <v/>
      </c>
      <c r="NF4" s="164" t="str">
        <f t="shared" si="5"/>
        <v/>
      </c>
      <c r="NG4" s="164" t="str">
        <f t="shared" si="5"/>
        <v/>
      </c>
      <c r="NH4" s="164" t="str">
        <f t="shared" si="5"/>
        <v/>
      </c>
      <c r="NI4" s="164" t="str">
        <f t="shared" si="5"/>
        <v/>
      </c>
      <c r="NJ4" s="164" t="str">
        <f t="shared" si="5"/>
        <v/>
      </c>
      <c r="NK4" s="164" t="str">
        <f t="shared" si="5"/>
        <v/>
      </c>
      <c r="NL4" s="164" t="str">
        <f t="shared" si="5"/>
        <v/>
      </c>
      <c r="NM4" s="164" t="str">
        <f t="shared" si="5"/>
        <v/>
      </c>
      <c r="NN4" s="164" t="str">
        <f t="shared" si="5"/>
        <v/>
      </c>
      <c r="NO4" s="164" t="str">
        <f t="shared" si="5"/>
        <v/>
      </c>
      <c r="NP4" s="164" t="str">
        <f t="shared" si="5"/>
        <v/>
      </c>
      <c r="NQ4" s="164" t="str">
        <f t="shared" si="5"/>
        <v/>
      </c>
      <c r="NR4" s="164" t="str">
        <f t="shared" si="5"/>
        <v/>
      </c>
      <c r="NS4" s="164" t="str">
        <f t="shared" si="5"/>
        <v/>
      </c>
      <c r="NT4" s="164" t="str">
        <f t="shared" si="5"/>
        <v/>
      </c>
      <c r="NU4" s="164" t="str">
        <f t="shared" si="5"/>
        <v/>
      </c>
      <c r="NV4" s="164" t="str">
        <f t="shared" si="5"/>
        <v/>
      </c>
      <c r="NW4" s="164" t="str">
        <f t="shared" si="5"/>
        <v/>
      </c>
      <c r="NX4" s="164" t="str">
        <f t="shared" si="5"/>
        <v/>
      </c>
      <c r="NY4" s="164" t="str">
        <f t="shared" si="5"/>
        <v/>
      </c>
      <c r="NZ4" s="164" t="str">
        <f t="shared" si="5"/>
        <v/>
      </c>
      <c r="OA4" s="164" t="str">
        <f t="shared" si="5"/>
        <v/>
      </c>
      <c r="OB4" s="164" t="str">
        <f t="shared" si="5"/>
        <v/>
      </c>
      <c r="OC4" s="164" t="str">
        <f t="shared" si="5"/>
        <v/>
      </c>
      <c r="OD4" s="164" t="str">
        <f t="shared" si="5"/>
        <v/>
      </c>
      <c r="OE4" s="164" t="str">
        <f t="shared" si="5"/>
        <v/>
      </c>
      <c r="OF4" s="164" t="str">
        <f t="shared" si="5"/>
        <v/>
      </c>
      <c r="OG4" s="164" t="str">
        <f t="shared" si="5"/>
        <v/>
      </c>
      <c r="OH4" s="164" t="str">
        <f t="shared" si="5"/>
        <v/>
      </c>
      <c r="OI4" s="164" t="str">
        <f t="shared" si="5"/>
        <v/>
      </c>
      <c r="OJ4" s="164" t="str">
        <f t="shared" si="5"/>
        <v/>
      </c>
      <c r="OK4" s="164" t="str">
        <f t="shared" ref="OK4:QV4" si="6">IF(OK3="","",TEXT(OK3,"aaa"))</f>
        <v/>
      </c>
      <c r="OL4" s="164" t="str">
        <f t="shared" si="6"/>
        <v/>
      </c>
      <c r="OM4" s="164" t="str">
        <f t="shared" si="6"/>
        <v/>
      </c>
      <c r="ON4" s="164" t="str">
        <f t="shared" si="6"/>
        <v/>
      </c>
      <c r="OO4" s="164" t="str">
        <f t="shared" si="6"/>
        <v/>
      </c>
      <c r="OP4" s="164" t="str">
        <f t="shared" si="6"/>
        <v/>
      </c>
      <c r="OQ4" s="164" t="str">
        <f t="shared" si="6"/>
        <v/>
      </c>
      <c r="OR4" s="164" t="str">
        <f t="shared" si="6"/>
        <v/>
      </c>
      <c r="OS4" s="164" t="str">
        <f t="shared" si="6"/>
        <v/>
      </c>
      <c r="OT4" s="164" t="str">
        <f t="shared" si="6"/>
        <v/>
      </c>
      <c r="OU4" s="164" t="str">
        <f t="shared" si="6"/>
        <v/>
      </c>
      <c r="OV4" s="164" t="str">
        <f t="shared" si="6"/>
        <v/>
      </c>
      <c r="OW4" s="164" t="str">
        <f t="shared" si="6"/>
        <v/>
      </c>
      <c r="OX4" s="164" t="str">
        <f t="shared" si="6"/>
        <v/>
      </c>
      <c r="OY4" s="164" t="str">
        <f t="shared" si="6"/>
        <v/>
      </c>
      <c r="OZ4" s="164" t="str">
        <f t="shared" si="6"/>
        <v/>
      </c>
      <c r="PA4" s="164" t="str">
        <f t="shared" si="6"/>
        <v/>
      </c>
      <c r="PB4" s="164" t="str">
        <f t="shared" si="6"/>
        <v/>
      </c>
      <c r="PC4" s="164" t="str">
        <f t="shared" si="6"/>
        <v/>
      </c>
      <c r="PD4" s="164" t="str">
        <f t="shared" si="6"/>
        <v/>
      </c>
      <c r="PE4" s="164" t="str">
        <f t="shared" si="6"/>
        <v/>
      </c>
      <c r="PF4" s="164" t="str">
        <f t="shared" si="6"/>
        <v/>
      </c>
      <c r="PG4" s="164" t="str">
        <f t="shared" si="6"/>
        <v/>
      </c>
      <c r="PH4" s="164" t="str">
        <f t="shared" si="6"/>
        <v/>
      </c>
      <c r="PI4" s="164" t="str">
        <f t="shared" si="6"/>
        <v/>
      </c>
      <c r="PJ4" s="164" t="str">
        <f t="shared" si="6"/>
        <v/>
      </c>
      <c r="PK4" s="164" t="str">
        <f t="shared" si="6"/>
        <v/>
      </c>
      <c r="PL4" s="164" t="str">
        <f t="shared" si="6"/>
        <v/>
      </c>
      <c r="PM4" s="164" t="str">
        <f t="shared" si="6"/>
        <v/>
      </c>
      <c r="PN4" s="164" t="str">
        <f t="shared" si="6"/>
        <v/>
      </c>
      <c r="PO4" s="164" t="str">
        <f t="shared" si="6"/>
        <v/>
      </c>
      <c r="PP4" s="164" t="str">
        <f t="shared" si="6"/>
        <v/>
      </c>
      <c r="PQ4" s="164" t="str">
        <f t="shared" si="6"/>
        <v/>
      </c>
      <c r="PR4" s="164" t="str">
        <f t="shared" si="6"/>
        <v/>
      </c>
      <c r="PS4" s="164" t="str">
        <f t="shared" si="6"/>
        <v/>
      </c>
      <c r="PT4" s="164" t="str">
        <f t="shared" si="6"/>
        <v/>
      </c>
      <c r="PU4" s="164" t="str">
        <f t="shared" si="6"/>
        <v/>
      </c>
      <c r="PV4" s="164" t="str">
        <f t="shared" si="6"/>
        <v/>
      </c>
      <c r="PW4" s="164" t="str">
        <f t="shared" si="6"/>
        <v/>
      </c>
      <c r="PX4" s="164" t="str">
        <f t="shared" si="6"/>
        <v/>
      </c>
      <c r="PY4" s="164" t="str">
        <f t="shared" si="6"/>
        <v/>
      </c>
      <c r="PZ4" s="164" t="str">
        <f t="shared" si="6"/>
        <v/>
      </c>
      <c r="QA4" s="164" t="str">
        <f t="shared" si="6"/>
        <v/>
      </c>
      <c r="QB4" s="164" t="str">
        <f t="shared" si="6"/>
        <v/>
      </c>
      <c r="QC4" s="164" t="str">
        <f t="shared" si="6"/>
        <v/>
      </c>
      <c r="QD4" s="164" t="str">
        <f t="shared" si="6"/>
        <v/>
      </c>
      <c r="QE4" s="164" t="str">
        <f t="shared" si="6"/>
        <v/>
      </c>
      <c r="QF4" s="164" t="str">
        <f t="shared" si="6"/>
        <v/>
      </c>
      <c r="QG4" s="164" t="str">
        <f t="shared" si="6"/>
        <v/>
      </c>
      <c r="QH4" s="164" t="str">
        <f t="shared" si="6"/>
        <v/>
      </c>
      <c r="QI4" s="164" t="str">
        <f t="shared" si="6"/>
        <v/>
      </c>
      <c r="QJ4" s="164" t="str">
        <f t="shared" si="6"/>
        <v/>
      </c>
      <c r="QK4" s="164" t="str">
        <f t="shared" si="6"/>
        <v/>
      </c>
      <c r="QL4" s="164" t="str">
        <f t="shared" si="6"/>
        <v/>
      </c>
      <c r="QM4" s="164" t="str">
        <f t="shared" si="6"/>
        <v/>
      </c>
      <c r="QN4" s="164" t="str">
        <f t="shared" si="6"/>
        <v/>
      </c>
      <c r="QO4" s="164" t="str">
        <f t="shared" si="6"/>
        <v/>
      </c>
      <c r="QP4" s="164" t="str">
        <f t="shared" si="6"/>
        <v/>
      </c>
      <c r="QQ4" s="164" t="str">
        <f t="shared" si="6"/>
        <v/>
      </c>
      <c r="QR4" s="164" t="str">
        <f t="shared" si="6"/>
        <v/>
      </c>
      <c r="QS4" s="164" t="str">
        <f t="shared" si="6"/>
        <v/>
      </c>
      <c r="QT4" s="164" t="str">
        <f t="shared" si="6"/>
        <v/>
      </c>
      <c r="QU4" s="164" t="str">
        <f t="shared" si="6"/>
        <v/>
      </c>
      <c r="QV4" s="164" t="str">
        <f t="shared" si="6"/>
        <v/>
      </c>
      <c r="QW4" s="164" t="str">
        <f t="shared" ref="QW4:TH4" si="7">IF(QW3="","",TEXT(QW3,"aaa"))</f>
        <v/>
      </c>
      <c r="QX4" s="164" t="str">
        <f t="shared" si="7"/>
        <v/>
      </c>
      <c r="QY4" s="164" t="str">
        <f t="shared" si="7"/>
        <v/>
      </c>
      <c r="QZ4" s="164" t="str">
        <f t="shared" si="7"/>
        <v/>
      </c>
      <c r="RA4" s="164" t="str">
        <f t="shared" si="7"/>
        <v/>
      </c>
      <c r="RB4" s="164" t="str">
        <f t="shared" si="7"/>
        <v/>
      </c>
      <c r="RC4" s="164" t="str">
        <f t="shared" si="7"/>
        <v/>
      </c>
      <c r="RD4" s="164" t="str">
        <f t="shared" si="7"/>
        <v/>
      </c>
      <c r="RE4" s="164" t="str">
        <f t="shared" si="7"/>
        <v/>
      </c>
      <c r="RF4" s="164" t="str">
        <f t="shared" si="7"/>
        <v/>
      </c>
      <c r="RG4" s="164" t="str">
        <f t="shared" si="7"/>
        <v/>
      </c>
      <c r="RH4" s="164" t="str">
        <f t="shared" si="7"/>
        <v/>
      </c>
      <c r="RI4" s="164" t="str">
        <f t="shared" si="7"/>
        <v/>
      </c>
      <c r="RJ4" s="164" t="str">
        <f t="shared" si="7"/>
        <v/>
      </c>
      <c r="RK4" s="164" t="str">
        <f t="shared" si="7"/>
        <v/>
      </c>
      <c r="RL4" s="164" t="str">
        <f t="shared" si="7"/>
        <v/>
      </c>
      <c r="RM4" s="164" t="str">
        <f t="shared" si="7"/>
        <v/>
      </c>
      <c r="RN4" s="164" t="str">
        <f t="shared" si="7"/>
        <v/>
      </c>
      <c r="RO4" s="164" t="str">
        <f t="shared" si="7"/>
        <v/>
      </c>
      <c r="RP4" s="164" t="str">
        <f t="shared" si="7"/>
        <v/>
      </c>
      <c r="RQ4" s="164" t="str">
        <f t="shared" si="7"/>
        <v/>
      </c>
      <c r="RR4" s="164" t="str">
        <f t="shared" si="7"/>
        <v/>
      </c>
      <c r="RS4" s="164" t="str">
        <f t="shared" si="7"/>
        <v/>
      </c>
      <c r="RT4" s="164" t="str">
        <f t="shared" si="7"/>
        <v/>
      </c>
      <c r="RU4" s="164" t="str">
        <f t="shared" si="7"/>
        <v/>
      </c>
      <c r="RV4" s="164" t="str">
        <f t="shared" si="7"/>
        <v/>
      </c>
      <c r="RW4" s="164" t="str">
        <f t="shared" si="7"/>
        <v/>
      </c>
      <c r="RX4" s="164" t="str">
        <f t="shared" si="7"/>
        <v/>
      </c>
      <c r="RY4" s="164" t="str">
        <f t="shared" si="7"/>
        <v/>
      </c>
      <c r="RZ4" s="164" t="str">
        <f t="shared" si="7"/>
        <v/>
      </c>
      <c r="SA4" s="164" t="str">
        <f t="shared" si="7"/>
        <v/>
      </c>
      <c r="SB4" s="164" t="str">
        <f t="shared" si="7"/>
        <v/>
      </c>
      <c r="SC4" s="164" t="str">
        <f t="shared" si="7"/>
        <v/>
      </c>
      <c r="SD4" s="164" t="str">
        <f t="shared" si="7"/>
        <v/>
      </c>
      <c r="SE4" s="164" t="str">
        <f t="shared" si="7"/>
        <v/>
      </c>
      <c r="SF4" s="164" t="str">
        <f t="shared" si="7"/>
        <v/>
      </c>
      <c r="SG4" s="164" t="str">
        <f t="shared" si="7"/>
        <v/>
      </c>
      <c r="SH4" s="164" t="str">
        <f t="shared" si="7"/>
        <v/>
      </c>
      <c r="SI4" s="164" t="str">
        <f t="shared" si="7"/>
        <v/>
      </c>
      <c r="SJ4" s="164" t="str">
        <f t="shared" si="7"/>
        <v/>
      </c>
      <c r="SK4" s="164" t="str">
        <f t="shared" si="7"/>
        <v/>
      </c>
      <c r="SL4" s="164" t="str">
        <f t="shared" si="7"/>
        <v/>
      </c>
      <c r="SM4" s="164" t="str">
        <f t="shared" si="7"/>
        <v/>
      </c>
      <c r="SN4" s="164" t="str">
        <f t="shared" si="7"/>
        <v/>
      </c>
      <c r="SO4" s="164" t="str">
        <f t="shared" si="7"/>
        <v/>
      </c>
      <c r="SP4" s="164" t="str">
        <f t="shared" si="7"/>
        <v/>
      </c>
      <c r="SQ4" s="164" t="str">
        <f t="shared" si="7"/>
        <v/>
      </c>
      <c r="SR4" s="164" t="str">
        <f t="shared" si="7"/>
        <v/>
      </c>
      <c r="SS4" s="164" t="str">
        <f t="shared" si="7"/>
        <v/>
      </c>
      <c r="ST4" s="164" t="str">
        <f t="shared" si="7"/>
        <v/>
      </c>
      <c r="SU4" s="164" t="str">
        <f t="shared" si="7"/>
        <v/>
      </c>
      <c r="SV4" s="164" t="str">
        <f t="shared" si="7"/>
        <v/>
      </c>
      <c r="SW4" s="164" t="str">
        <f t="shared" si="7"/>
        <v/>
      </c>
      <c r="SX4" s="164" t="str">
        <f t="shared" si="7"/>
        <v/>
      </c>
      <c r="SY4" s="164" t="str">
        <f t="shared" si="7"/>
        <v/>
      </c>
      <c r="SZ4" s="164" t="str">
        <f t="shared" si="7"/>
        <v/>
      </c>
      <c r="TA4" s="164" t="str">
        <f t="shared" si="7"/>
        <v/>
      </c>
      <c r="TB4" s="164" t="str">
        <f t="shared" si="7"/>
        <v/>
      </c>
      <c r="TC4" s="164" t="str">
        <f t="shared" si="7"/>
        <v/>
      </c>
      <c r="TD4" s="164" t="str">
        <f t="shared" si="7"/>
        <v/>
      </c>
      <c r="TE4" s="164" t="str">
        <f t="shared" si="7"/>
        <v/>
      </c>
      <c r="TF4" s="164" t="str">
        <f t="shared" si="7"/>
        <v/>
      </c>
      <c r="TG4" s="164" t="str">
        <f t="shared" si="7"/>
        <v/>
      </c>
      <c r="TH4" s="164" t="str">
        <f t="shared" si="7"/>
        <v/>
      </c>
      <c r="TI4" s="164" t="str">
        <f t="shared" ref="TI4:VT4" si="8">IF(TI3="","",TEXT(TI3,"aaa"))</f>
        <v/>
      </c>
      <c r="TJ4" s="164" t="str">
        <f t="shared" si="8"/>
        <v/>
      </c>
      <c r="TK4" s="164" t="str">
        <f t="shared" si="8"/>
        <v/>
      </c>
      <c r="TL4" s="164" t="str">
        <f t="shared" si="8"/>
        <v/>
      </c>
      <c r="TM4" s="164" t="str">
        <f t="shared" si="8"/>
        <v/>
      </c>
      <c r="TN4" s="164" t="str">
        <f t="shared" si="8"/>
        <v/>
      </c>
      <c r="TO4" s="164" t="str">
        <f t="shared" si="8"/>
        <v/>
      </c>
      <c r="TP4" s="164" t="str">
        <f t="shared" si="8"/>
        <v/>
      </c>
      <c r="TQ4" s="164" t="str">
        <f t="shared" si="8"/>
        <v/>
      </c>
      <c r="TR4" s="164" t="str">
        <f t="shared" si="8"/>
        <v/>
      </c>
      <c r="TS4" s="164" t="str">
        <f t="shared" si="8"/>
        <v/>
      </c>
      <c r="TT4" s="164" t="str">
        <f t="shared" si="8"/>
        <v/>
      </c>
      <c r="TU4" s="164" t="str">
        <f t="shared" si="8"/>
        <v/>
      </c>
      <c r="TV4" s="164" t="str">
        <f t="shared" si="8"/>
        <v/>
      </c>
      <c r="TW4" s="164" t="str">
        <f t="shared" si="8"/>
        <v/>
      </c>
      <c r="TX4" s="164" t="str">
        <f t="shared" si="8"/>
        <v/>
      </c>
      <c r="TY4" s="164" t="str">
        <f t="shared" si="8"/>
        <v/>
      </c>
      <c r="TZ4" s="164" t="str">
        <f t="shared" si="8"/>
        <v/>
      </c>
      <c r="UA4" s="164" t="str">
        <f t="shared" si="8"/>
        <v/>
      </c>
      <c r="UB4" s="164" t="str">
        <f t="shared" si="8"/>
        <v/>
      </c>
      <c r="UC4" s="164" t="str">
        <f t="shared" si="8"/>
        <v/>
      </c>
      <c r="UD4" s="164" t="str">
        <f t="shared" si="8"/>
        <v/>
      </c>
      <c r="UE4" s="164" t="str">
        <f t="shared" si="8"/>
        <v/>
      </c>
      <c r="UF4" s="164" t="str">
        <f t="shared" si="8"/>
        <v/>
      </c>
      <c r="UG4" s="164" t="str">
        <f t="shared" si="8"/>
        <v/>
      </c>
      <c r="UH4" s="164" t="str">
        <f t="shared" si="8"/>
        <v/>
      </c>
      <c r="UI4" s="164" t="str">
        <f t="shared" si="8"/>
        <v/>
      </c>
      <c r="UJ4" s="164" t="str">
        <f t="shared" si="8"/>
        <v/>
      </c>
      <c r="UK4" s="164" t="str">
        <f t="shared" si="8"/>
        <v/>
      </c>
      <c r="UL4" s="164" t="str">
        <f t="shared" si="8"/>
        <v/>
      </c>
      <c r="UM4" s="164" t="str">
        <f t="shared" si="8"/>
        <v/>
      </c>
      <c r="UN4" s="164" t="str">
        <f t="shared" si="8"/>
        <v/>
      </c>
      <c r="UO4" s="164" t="str">
        <f t="shared" si="8"/>
        <v/>
      </c>
      <c r="UP4" s="164" t="str">
        <f t="shared" si="8"/>
        <v/>
      </c>
      <c r="UQ4" s="164" t="str">
        <f t="shared" si="8"/>
        <v/>
      </c>
      <c r="UR4" s="164" t="str">
        <f t="shared" si="8"/>
        <v/>
      </c>
      <c r="US4" s="164" t="str">
        <f t="shared" si="8"/>
        <v/>
      </c>
      <c r="UT4" s="164" t="str">
        <f t="shared" si="8"/>
        <v/>
      </c>
      <c r="UU4" s="164" t="str">
        <f t="shared" si="8"/>
        <v/>
      </c>
      <c r="UV4" s="164" t="str">
        <f t="shared" si="8"/>
        <v/>
      </c>
      <c r="UW4" s="164" t="str">
        <f t="shared" si="8"/>
        <v/>
      </c>
      <c r="UX4" s="164" t="str">
        <f t="shared" si="8"/>
        <v/>
      </c>
      <c r="UY4" s="164" t="str">
        <f t="shared" si="8"/>
        <v/>
      </c>
      <c r="UZ4" s="164" t="str">
        <f t="shared" si="8"/>
        <v/>
      </c>
      <c r="VA4" s="164" t="str">
        <f t="shared" si="8"/>
        <v/>
      </c>
      <c r="VB4" s="164" t="str">
        <f t="shared" si="8"/>
        <v/>
      </c>
      <c r="VC4" s="164" t="str">
        <f t="shared" si="8"/>
        <v/>
      </c>
      <c r="VD4" s="164" t="str">
        <f t="shared" si="8"/>
        <v/>
      </c>
      <c r="VE4" s="164" t="str">
        <f t="shared" si="8"/>
        <v/>
      </c>
      <c r="VF4" s="164" t="str">
        <f t="shared" si="8"/>
        <v/>
      </c>
      <c r="VG4" s="164" t="str">
        <f t="shared" si="8"/>
        <v/>
      </c>
      <c r="VH4" s="164" t="str">
        <f t="shared" si="8"/>
        <v/>
      </c>
      <c r="VI4" s="164" t="str">
        <f t="shared" si="8"/>
        <v/>
      </c>
      <c r="VJ4" s="164" t="str">
        <f t="shared" si="8"/>
        <v/>
      </c>
      <c r="VK4" s="164" t="str">
        <f t="shared" si="8"/>
        <v/>
      </c>
      <c r="VL4" s="164" t="str">
        <f t="shared" si="8"/>
        <v/>
      </c>
      <c r="VM4" s="164" t="str">
        <f t="shared" si="8"/>
        <v/>
      </c>
      <c r="VN4" s="164" t="str">
        <f t="shared" si="8"/>
        <v/>
      </c>
      <c r="VO4" s="164" t="str">
        <f t="shared" si="8"/>
        <v/>
      </c>
      <c r="VP4" s="164" t="str">
        <f t="shared" si="8"/>
        <v/>
      </c>
      <c r="VQ4" s="164" t="str">
        <f t="shared" si="8"/>
        <v/>
      </c>
      <c r="VR4" s="164" t="str">
        <f t="shared" si="8"/>
        <v/>
      </c>
      <c r="VS4" s="164" t="str">
        <f t="shared" si="8"/>
        <v/>
      </c>
      <c r="VT4" s="164" t="str">
        <f t="shared" si="8"/>
        <v/>
      </c>
      <c r="VU4" s="164" t="str">
        <f t="shared" ref="VU4:YF4" si="9">IF(VU3="","",TEXT(VU3,"aaa"))</f>
        <v/>
      </c>
      <c r="VV4" s="164" t="str">
        <f t="shared" si="9"/>
        <v/>
      </c>
      <c r="VW4" s="164" t="str">
        <f t="shared" si="9"/>
        <v/>
      </c>
      <c r="VX4" s="164" t="str">
        <f t="shared" si="9"/>
        <v/>
      </c>
      <c r="VY4" s="164" t="str">
        <f t="shared" si="9"/>
        <v/>
      </c>
      <c r="VZ4" s="164" t="str">
        <f t="shared" si="9"/>
        <v/>
      </c>
      <c r="WA4" s="164" t="str">
        <f t="shared" si="9"/>
        <v/>
      </c>
      <c r="WB4" s="164" t="str">
        <f t="shared" si="9"/>
        <v/>
      </c>
      <c r="WC4" s="164" t="str">
        <f t="shared" si="9"/>
        <v/>
      </c>
      <c r="WD4" s="164" t="str">
        <f t="shared" si="9"/>
        <v/>
      </c>
      <c r="WE4" s="164" t="str">
        <f t="shared" si="9"/>
        <v/>
      </c>
      <c r="WF4" s="164" t="str">
        <f t="shared" si="9"/>
        <v/>
      </c>
      <c r="WG4" s="164" t="str">
        <f t="shared" si="9"/>
        <v/>
      </c>
      <c r="WH4" s="164" t="str">
        <f t="shared" si="9"/>
        <v/>
      </c>
      <c r="WI4" s="164" t="str">
        <f t="shared" si="9"/>
        <v/>
      </c>
      <c r="WJ4" s="164" t="str">
        <f t="shared" si="9"/>
        <v/>
      </c>
      <c r="WK4" s="164" t="str">
        <f t="shared" si="9"/>
        <v/>
      </c>
      <c r="WL4" s="164" t="str">
        <f t="shared" si="9"/>
        <v/>
      </c>
      <c r="WM4" s="164" t="str">
        <f t="shared" si="9"/>
        <v/>
      </c>
      <c r="WN4" s="164" t="str">
        <f t="shared" si="9"/>
        <v/>
      </c>
      <c r="WO4" s="164" t="str">
        <f t="shared" si="9"/>
        <v/>
      </c>
      <c r="WP4" s="164" t="str">
        <f t="shared" si="9"/>
        <v/>
      </c>
      <c r="WQ4" s="164" t="str">
        <f t="shared" si="9"/>
        <v/>
      </c>
      <c r="WR4" s="164" t="str">
        <f t="shared" si="9"/>
        <v/>
      </c>
      <c r="WS4" s="164" t="str">
        <f t="shared" si="9"/>
        <v/>
      </c>
      <c r="WT4" s="164" t="str">
        <f t="shared" si="9"/>
        <v/>
      </c>
      <c r="WU4" s="164" t="str">
        <f t="shared" si="9"/>
        <v/>
      </c>
      <c r="WV4" s="164" t="str">
        <f t="shared" si="9"/>
        <v/>
      </c>
      <c r="WW4" s="164" t="str">
        <f t="shared" si="9"/>
        <v/>
      </c>
      <c r="WX4" s="164" t="str">
        <f t="shared" si="9"/>
        <v/>
      </c>
      <c r="WY4" s="164" t="str">
        <f t="shared" si="9"/>
        <v/>
      </c>
      <c r="WZ4" s="164" t="str">
        <f t="shared" si="9"/>
        <v/>
      </c>
      <c r="XA4" s="164" t="str">
        <f t="shared" si="9"/>
        <v/>
      </c>
      <c r="XB4" s="164" t="str">
        <f t="shared" si="9"/>
        <v/>
      </c>
      <c r="XC4" s="164" t="str">
        <f t="shared" si="9"/>
        <v/>
      </c>
      <c r="XD4" s="164" t="str">
        <f t="shared" si="9"/>
        <v/>
      </c>
      <c r="XE4" s="164" t="str">
        <f t="shared" si="9"/>
        <v/>
      </c>
      <c r="XF4" s="164" t="str">
        <f t="shared" si="9"/>
        <v/>
      </c>
      <c r="XG4" s="164" t="str">
        <f t="shared" si="9"/>
        <v/>
      </c>
      <c r="XH4" s="164" t="str">
        <f t="shared" si="9"/>
        <v/>
      </c>
      <c r="XI4" s="164" t="str">
        <f t="shared" si="9"/>
        <v/>
      </c>
      <c r="XJ4" s="164" t="str">
        <f t="shared" si="9"/>
        <v/>
      </c>
      <c r="XK4" s="164" t="str">
        <f t="shared" si="9"/>
        <v/>
      </c>
      <c r="XL4" s="164" t="str">
        <f t="shared" si="9"/>
        <v/>
      </c>
      <c r="XM4" s="164" t="str">
        <f t="shared" si="9"/>
        <v/>
      </c>
      <c r="XN4" s="164" t="str">
        <f t="shared" si="9"/>
        <v/>
      </c>
      <c r="XO4" s="164" t="str">
        <f t="shared" si="9"/>
        <v/>
      </c>
      <c r="XP4" s="164" t="str">
        <f t="shared" si="9"/>
        <v/>
      </c>
      <c r="XQ4" s="164" t="str">
        <f t="shared" si="9"/>
        <v/>
      </c>
      <c r="XR4" s="164" t="str">
        <f t="shared" si="9"/>
        <v/>
      </c>
      <c r="XS4" s="164" t="str">
        <f t="shared" si="9"/>
        <v/>
      </c>
      <c r="XT4" s="164" t="str">
        <f t="shared" si="9"/>
        <v/>
      </c>
      <c r="XU4" s="164" t="str">
        <f t="shared" si="9"/>
        <v/>
      </c>
      <c r="XV4" s="164" t="str">
        <f t="shared" si="9"/>
        <v/>
      </c>
      <c r="XW4" s="164" t="str">
        <f t="shared" si="9"/>
        <v/>
      </c>
      <c r="XX4" s="164" t="str">
        <f t="shared" si="9"/>
        <v/>
      </c>
      <c r="XY4" s="164" t="str">
        <f t="shared" si="9"/>
        <v/>
      </c>
      <c r="XZ4" s="164" t="str">
        <f t="shared" si="9"/>
        <v/>
      </c>
      <c r="YA4" s="164" t="str">
        <f t="shared" si="9"/>
        <v/>
      </c>
      <c r="YB4" s="164" t="str">
        <f t="shared" si="9"/>
        <v/>
      </c>
      <c r="YC4" s="164" t="str">
        <f t="shared" si="9"/>
        <v/>
      </c>
      <c r="YD4" s="164" t="str">
        <f t="shared" si="9"/>
        <v/>
      </c>
      <c r="YE4" s="164" t="str">
        <f t="shared" si="9"/>
        <v/>
      </c>
      <c r="YF4" s="164" t="str">
        <f t="shared" si="9"/>
        <v/>
      </c>
      <c r="YG4" s="164" t="str">
        <f t="shared" ref="YG4:ZZ4" si="10">IF(YG3="","",TEXT(YG3,"aaa"))</f>
        <v/>
      </c>
      <c r="YH4" s="164" t="str">
        <f t="shared" si="10"/>
        <v/>
      </c>
      <c r="YI4" s="164" t="str">
        <f t="shared" si="10"/>
        <v/>
      </c>
      <c r="YJ4" s="164" t="str">
        <f t="shared" si="10"/>
        <v/>
      </c>
      <c r="YK4" s="164" t="str">
        <f t="shared" si="10"/>
        <v/>
      </c>
      <c r="YL4" s="164" t="str">
        <f t="shared" si="10"/>
        <v/>
      </c>
      <c r="YM4" s="164" t="str">
        <f t="shared" si="10"/>
        <v/>
      </c>
      <c r="YN4" s="164" t="str">
        <f t="shared" si="10"/>
        <v/>
      </c>
      <c r="YO4" s="164" t="str">
        <f t="shared" si="10"/>
        <v/>
      </c>
      <c r="YP4" s="164" t="str">
        <f t="shared" si="10"/>
        <v/>
      </c>
      <c r="YQ4" s="164" t="str">
        <f t="shared" si="10"/>
        <v/>
      </c>
      <c r="YR4" s="164" t="str">
        <f t="shared" si="10"/>
        <v/>
      </c>
      <c r="YS4" s="164" t="str">
        <f t="shared" si="10"/>
        <v/>
      </c>
      <c r="YT4" s="164" t="str">
        <f t="shared" si="10"/>
        <v/>
      </c>
      <c r="YU4" s="164" t="str">
        <f t="shared" si="10"/>
        <v/>
      </c>
      <c r="YV4" s="164" t="str">
        <f t="shared" si="10"/>
        <v/>
      </c>
      <c r="YW4" s="164" t="str">
        <f t="shared" si="10"/>
        <v/>
      </c>
      <c r="YX4" s="164" t="str">
        <f t="shared" si="10"/>
        <v/>
      </c>
      <c r="YY4" s="164" t="str">
        <f t="shared" si="10"/>
        <v/>
      </c>
      <c r="YZ4" s="164" t="str">
        <f t="shared" si="10"/>
        <v/>
      </c>
      <c r="ZA4" s="164" t="str">
        <f t="shared" si="10"/>
        <v/>
      </c>
      <c r="ZB4" s="164" t="str">
        <f t="shared" si="10"/>
        <v/>
      </c>
      <c r="ZC4" s="164" t="str">
        <f t="shared" si="10"/>
        <v/>
      </c>
      <c r="ZD4" s="164" t="str">
        <f t="shared" si="10"/>
        <v/>
      </c>
      <c r="ZE4" s="164" t="str">
        <f t="shared" si="10"/>
        <v/>
      </c>
      <c r="ZF4" s="164" t="str">
        <f t="shared" si="10"/>
        <v/>
      </c>
      <c r="ZG4" s="164" t="str">
        <f t="shared" si="10"/>
        <v/>
      </c>
      <c r="ZH4" s="164" t="str">
        <f t="shared" si="10"/>
        <v/>
      </c>
      <c r="ZI4" s="164" t="str">
        <f t="shared" si="10"/>
        <v/>
      </c>
      <c r="ZJ4" s="164" t="str">
        <f t="shared" si="10"/>
        <v/>
      </c>
      <c r="ZK4" s="164" t="str">
        <f t="shared" si="10"/>
        <v/>
      </c>
      <c r="ZL4" s="164" t="str">
        <f t="shared" si="10"/>
        <v/>
      </c>
      <c r="ZM4" s="164" t="str">
        <f t="shared" si="10"/>
        <v/>
      </c>
      <c r="ZN4" s="164" t="str">
        <f t="shared" si="10"/>
        <v/>
      </c>
      <c r="ZO4" s="164" t="str">
        <f t="shared" si="10"/>
        <v/>
      </c>
      <c r="ZP4" s="164" t="str">
        <f t="shared" si="10"/>
        <v/>
      </c>
      <c r="ZQ4" s="164" t="str">
        <f t="shared" si="10"/>
        <v/>
      </c>
      <c r="ZR4" s="164" t="str">
        <f t="shared" si="10"/>
        <v/>
      </c>
      <c r="ZS4" s="164" t="str">
        <f t="shared" si="10"/>
        <v/>
      </c>
      <c r="ZT4" s="164" t="str">
        <f t="shared" si="10"/>
        <v/>
      </c>
      <c r="ZU4" s="164" t="str">
        <f t="shared" si="10"/>
        <v/>
      </c>
      <c r="ZV4" s="164" t="str">
        <f t="shared" si="10"/>
        <v/>
      </c>
      <c r="ZW4" s="164" t="str">
        <f t="shared" si="10"/>
        <v/>
      </c>
      <c r="ZX4" s="164" t="str">
        <f t="shared" si="10"/>
        <v/>
      </c>
      <c r="ZY4" s="164" t="str">
        <f t="shared" si="10"/>
        <v/>
      </c>
      <c r="ZZ4" s="164" t="str">
        <f t="shared" si="10"/>
        <v/>
      </c>
    </row>
    <row r="5" spans="1:702">
      <c r="A5" s="1" t="s">
        <v>37</v>
      </c>
      <c r="B5" s="1" t="s">
        <v>38</v>
      </c>
      <c r="C5" s="4" t="s">
        <v>39</v>
      </c>
      <c r="D5" s="1" t="str">
        <f>IF(A5&lt;&gt;"", IF(A5=A4, "", A5), "")</f>
        <v>大項目（プロジェクト名）</v>
      </c>
      <c r="E5" s="150" cm="1">
        <f t="array" ref="E5">IF(B5="","",IF(B5&lt;&gt;B4,SUMPRODUCT(($B$5:B5&lt;&gt;$B$4:B4)*($B$5:B5&lt;&gt;"")),""))</f>
        <v>1</v>
      </c>
      <c r="F5" s="1" t="str">
        <f>IF(B5&lt;&gt;"", IF(B5=B4, "", B5), "")</f>
        <v>中項目1</v>
      </c>
      <c r="G5" s="1">
        <f>IF(C5="","",COUNTIF($B$5:B5,B5))</f>
        <v>1</v>
      </c>
      <c r="H5" s="4" t="str">
        <f>IF(AND(C5&lt;&gt;"",OR(C5&lt;&gt;C4,B5&lt;&gt;B4)),C5,"")</f>
        <v>小項目1</v>
      </c>
      <c r="I5" s="1" t="s">
        <v>40</v>
      </c>
      <c r="J5" s="1" t="s">
        <v>41</v>
      </c>
      <c r="L5" s="1" t="str">
        <f>IF(C5="","","【"&amp;A5&amp;"】"&amp;MAX($E$5:E5)&amp;"-"&amp;G5&amp;"_"&amp;B5&amp;"_"&amp;C5)</f>
        <v>【大項目（プロジェクト名）】1-1_中項目1_小項目1</v>
      </c>
      <c r="M5" s="5">
        <v>46209</v>
      </c>
      <c r="N5" s="5">
        <v>46211</v>
      </c>
      <c r="O5" s="6" t="s">
        <v>42</v>
      </c>
      <c r="AD5" s="152"/>
      <c r="AY5" s="153"/>
      <c r="AZ5" s="152"/>
      <c r="BA5" s="153"/>
      <c r="BB5" s="153"/>
      <c r="BC5" s="153"/>
    </row>
    <row r="6" spans="1:702">
      <c r="A6" s="1" t="s">
        <v>37</v>
      </c>
      <c r="B6" s="1" t="s">
        <v>38</v>
      </c>
      <c r="C6" s="4" t="s">
        <v>43</v>
      </c>
      <c r="D6" s="1" t="str">
        <f t="shared" ref="D6:D69" si="11">IF(A6&lt;&gt;"", IF(A6=A5, "", A6), "")</f>
        <v/>
      </c>
      <c r="E6" s="150" t="str" cm="1">
        <f t="array" ref="E6">IF(B6="","",IF(B6&lt;&gt;B5,SUMPRODUCT(($B$5:B6&lt;&gt;$B$4:B5)*($B$5:B6&lt;&gt;"")),""))</f>
        <v/>
      </c>
      <c r="F6" s="1" t="str">
        <f t="shared" ref="F6:F69" si="12">IF(B6&lt;&gt;"", IF(B6=B5, "", B6), "")</f>
        <v/>
      </c>
      <c r="G6" s="1">
        <f>IF(C6="","",COUNTIF($B$5:B6,B6))</f>
        <v>2</v>
      </c>
      <c r="H6" s="4" t="str">
        <f t="shared" ref="H6:H69" si="13">IF(AND(C6&lt;&gt;"",OR(C6&lt;&gt;C5,B6&lt;&gt;B5)),C6,"")</f>
        <v>小項目2</v>
      </c>
      <c r="I6" s="1" t="s">
        <v>44</v>
      </c>
      <c r="J6" s="1" t="s">
        <v>45</v>
      </c>
      <c r="K6" s="154"/>
      <c r="L6" s="1" t="str">
        <f>IF(C6="","","【"&amp;A6&amp;"】"&amp;MAX($E$5:E6)&amp;"-"&amp;G6&amp;"_"&amp;B6&amp;"_"&amp;C6)</f>
        <v>【大項目（プロジェクト名）】1-2_中項目1_小項目2</v>
      </c>
      <c r="M6" s="5">
        <v>46211</v>
      </c>
      <c r="N6" s="5">
        <v>46211</v>
      </c>
      <c r="O6" s="6" t="s">
        <v>42</v>
      </c>
    </row>
    <row r="7" spans="1:702">
      <c r="A7" s="1" t="s">
        <v>37</v>
      </c>
      <c r="B7" s="1" t="s">
        <v>46</v>
      </c>
      <c r="C7" s="4" t="s">
        <v>47</v>
      </c>
      <c r="D7" s="1" t="str">
        <f t="shared" si="11"/>
        <v/>
      </c>
      <c r="E7" s="150" cm="1">
        <f t="array" ref="E7">IF(B7="","",IF(B7&lt;&gt;B6,SUMPRODUCT(($B$5:B7&lt;&gt;$B$4:B6)*($B$5:B7&lt;&gt;"")),""))</f>
        <v>2</v>
      </c>
      <c r="F7" s="1" t="str">
        <f t="shared" si="12"/>
        <v>中項目2</v>
      </c>
      <c r="G7" s="1">
        <f>IF(C7="","",COUNTIF($B$5:B7,B7))</f>
        <v>1</v>
      </c>
      <c r="H7" s="4" t="str">
        <f t="shared" si="13"/>
        <v>小項目3</v>
      </c>
      <c r="I7" s="1" t="s">
        <v>48</v>
      </c>
      <c r="J7" s="1" t="s">
        <v>49</v>
      </c>
      <c r="K7" s="155"/>
      <c r="L7" s="1" t="str">
        <f>IF(C7="","","【"&amp;A7&amp;"】"&amp;MAX($E$5:E7)&amp;"-"&amp;G7&amp;"_"&amp;B7&amp;"_"&amp;C7)</f>
        <v>【大項目（プロジェクト名）】2-1_中項目2_小項目3</v>
      </c>
      <c r="M7" s="5">
        <v>46212</v>
      </c>
      <c r="N7" s="5">
        <v>46219</v>
      </c>
      <c r="O7" s="6" t="s">
        <v>50</v>
      </c>
    </row>
    <row r="8" spans="1:702">
      <c r="A8" s="1" t="s">
        <v>37</v>
      </c>
      <c r="B8" s="1" t="s">
        <v>46</v>
      </c>
      <c r="C8" s="4" t="s">
        <v>51</v>
      </c>
      <c r="D8" s="1" t="str">
        <f t="shared" si="11"/>
        <v/>
      </c>
      <c r="E8" s="150" t="str" cm="1">
        <f t="array" ref="E8">IF(B8="","",IF(B8&lt;&gt;B7,SUMPRODUCT(($B$5:B8&lt;&gt;$B$4:B7)*($B$5:B8&lt;&gt;"")),""))</f>
        <v/>
      </c>
      <c r="F8" s="1" t="str">
        <f t="shared" si="12"/>
        <v/>
      </c>
      <c r="G8" s="1">
        <f>IF(C8="","",COUNTIF($B$5:B8,B8))</f>
        <v>2</v>
      </c>
      <c r="H8" s="4" t="str">
        <f t="shared" si="13"/>
        <v>小項目4</v>
      </c>
      <c r="I8" s="1" t="s">
        <v>52</v>
      </c>
      <c r="K8" s="154"/>
      <c r="L8" s="1" t="str">
        <f>IF(C8="","","【"&amp;A8&amp;"】"&amp;MAX($E$5:E8)&amp;"-"&amp;G8&amp;"_"&amp;B8&amp;"_"&amp;C8)</f>
        <v>【大項目（プロジェクト名）】2-2_中項目2_小項目4</v>
      </c>
      <c r="M8" s="5">
        <v>46219</v>
      </c>
      <c r="N8" s="5">
        <v>46224</v>
      </c>
      <c r="O8" s="6" t="s">
        <v>53</v>
      </c>
    </row>
    <row r="9" spans="1:702">
      <c r="A9" s="1" t="s">
        <v>37</v>
      </c>
      <c r="B9" s="1" t="s">
        <v>54</v>
      </c>
      <c r="C9" s="4" t="s">
        <v>55</v>
      </c>
      <c r="D9" s="1" t="str">
        <f t="shared" si="11"/>
        <v/>
      </c>
      <c r="E9" s="150" cm="1">
        <f t="array" ref="E9">IF(B9="","",IF(B9&lt;&gt;B8,SUMPRODUCT(($B$5:B9&lt;&gt;$B$4:B8)*($B$5:B9&lt;&gt;"")),""))</f>
        <v>3</v>
      </c>
      <c r="F9" s="1" t="str">
        <f t="shared" si="12"/>
        <v>中項目3</v>
      </c>
      <c r="G9" s="1">
        <f>IF(C9="","",COUNTIF($B$5:B9,B9))</f>
        <v>1</v>
      </c>
      <c r="H9" s="4" t="str">
        <f t="shared" si="13"/>
        <v>小項目5</v>
      </c>
      <c r="I9" s="1" t="s">
        <v>44</v>
      </c>
      <c r="J9" s="1" t="s">
        <v>56</v>
      </c>
      <c r="K9" s="154"/>
      <c r="L9" s="1" t="str">
        <f>IF(C9="","","【"&amp;A9&amp;"】"&amp;MAX($E$5:E9)&amp;"-"&amp;G9&amp;"_"&amp;B9&amp;"_"&amp;C9)</f>
        <v>【大項目（プロジェクト名）】3-1_中項目3_小項目5</v>
      </c>
      <c r="M9" s="5">
        <v>46225</v>
      </c>
      <c r="N9" s="5">
        <v>46225</v>
      </c>
      <c r="O9" s="6" t="s">
        <v>50</v>
      </c>
    </row>
    <row r="10" spans="1:702">
      <c r="A10" s="1" t="s">
        <v>37</v>
      </c>
      <c r="B10" s="1" t="s">
        <v>57</v>
      </c>
      <c r="C10" s="4" t="s">
        <v>58</v>
      </c>
      <c r="D10" s="1" t="str">
        <f t="shared" si="11"/>
        <v/>
      </c>
      <c r="E10" s="150" cm="1">
        <f t="array" ref="E10">IF(B10="","",IF(B10&lt;&gt;B9,SUMPRODUCT(($B$5:B10&lt;&gt;$B$4:B9)*($B$5:B10&lt;&gt;"")),""))</f>
        <v>4</v>
      </c>
      <c r="F10" s="1" t="str">
        <f t="shared" si="12"/>
        <v>中項目４</v>
      </c>
      <c r="G10" s="1">
        <f>IF(C10="","",COUNTIF($B$5:B10,B10))</f>
        <v>1</v>
      </c>
      <c r="H10" s="4" t="str">
        <f t="shared" si="13"/>
        <v>小項目6</v>
      </c>
      <c r="I10" s="1" t="s">
        <v>52</v>
      </c>
      <c r="J10" s="1" t="s">
        <v>59</v>
      </c>
      <c r="L10" s="1" t="str">
        <f>IF(C10="","","【"&amp;A10&amp;"】"&amp;MAX($E$5:E10)&amp;"-"&amp;G10&amp;"_"&amp;B10&amp;"_"&amp;C10)</f>
        <v>【大項目（プロジェクト名）】4-1_中項目４_小項目6</v>
      </c>
      <c r="M10" s="5">
        <v>46211</v>
      </c>
      <c r="N10" s="5">
        <v>46219</v>
      </c>
      <c r="O10" s="6" t="s">
        <v>42</v>
      </c>
    </row>
    <row r="11" spans="1:702">
      <c r="A11" s="1" t="s">
        <v>37</v>
      </c>
      <c r="B11" s="1" t="s">
        <v>57</v>
      </c>
      <c r="C11" s="4" t="s">
        <v>60</v>
      </c>
      <c r="D11" s="1" t="str">
        <f t="shared" si="11"/>
        <v/>
      </c>
      <c r="E11" s="150" t="str" cm="1">
        <f t="array" ref="E11">IF(B11="","",IF(B11&lt;&gt;B10,SUMPRODUCT(($B$5:B11&lt;&gt;$B$4:B10)*($B$5:B11&lt;&gt;"")),""))</f>
        <v/>
      </c>
      <c r="F11" s="1" t="str">
        <f t="shared" si="12"/>
        <v/>
      </c>
      <c r="G11" s="1">
        <f>IF(C11="","",COUNTIF($B$5:B11,B11))</f>
        <v>2</v>
      </c>
      <c r="H11" s="4" t="str">
        <f t="shared" si="13"/>
        <v>小項目7</v>
      </c>
      <c r="I11" s="1" t="s">
        <v>61</v>
      </c>
      <c r="J11" s="1" t="s">
        <v>62</v>
      </c>
      <c r="K11" s="154"/>
      <c r="L11" s="1" t="str">
        <f>IF(C11="","","【"&amp;A11&amp;"】"&amp;MAX($E$5:E11)&amp;"-"&amp;G11&amp;"_"&amp;B11&amp;"_"&amp;C11)</f>
        <v>【大項目（プロジェクト名）】4-2_中項目４_小項目7</v>
      </c>
      <c r="M11" s="5">
        <v>46211</v>
      </c>
      <c r="N11" s="5">
        <v>46213</v>
      </c>
      <c r="O11" s="6" t="s">
        <v>42</v>
      </c>
    </row>
    <row r="12" spans="1:702">
      <c r="A12" s="1" t="s">
        <v>37</v>
      </c>
      <c r="B12" s="1" t="s">
        <v>57</v>
      </c>
      <c r="C12" s="4" t="s">
        <v>63</v>
      </c>
      <c r="D12" s="1" t="str">
        <f t="shared" si="11"/>
        <v/>
      </c>
      <c r="E12" s="150" t="str" cm="1">
        <f t="array" ref="E12">IF(B12="","",IF(B12&lt;&gt;B11,SUMPRODUCT(($B$5:B12&lt;&gt;$B$4:B11)*($B$5:B12&lt;&gt;"")),""))</f>
        <v/>
      </c>
      <c r="F12" s="1" t="str">
        <f t="shared" si="12"/>
        <v/>
      </c>
      <c r="G12" s="1">
        <f>IF(C12="","",COUNTIF($B$5:B12,B12))</f>
        <v>3</v>
      </c>
      <c r="H12" s="4" t="str">
        <f t="shared" si="13"/>
        <v>小項目8</v>
      </c>
      <c r="I12" s="1" t="s">
        <v>64</v>
      </c>
      <c r="J12" s="1" t="s">
        <v>65</v>
      </c>
      <c r="K12" s="154"/>
      <c r="L12" s="1" t="str">
        <f>IF(C12="","","【"&amp;A12&amp;"】"&amp;MAX($E$5:E12)&amp;"-"&amp;G12&amp;"_"&amp;B12&amp;"_"&amp;C12)</f>
        <v>【大項目（プロジェクト名）】4-3_中項目４_小項目8</v>
      </c>
      <c r="M12" s="5">
        <v>46218</v>
      </c>
      <c r="N12" s="5">
        <v>46224</v>
      </c>
      <c r="O12" s="6" t="s">
        <v>50</v>
      </c>
    </row>
    <row r="13" spans="1:702">
      <c r="A13" s="1" t="s">
        <v>37</v>
      </c>
      <c r="B13" s="1" t="s">
        <v>57</v>
      </c>
      <c r="C13" s="4" t="s">
        <v>66</v>
      </c>
      <c r="D13" s="1" t="str">
        <f t="shared" si="11"/>
        <v/>
      </c>
      <c r="E13" s="150" t="str" cm="1">
        <f t="array" ref="E13">IF(B13="","",IF(B13&lt;&gt;B12,SUMPRODUCT(($B$5:B13&lt;&gt;$B$4:B12)*($B$5:B13&lt;&gt;"")),""))</f>
        <v/>
      </c>
      <c r="F13" s="1" t="str">
        <f t="shared" si="12"/>
        <v/>
      </c>
      <c r="G13" s="1">
        <f>IF(C13="","",COUNTIF($B$5:B13,B13))</f>
        <v>4</v>
      </c>
      <c r="H13" s="4" t="str">
        <f t="shared" si="13"/>
        <v>小項目9</v>
      </c>
      <c r="I13" s="1" t="s">
        <v>40</v>
      </c>
      <c r="J13" s="1" t="s">
        <v>67</v>
      </c>
      <c r="K13" s="154"/>
      <c r="L13" s="1" t="str">
        <f>IF(C13="","","【"&amp;A13&amp;"】"&amp;MAX($E$5:E13)&amp;"-"&amp;G13&amp;"_"&amp;B13&amp;"_"&amp;C13)</f>
        <v>【大項目（プロジェクト名）】4-4_中項目４_小項目9</v>
      </c>
      <c r="M13" s="5">
        <v>46235</v>
      </c>
      <c r="N13" s="5">
        <v>46244</v>
      </c>
      <c r="O13" s="6" t="s">
        <v>50</v>
      </c>
    </row>
    <row r="14" spans="1:702">
      <c r="A14" s="1" t="s">
        <v>37</v>
      </c>
      <c r="B14" s="1" t="s">
        <v>68</v>
      </c>
      <c r="C14" s="4" t="s">
        <v>69</v>
      </c>
      <c r="D14" s="1" t="str">
        <f t="shared" si="11"/>
        <v/>
      </c>
      <c r="E14" s="150" cm="1">
        <f t="array" ref="E14">IF(B14="","",IF(B14&lt;&gt;B13,SUMPRODUCT(($B$5:B14&lt;&gt;$B$4:B13)*($B$5:B14&lt;&gt;"")),""))</f>
        <v>5</v>
      </c>
      <c r="F14" s="1" t="str">
        <f t="shared" si="12"/>
        <v>中項目５</v>
      </c>
      <c r="G14" s="1">
        <f>IF(C14="","",COUNTIF($B$5:B14,B14))</f>
        <v>1</v>
      </c>
      <c r="H14" s="4" t="str">
        <f t="shared" si="13"/>
        <v>小項目10</v>
      </c>
      <c r="I14" s="1" t="s">
        <v>48</v>
      </c>
      <c r="J14" s="1" t="s">
        <v>70</v>
      </c>
      <c r="K14" s="154"/>
      <c r="L14" s="1" t="str">
        <f>IF(C14="","","【"&amp;A14&amp;"】"&amp;MAX($E$5:E14)&amp;"-"&amp;G14&amp;"_"&amp;B14&amp;"_"&amp;C14)</f>
        <v>【大項目（プロジェクト名）】5-1_中項目５_小項目10</v>
      </c>
      <c r="M14" s="5">
        <v>46254</v>
      </c>
      <c r="N14" s="5">
        <v>46270</v>
      </c>
      <c r="O14" s="6" t="s">
        <v>53</v>
      </c>
    </row>
    <row r="15" spans="1:702">
      <c r="A15" s="1" t="s">
        <v>37</v>
      </c>
      <c r="B15" s="1" t="s">
        <v>68</v>
      </c>
      <c r="C15" s="4" t="s">
        <v>71</v>
      </c>
      <c r="D15" s="1" t="str">
        <f t="shared" si="11"/>
        <v/>
      </c>
      <c r="E15" s="150" t="str" cm="1">
        <f t="array" ref="E15">IF(B15="","",IF(B15&lt;&gt;B14,SUMPRODUCT(($B$5:B15&lt;&gt;$B$4:B14)*($B$5:B15&lt;&gt;"")),""))</f>
        <v/>
      </c>
      <c r="F15" s="1" t="str">
        <f t="shared" si="12"/>
        <v/>
      </c>
      <c r="G15" s="1">
        <f>IF(C15="","",COUNTIF($B$5:B15,B15))</f>
        <v>2</v>
      </c>
      <c r="H15" s="4" t="str">
        <f t="shared" si="13"/>
        <v>小項目11</v>
      </c>
      <c r="J15" s="156"/>
      <c r="K15" s="154"/>
      <c r="L15" s="1" t="str">
        <f>IF(C15="","","【"&amp;A15&amp;"】"&amp;MAX($E$5:E15)&amp;"-"&amp;G15&amp;"_"&amp;B15&amp;"_"&amp;C15)</f>
        <v>【大項目（プロジェクト名）】5-2_中項目５_小項目11</v>
      </c>
    </row>
    <row r="16" spans="1:702">
      <c r="D16" s="1" t="str">
        <f t="shared" si="11"/>
        <v/>
      </c>
      <c r="E16" s="150" t="str" cm="1">
        <f t="array" ref="E16">IF(B16="","",IF(B16&lt;&gt;B15,SUMPRODUCT(($B$5:B16&lt;&gt;$B$4:B15)*($B$5:B16&lt;&gt;"")),""))</f>
        <v/>
      </c>
      <c r="F16" s="1" t="str">
        <f t="shared" si="12"/>
        <v/>
      </c>
      <c r="G16" s="1" t="str">
        <f>IF(C16="","",COUNTIF($B$5:B16,B16))</f>
        <v/>
      </c>
      <c r="H16" s="4" t="str">
        <f t="shared" si="13"/>
        <v/>
      </c>
      <c r="K16" s="154"/>
      <c r="L16" s="1" t="str">
        <f>IF(C16="","","【"&amp;A16&amp;"】"&amp;MAX($E$5:E16)&amp;"-"&amp;G16&amp;"_"&amp;B16&amp;"_"&amp;C16)</f>
        <v/>
      </c>
    </row>
    <row r="17" spans="4:12">
      <c r="D17" s="1" t="str">
        <f t="shared" si="11"/>
        <v/>
      </c>
      <c r="E17" s="150" t="str" cm="1">
        <f t="array" ref="E17">IF(B17="","",IF(B17&lt;&gt;B16,SUMPRODUCT(($B$5:B17&lt;&gt;$B$4:B16)*($B$5:B17&lt;&gt;"")),""))</f>
        <v/>
      </c>
      <c r="F17" s="1" t="str">
        <f t="shared" si="12"/>
        <v/>
      </c>
      <c r="G17" s="1" t="str">
        <f>IF(C17="","",COUNTIF($B$5:B17,B17))</f>
        <v/>
      </c>
      <c r="H17" s="4" t="str">
        <f t="shared" si="13"/>
        <v/>
      </c>
      <c r="L17" s="1" t="str">
        <f>IF(C17="","","【"&amp;A17&amp;"】"&amp;MAX($E$5:E17)&amp;"-"&amp;G17&amp;"_"&amp;B17&amp;"_"&amp;C17)</f>
        <v/>
      </c>
    </row>
    <row r="18" spans="4:12">
      <c r="D18" s="1" t="str">
        <f t="shared" si="11"/>
        <v/>
      </c>
      <c r="E18" s="150" t="str" cm="1">
        <f t="array" ref="E18">IF(B18="","",IF(B18&lt;&gt;B17,SUMPRODUCT(($B$5:B18&lt;&gt;$B$4:B17)*($B$5:B18&lt;&gt;"")),""))</f>
        <v/>
      </c>
      <c r="F18" s="1" t="str">
        <f t="shared" si="12"/>
        <v/>
      </c>
      <c r="G18" s="1" t="str">
        <f>IF(C18="","",COUNTIF($B$5:B18,B18))</f>
        <v/>
      </c>
      <c r="H18" s="4" t="str">
        <f t="shared" si="13"/>
        <v/>
      </c>
      <c r="L18" s="1" t="str">
        <f>IF(C18="","","【"&amp;A18&amp;"】"&amp;MAX($E$5:E18)&amp;"-"&amp;G18&amp;"_"&amp;B18&amp;"_"&amp;C18)</f>
        <v/>
      </c>
    </row>
    <row r="19" spans="4:12">
      <c r="D19" s="1" t="str">
        <f t="shared" si="11"/>
        <v/>
      </c>
      <c r="E19" s="150" t="str" cm="1">
        <f t="array" ref="E19">IF(B19="","",IF(B19&lt;&gt;B18,SUMPRODUCT(($B$5:B19&lt;&gt;$B$4:B18)*($B$5:B19&lt;&gt;"")),""))</f>
        <v/>
      </c>
      <c r="F19" s="1" t="str">
        <f t="shared" si="12"/>
        <v/>
      </c>
      <c r="G19" s="1" t="str">
        <f>IF(C19="","",COUNTIF($B$5:B19,B19))</f>
        <v/>
      </c>
      <c r="H19" s="4" t="str">
        <f t="shared" si="13"/>
        <v/>
      </c>
      <c r="L19" s="1" t="str">
        <f>IF(C19="","","【"&amp;A19&amp;"】"&amp;MAX($E$5:E19)&amp;"-"&amp;G19&amp;"_"&amp;B19&amp;"_"&amp;C19)</f>
        <v/>
      </c>
    </row>
    <row r="20" spans="4:12">
      <c r="D20" s="1" t="str">
        <f t="shared" si="11"/>
        <v/>
      </c>
      <c r="E20" s="150" t="str" cm="1">
        <f t="array" ref="E20">IF(B20="","",IF(B20&lt;&gt;B19,SUMPRODUCT(($B$5:B20&lt;&gt;$B$4:B19)*($B$5:B20&lt;&gt;"")),""))</f>
        <v/>
      </c>
      <c r="F20" s="1" t="str">
        <f t="shared" si="12"/>
        <v/>
      </c>
      <c r="G20" s="1" t="str">
        <f>IF(C20="","",COUNTIF($B$5:B20,B20))</f>
        <v/>
      </c>
      <c r="H20" s="4" t="str">
        <f t="shared" si="13"/>
        <v/>
      </c>
      <c r="K20" s="157"/>
      <c r="L20" s="1" t="str">
        <f>IF(C20="","","【"&amp;A20&amp;"】"&amp;MAX($E$5:E20)&amp;"-"&amp;G20&amp;"_"&amp;B20&amp;"_"&amp;C20)</f>
        <v/>
      </c>
    </row>
    <row r="21" spans="4:12">
      <c r="D21" s="1" t="str">
        <f t="shared" si="11"/>
        <v/>
      </c>
      <c r="E21" s="150" t="str" cm="1">
        <f t="array" ref="E21">IF(B21="","",IF(B21&lt;&gt;B20,SUMPRODUCT(($B$5:B21&lt;&gt;$B$4:B20)*($B$5:B21&lt;&gt;"")),""))</f>
        <v/>
      </c>
      <c r="F21" s="1" t="str">
        <f t="shared" si="12"/>
        <v/>
      </c>
      <c r="G21" s="1" t="str">
        <f>IF(C21="","",COUNTIF($B$5:B21,B21))</f>
        <v/>
      </c>
      <c r="H21" s="4" t="str">
        <f t="shared" si="13"/>
        <v/>
      </c>
      <c r="K21" s="157"/>
      <c r="L21" s="1" t="str">
        <f>IF(C21="","","【"&amp;A21&amp;"】"&amp;MAX($E$5:E21)&amp;"-"&amp;G21&amp;"_"&amp;B21&amp;"_"&amp;C21)</f>
        <v/>
      </c>
    </row>
    <row r="22" spans="4:12">
      <c r="D22" s="1" t="str">
        <f t="shared" si="11"/>
        <v/>
      </c>
      <c r="E22" s="150" t="str" cm="1">
        <f t="array" ref="E22">IF(B22="","",IF(B22&lt;&gt;B21,SUMPRODUCT(($B$5:B22&lt;&gt;$B$4:B21)*($B$5:B22&lt;&gt;"")),""))</f>
        <v/>
      </c>
      <c r="F22" s="1" t="str">
        <f t="shared" si="12"/>
        <v/>
      </c>
      <c r="G22" s="1" t="str">
        <f>IF(C22="","",COUNTIF($B$5:B22,B22))</f>
        <v/>
      </c>
      <c r="H22" s="4" t="str">
        <f t="shared" si="13"/>
        <v/>
      </c>
      <c r="L22" s="1" t="str">
        <f>IF(C22="","","【"&amp;A22&amp;"】"&amp;MAX($E$5:E22)&amp;"-"&amp;G22&amp;"_"&amp;B22&amp;"_"&amp;C22)</f>
        <v/>
      </c>
    </row>
    <row r="23" spans="4:12">
      <c r="D23" s="1" t="str">
        <f t="shared" si="11"/>
        <v/>
      </c>
      <c r="E23" s="150" t="str" cm="1">
        <f t="array" ref="E23">IF(B23="","",IF(B23&lt;&gt;B22,SUMPRODUCT(($B$5:B23&lt;&gt;$B$4:B22)*($B$5:B23&lt;&gt;"")),""))</f>
        <v/>
      </c>
      <c r="F23" s="1" t="str">
        <f t="shared" si="12"/>
        <v/>
      </c>
      <c r="G23" s="1" t="str">
        <f>IF(C23="","",COUNTIF($B$5:B23,B23))</f>
        <v/>
      </c>
      <c r="H23" s="4" t="str">
        <f t="shared" si="13"/>
        <v/>
      </c>
      <c r="K23" s="154"/>
      <c r="L23" s="1" t="str">
        <f>IF(C23="","","【"&amp;A23&amp;"】"&amp;MAX($E$5:E23)&amp;"-"&amp;G23&amp;"_"&amp;B23&amp;"_"&amp;C23)</f>
        <v/>
      </c>
    </row>
    <row r="24" spans="4:12">
      <c r="D24" s="1" t="str">
        <f t="shared" si="11"/>
        <v/>
      </c>
      <c r="E24" s="150" t="str" cm="1">
        <f t="array" ref="E24">IF(B24="","",IF(B24&lt;&gt;B23,SUMPRODUCT(($B$5:B24&lt;&gt;$B$4:B23)*($B$5:B24&lt;&gt;"")),""))</f>
        <v/>
      </c>
      <c r="F24" s="1" t="str">
        <f t="shared" si="12"/>
        <v/>
      </c>
      <c r="G24" s="1" t="str">
        <f>IF(C24="","",COUNTIF($B$5:B24,B24))</f>
        <v/>
      </c>
      <c r="H24" s="4" t="str">
        <f t="shared" si="13"/>
        <v/>
      </c>
      <c r="L24" s="1" t="str">
        <f>IF(C24="","","【"&amp;A24&amp;"】"&amp;MAX($E$5:E24)&amp;"-"&amp;G24&amp;"_"&amp;B24&amp;"_"&amp;C24)</f>
        <v/>
      </c>
    </row>
    <row r="25" spans="4:12">
      <c r="D25" s="1" t="str">
        <f t="shared" si="11"/>
        <v/>
      </c>
      <c r="E25" s="150" t="str" cm="1">
        <f t="array" ref="E25">IF(B25="","",IF(B25&lt;&gt;B24,SUMPRODUCT(($B$5:B25&lt;&gt;$B$4:B24)*($B$5:B25&lt;&gt;"")),""))</f>
        <v/>
      </c>
      <c r="F25" s="1" t="str">
        <f t="shared" si="12"/>
        <v/>
      </c>
      <c r="G25" s="1" t="str">
        <f>IF(C25="","",COUNTIF($B$5:B25,B25))</f>
        <v/>
      </c>
      <c r="H25" s="4" t="str">
        <f t="shared" si="13"/>
        <v/>
      </c>
      <c r="J25" s="156"/>
      <c r="K25" s="154"/>
      <c r="L25" s="1" t="str">
        <f>IF(C25="","","【"&amp;A25&amp;"】"&amp;MAX($E$5:E25)&amp;"-"&amp;G25&amp;"_"&amp;B25&amp;"_"&amp;C25)</f>
        <v/>
      </c>
    </row>
    <row r="26" spans="4:12">
      <c r="D26" s="1" t="str">
        <f t="shared" si="11"/>
        <v/>
      </c>
      <c r="E26" s="150" t="str" cm="1">
        <f t="array" ref="E26">IF(B26="","",IF(B26&lt;&gt;B25,SUMPRODUCT(($B$5:B26&lt;&gt;$B$4:B25)*($B$5:B26&lt;&gt;"")),""))</f>
        <v/>
      </c>
      <c r="F26" s="1" t="str">
        <f t="shared" si="12"/>
        <v/>
      </c>
      <c r="G26" s="1" t="str">
        <f>IF(C26="","",COUNTIF($B$5:B26,B26))</f>
        <v/>
      </c>
      <c r="H26" s="4" t="str">
        <f t="shared" si="13"/>
        <v/>
      </c>
      <c r="L26" s="1" t="str">
        <f>IF(C26="","","【"&amp;A26&amp;"】"&amp;MAX($E$5:E26)&amp;"-"&amp;G26&amp;"_"&amp;B26&amp;"_"&amp;C26)</f>
        <v/>
      </c>
    </row>
    <row r="27" spans="4:12">
      <c r="D27" s="1" t="str">
        <f t="shared" si="11"/>
        <v/>
      </c>
      <c r="E27" s="150" t="str" cm="1">
        <f t="array" ref="E27">IF(B27="","",IF(B27&lt;&gt;B26,SUMPRODUCT(($B$5:B27&lt;&gt;$B$4:B26)*($B$5:B27&lt;&gt;"")),""))</f>
        <v/>
      </c>
      <c r="F27" s="1" t="str">
        <f t="shared" si="12"/>
        <v/>
      </c>
      <c r="G27" s="1" t="str">
        <f>IF(C27="","",COUNTIF($B$5:B27,B27))</f>
        <v/>
      </c>
      <c r="H27" s="4" t="str">
        <f t="shared" si="13"/>
        <v/>
      </c>
      <c r="L27" s="1" t="str">
        <f>IF(C27="","","【"&amp;A27&amp;"】"&amp;MAX($E$5:E27)&amp;"-"&amp;G27&amp;"_"&amp;B27&amp;"_"&amp;C27)</f>
        <v/>
      </c>
    </row>
    <row r="28" spans="4:12">
      <c r="D28" s="1" t="str">
        <f t="shared" si="11"/>
        <v/>
      </c>
      <c r="E28" s="150" t="str" cm="1">
        <f t="array" ref="E28">IF(B28="","",IF(B28&lt;&gt;B27,SUMPRODUCT(($B$5:B28&lt;&gt;$B$4:B27)*($B$5:B28&lt;&gt;"")),""))</f>
        <v/>
      </c>
      <c r="F28" s="1" t="str">
        <f t="shared" si="12"/>
        <v/>
      </c>
      <c r="G28" s="1" t="str">
        <f>IF(C28="","",COUNTIF($B$5:B28,B28))</f>
        <v/>
      </c>
      <c r="H28" s="4" t="str">
        <f t="shared" si="13"/>
        <v/>
      </c>
      <c r="L28" s="1" t="str">
        <f>IF(C28="","","【"&amp;A28&amp;"】"&amp;MAX($E$5:E28)&amp;"-"&amp;G28&amp;"_"&amp;B28&amp;"_"&amp;C28)</f>
        <v/>
      </c>
    </row>
    <row r="29" spans="4:12">
      <c r="D29" s="1" t="str">
        <f t="shared" si="11"/>
        <v/>
      </c>
      <c r="E29" s="150" t="str" cm="1">
        <f t="array" ref="E29">IF(B29="","",IF(B29&lt;&gt;B28,SUMPRODUCT(($B$5:B29&lt;&gt;$B$4:B28)*($B$5:B29&lt;&gt;"")),""))</f>
        <v/>
      </c>
      <c r="F29" s="1" t="str">
        <f t="shared" si="12"/>
        <v/>
      </c>
      <c r="G29" s="1" t="str">
        <f>IF(C29="","",COUNTIF($B$5:B29,B29))</f>
        <v/>
      </c>
      <c r="H29" s="4" t="str">
        <f t="shared" si="13"/>
        <v/>
      </c>
      <c r="L29" s="1" t="str">
        <f>IF(C29="","","【"&amp;A29&amp;"】"&amp;MAX($E$5:E29)&amp;"-"&amp;G29&amp;"_"&amp;B29&amp;"_"&amp;C29)</f>
        <v/>
      </c>
    </row>
    <row r="30" spans="4:12">
      <c r="D30" s="1" t="str">
        <f t="shared" si="11"/>
        <v/>
      </c>
      <c r="E30" s="150" t="str" cm="1">
        <f t="array" ref="E30">IF(B30="","",IF(B30&lt;&gt;B29,SUMPRODUCT(($B$5:B30&lt;&gt;$B$4:B29)*($B$5:B30&lt;&gt;"")),""))</f>
        <v/>
      </c>
      <c r="F30" s="1" t="str">
        <f t="shared" si="12"/>
        <v/>
      </c>
      <c r="G30" s="1" t="str">
        <f>IF(C30="","",COUNTIF($B$5:B30,B30))</f>
        <v/>
      </c>
      <c r="H30" s="4" t="str">
        <f t="shared" si="13"/>
        <v/>
      </c>
      <c r="J30" s="158"/>
      <c r="L30" s="1" t="str">
        <f>IF(C30="","","【"&amp;A30&amp;"】"&amp;MAX($E$5:E30)&amp;"-"&amp;G30&amp;"_"&amp;B30&amp;"_"&amp;C30)</f>
        <v/>
      </c>
    </row>
    <row r="31" spans="4:12">
      <c r="D31" s="1" t="str">
        <f t="shared" si="11"/>
        <v/>
      </c>
      <c r="E31" s="150" t="str" cm="1">
        <f t="array" ref="E31">IF(B31="","",IF(B31&lt;&gt;B30,SUMPRODUCT(($B$5:B31&lt;&gt;$B$4:B30)*($B$5:B31&lt;&gt;"")),""))</f>
        <v/>
      </c>
      <c r="F31" s="1" t="str">
        <f t="shared" si="12"/>
        <v/>
      </c>
      <c r="G31" s="1" t="str">
        <f>IF(C31="","",COUNTIF($B$5:B31,B31))</f>
        <v/>
      </c>
      <c r="H31" s="4" t="str">
        <f t="shared" si="13"/>
        <v/>
      </c>
      <c r="L31" s="1" t="str">
        <f>IF(C31="","","【"&amp;A31&amp;"】"&amp;MAX($E$5:E31)&amp;"-"&amp;G31&amp;"_"&amp;B31&amp;"_"&amp;C31)</f>
        <v/>
      </c>
    </row>
    <row r="32" spans="4:12">
      <c r="D32" s="1" t="str">
        <f t="shared" si="11"/>
        <v/>
      </c>
      <c r="E32" s="150" t="str" cm="1">
        <f t="array" ref="E32">IF(B32="","",IF(B32&lt;&gt;B31,SUMPRODUCT(($B$5:B32&lt;&gt;$B$4:B31)*($B$5:B32&lt;&gt;"")),""))</f>
        <v/>
      </c>
      <c r="F32" s="1" t="str">
        <f t="shared" si="12"/>
        <v/>
      </c>
      <c r="G32" s="1" t="str">
        <f>IF(C32="","",COUNTIF($B$5:B32,B32))</f>
        <v/>
      </c>
      <c r="H32" s="4" t="str">
        <f t="shared" si="13"/>
        <v/>
      </c>
      <c r="L32" s="1" t="str">
        <f>IF(C32="","","【"&amp;A32&amp;"】"&amp;MAX($E$5:E32)&amp;"-"&amp;G32&amp;"_"&amp;B32&amp;"_"&amp;C32)</f>
        <v/>
      </c>
    </row>
    <row r="33" spans="4:12">
      <c r="D33" s="1" t="str">
        <f t="shared" si="11"/>
        <v/>
      </c>
      <c r="E33" s="150" t="str" cm="1">
        <f t="array" ref="E33">IF(B33="","",IF(B33&lt;&gt;B32,SUMPRODUCT(($B$5:B33&lt;&gt;$B$4:B32)*($B$5:B33&lt;&gt;"")),""))</f>
        <v/>
      </c>
      <c r="F33" s="1" t="str">
        <f t="shared" si="12"/>
        <v/>
      </c>
      <c r="G33" s="1" t="str">
        <f>IF(C33="","",COUNTIF($B$5:B33,B33))</f>
        <v/>
      </c>
      <c r="H33" s="4" t="str">
        <f t="shared" si="13"/>
        <v/>
      </c>
      <c r="L33" s="1" t="str">
        <f>IF(C33="","","【"&amp;A33&amp;"】"&amp;MAX($E$5:E33)&amp;"-"&amp;G33&amp;"_"&amp;B33&amp;"_"&amp;C33)</f>
        <v/>
      </c>
    </row>
    <row r="34" spans="4:12">
      <c r="D34" s="1" t="str">
        <f t="shared" si="11"/>
        <v/>
      </c>
      <c r="E34" s="150" t="str" cm="1">
        <f t="array" ref="E34">IF(B34="","",IF(B34&lt;&gt;B33,SUMPRODUCT(($B$5:B34&lt;&gt;$B$4:B33)*($B$5:B34&lt;&gt;"")),""))</f>
        <v/>
      </c>
      <c r="F34" s="1" t="str">
        <f t="shared" si="12"/>
        <v/>
      </c>
      <c r="G34" s="1" t="str">
        <f>IF(C34="","",COUNTIF($B$5:B34,B34))</f>
        <v/>
      </c>
      <c r="H34" s="4" t="str">
        <f t="shared" si="13"/>
        <v/>
      </c>
      <c r="L34" s="1" t="str">
        <f>IF(C34="","","【"&amp;A34&amp;"】"&amp;MAX($E$5:E34)&amp;"-"&amp;G34&amp;"_"&amp;B34&amp;"_"&amp;C34)</f>
        <v/>
      </c>
    </row>
    <row r="35" spans="4:12">
      <c r="D35" s="1" t="str">
        <f t="shared" si="11"/>
        <v/>
      </c>
      <c r="E35" s="150" t="str" cm="1">
        <f t="array" ref="E35">IF(B35="","",IF(B35&lt;&gt;B34,SUMPRODUCT(($B$5:B35&lt;&gt;$B$4:B34)*($B$5:B35&lt;&gt;"")),""))</f>
        <v/>
      </c>
      <c r="F35" s="1" t="str">
        <f t="shared" si="12"/>
        <v/>
      </c>
      <c r="G35" s="1" t="str">
        <f>IF(C35="","",COUNTIF($B$5:B35,B35))</f>
        <v/>
      </c>
      <c r="H35" s="4" t="str">
        <f t="shared" si="13"/>
        <v/>
      </c>
      <c r="L35" s="1" t="str">
        <f>IF(C35="","","【"&amp;A35&amp;"】"&amp;MAX($E$5:E35)&amp;"-"&amp;G35&amp;"_"&amp;B35&amp;"_"&amp;C35)</f>
        <v/>
      </c>
    </row>
    <row r="36" spans="4:12">
      <c r="D36" s="1" t="str">
        <f t="shared" si="11"/>
        <v/>
      </c>
      <c r="E36" s="150" t="str" cm="1">
        <f t="array" ref="E36">IF(B36="","",IF(B36&lt;&gt;B35,SUMPRODUCT(($B$5:B36&lt;&gt;$B$4:B35)*($B$5:B36&lt;&gt;"")),""))</f>
        <v/>
      </c>
      <c r="F36" s="1" t="str">
        <f t="shared" si="12"/>
        <v/>
      </c>
      <c r="G36" s="1" t="str">
        <f>IF(C36="","",COUNTIF($B$5:B36,B36))</f>
        <v/>
      </c>
      <c r="H36" s="4" t="str">
        <f t="shared" si="13"/>
        <v/>
      </c>
      <c r="L36" s="1" t="str">
        <f>IF(C36="","","【"&amp;A36&amp;"】"&amp;MAX($E$5:E36)&amp;"-"&amp;G36&amp;"_"&amp;B36&amp;"_"&amp;C36)</f>
        <v/>
      </c>
    </row>
    <row r="37" spans="4:12">
      <c r="D37" s="1" t="str">
        <f t="shared" si="11"/>
        <v/>
      </c>
      <c r="E37" s="150" t="str" cm="1">
        <f t="array" ref="E37">IF(B37="","",IF(B37&lt;&gt;B36,SUMPRODUCT(($B$5:B37&lt;&gt;$B$4:B36)*($B$5:B37&lt;&gt;"")),""))</f>
        <v/>
      </c>
      <c r="F37" s="1" t="str">
        <f t="shared" si="12"/>
        <v/>
      </c>
      <c r="G37" s="1" t="str">
        <f>IF(C37="","",COUNTIF($B$5:B37,B37))</f>
        <v/>
      </c>
      <c r="H37" s="4" t="str">
        <f t="shared" si="13"/>
        <v/>
      </c>
      <c r="L37" s="1" t="str">
        <f>IF(C37="","","【"&amp;A37&amp;"】"&amp;MAX($E$5:E37)&amp;"-"&amp;G37&amp;"_"&amp;B37&amp;"_"&amp;C37)</f>
        <v/>
      </c>
    </row>
    <row r="38" spans="4:12">
      <c r="D38" s="1" t="str">
        <f t="shared" si="11"/>
        <v/>
      </c>
      <c r="E38" s="150" t="str" cm="1">
        <f t="array" ref="E38">IF(B38="","",IF(B38&lt;&gt;B37,SUMPRODUCT(($B$5:B38&lt;&gt;$B$4:B37)*($B$5:B38&lt;&gt;"")),""))</f>
        <v/>
      </c>
      <c r="F38" s="1" t="str">
        <f t="shared" si="12"/>
        <v/>
      </c>
      <c r="G38" s="1" t="str">
        <f>IF(C38="","",COUNTIF($B$5:B38,B38))</f>
        <v/>
      </c>
      <c r="H38" s="4" t="str">
        <f t="shared" si="13"/>
        <v/>
      </c>
      <c r="L38" s="1" t="str">
        <f>IF(C38="","","【"&amp;A38&amp;"】"&amp;MAX($E$5:E38)&amp;"-"&amp;G38&amp;"_"&amp;B38&amp;"_"&amp;C38)</f>
        <v/>
      </c>
    </row>
    <row r="39" spans="4:12">
      <c r="D39" s="1" t="str">
        <f t="shared" si="11"/>
        <v/>
      </c>
      <c r="E39" s="150" t="str" cm="1">
        <f t="array" ref="E39">IF(B39="","",IF(B39&lt;&gt;B38,SUMPRODUCT(($B$5:B39&lt;&gt;$B$4:B38)*($B$5:B39&lt;&gt;"")),""))</f>
        <v/>
      </c>
      <c r="F39" s="1" t="str">
        <f t="shared" si="12"/>
        <v/>
      </c>
      <c r="G39" s="1" t="str">
        <f>IF(C39="","",COUNTIF($B$5:B39,B39))</f>
        <v/>
      </c>
      <c r="H39" s="4" t="str">
        <f t="shared" si="13"/>
        <v/>
      </c>
      <c r="L39" s="1" t="str">
        <f>IF(C39="","","【"&amp;A39&amp;"】"&amp;MAX($E$5:E39)&amp;"-"&amp;G39&amp;"_"&amp;B39&amp;"_"&amp;C39)</f>
        <v/>
      </c>
    </row>
    <row r="40" spans="4:12">
      <c r="D40" s="1" t="str">
        <f t="shared" si="11"/>
        <v/>
      </c>
      <c r="E40" s="150" t="str" cm="1">
        <f t="array" ref="E40">IF(B40="","",IF(B40&lt;&gt;B39,SUMPRODUCT(($B$5:B40&lt;&gt;$B$4:B39)*($B$5:B40&lt;&gt;"")),""))</f>
        <v/>
      </c>
      <c r="F40" s="1" t="str">
        <f t="shared" si="12"/>
        <v/>
      </c>
      <c r="G40" s="1" t="str">
        <f>IF(C40="","",COUNTIF($B$5:B40,B40))</f>
        <v/>
      </c>
      <c r="H40" s="4" t="str">
        <f t="shared" si="13"/>
        <v/>
      </c>
      <c r="L40" s="1" t="str">
        <f>IF(C40="","","【"&amp;A40&amp;"】"&amp;MAX($E$5:E40)&amp;"-"&amp;G40&amp;"_"&amp;B40&amp;"_"&amp;C40)</f>
        <v/>
      </c>
    </row>
    <row r="41" spans="4:12">
      <c r="D41" s="1" t="str">
        <f t="shared" si="11"/>
        <v/>
      </c>
      <c r="E41" s="150" t="str" cm="1">
        <f t="array" ref="E41">IF(B41="","",IF(B41&lt;&gt;B40,SUMPRODUCT(($B$5:B41&lt;&gt;$B$4:B40)*($B$5:B41&lt;&gt;"")),""))</f>
        <v/>
      </c>
      <c r="F41" s="1" t="str">
        <f t="shared" si="12"/>
        <v/>
      </c>
      <c r="G41" s="1" t="str">
        <f>IF(C41="","",COUNTIF($B$5:B41,B41))</f>
        <v/>
      </c>
      <c r="H41" s="4" t="str">
        <f t="shared" si="13"/>
        <v/>
      </c>
      <c r="L41" s="1" t="str">
        <f>IF(C41="","","【"&amp;A41&amp;"】"&amp;MAX($E$5:E41)&amp;"-"&amp;G41&amp;"_"&amp;B41&amp;"_"&amp;C41)</f>
        <v/>
      </c>
    </row>
    <row r="42" spans="4:12">
      <c r="D42" s="1" t="str">
        <f t="shared" si="11"/>
        <v/>
      </c>
      <c r="E42" s="150" t="str" cm="1">
        <f t="array" ref="E42">IF(B42="","",IF(B42&lt;&gt;B41,SUMPRODUCT(($B$5:B42&lt;&gt;$B$4:B41)*($B$5:B42&lt;&gt;"")),""))</f>
        <v/>
      </c>
      <c r="F42" s="1" t="str">
        <f t="shared" si="12"/>
        <v/>
      </c>
      <c r="G42" s="1" t="str">
        <f>IF(C42="","",COUNTIF($B$5:B42,B42))</f>
        <v/>
      </c>
      <c r="H42" s="4" t="str">
        <f t="shared" si="13"/>
        <v/>
      </c>
      <c r="L42" s="1" t="str">
        <f>IF(C42="","","【"&amp;A42&amp;"】"&amp;MAX($E$5:E42)&amp;"-"&amp;G42&amp;"_"&amp;B42&amp;"_"&amp;C42)</f>
        <v/>
      </c>
    </row>
    <row r="43" spans="4:12">
      <c r="D43" s="1" t="str">
        <f t="shared" si="11"/>
        <v/>
      </c>
      <c r="E43" s="150" t="str" cm="1">
        <f t="array" ref="E43">IF(B43="","",IF(B43&lt;&gt;B42,SUMPRODUCT(($B$5:B43&lt;&gt;$B$4:B42)*($B$5:B43&lt;&gt;"")),""))</f>
        <v/>
      </c>
      <c r="F43" s="1" t="str">
        <f t="shared" si="12"/>
        <v/>
      </c>
      <c r="G43" s="1" t="str">
        <f>IF(C43="","",COUNTIF($B$5:B43,B43))</f>
        <v/>
      </c>
      <c r="H43" s="4" t="str">
        <f t="shared" si="13"/>
        <v/>
      </c>
      <c r="L43" s="1" t="str">
        <f>IF(C43="","","【"&amp;A43&amp;"】"&amp;MAX($E$5:E43)&amp;"-"&amp;G43&amp;"_"&amp;B43&amp;"_"&amp;C43)</f>
        <v/>
      </c>
    </row>
    <row r="44" spans="4:12">
      <c r="D44" s="1" t="str">
        <f t="shared" si="11"/>
        <v/>
      </c>
      <c r="E44" s="150" t="str" cm="1">
        <f t="array" ref="E44">IF(B44="","",IF(B44&lt;&gt;B43,SUMPRODUCT(($B$5:B44&lt;&gt;$B$4:B43)*($B$5:B44&lt;&gt;"")),""))</f>
        <v/>
      </c>
      <c r="F44" s="1" t="str">
        <f t="shared" si="12"/>
        <v/>
      </c>
      <c r="G44" s="1" t="str">
        <f>IF(C44="","",COUNTIF($B$5:B44,B44))</f>
        <v/>
      </c>
      <c r="H44" s="4" t="str">
        <f t="shared" si="13"/>
        <v/>
      </c>
      <c r="L44" s="1" t="str">
        <f>IF(C44="","","【"&amp;A44&amp;"】"&amp;MAX($E$5:E44)&amp;"-"&amp;G44&amp;"_"&amp;B44&amp;"_"&amp;C44)</f>
        <v/>
      </c>
    </row>
    <row r="45" spans="4:12">
      <c r="D45" s="1" t="str">
        <f t="shared" si="11"/>
        <v/>
      </c>
      <c r="E45" s="150" t="str" cm="1">
        <f t="array" ref="E45">IF(B45="","",IF(B45&lt;&gt;B44,SUMPRODUCT(($B$5:B45&lt;&gt;$B$4:B44)*($B$5:B45&lt;&gt;"")),""))</f>
        <v/>
      </c>
      <c r="F45" s="1" t="str">
        <f t="shared" si="12"/>
        <v/>
      </c>
      <c r="G45" s="1" t="str">
        <f>IF(C45="","",COUNTIF($B$5:B45,B45))</f>
        <v/>
      </c>
      <c r="H45" s="4" t="str">
        <f t="shared" si="13"/>
        <v/>
      </c>
      <c r="L45" s="1" t="str">
        <f>IF(C45="","","【"&amp;A45&amp;"】"&amp;MAX($E$5:E45)&amp;"-"&amp;G45&amp;"_"&amp;B45&amp;"_"&amp;C45)</f>
        <v/>
      </c>
    </row>
    <row r="46" spans="4:12">
      <c r="D46" s="1" t="str">
        <f t="shared" si="11"/>
        <v/>
      </c>
      <c r="E46" s="150" t="str" cm="1">
        <f t="array" ref="E46">IF(B46="","",IF(B46&lt;&gt;B45,SUMPRODUCT(($B$5:B46&lt;&gt;$B$4:B45)*($B$5:B46&lt;&gt;"")),""))</f>
        <v/>
      </c>
      <c r="F46" s="1" t="str">
        <f t="shared" si="12"/>
        <v/>
      </c>
      <c r="G46" s="1" t="str">
        <f>IF(C46="","",COUNTIF($B$5:B46,B46))</f>
        <v/>
      </c>
      <c r="H46" s="4" t="str">
        <f t="shared" si="13"/>
        <v/>
      </c>
      <c r="L46" s="1" t="str">
        <f>IF(C46="","","【"&amp;A46&amp;"】"&amp;MAX($E$5:E46)&amp;"-"&amp;G46&amp;"_"&amp;B46&amp;"_"&amp;C46)</f>
        <v/>
      </c>
    </row>
    <row r="47" spans="4:12">
      <c r="D47" s="1" t="str">
        <f t="shared" si="11"/>
        <v/>
      </c>
      <c r="E47" s="150" t="str" cm="1">
        <f t="array" ref="E47">IF(B47="","",IF(B47&lt;&gt;B46,SUMPRODUCT(($B$5:B47&lt;&gt;$B$4:B46)*($B$5:B47&lt;&gt;"")),""))</f>
        <v/>
      </c>
      <c r="F47" s="1" t="str">
        <f t="shared" si="12"/>
        <v/>
      </c>
      <c r="G47" s="1" t="str">
        <f>IF(C47="","",COUNTIF($B$5:B47,B47))</f>
        <v/>
      </c>
      <c r="H47" s="4" t="str">
        <f t="shared" si="13"/>
        <v/>
      </c>
      <c r="L47" s="1" t="str">
        <f>IF(C47="","","【"&amp;A47&amp;"】"&amp;MAX($E$5:E47)&amp;"-"&amp;G47&amp;"_"&amp;B47&amp;"_"&amp;C47)</f>
        <v/>
      </c>
    </row>
    <row r="48" spans="4:12">
      <c r="D48" s="1" t="str">
        <f t="shared" si="11"/>
        <v/>
      </c>
      <c r="E48" s="150" t="str" cm="1">
        <f t="array" ref="E48">IF(B48="","",IF(B48&lt;&gt;B47,SUMPRODUCT(($B$5:B48&lt;&gt;$B$4:B47)*($B$5:B48&lt;&gt;"")),""))</f>
        <v/>
      </c>
      <c r="F48" s="1" t="str">
        <f t="shared" si="12"/>
        <v/>
      </c>
      <c r="G48" s="1" t="str">
        <f>IF(C48="","",COUNTIF($B$5:B48,B48))</f>
        <v/>
      </c>
      <c r="H48" s="4" t="str">
        <f t="shared" si="13"/>
        <v/>
      </c>
      <c r="L48" s="1" t="str">
        <f>IF(C48="","","【"&amp;A48&amp;"】"&amp;MAX($E$5:E48)&amp;"-"&amp;G48&amp;"_"&amp;B48&amp;"_"&amp;C48)</f>
        <v/>
      </c>
    </row>
    <row r="49" spans="4:12">
      <c r="D49" s="1" t="str">
        <f t="shared" si="11"/>
        <v/>
      </c>
      <c r="E49" s="150" t="str" cm="1">
        <f t="array" ref="E49">IF(B49="","",IF(B49&lt;&gt;B48,SUMPRODUCT(($B$5:B49&lt;&gt;$B$4:B48)*($B$5:B49&lt;&gt;"")),""))</f>
        <v/>
      </c>
      <c r="F49" s="1" t="str">
        <f t="shared" si="12"/>
        <v/>
      </c>
      <c r="G49" s="1" t="str">
        <f>IF(C49="","",COUNTIF($B$5:B49,B49))</f>
        <v/>
      </c>
      <c r="H49" s="4" t="str">
        <f t="shared" si="13"/>
        <v/>
      </c>
      <c r="L49" s="1" t="str">
        <f>IF(C49="","","【"&amp;A49&amp;"】"&amp;MAX($E$5:E49)&amp;"-"&amp;G49&amp;"_"&amp;B49&amp;"_"&amp;C49)</f>
        <v/>
      </c>
    </row>
    <row r="50" spans="4:12">
      <c r="D50" s="1" t="str">
        <f t="shared" si="11"/>
        <v/>
      </c>
      <c r="E50" s="150" t="str" cm="1">
        <f t="array" ref="E50">IF(B50="","",IF(B50&lt;&gt;B49,SUMPRODUCT(($B$5:B50&lt;&gt;$B$4:B49)*($B$5:B50&lt;&gt;"")),""))</f>
        <v/>
      </c>
      <c r="F50" s="1" t="str">
        <f t="shared" si="12"/>
        <v/>
      </c>
      <c r="G50" s="1" t="str">
        <f>IF(C50="","",COUNTIF($B$5:B50,B50))</f>
        <v/>
      </c>
      <c r="H50" s="4" t="str">
        <f t="shared" si="13"/>
        <v/>
      </c>
      <c r="L50" s="1" t="str">
        <f>IF(C50="","","【"&amp;A50&amp;"】"&amp;MAX($E$5:E50)&amp;"-"&amp;G50&amp;"_"&amp;B50&amp;"_"&amp;C50)</f>
        <v/>
      </c>
    </row>
    <row r="51" spans="4:12">
      <c r="D51" s="1" t="str">
        <f t="shared" si="11"/>
        <v/>
      </c>
      <c r="E51" s="150" t="str" cm="1">
        <f t="array" ref="E51">IF(B51="","",IF(B51&lt;&gt;B50,SUMPRODUCT(($B$5:B51&lt;&gt;$B$4:B50)*($B$5:B51&lt;&gt;"")),""))</f>
        <v/>
      </c>
      <c r="F51" s="1" t="str">
        <f t="shared" si="12"/>
        <v/>
      </c>
      <c r="G51" s="1" t="str">
        <f>IF(C51="","",COUNTIF($B$5:B51,B51))</f>
        <v/>
      </c>
      <c r="H51" s="4" t="str">
        <f t="shared" si="13"/>
        <v/>
      </c>
      <c r="L51" s="1" t="str">
        <f>IF(C51="","","【"&amp;A51&amp;"】"&amp;MAX($E$5:E51)&amp;"-"&amp;G51&amp;"_"&amp;B51&amp;"_"&amp;C51)</f>
        <v/>
      </c>
    </row>
    <row r="52" spans="4:12">
      <c r="D52" s="1" t="str">
        <f t="shared" si="11"/>
        <v/>
      </c>
      <c r="E52" s="150" t="str" cm="1">
        <f t="array" ref="E52">IF(B52="","",IF(B52&lt;&gt;B51,SUMPRODUCT(($B$5:B52&lt;&gt;$B$4:B51)*($B$5:B52&lt;&gt;"")),""))</f>
        <v/>
      </c>
      <c r="F52" s="1" t="str">
        <f t="shared" si="12"/>
        <v/>
      </c>
      <c r="G52" s="1" t="str">
        <f>IF(C52="","",COUNTIF($B$5:B52,B52))</f>
        <v/>
      </c>
      <c r="H52" s="4" t="str">
        <f t="shared" si="13"/>
        <v/>
      </c>
      <c r="L52" s="1" t="str">
        <f>IF(C52="","","【"&amp;A52&amp;"】"&amp;MAX($E$5:E52)&amp;"-"&amp;G52&amp;"_"&amp;B52&amp;"_"&amp;C52)</f>
        <v/>
      </c>
    </row>
    <row r="53" spans="4:12">
      <c r="D53" s="1" t="str">
        <f t="shared" si="11"/>
        <v/>
      </c>
      <c r="E53" s="150" t="str" cm="1">
        <f t="array" ref="E53">IF(B53="","",IF(B53&lt;&gt;B52,SUMPRODUCT(($B$5:B53&lt;&gt;$B$4:B52)*($B$5:B53&lt;&gt;"")),""))</f>
        <v/>
      </c>
      <c r="F53" s="1" t="str">
        <f t="shared" si="12"/>
        <v/>
      </c>
      <c r="G53" s="1" t="str">
        <f>IF(C53="","",COUNTIF($B$5:B53,B53))</f>
        <v/>
      </c>
      <c r="H53" s="4" t="str">
        <f t="shared" si="13"/>
        <v/>
      </c>
      <c r="L53" s="1" t="str">
        <f>IF(C53="","","【"&amp;A53&amp;"】"&amp;MAX($E$5:E53)&amp;"-"&amp;G53&amp;"_"&amp;B53&amp;"_"&amp;C53)</f>
        <v/>
      </c>
    </row>
    <row r="54" spans="4:12">
      <c r="D54" s="1" t="str">
        <f t="shared" si="11"/>
        <v/>
      </c>
      <c r="E54" s="150" t="str" cm="1">
        <f t="array" ref="E54">IF(B54="","",IF(B54&lt;&gt;B53,SUMPRODUCT(($B$5:B54&lt;&gt;$B$4:B53)*($B$5:B54&lt;&gt;"")),""))</f>
        <v/>
      </c>
      <c r="F54" s="1" t="str">
        <f t="shared" si="12"/>
        <v/>
      </c>
      <c r="G54" s="1" t="str">
        <f>IF(C54="","",COUNTIF($B$5:B54,B54))</f>
        <v/>
      </c>
      <c r="H54" s="4" t="str">
        <f t="shared" si="13"/>
        <v/>
      </c>
      <c r="L54" s="1" t="str">
        <f>IF(C54="","","【"&amp;A54&amp;"】"&amp;MAX($E$5:E54)&amp;"-"&amp;G54&amp;"_"&amp;B54&amp;"_"&amp;C54)</f>
        <v/>
      </c>
    </row>
    <row r="55" spans="4:12">
      <c r="D55" s="1" t="str">
        <f t="shared" si="11"/>
        <v/>
      </c>
      <c r="E55" s="150" t="str" cm="1">
        <f t="array" ref="E55">IF(B55="","",IF(B55&lt;&gt;B54,SUMPRODUCT(($B$5:B55&lt;&gt;$B$4:B54)*($B$5:B55&lt;&gt;"")),""))</f>
        <v/>
      </c>
      <c r="F55" s="1" t="str">
        <f t="shared" si="12"/>
        <v/>
      </c>
      <c r="G55" s="1" t="str">
        <f>IF(C55="","",COUNTIF($B$5:B55,B55))</f>
        <v/>
      </c>
      <c r="H55" s="4" t="str">
        <f t="shared" si="13"/>
        <v/>
      </c>
      <c r="L55" s="1" t="str">
        <f>IF(C55="","","【"&amp;A55&amp;"】"&amp;MAX($E$5:E55)&amp;"-"&amp;G55&amp;"_"&amp;B55&amp;"_"&amp;C55)</f>
        <v/>
      </c>
    </row>
    <row r="56" spans="4:12">
      <c r="D56" s="1" t="str">
        <f t="shared" si="11"/>
        <v/>
      </c>
      <c r="E56" s="150" t="str" cm="1">
        <f t="array" ref="E56">IF(B56="","",IF(B56&lt;&gt;B55,SUMPRODUCT(($B$5:B56&lt;&gt;$B$4:B55)*($B$5:B56&lt;&gt;"")),""))</f>
        <v/>
      </c>
      <c r="F56" s="1" t="str">
        <f t="shared" si="12"/>
        <v/>
      </c>
      <c r="G56" s="1" t="str">
        <f>IF(C56="","",COUNTIF($B$5:B56,B56))</f>
        <v/>
      </c>
      <c r="H56" s="4" t="str">
        <f t="shared" si="13"/>
        <v/>
      </c>
      <c r="L56" s="1" t="str">
        <f>IF(C56="","","【"&amp;A56&amp;"】"&amp;MAX($E$5:E56)&amp;"-"&amp;G56&amp;"_"&amp;B56&amp;"_"&amp;C56)</f>
        <v/>
      </c>
    </row>
    <row r="57" spans="4:12">
      <c r="D57" s="1" t="str">
        <f t="shared" si="11"/>
        <v/>
      </c>
      <c r="E57" s="150" t="str" cm="1">
        <f t="array" ref="E57">IF(B57="","",IF(B57&lt;&gt;B56,SUMPRODUCT(($B$5:B57&lt;&gt;$B$4:B56)*($B$5:B57&lt;&gt;"")),""))</f>
        <v/>
      </c>
      <c r="F57" s="1" t="str">
        <f t="shared" si="12"/>
        <v/>
      </c>
      <c r="G57" s="1" t="str">
        <f>IF(C57="","",COUNTIF($B$5:B57,B57))</f>
        <v/>
      </c>
      <c r="H57" s="4" t="str">
        <f t="shared" si="13"/>
        <v/>
      </c>
      <c r="L57" s="1" t="str">
        <f>IF(C57="","","【"&amp;A57&amp;"】"&amp;MAX($E$5:E57)&amp;"-"&amp;G57&amp;"_"&amp;B57&amp;"_"&amp;C57)</f>
        <v/>
      </c>
    </row>
    <row r="58" spans="4:12">
      <c r="D58" s="1" t="str">
        <f t="shared" si="11"/>
        <v/>
      </c>
      <c r="E58" s="150" t="str" cm="1">
        <f t="array" ref="E58">IF(B58="","",IF(B58&lt;&gt;B57,SUMPRODUCT(($B$5:B58&lt;&gt;$B$4:B57)*($B$5:B58&lt;&gt;"")),""))</f>
        <v/>
      </c>
      <c r="F58" s="1" t="str">
        <f t="shared" si="12"/>
        <v/>
      </c>
      <c r="G58" s="1" t="str">
        <f>IF(C58="","",COUNTIF($B$5:B58,B58))</f>
        <v/>
      </c>
      <c r="H58" s="4" t="str">
        <f t="shared" si="13"/>
        <v/>
      </c>
      <c r="L58" s="1" t="str">
        <f>IF(C58="","","【"&amp;A58&amp;"】"&amp;MAX($E$5:E58)&amp;"-"&amp;G58&amp;"_"&amp;B58&amp;"_"&amp;C58)</f>
        <v/>
      </c>
    </row>
    <row r="59" spans="4:12">
      <c r="D59" s="1" t="str">
        <f t="shared" si="11"/>
        <v/>
      </c>
      <c r="E59" s="150" t="str" cm="1">
        <f t="array" ref="E59">IF(B59="","",IF(B59&lt;&gt;B58,SUMPRODUCT(($B$5:B59&lt;&gt;$B$4:B58)*($B$5:B59&lt;&gt;"")),""))</f>
        <v/>
      </c>
      <c r="F59" s="1" t="str">
        <f t="shared" si="12"/>
        <v/>
      </c>
      <c r="G59" s="1" t="str">
        <f>IF(C59="","",COUNTIF($B$5:B59,B59))</f>
        <v/>
      </c>
      <c r="H59" s="4" t="str">
        <f t="shared" si="13"/>
        <v/>
      </c>
      <c r="L59" s="1" t="str">
        <f>IF(C59="","","【"&amp;A59&amp;"】"&amp;MAX($E$5:E59)&amp;"-"&amp;G59&amp;"_"&amp;B59&amp;"_"&amp;C59)</f>
        <v/>
      </c>
    </row>
    <row r="60" spans="4:12">
      <c r="D60" s="1" t="str">
        <f t="shared" si="11"/>
        <v/>
      </c>
      <c r="E60" s="150" t="str" cm="1">
        <f t="array" ref="E60">IF(B60="","",IF(B60&lt;&gt;B59,SUMPRODUCT(($B$5:B60&lt;&gt;$B$4:B59)*($B$5:B60&lt;&gt;"")),""))</f>
        <v/>
      </c>
      <c r="F60" s="1" t="str">
        <f t="shared" si="12"/>
        <v/>
      </c>
      <c r="G60" s="1" t="str">
        <f>IF(C60="","",COUNTIF($B$5:B60,B60))</f>
        <v/>
      </c>
      <c r="H60" s="4" t="str">
        <f t="shared" si="13"/>
        <v/>
      </c>
      <c r="L60" s="1" t="str">
        <f>IF(C60="","","【"&amp;A60&amp;"】"&amp;MAX($E$5:E60)&amp;"-"&amp;G60&amp;"_"&amp;B60&amp;"_"&amp;C60)</f>
        <v/>
      </c>
    </row>
    <row r="61" spans="4:12">
      <c r="D61" s="1" t="str">
        <f t="shared" si="11"/>
        <v/>
      </c>
      <c r="E61" s="150" t="str" cm="1">
        <f t="array" ref="E61">IF(B61="","",IF(B61&lt;&gt;B60,SUMPRODUCT(($B$5:B61&lt;&gt;$B$4:B60)*($B$5:B61&lt;&gt;"")),""))</f>
        <v/>
      </c>
      <c r="F61" s="1" t="str">
        <f t="shared" si="12"/>
        <v/>
      </c>
      <c r="G61" s="1" t="str">
        <f>IF(C61="","",COUNTIF($B$5:B61,B61))</f>
        <v/>
      </c>
      <c r="H61" s="4" t="str">
        <f t="shared" si="13"/>
        <v/>
      </c>
      <c r="L61" s="1" t="str">
        <f>IF(C61="","","【"&amp;A61&amp;"】"&amp;MAX($E$5:E61)&amp;"-"&amp;G61&amp;"_"&amp;B61&amp;"_"&amp;C61)</f>
        <v/>
      </c>
    </row>
    <row r="62" spans="4:12">
      <c r="D62" s="1" t="str">
        <f t="shared" si="11"/>
        <v/>
      </c>
      <c r="E62" s="150" t="str" cm="1">
        <f t="array" ref="E62">IF(B62="","",IF(B62&lt;&gt;B61,SUMPRODUCT(($B$5:B62&lt;&gt;$B$4:B61)*($B$5:B62&lt;&gt;"")),""))</f>
        <v/>
      </c>
      <c r="F62" s="1" t="str">
        <f t="shared" si="12"/>
        <v/>
      </c>
      <c r="G62" s="1" t="str">
        <f>IF(C62="","",COUNTIF($B$5:B62,B62))</f>
        <v/>
      </c>
      <c r="H62" s="4" t="str">
        <f t="shared" si="13"/>
        <v/>
      </c>
      <c r="L62" s="1" t="str">
        <f>IF(C62="","","【"&amp;A62&amp;"】"&amp;MAX($E$5:E62)&amp;"-"&amp;G62&amp;"_"&amp;B62&amp;"_"&amp;C62)</f>
        <v/>
      </c>
    </row>
    <row r="63" spans="4:12">
      <c r="D63" s="1" t="str">
        <f t="shared" si="11"/>
        <v/>
      </c>
      <c r="E63" s="150" t="str" cm="1">
        <f t="array" ref="E63">IF(B63="","",IF(B63&lt;&gt;B62,SUMPRODUCT(($B$5:B63&lt;&gt;$B$4:B62)*($B$5:B63&lt;&gt;"")),""))</f>
        <v/>
      </c>
      <c r="F63" s="1" t="str">
        <f t="shared" si="12"/>
        <v/>
      </c>
      <c r="G63" s="1" t="str">
        <f>IF(C63="","",COUNTIF($B$5:B63,B63))</f>
        <v/>
      </c>
      <c r="H63" s="4" t="str">
        <f t="shared" si="13"/>
        <v/>
      </c>
      <c r="L63" s="1" t="str">
        <f>IF(C63="","","【"&amp;A63&amp;"】"&amp;MAX($E$5:E63)&amp;"-"&amp;G63&amp;"_"&amp;B63&amp;"_"&amp;C63)</f>
        <v/>
      </c>
    </row>
    <row r="64" spans="4:12">
      <c r="D64" s="1" t="str">
        <f t="shared" si="11"/>
        <v/>
      </c>
      <c r="E64" s="150" t="str" cm="1">
        <f t="array" ref="E64">IF(B64="","",IF(B64&lt;&gt;B63,SUMPRODUCT(($B$5:B64&lt;&gt;$B$4:B63)*($B$5:B64&lt;&gt;"")),""))</f>
        <v/>
      </c>
      <c r="F64" s="1" t="str">
        <f t="shared" si="12"/>
        <v/>
      </c>
      <c r="G64" s="1" t="str">
        <f>IF(C64="","",COUNTIF($B$5:B64,B64))</f>
        <v/>
      </c>
      <c r="H64" s="4" t="str">
        <f t="shared" si="13"/>
        <v/>
      </c>
      <c r="L64" s="1" t="str">
        <f>IF(C64="","","【"&amp;A64&amp;"】"&amp;MAX($E$5:E64)&amp;"-"&amp;G64&amp;"_"&amp;B64&amp;"_"&amp;C64)</f>
        <v/>
      </c>
    </row>
    <row r="65" spans="4:12">
      <c r="D65" s="1" t="str">
        <f t="shared" si="11"/>
        <v/>
      </c>
      <c r="E65" s="150" t="str" cm="1">
        <f t="array" ref="E65">IF(B65="","",IF(B65&lt;&gt;B64,SUMPRODUCT(($B$5:B65&lt;&gt;$B$4:B64)*($B$5:B65&lt;&gt;"")),""))</f>
        <v/>
      </c>
      <c r="F65" s="1" t="str">
        <f t="shared" si="12"/>
        <v/>
      </c>
      <c r="G65" s="1" t="str">
        <f>IF(C65="","",COUNTIF($B$5:B65,B65))</f>
        <v/>
      </c>
      <c r="H65" s="4" t="str">
        <f t="shared" si="13"/>
        <v/>
      </c>
      <c r="L65" s="1" t="str">
        <f>IF(C65="","","【"&amp;A65&amp;"】"&amp;MAX($E$5:E65)&amp;"-"&amp;G65&amp;"_"&amp;B65&amp;"_"&amp;C65)</f>
        <v/>
      </c>
    </row>
    <row r="66" spans="4:12">
      <c r="D66" s="1" t="str">
        <f t="shared" si="11"/>
        <v/>
      </c>
      <c r="E66" s="150" t="str" cm="1">
        <f t="array" ref="E66">IF(B66="","",IF(B66&lt;&gt;B65,SUMPRODUCT(($B$5:B66&lt;&gt;$B$4:B65)*($B$5:B66&lt;&gt;"")),""))</f>
        <v/>
      </c>
      <c r="F66" s="1" t="str">
        <f t="shared" si="12"/>
        <v/>
      </c>
      <c r="G66" s="1" t="str">
        <f>IF(C66="","",COUNTIF($B$5:B66,B66))</f>
        <v/>
      </c>
      <c r="H66" s="4" t="str">
        <f t="shared" si="13"/>
        <v/>
      </c>
      <c r="L66" s="1" t="str">
        <f>IF(C66="","","【"&amp;A66&amp;"】"&amp;MAX($E$5:E66)&amp;"-"&amp;G66&amp;"_"&amp;B66&amp;"_"&amp;C66)</f>
        <v/>
      </c>
    </row>
    <row r="67" spans="4:12">
      <c r="D67" s="1" t="str">
        <f t="shared" si="11"/>
        <v/>
      </c>
      <c r="E67" s="150" t="str" cm="1">
        <f t="array" ref="E67">IF(B67="","",IF(B67&lt;&gt;B66,SUMPRODUCT(($B$5:B67&lt;&gt;$B$4:B66)*($B$5:B67&lt;&gt;"")),""))</f>
        <v/>
      </c>
      <c r="F67" s="1" t="str">
        <f t="shared" si="12"/>
        <v/>
      </c>
      <c r="G67" s="1" t="str">
        <f>IF(C67="","",COUNTIF($B$5:B67,B67))</f>
        <v/>
      </c>
      <c r="H67" s="4" t="str">
        <f t="shared" si="13"/>
        <v/>
      </c>
      <c r="L67" s="1" t="str">
        <f>IF(C67="","","【"&amp;A67&amp;"】"&amp;MAX($E$5:E67)&amp;"-"&amp;G67&amp;"_"&amp;B67&amp;"_"&amp;C67)</f>
        <v/>
      </c>
    </row>
    <row r="68" spans="4:12">
      <c r="D68" s="1" t="str">
        <f t="shared" si="11"/>
        <v/>
      </c>
      <c r="E68" s="150" t="str" cm="1">
        <f t="array" ref="E68">IF(B68="","",IF(B68&lt;&gt;B67,SUMPRODUCT(($B$5:B68&lt;&gt;$B$4:B67)*($B$5:B68&lt;&gt;"")),""))</f>
        <v/>
      </c>
      <c r="F68" s="1" t="str">
        <f t="shared" si="12"/>
        <v/>
      </c>
      <c r="G68" s="1" t="str">
        <f>IF(C68="","",COUNTIF($B$5:B68,B68))</f>
        <v/>
      </c>
      <c r="H68" s="4" t="str">
        <f t="shared" si="13"/>
        <v/>
      </c>
      <c r="L68" s="1" t="str">
        <f>IF(C68="","","【"&amp;A68&amp;"】"&amp;MAX($E$5:E68)&amp;"-"&amp;G68&amp;"_"&amp;B68&amp;"_"&amp;C68)</f>
        <v/>
      </c>
    </row>
    <row r="69" spans="4:12">
      <c r="D69" s="1" t="str">
        <f t="shared" si="11"/>
        <v/>
      </c>
      <c r="E69" s="150" t="str" cm="1">
        <f t="array" ref="E69">IF(B69="","",IF(B69&lt;&gt;B68,SUMPRODUCT(($B$5:B69&lt;&gt;$B$4:B68)*($B$5:B69&lt;&gt;"")),""))</f>
        <v/>
      </c>
      <c r="F69" s="1" t="str">
        <f t="shared" si="12"/>
        <v/>
      </c>
      <c r="G69" s="1" t="str">
        <f>IF(C69="","",COUNTIF($B$5:B69,B69))</f>
        <v/>
      </c>
      <c r="H69" s="4" t="str">
        <f t="shared" si="13"/>
        <v/>
      </c>
      <c r="L69" s="1" t="str">
        <f>IF(C69="","","【"&amp;A69&amp;"】"&amp;MAX($E$5:E69)&amp;"-"&amp;G69&amp;"_"&amp;B69&amp;"_"&amp;C69)</f>
        <v/>
      </c>
    </row>
    <row r="70" spans="4:12">
      <c r="D70" s="1" t="str">
        <f t="shared" ref="D70:D133" si="14">IF(A70&lt;&gt;"", IF(A70=A69, "", A70), "")</f>
        <v/>
      </c>
      <c r="E70" s="150" t="str" cm="1">
        <f t="array" ref="E70">IF(B70="","",IF(B70&lt;&gt;B69,SUMPRODUCT(($B$5:B70&lt;&gt;$B$4:B69)*($B$5:B70&lt;&gt;"")),""))</f>
        <v/>
      </c>
      <c r="F70" s="1" t="str">
        <f t="shared" ref="F70:F133" si="15">IF(B70&lt;&gt;"", IF(B70=B69, "", B70), "")</f>
        <v/>
      </c>
      <c r="G70" s="1" t="str">
        <f>IF(C70="","",COUNTIF($B$5:B70,B70))</f>
        <v/>
      </c>
      <c r="H70" s="4" t="str">
        <f t="shared" ref="H70:H133" si="16">IF(AND(C70&lt;&gt;"",OR(C70&lt;&gt;C69,B70&lt;&gt;B69)),C70,"")</f>
        <v/>
      </c>
      <c r="L70" s="1" t="str">
        <f>IF(C70="","","【"&amp;A70&amp;"】"&amp;MAX($E$5:E70)&amp;"-"&amp;G70&amp;"_"&amp;B70&amp;"_"&amp;C70)</f>
        <v/>
      </c>
    </row>
    <row r="71" spans="4:12">
      <c r="D71" s="1" t="str">
        <f t="shared" si="14"/>
        <v/>
      </c>
      <c r="E71" s="150" t="str" cm="1">
        <f t="array" ref="E71">IF(B71="","",IF(B71&lt;&gt;B70,SUMPRODUCT(($B$5:B71&lt;&gt;$B$4:B70)*($B$5:B71&lt;&gt;"")),""))</f>
        <v/>
      </c>
      <c r="F71" s="1" t="str">
        <f t="shared" si="15"/>
        <v/>
      </c>
      <c r="G71" s="1" t="str">
        <f>IF(C71="","",COUNTIF($B$5:B71,B71))</f>
        <v/>
      </c>
      <c r="H71" s="4" t="str">
        <f t="shared" si="16"/>
        <v/>
      </c>
      <c r="L71" s="1" t="str">
        <f>IF(C71="","","【"&amp;A71&amp;"】"&amp;MAX($E$5:E71)&amp;"-"&amp;G71&amp;"_"&amp;B71&amp;"_"&amp;C71)</f>
        <v/>
      </c>
    </row>
    <row r="72" spans="4:12">
      <c r="D72" s="1" t="str">
        <f t="shared" si="14"/>
        <v/>
      </c>
      <c r="E72" s="150" t="str" cm="1">
        <f t="array" ref="E72">IF(B72="","",IF(B72&lt;&gt;B71,SUMPRODUCT(($B$5:B72&lt;&gt;$B$4:B71)*($B$5:B72&lt;&gt;"")),""))</f>
        <v/>
      </c>
      <c r="F72" s="1" t="str">
        <f t="shared" si="15"/>
        <v/>
      </c>
      <c r="G72" s="1" t="str">
        <f>IF(C72="","",COUNTIF($B$5:B72,B72))</f>
        <v/>
      </c>
      <c r="H72" s="4" t="str">
        <f t="shared" si="16"/>
        <v/>
      </c>
      <c r="L72" s="1" t="str">
        <f>IF(C72="","","【"&amp;A72&amp;"】"&amp;MAX($E$5:E72)&amp;"-"&amp;G72&amp;"_"&amp;B72&amp;"_"&amp;C72)</f>
        <v/>
      </c>
    </row>
    <row r="73" spans="4:12">
      <c r="D73" s="1" t="str">
        <f t="shared" si="14"/>
        <v/>
      </c>
      <c r="E73" s="150" t="str" cm="1">
        <f t="array" ref="E73">IF(B73="","",IF(B73&lt;&gt;B72,SUMPRODUCT(($B$5:B73&lt;&gt;$B$4:B72)*($B$5:B73&lt;&gt;"")),""))</f>
        <v/>
      </c>
      <c r="F73" s="1" t="str">
        <f t="shared" si="15"/>
        <v/>
      </c>
      <c r="G73" s="1" t="str">
        <f>IF(C73="","",COUNTIF($B$5:B73,B73))</f>
        <v/>
      </c>
      <c r="H73" s="4" t="str">
        <f t="shared" si="16"/>
        <v/>
      </c>
      <c r="L73" s="1" t="str">
        <f>IF(C73="","","【"&amp;A73&amp;"】"&amp;MAX($E$5:E73)&amp;"-"&amp;G73&amp;"_"&amp;B73&amp;"_"&amp;C73)</f>
        <v/>
      </c>
    </row>
    <row r="74" spans="4:12">
      <c r="D74" s="1" t="str">
        <f t="shared" si="14"/>
        <v/>
      </c>
      <c r="E74" s="150" t="str" cm="1">
        <f t="array" ref="E74">IF(B74="","",IF(B74&lt;&gt;B73,SUMPRODUCT(($B$5:B74&lt;&gt;$B$4:B73)*($B$5:B74&lt;&gt;"")),""))</f>
        <v/>
      </c>
      <c r="F74" s="1" t="str">
        <f t="shared" si="15"/>
        <v/>
      </c>
      <c r="G74" s="1" t="str">
        <f>IF(C74="","",COUNTIF($B$5:B74,B74))</f>
        <v/>
      </c>
      <c r="H74" s="4" t="str">
        <f t="shared" si="16"/>
        <v/>
      </c>
      <c r="L74" s="1" t="str">
        <f>IF(C74="","","【"&amp;A74&amp;"】"&amp;MAX($E$5:E74)&amp;"-"&amp;G74&amp;"_"&amp;B74&amp;"_"&amp;C74)</f>
        <v/>
      </c>
    </row>
    <row r="75" spans="4:12">
      <c r="D75" s="1" t="str">
        <f t="shared" si="14"/>
        <v/>
      </c>
      <c r="E75" s="150" t="str" cm="1">
        <f t="array" ref="E75">IF(B75="","",IF(B75&lt;&gt;B74,SUMPRODUCT(($B$5:B75&lt;&gt;$B$4:B74)*($B$5:B75&lt;&gt;"")),""))</f>
        <v/>
      </c>
      <c r="F75" s="1" t="str">
        <f t="shared" si="15"/>
        <v/>
      </c>
      <c r="G75" s="1" t="str">
        <f>IF(C75="","",COUNTIF($B$5:B75,B75))</f>
        <v/>
      </c>
      <c r="H75" s="4" t="str">
        <f t="shared" si="16"/>
        <v/>
      </c>
      <c r="L75" s="1" t="str">
        <f>IF(C75="","","【"&amp;A75&amp;"】"&amp;MAX($E$5:E75)&amp;"-"&amp;G75&amp;"_"&amp;B75&amp;"_"&amp;C75)</f>
        <v/>
      </c>
    </row>
    <row r="76" spans="4:12">
      <c r="D76" s="1" t="str">
        <f t="shared" si="14"/>
        <v/>
      </c>
      <c r="E76" s="150" t="str" cm="1">
        <f t="array" ref="E76">IF(B76="","",IF(B76&lt;&gt;B75,SUMPRODUCT(($B$5:B76&lt;&gt;$B$4:B75)*($B$5:B76&lt;&gt;"")),""))</f>
        <v/>
      </c>
      <c r="F76" s="1" t="str">
        <f t="shared" si="15"/>
        <v/>
      </c>
      <c r="G76" s="1" t="str">
        <f>IF(C76="","",COUNTIF($B$5:B76,B76))</f>
        <v/>
      </c>
      <c r="H76" s="4" t="str">
        <f t="shared" si="16"/>
        <v/>
      </c>
      <c r="L76" s="1" t="str">
        <f>IF(C76="","","【"&amp;A76&amp;"】"&amp;MAX($E$5:E76)&amp;"-"&amp;G76&amp;"_"&amp;B76&amp;"_"&amp;C76)</f>
        <v/>
      </c>
    </row>
    <row r="77" spans="4:12">
      <c r="D77" s="1" t="str">
        <f t="shared" si="14"/>
        <v/>
      </c>
      <c r="E77" s="150" t="str" cm="1">
        <f t="array" ref="E77">IF(B77="","",IF(B77&lt;&gt;B76,SUMPRODUCT(($B$5:B77&lt;&gt;$B$4:B76)*($B$5:B77&lt;&gt;"")),""))</f>
        <v/>
      </c>
      <c r="F77" s="1" t="str">
        <f t="shared" si="15"/>
        <v/>
      </c>
      <c r="G77" s="1" t="str">
        <f>IF(C77="","",COUNTIF($B$5:B77,B77))</f>
        <v/>
      </c>
      <c r="H77" s="4" t="str">
        <f t="shared" si="16"/>
        <v/>
      </c>
      <c r="L77" s="1" t="str">
        <f>IF(C77="","","【"&amp;A77&amp;"】"&amp;MAX($E$5:E77)&amp;"-"&amp;G77&amp;"_"&amp;B77&amp;"_"&amp;C77)</f>
        <v/>
      </c>
    </row>
    <row r="78" spans="4:12">
      <c r="D78" s="1" t="str">
        <f t="shared" si="14"/>
        <v/>
      </c>
      <c r="E78" s="150" t="str" cm="1">
        <f t="array" ref="E78">IF(B78="","",IF(B78&lt;&gt;B77,SUMPRODUCT(($B$5:B78&lt;&gt;$B$4:B77)*($B$5:B78&lt;&gt;"")),""))</f>
        <v/>
      </c>
      <c r="F78" s="1" t="str">
        <f t="shared" si="15"/>
        <v/>
      </c>
      <c r="G78" s="1" t="str">
        <f>IF(C78="","",COUNTIF($B$5:B78,B78))</f>
        <v/>
      </c>
      <c r="H78" s="4" t="str">
        <f t="shared" si="16"/>
        <v/>
      </c>
      <c r="L78" s="1" t="str">
        <f>IF(C78="","","【"&amp;A78&amp;"】"&amp;MAX($E$5:E78)&amp;"-"&amp;G78&amp;"_"&amp;B78&amp;"_"&amp;C78)</f>
        <v/>
      </c>
    </row>
    <row r="79" spans="4:12">
      <c r="D79" s="1" t="str">
        <f t="shared" si="14"/>
        <v/>
      </c>
      <c r="E79" s="150" t="str" cm="1">
        <f t="array" ref="E79">IF(B79="","",IF(B79&lt;&gt;B78,SUMPRODUCT(($B$5:B79&lt;&gt;$B$4:B78)*($B$5:B79&lt;&gt;"")),""))</f>
        <v/>
      </c>
      <c r="F79" s="1" t="str">
        <f t="shared" si="15"/>
        <v/>
      </c>
      <c r="G79" s="1" t="str">
        <f>IF(C79="","",COUNTIF($B$5:B79,B79))</f>
        <v/>
      </c>
      <c r="H79" s="4" t="str">
        <f t="shared" si="16"/>
        <v/>
      </c>
      <c r="L79" s="1" t="str">
        <f>IF(C79="","","【"&amp;A79&amp;"】"&amp;MAX($E$5:E79)&amp;"-"&amp;G79&amp;"_"&amp;B79&amp;"_"&amp;C79)</f>
        <v/>
      </c>
    </row>
    <row r="80" spans="4:12">
      <c r="D80" s="1" t="str">
        <f t="shared" si="14"/>
        <v/>
      </c>
      <c r="E80" s="150" t="str" cm="1">
        <f t="array" ref="E80">IF(B80="","",IF(B80&lt;&gt;B79,SUMPRODUCT(($B$5:B80&lt;&gt;$B$4:B79)*($B$5:B80&lt;&gt;"")),""))</f>
        <v/>
      </c>
      <c r="F80" s="1" t="str">
        <f t="shared" si="15"/>
        <v/>
      </c>
      <c r="G80" s="1" t="str">
        <f>IF(C80="","",COUNTIF($B$5:B80,B80))</f>
        <v/>
      </c>
      <c r="H80" s="4" t="str">
        <f t="shared" si="16"/>
        <v/>
      </c>
      <c r="L80" s="1" t="str">
        <f>IF(C80="","","【"&amp;A80&amp;"】"&amp;MAX($E$5:E80)&amp;"-"&amp;G80&amp;"_"&amp;B80&amp;"_"&amp;C80)</f>
        <v/>
      </c>
    </row>
    <row r="81" spans="4:12">
      <c r="D81" s="1" t="str">
        <f t="shared" si="14"/>
        <v/>
      </c>
      <c r="E81" s="150" t="str" cm="1">
        <f t="array" ref="E81">IF(B81="","",IF(B81&lt;&gt;B80,SUMPRODUCT(($B$5:B81&lt;&gt;$B$4:B80)*($B$5:B81&lt;&gt;"")),""))</f>
        <v/>
      </c>
      <c r="F81" s="1" t="str">
        <f t="shared" si="15"/>
        <v/>
      </c>
      <c r="G81" s="1" t="str">
        <f>IF(C81="","",COUNTIF($B$5:B81,B81))</f>
        <v/>
      </c>
      <c r="H81" s="4" t="str">
        <f t="shared" si="16"/>
        <v/>
      </c>
      <c r="L81" s="1" t="str">
        <f>IF(C81="","","【"&amp;A81&amp;"】"&amp;MAX($E$5:E81)&amp;"-"&amp;G81&amp;"_"&amp;B81&amp;"_"&amp;C81)</f>
        <v/>
      </c>
    </row>
    <row r="82" spans="4:12">
      <c r="D82" s="1" t="str">
        <f t="shared" si="14"/>
        <v/>
      </c>
      <c r="E82" s="150" t="str" cm="1">
        <f t="array" ref="E82">IF(B82="","",IF(B82&lt;&gt;B81,SUMPRODUCT(($B$5:B82&lt;&gt;$B$4:B81)*($B$5:B82&lt;&gt;"")),""))</f>
        <v/>
      </c>
      <c r="F82" s="1" t="str">
        <f t="shared" si="15"/>
        <v/>
      </c>
      <c r="G82" s="1" t="str">
        <f>IF(C82="","",COUNTIF($B$5:B82,B82))</f>
        <v/>
      </c>
      <c r="H82" s="4" t="str">
        <f t="shared" si="16"/>
        <v/>
      </c>
      <c r="L82" s="1" t="str">
        <f>IF(C82="","","【"&amp;A82&amp;"】"&amp;MAX($E$5:E82)&amp;"-"&amp;G82&amp;"_"&amp;B82&amp;"_"&amp;C82)</f>
        <v/>
      </c>
    </row>
    <row r="83" spans="4:12">
      <c r="D83" s="1" t="str">
        <f t="shared" si="14"/>
        <v/>
      </c>
      <c r="E83" s="150" t="str" cm="1">
        <f t="array" ref="E83">IF(B83="","",IF(B83&lt;&gt;B82,SUMPRODUCT(($B$5:B83&lt;&gt;$B$4:B82)*($B$5:B83&lt;&gt;"")),""))</f>
        <v/>
      </c>
      <c r="F83" s="1" t="str">
        <f t="shared" si="15"/>
        <v/>
      </c>
      <c r="G83" s="1" t="str">
        <f>IF(C83="","",COUNTIF($B$5:B83,B83))</f>
        <v/>
      </c>
      <c r="H83" s="4" t="str">
        <f t="shared" si="16"/>
        <v/>
      </c>
      <c r="L83" s="1" t="str">
        <f>IF(C83="","","【"&amp;A83&amp;"】"&amp;MAX($E$5:E83)&amp;"-"&amp;G83&amp;"_"&amp;B83&amp;"_"&amp;C83)</f>
        <v/>
      </c>
    </row>
    <row r="84" spans="4:12">
      <c r="D84" s="1" t="str">
        <f t="shared" si="14"/>
        <v/>
      </c>
      <c r="E84" s="150" t="str" cm="1">
        <f t="array" ref="E84">IF(B84="","",IF(B84&lt;&gt;B83,SUMPRODUCT(($B$5:B84&lt;&gt;$B$4:B83)*($B$5:B84&lt;&gt;"")),""))</f>
        <v/>
      </c>
      <c r="F84" s="1" t="str">
        <f t="shared" si="15"/>
        <v/>
      </c>
      <c r="G84" s="1" t="str">
        <f>IF(C84="","",COUNTIF($B$5:B84,B84))</f>
        <v/>
      </c>
      <c r="H84" s="4" t="str">
        <f t="shared" si="16"/>
        <v/>
      </c>
      <c r="L84" s="1" t="str">
        <f>IF(C84="","","【"&amp;A84&amp;"】"&amp;MAX($E$5:E84)&amp;"-"&amp;G84&amp;"_"&amp;B84&amp;"_"&amp;C84)</f>
        <v/>
      </c>
    </row>
    <row r="85" spans="4:12">
      <c r="D85" s="1" t="str">
        <f t="shared" si="14"/>
        <v/>
      </c>
      <c r="E85" s="150" t="str" cm="1">
        <f t="array" ref="E85">IF(B85="","",IF(B85&lt;&gt;B84,SUMPRODUCT(($B$5:B85&lt;&gt;$B$4:B84)*($B$5:B85&lt;&gt;"")),""))</f>
        <v/>
      </c>
      <c r="F85" s="1" t="str">
        <f t="shared" si="15"/>
        <v/>
      </c>
      <c r="G85" s="1" t="str">
        <f>IF(C85="","",COUNTIF($B$5:B85,B85))</f>
        <v/>
      </c>
      <c r="H85" s="4" t="str">
        <f t="shared" si="16"/>
        <v/>
      </c>
      <c r="L85" s="1" t="str">
        <f>IF(C85="","","【"&amp;A85&amp;"】"&amp;MAX($E$5:E85)&amp;"-"&amp;G85&amp;"_"&amp;B85&amp;"_"&amp;C85)</f>
        <v/>
      </c>
    </row>
    <row r="86" spans="4:12">
      <c r="D86" s="1" t="str">
        <f t="shared" si="14"/>
        <v/>
      </c>
      <c r="E86" s="150" t="str" cm="1">
        <f t="array" ref="E86">IF(B86="","",IF(B86&lt;&gt;B85,SUMPRODUCT(($B$5:B86&lt;&gt;$B$4:B85)*($B$5:B86&lt;&gt;"")),""))</f>
        <v/>
      </c>
      <c r="F86" s="1" t="str">
        <f t="shared" si="15"/>
        <v/>
      </c>
      <c r="G86" s="1" t="str">
        <f>IF(C86="","",COUNTIF($B$5:B86,B86))</f>
        <v/>
      </c>
      <c r="H86" s="4" t="str">
        <f t="shared" si="16"/>
        <v/>
      </c>
      <c r="L86" s="1" t="str">
        <f>IF(C86="","","【"&amp;A86&amp;"】"&amp;MAX($E$5:E86)&amp;"-"&amp;G86&amp;"_"&amp;B86&amp;"_"&amp;C86)</f>
        <v/>
      </c>
    </row>
    <row r="87" spans="4:12">
      <c r="D87" s="1" t="str">
        <f t="shared" si="14"/>
        <v/>
      </c>
      <c r="E87" s="150" t="str" cm="1">
        <f t="array" ref="E87">IF(B87="","",IF(B87&lt;&gt;B86,SUMPRODUCT(($B$5:B87&lt;&gt;$B$4:B86)*($B$5:B87&lt;&gt;"")),""))</f>
        <v/>
      </c>
      <c r="F87" s="1" t="str">
        <f t="shared" si="15"/>
        <v/>
      </c>
      <c r="G87" s="1" t="str">
        <f>IF(C87="","",COUNTIF($B$5:B87,B87))</f>
        <v/>
      </c>
      <c r="H87" s="4" t="str">
        <f t="shared" si="16"/>
        <v/>
      </c>
      <c r="L87" s="1" t="str">
        <f>IF(C87="","","【"&amp;A87&amp;"】"&amp;MAX($E$5:E87)&amp;"-"&amp;G87&amp;"_"&amp;B87&amp;"_"&amp;C87)</f>
        <v/>
      </c>
    </row>
    <row r="88" spans="4:12">
      <c r="D88" s="1" t="str">
        <f t="shared" si="14"/>
        <v/>
      </c>
      <c r="E88" s="150" t="str" cm="1">
        <f t="array" ref="E88">IF(B88="","",IF(B88&lt;&gt;B87,SUMPRODUCT(($B$5:B88&lt;&gt;$B$4:B87)*($B$5:B88&lt;&gt;"")),""))</f>
        <v/>
      </c>
      <c r="F88" s="1" t="str">
        <f t="shared" si="15"/>
        <v/>
      </c>
      <c r="G88" s="1" t="str">
        <f>IF(C88="","",COUNTIF($B$5:B88,B88))</f>
        <v/>
      </c>
      <c r="H88" s="4" t="str">
        <f t="shared" si="16"/>
        <v/>
      </c>
      <c r="L88" s="1" t="str">
        <f>IF(C88="","","【"&amp;A88&amp;"】"&amp;MAX($E$5:E88)&amp;"-"&amp;G88&amp;"_"&amp;B88&amp;"_"&amp;C88)</f>
        <v/>
      </c>
    </row>
    <row r="89" spans="4:12">
      <c r="D89" s="1" t="str">
        <f t="shared" si="14"/>
        <v/>
      </c>
      <c r="E89" s="150" t="str" cm="1">
        <f t="array" ref="E89">IF(B89="","",IF(B89&lt;&gt;B88,SUMPRODUCT(($B$5:B89&lt;&gt;$B$4:B88)*($B$5:B89&lt;&gt;"")),""))</f>
        <v/>
      </c>
      <c r="F89" s="1" t="str">
        <f t="shared" si="15"/>
        <v/>
      </c>
      <c r="G89" s="1" t="str">
        <f>IF(C89="","",COUNTIF($B$5:B89,B89))</f>
        <v/>
      </c>
      <c r="H89" s="4" t="str">
        <f t="shared" si="16"/>
        <v/>
      </c>
      <c r="L89" s="1" t="str">
        <f>IF(C89="","","【"&amp;A89&amp;"】"&amp;MAX($E$5:E89)&amp;"-"&amp;G89&amp;"_"&amp;B89&amp;"_"&amp;C89)</f>
        <v/>
      </c>
    </row>
    <row r="90" spans="4:12">
      <c r="D90" s="1" t="str">
        <f t="shared" si="14"/>
        <v/>
      </c>
      <c r="E90" s="150" t="str" cm="1">
        <f t="array" ref="E90">IF(B90="","",IF(B90&lt;&gt;B89,SUMPRODUCT(($B$5:B90&lt;&gt;$B$4:B89)*($B$5:B90&lt;&gt;"")),""))</f>
        <v/>
      </c>
      <c r="F90" s="1" t="str">
        <f t="shared" si="15"/>
        <v/>
      </c>
      <c r="G90" s="1" t="str">
        <f>IF(C90="","",COUNTIF($B$5:B90,B90))</f>
        <v/>
      </c>
      <c r="H90" s="4" t="str">
        <f t="shared" si="16"/>
        <v/>
      </c>
      <c r="L90" s="1" t="str">
        <f>IF(C90="","","【"&amp;A90&amp;"】"&amp;MAX($E$5:E90)&amp;"-"&amp;G90&amp;"_"&amp;B90&amp;"_"&amp;C90)</f>
        <v/>
      </c>
    </row>
    <row r="91" spans="4:12">
      <c r="D91" s="1" t="str">
        <f t="shared" si="14"/>
        <v/>
      </c>
      <c r="E91" s="150" t="str" cm="1">
        <f t="array" ref="E91">IF(B91="","",IF(B91&lt;&gt;B90,SUMPRODUCT(($B$5:B91&lt;&gt;$B$4:B90)*($B$5:B91&lt;&gt;"")),""))</f>
        <v/>
      </c>
      <c r="F91" s="1" t="str">
        <f t="shared" si="15"/>
        <v/>
      </c>
      <c r="G91" s="1" t="str">
        <f>IF(C91="","",COUNTIF($B$5:B91,B91))</f>
        <v/>
      </c>
      <c r="H91" s="4" t="str">
        <f t="shared" si="16"/>
        <v/>
      </c>
      <c r="L91" s="1" t="str">
        <f>IF(C91="","","【"&amp;A91&amp;"】"&amp;MAX($E$5:E91)&amp;"-"&amp;G91&amp;"_"&amp;B91&amp;"_"&amp;C91)</f>
        <v/>
      </c>
    </row>
    <row r="92" spans="4:12">
      <c r="D92" s="1" t="str">
        <f t="shared" si="14"/>
        <v/>
      </c>
      <c r="E92" s="150" t="str" cm="1">
        <f t="array" ref="E92">IF(B92="","",IF(B92&lt;&gt;B91,SUMPRODUCT(($B$5:B92&lt;&gt;$B$4:B91)*($B$5:B92&lt;&gt;"")),""))</f>
        <v/>
      </c>
      <c r="F92" s="1" t="str">
        <f t="shared" si="15"/>
        <v/>
      </c>
      <c r="G92" s="1" t="str">
        <f>IF(C92="","",COUNTIF($B$5:B92,B92))</f>
        <v/>
      </c>
      <c r="H92" s="4" t="str">
        <f t="shared" si="16"/>
        <v/>
      </c>
      <c r="L92" s="1" t="str">
        <f>IF(C92="","","【"&amp;A92&amp;"】"&amp;MAX($E$5:E92)&amp;"-"&amp;G92&amp;"_"&amp;B92&amp;"_"&amp;C92)</f>
        <v/>
      </c>
    </row>
    <row r="93" spans="4:12">
      <c r="D93" s="1" t="str">
        <f t="shared" si="14"/>
        <v/>
      </c>
      <c r="E93" s="150" t="str" cm="1">
        <f t="array" ref="E93">IF(B93="","",IF(B93&lt;&gt;B92,SUMPRODUCT(($B$5:B93&lt;&gt;$B$4:B92)*($B$5:B93&lt;&gt;"")),""))</f>
        <v/>
      </c>
      <c r="F93" s="1" t="str">
        <f t="shared" si="15"/>
        <v/>
      </c>
      <c r="G93" s="1" t="str">
        <f>IF(C93="","",COUNTIF($B$5:B93,B93))</f>
        <v/>
      </c>
      <c r="H93" s="4" t="str">
        <f t="shared" si="16"/>
        <v/>
      </c>
      <c r="L93" s="1" t="str">
        <f>IF(C93="","","【"&amp;A93&amp;"】"&amp;MAX($E$5:E93)&amp;"-"&amp;G93&amp;"_"&amp;B93&amp;"_"&amp;C93)</f>
        <v/>
      </c>
    </row>
    <row r="94" spans="4:12">
      <c r="D94" s="1" t="str">
        <f t="shared" si="14"/>
        <v/>
      </c>
      <c r="E94" s="150" t="str" cm="1">
        <f t="array" ref="E94">IF(B94="","",IF(B94&lt;&gt;B93,SUMPRODUCT(($B$5:B94&lt;&gt;$B$4:B93)*($B$5:B94&lt;&gt;"")),""))</f>
        <v/>
      </c>
      <c r="F94" s="1" t="str">
        <f t="shared" si="15"/>
        <v/>
      </c>
      <c r="G94" s="1" t="str">
        <f>IF(C94="","",COUNTIF($B$5:B94,B94))</f>
        <v/>
      </c>
      <c r="H94" s="4" t="str">
        <f t="shared" si="16"/>
        <v/>
      </c>
      <c r="L94" s="1" t="str">
        <f>IF(C94="","","【"&amp;A94&amp;"】"&amp;MAX($E$5:E94)&amp;"-"&amp;G94&amp;"_"&amp;B94&amp;"_"&amp;C94)</f>
        <v/>
      </c>
    </row>
    <row r="95" spans="4:12">
      <c r="D95" s="1" t="str">
        <f t="shared" si="14"/>
        <v/>
      </c>
      <c r="E95" s="150" t="str" cm="1">
        <f t="array" ref="E95">IF(B95="","",IF(B95&lt;&gt;B94,SUMPRODUCT(($B$5:B95&lt;&gt;$B$4:B94)*($B$5:B95&lt;&gt;"")),""))</f>
        <v/>
      </c>
      <c r="F95" s="1" t="str">
        <f t="shared" si="15"/>
        <v/>
      </c>
      <c r="G95" s="1" t="str">
        <f>IF(C95="","",COUNTIF($B$5:B95,B95))</f>
        <v/>
      </c>
      <c r="H95" s="4" t="str">
        <f t="shared" si="16"/>
        <v/>
      </c>
      <c r="L95" s="1" t="str">
        <f>IF(C95="","","【"&amp;A95&amp;"】"&amp;MAX($E$5:E95)&amp;"-"&amp;G95&amp;"_"&amp;B95&amp;"_"&amp;C95)</f>
        <v/>
      </c>
    </row>
    <row r="96" spans="4:12">
      <c r="D96" s="1" t="str">
        <f t="shared" si="14"/>
        <v/>
      </c>
      <c r="E96" s="150" t="str" cm="1">
        <f t="array" ref="E96">IF(B96="","",IF(B96&lt;&gt;B95,SUMPRODUCT(($B$5:B96&lt;&gt;$B$4:B95)*($B$5:B96&lt;&gt;"")),""))</f>
        <v/>
      </c>
      <c r="F96" s="1" t="str">
        <f t="shared" si="15"/>
        <v/>
      </c>
      <c r="G96" s="1" t="str">
        <f>IF(C96="","",COUNTIF($B$5:B96,B96))</f>
        <v/>
      </c>
      <c r="H96" s="4" t="str">
        <f t="shared" si="16"/>
        <v/>
      </c>
      <c r="L96" s="1" t="str">
        <f>IF(C96="","","【"&amp;A96&amp;"】"&amp;MAX($E$5:E96)&amp;"-"&amp;G96&amp;"_"&amp;B96&amp;"_"&amp;C96)</f>
        <v/>
      </c>
    </row>
    <row r="97" spans="4:12">
      <c r="D97" s="1" t="str">
        <f t="shared" si="14"/>
        <v/>
      </c>
      <c r="E97" s="150" t="str" cm="1">
        <f t="array" ref="E97">IF(B97="","",IF(B97&lt;&gt;B96,SUMPRODUCT(($B$5:B97&lt;&gt;$B$4:B96)*($B$5:B97&lt;&gt;"")),""))</f>
        <v/>
      </c>
      <c r="F97" s="1" t="str">
        <f t="shared" si="15"/>
        <v/>
      </c>
      <c r="G97" s="1" t="str">
        <f>IF(C97="","",COUNTIF($B$5:B97,B97))</f>
        <v/>
      </c>
      <c r="H97" s="4" t="str">
        <f t="shared" si="16"/>
        <v/>
      </c>
      <c r="L97" s="1" t="str">
        <f>IF(C97="","","【"&amp;A97&amp;"】"&amp;MAX($E$5:E97)&amp;"-"&amp;G97&amp;"_"&amp;B97&amp;"_"&amp;C97)</f>
        <v/>
      </c>
    </row>
    <row r="98" spans="4:12">
      <c r="D98" s="1" t="str">
        <f t="shared" si="14"/>
        <v/>
      </c>
      <c r="E98" s="150" t="str" cm="1">
        <f t="array" ref="E98">IF(B98="","",IF(B98&lt;&gt;B97,SUMPRODUCT(($B$5:B98&lt;&gt;$B$4:B97)*($B$5:B98&lt;&gt;"")),""))</f>
        <v/>
      </c>
      <c r="F98" s="1" t="str">
        <f t="shared" si="15"/>
        <v/>
      </c>
      <c r="G98" s="1" t="str">
        <f>IF(C98="","",COUNTIF($B$5:B98,B98))</f>
        <v/>
      </c>
      <c r="H98" s="4" t="str">
        <f t="shared" si="16"/>
        <v/>
      </c>
      <c r="L98" s="1" t="str">
        <f>IF(C98="","","【"&amp;A98&amp;"】"&amp;MAX($E$5:E98)&amp;"-"&amp;G98&amp;"_"&amp;B98&amp;"_"&amp;C98)</f>
        <v/>
      </c>
    </row>
    <row r="99" spans="4:12">
      <c r="D99" s="1" t="str">
        <f t="shared" si="14"/>
        <v/>
      </c>
      <c r="E99" s="150" t="str" cm="1">
        <f t="array" ref="E99">IF(B99="","",IF(B99&lt;&gt;B98,SUMPRODUCT(($B$5:B99&lt;&gt;$B$4:B98)*($B$5:B99&lt;&gt;"")),""))</f>
        <v/>
      </c>
      <c r="F99" s="1" t="str">
        <f t="shared" si="15"/>
        <v/>
      </c>
      <c r="G99" s="1" t="str">
        <f>IF(C99="","",COUNTIF($B$5:B99,B99))</f>
        <v/>
      </c>
      <c r="H99" s="4" t="str">
        <f t="shared" si="16"/>
        <v/>
      </c>
      <c r="L99" s="1" t="str">
        <f>IF(C99="","","【"&amp;A99&amp;"】"&amp;MAX($E$5:E99)&amp;"-"&amp;G99&amp;"_"&amp;B99&amp;"_"&amp;C99)</f>
        <v/>
      </c>
    </row>
    <row r="100" spans="4:12">
      <c r="D100" s="1" t="str">
        <f t="shared" si="14"/>
        <v/>
      </c>
      <c r="E100" s="150" t="str" cm="1">
        <f t="array" ref="E100">IF(B100="","",IF(B100&lt;&gt;B99,SUMPRODUCT(($B$5:B100&lt;&gt;$B$4:B99)*($B$5:B100&lt;&gt;"")),""))</f>
        <v/>
      </c>
      <c r="F100" s="1" t="str">
        <f t="shared" si="15"/>
        <v/>
      </c>
      <c r="G100" s="1" t="str">
        <f>IF(C100="","",COUNTIF($B$5:B100,B100))</f>
        <v/>
      </c>
      <c r="H100" s="4" t="str">
        <f t="shared" si="16"/>
        <v/>
      </c>
      <c r="L100" s="1" t="str">
        <f>IF(C100="","","【"&amp;A100&amp;"】"&amp;MAX($E$5:E100)&amp;"-"&amp;G100&amp;"_"&amp;B100&amp;"_"&amp;C100)</f>
        <v/>
      </c>
    </row>
    <row r="101" spans="4:12">
      <c r="D101" s="1" t="str">
        <f t="shared" si="14"/>
        <v/>
      </c>
      <c r="E101" s="150" t="str" cm="1">
        <f t="array" ref="E101">IF(B101="","",IF(B101&lt;&gt;B100,SUMPRODUCT(($B$5:B101&lt;&gt;$B$4:B100)*($B$5:B101&lt;&gt;"")),""))</f>
        <v/>
      </c>
      <c r="F101" s="1" t="str">
        <f t="shared" si="15"/>
        <v/>
      </c>
      <c r="G101" s="1" t="str">
        <f>IF(C101="","",COUNTIF($B$5:B101,B101))</f>
        <v/>
      </c>
      <c r="H101" s="4" t="str">
        <f t="shared" si="16"/>
        <v/>
      </c>
      <c r="L101" s="1" t="str">
        <f>IF(C101="","","【"&amp;A101&amp;"】"&amp;MAX($E$5:E101)&amp;"-"&amp;G101&amp;"_"&amp;B101&amp;"_"&amp;C101)</f>
        <v/>
      </c>
    </row>
    <row r="102" spans="4:12">
      <c r="D102" s="1" t="str">
        <f t="shared" si="14"/>
        <v/>
      </c>
      <c r="E102" s="150" t="str" cm="1">
        <f t="array" ref="E102">IF(B102="","",IF(B102&lt;&gt;B101,SUMPRODUCT(($B$5:B102&lt;&gt;$B$4:B101)*($B$5:B102&lt;&gt;"")),""))</f>
        <v/>
      </c>
      <c r="F102" s="1" t="str">
        <f t="shared" si="15"/>
        <v/>
      </c>
      <c r="G102" s="1" t="str">
        <f>IF(C102="","",COUNTIF($B$5:B102,B102))</f>
        <v/>
      </c>
      <c r="H102" s="4" t="str">
        <f t="shared" si="16"/>
        <v/>
      </c>
      <c r="L102" s="1" t="str">
        <f>IF(C102="","","【"&amp;A102&amp;"】"&amp;MAX($E$5:E102)&amp;"-"&amp;G102&amp;"_"&amp;B102&amp;"_"&amp;C102)</f>
        <v/>
      </c>
    </row>
    <row r="103" spans="4:12">
      <c r="D103" s="1" t="str">
        <f t="shared" si="14"/>
        <v/>
      </c>
      <c r="E103" s="150" t="str" cm="1">
        <f t="array" ref="E103">IF(B103="","",IF(B103&lt;&gt;B102,SUMPRODUCT(($B$5:B103&lt;&gt;$B$4:B102)*($B$5:B103&lt;&gt;"")),""))</f>
        <v/>
      </c>
      <c r="F103" s="1" t="str">
        <f t="shared" si="15"/>
        <v/>
      </c>
      <c r="G103" s="1" t="str">
        <f>IF(C103="","",COUNTIF($B$5:B103,B103))</f>
        <v/>
      </c>
      <c r="H103" s="4" t="str">
        <f t="shared" si="16"/>
        <v/>
      </c>
      <c r="L103" s="1" t="str">
        <f>IF(C103="","","【"&amp;A103&amp;"】"&amp;MAX($E$5:E103)&amp;"-"&amp;G103&amp;"_"&amp;B103&amp;"_"&amp;C103)</f>
        <v/>
      </c>
    </row>
    <row r="104" spans="4:12">
      <c r="D104" s="1" t="str">
        <f t="shared" si="14"/>
        <v/>
      </c>
      <c r="E104" s="150" t="str" cm="1">
        <f t="array" ref="E104">IF(B104="","",IF(B104&lt;&gt;B103,SUMPRODUCT(($B$5:B104&lt;&gt;$B$4:B103)*($B$5:B104&lt;&gt;"")),""))</f>
        <v/>
      </c>
      <c r="F104" s="1" t="str">
        <f t="shared" si="15"/>
        <v/>
      </c>
      <c r="G104" s="1" t="str">
        <f>IF(C104="","",COUNTIF($B$5:B104,B104))</f>
        <v/>
      </c>
      <c r="H104" s="4" t="str">
        <f t="shared" si="16"/>
        <v/>
      </c>
      <c r="L104" s="1" t="str">
        <f>IF(C104="","","【"&amp;A104&amp;"】"&amp;MAX($E$5:E104)&amp;"-"&amp;G104&amp;"_"&amp;B104&amp;"_"&amp;C104)</f>
        <v/>
      </c>
    </row>
    <row r="105" spans="4:12">
      <c r="D105" s="1" t="str">
        <f t="shared" si="14"/>
        <v/>
      </c>
      <c r="E105" s="150" t="str" cm="1">
        <f t="array" ref="E105">IF(B105="","",IF(B105&lt;&gt;B104,SUMPRODUCT(($B$5:B105&lt;&gt;$B$4:B104)*($B$5:B105&lt;&gt;"")),""))</f>
        <v/>
      </c>
      <c r="F105" s="1" t="str">
        <f t="shared" si="15"/>
        <v/>
      </c>
      <c r="G105" s="1" t="str">
        <f>IF(C105="","",COUNTIF($B$5:B105,B105))</f>
        <v/>
      </c>
      <c r="H105" s="4" t="str">
        <f t="shared" si="16"/>
        <v/>
      </c>
      <c r="L105" s="1" t="str">
        <f>IF(C105="","","【"&amp;A105&amp;"】"&amp;MAX($E$5:E105)&amp;"-"&amp;G105&amp;"_"&amp;B105&amp;"_"&amp;C105)</f>
        <v/>
      </c>
    </row>
    <row r="106" spans="4:12">
      <c r="D106" s="1" t="str">
        <f t="shared" si="14"/>
        <v/>
      </c>
      <c r="E106" s="150" t="str" cm="1">
        <f t="array" ref="E106">IF(B106="","",IF(B106&lt;&gt;B105,SUMPRODUCT(($B$5:B106&lt;&gt;$B$4:B105)*($B$5:B106&lt;&gt;"")),""))</f>
        <v/>
      </c>
      <c r="F106" s="1" t="str">
        <f t="shared" si="15"/>
        <v/>
      </c>
      <c r="G106" s="1" t="str">
        <f>IF(C106="","",COUNTIF($B$5:B106,B106))</f>
        <v/>
      </c>
      <c r="H106" s="4" t="str">
        <f t="shared" si="16"/>
        <v/>
      </c>
      <c r="L106" s="1" t="str">
        <f>IF(C106="","","【"&amp;A106&amp;"】"&amp;MAX($E$5:E106)&amp;"-"&amp;G106&amp;"_"&amp;B106&amp;"_"&amp;C106)</f>
        <v/>
      </c>
    </row>
    <row r="107" spans="4:12">
      <c r="D107" s="1" t="str">
        <f t="shared" si="14"/>
        <v/>
      </c>
      <c r="E107" s="150" t="str" cm="1">
        <f t="array" ref="E107">IF(B107="","",IF(B107&lt;&gt;B106,SUMPRODUCT(($B$5:B107&lt;&gt;$B$4:B106)*($B$5:B107&lt;&gt;"")),""))</f>
        <v/>
      </c>
      <c r="F107" s="1" t="str">
        <f t="shared" si="15"/>
        <v/>
      </c>
      <c r="G107" s="1" t="str">
        <f>IF(C107="","",COUNTIF($B$5:B107,B107))</f>
        <v/>
      </c>
      <c r="H107" s="4" t="str">
        <f t="shared" si="16"/>
        <v/>
      </c>
      <c r="L107" s="1" t="str">
        <f>IF(C107="","","【"&amp;A107&amp;"】"&amp;MAX($E$5:E107)&amp;"-"&amp;G107&amp;"_"&amp;B107&amp;"_"&amp;C107)</f>
        <v/>
      </c>
    </row>
    <row r="108" spans="4:12">
      <c r="D108" s="1" t="str">
        <f t="shared" si="14"/>
        <v/>
      </c>
      <c r="E108" s="150" t="str" cm="1">
        <f t="array" ref="E108">IF(B108="","",IF(B108&lt;&gt;B107,SUMPRODUCT(($B$5:B108&lt;&gt;$B$4:B107)*($B$5:B108&lt;&gt;"")),""))</f>
        <v/>
      </c>
      <c r="F108" s="1" t="str">
        <f t="shared" si="15"/>
        <v/>
      </c>
      <c r="G108" s="1" t="str">
        <f>IF(C108="","",COUNTIF($B$5:B108,B108))</f>
        <v/>
      </c>
      <c r="H108" s="4" t="str">
        <f t="shared" si="16"/>
        <v/>
      </c>
      <c r="L108" s="1" t="str">
        <f>IF(C108="","","【"&amp;A108&amp;"】"&amp;MAX($E$5:E108)&amp;"-"&amp;G108&amp;"_"&amp;B108&amp;"_"&amp;C108)</f>
        <v/>
      </c>
    </row>
    <row r="109" spans="4:12">
      <c r="D109" s="1" t="str">
        <f t="shared" si="14"/>
        <v/>
      </c>
      <c r="E109" s="150" t="str" cm="1">
        <f t="array" ref="E109">IF(B109="","",IF(B109&lt;&gt;B108,SUMPRODUCT(($B$5:B109&lt;&gt;$B$4:B108)*($B$5:B109&lt;&gt;"")),""))</f>
        <v/>
      </c>
      <c r="F109" s="1" t="str">
        <f t="shared" si="15"/>
        <v/>
      </c>
      <c r="G109" s="1" t="str">
        <f>IF(C109="","",COUNTIF($B$5:B109,B109))</f>
        <v/>
      </c>
      <c r="H109" s="4" t="str">
        <f t="shared" si="16"/>
        <v/>
      </c>
      <c r="L109" s="1" t="str">
        <f>IF(C109="","","【"&amp;A109&amp;"】"&amp;MAX($E$5:E109)&amp;"-"&amp;G109&amp;"_"&amp;B109&amp;"_"&amp;C109)</f>
        <v/>
      </c>
    </row>
    <row r="110" spans="4:12">
      <c r="D110" s="1" t="str">
        <f t="shared" si="14"/>
        <v/>
      </c>
      <c r="E110" s="150" t="str" cm="1">
        <f t="array" ref="E110">IF(B110="","",IF(B110&lt;&gt;B109,SUMPRODUCT(($B$5:B110&lt;&gt;$B$4:B109)*($B$5:B110&lt;&gt;"")),""))</f>
        <v/>
      </c>
      <c r="F110" s="1" t="str">
        <f t="shared" si="15"/>
        <v/>
      </c>
      <c r="G110" s="1" t="str">
        <f>IF(C110="","",COUNTIF($B$5:B110,B110))</f>
        <v/>
      </c>
      <c r="H110" s="4" t="str">
        <f t="shared" si="16"/>
        <v/>
      </c>
      <c r="L110" s="1" t="str">
        <f>IF(C110="","","【"&amp;A110&amp;"】"&amp;MAX($E$5:E110)&amp;"-"&amp;G110&amp;"_"&amp;B110&amp;"_"&amp;C110)</f>
        <v/>
      </c>
    </row>
    <row r="111" spans="4:12">
      <c r="D111" s="1" t="str">
        <f t="shared" si="14"/>
        <v/>
      </c>
      <c r="E111" s="150" t="str" cm="1">
        <f t="array" ref="E111">IF(B111="","",IF(B111&lt;&gt;B110,SUMPRODUCT(($B$5:B111&lt;&gt;$B$4:B110)*($B$5:B111&lt;&gt;"")),""))</f>
        <v/>
      </c>
      <c r="F111" s="1" t="str">
        <f t="shared" si="15"/>
        <v/>
      </c>
      <c r="G111" s="1" t="str">
        <f>IF(C111="","",COUNTIF($B$5:B111,B111))</f>
        <v/>
      </c>
      <c r="H111" s="4" t="str">
        <f t="shared" si="16"/>
        <v/>
      </c>
      <c r="L111" s="1" t="str">
        <f>IF(C111="","","【"&amp;A111&amp;"】"&amp;MAX($E$5:E111)&amp;"-"&amp;G111&amp;"_"&amp;B111&amp;"_"&amp;C111)</f>
        <v/>
      </c>
    </row>
    <row r="112" spans="4:12">
      <c r="D112" s="1" t="str">
        <f t="shared" si="14"/>
        <v/>
      </c>
      <c r="E112" s="150" t="str" cm="1">
        <f t="array" ref="E112">IF(B112="","",IF(B112&lt;&gt;B111,SUMPRODUCT(($B$5:B112&lt;&gt;$B$4:B111)*($B$5:B112&lt;&gt;"")),""))</f>
        <v/>
      </c>
      <c r="F112" s="1" t="str">
        <f t="shared" si="15"/>
        <v/>
      </c>
      <c r="G112" s="1" t="str">
        <f>IF(C112="","",COUNTIF($B$5:B112,B112))</f>
        <v/>
      </c>
      <c r="H112" s="4" t="str">
        <f t="shared" si="16"/>
        <v/>
      </c>
      <c r="L112" s="1" t="str">
        <f>IF(C112="","","【"&amp;A112&amp;"】"&amp;MAX($E$5:E112)&amp;"-"&amp;G112&amp;"_"&amp;B112&amp;"_"&amp;C112)</f>
        <v/>
      </c>
    </row>
    <row r="113" spans="4:12">
      <c r="D113" s="1" t="str">
        <f t="shared" si="14"/>
        <v/>
      </c>
      <c r="E113" s="150" t="str" cm="1">
        <f t="array" ref="E113">IF(B113="","",IF(B113&lt;&gt;B112,SUMPRODUCT(($B$5:B113&lt;&gt;$B$4:B112)*($B$5:B113&lt;&gt;"")),""))</f>
        <v/>
      </c>
      <c r="F113" s="1" t="str">
        <f t="shared" si="15"/>
        <v/>
      </c>
      <c r="G113" s="1" t="str">
        <f>IF(C113="","",COUNTIF($B$5:B113,B113))</f>
        <v/>
      </c>
      <c r="H113" s="4" t="str">
        <f t="shared" si="16"/>
        <v/>
      </c>
      <c r="L113" s="1" t="str">
        <f>IF(C113="","","【"&amp;A113&amp;"】"&amp;MAX($E$5:E113)&amp;"-"&amp;G113&amp;"_"&amp;B113&amp;"_"&amp;C113)</f>
        <v/>
      </c>
    </row>
    <row r="114" spans="4:12">
      <c r="D114" s="1" t="str">
        <f t="shared" si="14"/>
        <v/>
      </c>
      <c r="E114" s="150" t="str" cm="1">
        <f t="array" ref="E114">IF(B114="","",IF(B114&lt;&gt;B113,SUMPRODUCT(($B$5:B114&lt;&gt;$B$4:B113)*($B$5:B114&lt;&gt;"")),""))</f>
        <v/>
      </c>
      <c r="F114" s="1" t="str">
        <f t="shared" si="15"/>
        <v/>
      </c>
      <c r="G114" s="1" t="str">
        <f>IF(C114="","",COUNTIF($B$5:B114,B114))</f>
        <v/>
      </c>
      <c r="H114" s="4" t="str">
        <f t="shared" si="16"/>
        <v/>
      </c>
      <c r="L114" s="1" t="str">
        <f>IF(C114="","","【"&amp;A114&amp;"】"&amp;MAX($E$5:E114)&amp;"-"&amp;G114&amp;"_"&amp;B114&amp;"_"&amp;C114)</f>
        <v/>
      </c>
    </row>
    <row r="115" spans="4:12">
      <c r="D115" s="1" t="str">
        <f t="shared" si="14"/>
        <v/>
      </c>
      <c r="E115" s="150" t="str" cm="1">
        <f t="array" ref="E115">IF(B115="","",IF(B115&lt;&gt;B114,SUMPRODUCT(($B$5:B115&lt;&gt;$B$4:B114)*($B$5:B115&lt;&gt;"")),""))</f>
        <v/>
      </c>
      <c r="F115" s="1" t="str">
        <f t="shared" si="15"/>
        <v/>
      </c>
      <c r="G115" s="1" t="str">
        <f>IF(C115="","",COUNTIF($B$5:B115,B115))</f>
        <v/>
      </c>
      <c r="H115" s="4" t="str">
        <f t="shared" si="16"/>
        <v/>
      </c>
      <c r="L115" s="1" t="str">
        <f>IF(C115="","","【"&amp;A115&amp;"】"&amp;MAX($E$5:E115)&amp;"-"&amp;G115&amp;"_"&amp;B115&amp;"_"&amp;C115)</f>
        <v/>
      </c>
    </row>
    <row r="116" spans="4:12">
      <c r="D116" s="1" t="str">
        <f t="shared" si="14"/>
        <v/>
      </c>
      <c r="E116" s="150" t="str" cm="1">
        <f t="array" ref="E116">IF(B116="","",IF(B116&lt;&gt;B115,SUMPRODUCT(($B$5:B116&lt;&gt;$B$4:B115)*($B$5:B116&lt;&gt;"")),""))</f>
        <v/>
      </c>
      <c r="F116" s="1" t="str">
        <f t="shared" si="15"/>
        <v/>
      </c>
      <c r="G116" s="1" t="str">
        <f>IF(C116="","",COUNTIF($B$5:B116,B116))</f>
        <v/>
      </c>
      <c r="H116" s="4" t="str">
        <f t="shared" si="16"/>
        <v/>
      </c>
      <c r="L116" s="1" t="str">
        <f>IF(C116="","","【"&amp;A116&amp;"】"&amp;MAX($E$5:E116)&amp;"-"&amp;G116&amp;"_"&amp;B116&amp;"_"&amp;C116)</f>
        <v/>
      </c>
    </row>
    <row r="117" spans="4:12">
      <c r="D117" s="1" t="str">
        <f t="shared" si="14"/>
        <v/>
      </c>
      <c r="E117" s="150" t="str" cm="1">
        <f t="array" ref="E117">IF(B117="","",IF(B117&lt;&gt;B116,SUMPRODUCT(($B$5:B117&lt;&gt;$B$4:B116)*($B$5:B117&lt;&gt;"")),""))</f>
        <v/>
      </c>
      <c r="F117" s="1" t="str">
        <f t="shared" si="15"/>
        <v/>
      </c>
      <c r="G117" s="1" t="str">
        <f>IF(C117="","",COUNTIF($B$5:B117,B117))</f>
        <v/>
      </c>
      <c r="H117" s="4" t="str">
        <f t="shared" si="16"/>
        <v/>
      </c>
      <c r="L117" s="1" t="str">
        <f>IF(C117="","","【"&amp;A117&amp;"】"&amp;MAX($E$5:E117)&amp;"-"&amp;G117&amp;"_"&amp;B117&amp;"_"&amp;C117)</f>
        <v/>
      </c>
    </row>
    <row r="118" spans="4:12">
      <c r="D118" s="1" t="str">
        <f t="shared" si="14"/>
        <v/>
      </c>
      <c r="E118" s="150" t="str" cm="1">
        <f t="array" ref="E118">IF(B118="","",IF(B118&lt;&gt;B117,SUMPRODUCT(($B$5:B118&lt;&gt;$B$4:B117)*($B$5:B118&lt;&gt;"")),""))</f>
        <v/>
      </c>
      <c r="F118" s="1" t="str">
        <f t="shared" si="15"/>
        <v/>
      </c>
      <c r="G118" s="1" t="str">
        <f>IF(C118="","",COUNTIF($B$5:B118,B118))</f>
        <v/>
      </c>
      <c r="H118" s="4" t="str">
        <f t="shared" si="16"/>
        <v/>
      </c>
      <c r="L118" s="1" t="str">
        <f>IF(C118="","","【"&amp;A118&amp;"】"&amp;MAX($E$5:E118)&amp;"-"&amp;G118&amp;"_"&amp;B118&amp;"_"&amp;C118)</f>
        <v/>
      </c>
    </row>
    <row r="119" spans="4:12">
      <c r="D119" s="1" t="str">
        <f t="shared" si="14"/>
        <v/>
      </c>
      <c r="E119" s="150" t="str" cm="1">
        <f t="array" ref="E119">IF(B119="","",IF(B119&lt;&gt;B118,SUMPRODUCT(($B$5:B119&lt;&gt;$B$4:B118)*($B$5:B119&lt;&gt;"")),""))</f>
        <v/>
      </c>
      <c r="F119" s="1" t="str">
        <f t="shared" si="15"/>
        <v/>
      </c>
      <c r="G119" s="1" t="str">
        <f>IF(C119="","",COUNTIF($B$5:B119,B119))</f>
        <v/>
      </c>
      <c r="H119" s="4" t="str">
        <f t="shared" si="16"/>
        <v/>
      </c>
      <c r="L119" s="1" t="str">
        <f>IF(C119="","","【"&amp;A119&amp;"】"&amp;MAX($E$5:E119)&amp;"-"&amp;G119&amp;"_"&amp;B119&amp;"_"&amp;C119)</f>
        <v/>
      </c>
    </row>
    <row r="120" spans="4:12">
      <c r="D120" s="1" t="str">
        <f t="shared" si="14"/>
        <v/>
      </c>
      <c r="E120" s="150" t="str" cm="1">
        <f t="array" ref="E120">IF(B120="","",IF(B120&lt;&gt;B119,SUMPRODUCT(($B$5:B120&lt;&gt;$B$4:B119)*($B$5:B120&lt;&gt;"")),""))</f>
        <v/>
      </c>
      <c r="F120" s="1" t="str">
        <f t="shared" si="15"/>
        <v/>
      </c>
      <c r="G120" s="1" t="str">
        <f>IF(C120="","",COUNTIF($B$5:B120,B120))</f>
        <v/>
      </c>
      <c r="H120" s="4" t="str">
        <f t="shared" si="16"/>
        <v/>
      </c>
      <c r="L120" s="1" t="str">
        <f>IF(C120="","","【"&amp;A120&amp;"】"&amp;MAX($E$5:E120)&amp;"-"&amp;G120&amp;"_"&amp;B120&amp;"_"&amp;C120)</f>
        <v/>
      </c>
    </row>
    <row r="121" spans="4:12">
      <c r="D121" s="1" t="str">
        <f t="shared" si="14"/>
        <v/>
      </c>
      <c r="E121" s="150" t="str" cm="1">
        <f t="array" ref="E121">IF(B121="","",IF(B121&lt;&gt;B120,SUMPRODUCT(($B$5:B121&lt;&gt;$B$4:B120)*($B$5:B121&lt;&gt;"")),""))</f>
        <v/>
      </c>
      <c r="F121" s="1" t="str">
        <f t="shared" si="15"/>
        <v/>
      </c>
      <c r="G121" s="1" t="str">
        <f>IF(C121="","",COUNTIF($B$5:B121,B121))</f>
        <v/>
      </c>
      <c r="H121" s="4" t="str">
        <f t="shared" si="16"/>
        <v/>
      </c>
      <c r="L121" s="1" t="str">
        <f>IF(C121="","","【"&amp;A121&amp;"】"&amp;MAX($E$5:E121)&amp;"-"&amp;G121&amp;"_"&amp;B121&amp;"_"&amp;C121)</f>
        <v/>
      </c>
    </row>
    <row r="122" spans="4:12">
      <c r="D122" s="1" t="str">
        <f t="shared" si="14"/>
        <v/>
      </c>
      <c r="E122" s="150" t="str" cm="1">
        <f t="array" ref="E122">IF(B122="","",IF(B122&lt;&gt;B121,SUMPRODUCT(($B$5:B122&lt;&gt;$B$4:B121)*($B$5:B122&lt;&gt;"")),""))</f>
        <v/>
      </c>
      <c r="F122" s="1" t="str">
        <f t="shared" si="15"/>
        <v/>
      </c>
      <c r="G122" s="1" t="str">
        <f>IF(C122="","",COUNTIF($B$5:B122,B122))</f>
        <v/>
      </c>
      <c r="H122" s="4" t="str">
        <f t="shared" si="16"/>
        <v/>
      </c>
      <c r="L122" s="1" t="str">
        <f>IF(C122="","","【"&amp;A122&amp;"】"&amp;MAX($E$5:E122)&amp;"-"&amp;G122&amp;"_"&amp;B122&amp;"_"&amp;C122)</f>
        <v/>
      </c>
    </row>
    <row r="123" spans="4:12">
      <c r="D123" s="1" t="str">
        <f t="shared" si="14"/>
        <v/>
      </c>
      <c r="E123" s="150" t="str" cm="1">
        <f t="array" ref="E123">IF(B123="","",IF(B123&lt;&gt;B122,SUMPRODUCT(($B$5:B123&lt;&gt;$B$4:B122)*($B$5:B123&lt;&gt;"")),""))</f>
        <v/>
      </c>
      <c r="F123" s="1" t="str">
        <f t="shared" si="15"/>
        <v/>
      </c>
      <c r="G123" s="1" t="str">
        <f>IF(C123="","",COUNTIF($B$5:B123,B123))</f>
        <v/>
      </c>
      <c r="H123" s="4" t="str">
        <f t="shared" si="16"/>
        <v/>
      </c>
      <c r="L123" s="1" t="str">
        <f>IF(C123="","","【"&amp;A123&amp;"】"&amp;MAX($E$5:E123)&amp;"-"&amp;G123&amp;"_"&amp;B123&amp;"_"&amp;C123)</f>
        <v/>
      </c>
    </row>
    <row r="124" spans="4:12">
      <c r="D124" s="1" t="str">
        <f t="shared" si="14"/>
        <v/>
      </c>
      <c r="E124" s="150" t="str" cm="1">
        <f t="array" ref="E124">IF(B124="","",IF(B124&lt;&gt;B123,SUMPRODUCT(($B$5:B124&lt;&gt;$B$4:B123)*($B$5:B124&lt;&gt;"")),""))</f>
        <v/>
      </c>
      <c r="F124" s="1" t="str">
        <f t="shared" si="15"/>
        <v/>
      </c>
      <c r="G124" s="1" t="str">
        <f>IF(C124="","",COUNTIF($B$5:B124,B124))</f>
        <v/>
      </c>
      <c r="H124" s="4" t="str">
        <f t="shared" si="16"/>
        <v/>
      </c>
      <c r="L124" s="1" t="str">
        <f>IF(C124="","","【"&amp;A124&amp;"】"&amp;MAX($E$5:E124)&amp;"-"&amp;G124&amp;"_"&amp;B124&amp;"_"&amp;C124)</f>
        <v/>
      </c>
    </row>
    <row r="125" spans="4:12">
      <c r="D125" s="1" t="str">
        <f t="shared" si="14"/>
        <v/>
      </c>
      <c r="E125" s="150" t="str" cm="1">
        <f t="array" ref="E125">IF(B125="","",IF(B125&lt;&gt;B124,SUMPRODUCT(($B$5:B125&lt;&gt;$B$4:B124)*($B$5:B125&lt;&gt;"")),""))</f>
        <v/>
      </c>
      <c r="F125" s="1" t="str">
        <f t="shared" si="15"/>
        <v/>
      </c>
      <c r="G125" s="1" t="str">
        <f>IF(C125="","",COUNTIF($B$5:B125,B125))</f>
        <v/>
      </c>
      <c r="H125" s="4" t="str">
        <f t="shared" si="16"/>
        <v/>
      </c>
      <c r="L125" s="1" t="str">
        <f>IF(C125="","","【"&amp;A125&amp;"】"&amp;MAX($E$5:E125)&amp;"-"&amp;G125&amp;"_"&amp;B125&amp;"_"&amp;C125)</f>
        <v/>
      </c>
    </row>
    <row r="126" spans="4:12">
      <c r="D126" s="1" t="str">
        <f t="shared" si="14"/>
        <v/>
      </c>
      <c r="E126" s="150" t="str" cm="1">
        <f t="array" ref="E126">IF(B126="","",IF(B126&lt;&gt;B125,SUMPRODUCT(($B$5:B126&lt;&gt;$B$4:B125)*($B$5:B126&lt;&gt;"")),""))</f>
        <v/>
      </c>
      <c r="F126" s="1" t="str">
        <f t="shared" si="15"/>
        <v/>
      </c>
      <c r="G126" s="1" t="str">
        <f>IF(C126="","",COUNTIF($B$5:B126,B126))</f>
        <v/>
      </c>
      <c r="H126" s="4" t="str">
        <f t="shared" si="16"/>
        <v/>
      </c>
      <c r="L126" s="1" t="str">
        <f>IF(C126="","","【"&amp;A126&amp;"】"&amp;MAX($E$5:E126)&amp;"-"&amp;G126&amp;"_"&amp;B126&amp;"_"&amp;C126)</f>
        <v/>
      </c>
    </row>
    <row r="127" spans="4:12">
      <c r="D127" s="1" t="str">
        <f t="shared" si="14"/>
        <v/>
      </c>
      <c r="E127" s="150" t="str" cm="1">
        <f t="array" ref="E127">IF(B127="","",IF(B127&lt;&gt;B126,SUMPRODUCT(($B$5:B127&lt;&gt;$B$4:B126)*($B$5:B127&lt;&gt;"")),""))</f>
        <v/>
      </c>
      <c r="F127" s="1" t="str">
        <f t="shared" si="15"/>
        <v/>
      </c>
      <c r="G127" s="1" t="str">
        <f>IF(C127="","",COUNTIF($B$5:B127,B127))</f>
        <v/>
      </c>
      <c r="H127" s="4" t="str">
        <f t="shared" si="16"/>
        <v/>
      </c>
      <c r="L127" s="1" t="str">
        <f>IF(C127="","","【"&amp;A127&amp;"】"&amp;MAX($E$5:E127)&amp;"-"&amp;G127&amp;"_"&amp;B127&amp;"_"&amp;C127)</f>
        <v/>
      </c>
    </row>
    <row r="128" spans="4:12">
      <c r="D128" s="1" t="str">
        <f t="shared" si="14"/>
        <v/>
      </c>
      <c r="E128" s="150" t="str" cm="1">
        <f t="array" ref="E128">IF(B128="","",IF(B128&lt;&gt;B127,SUMPRODUCT(($B$5:B128&lt;&gt;$B$4:B127)*($B$5:B128&lt;&gt;"")),""))</f>
        <v/>
      </c>
      <c r="F128" s="1" t="str">
        <f t="shared" si="15"/>
        <v/>
      </c>
      <c r="G128" s="1" t="str">
        <f>IF(C128="","",COUNTIF($B$5:B128,B128))</f>
        <v/>
      </c>
      <c r="H128" s="4" t="str">
        <f t="shared" si="16"/>
        <v/>
      </c>
      <c r="L128" s="1" t="str">
        <f>IF(C128="","","【"&amp;A128&amp;"】"&amp;MAX($E$5:E128)&amp;"-"&amp;G128&amp;"_"&amp;B128&amp;"_"&amp;C128)</f>
        <v/>
      </c>
    </row>
    <row r="129" spans="4:12">
      <c r="D129" s="1" t="str">
        <f t="shared" si="14"/>
        <v/>
      </c>
      <c r="E129" s="150" t="str" cm="1">
        <f t="array" ref="E129">IF(B129="","",IF(B129&lt;&gt;B128,SUMPRODUCT(($B$5:B129&lt;&gt;$B$4:B128)*($B$5:B129&lt;&gt;"")),""))</f>
        <v/>
      </c>
      <c r="F129" s="1" t="str">
        <f t="shared" si="15"/>
        <v/>
      </c>
      <c r="G129" s="1" t="str">
        <f>IF(C129="","",COUNTIF($B$5:B129,B129))</f>
        <v/>
      </c>
      <c r="H129" s="4" t="str">
        <f t="shared" si="16"/>
        <v/>
      </c>
      <c r="L129" s="1" t="str">
        <f>IF(C129="","","【"&amp;A129&amp;"】"&amp;MAX($E$5:E129)&amp;"-"&amp;G129&amp;"_"&amp;B129&amp;"_"&amp;C129)</f>
        <v/>
      </c>
    </row>
    <row r="130" spans="4:12">
      <c r="D130" s="1" t="str">
        <f t="shared" si="14"/>
        <v/>
      </c>
      <c r="E130" s="150" t="str" cm="1">
        <f t="array" ref="E130">IF(B130="","",IF(B130&lt;&gt;B129,SUMPRODUCT(($B$5:B130&lt;&gt;$B$4:B129)*($B$5:B130&lt;&gt;"")),""))</f>
        <v/>
      </c>
      <c r="F130" s="1" t="str">
        <f t="shared" si="15"/>
        <v/>
      </c>
      <c r="G130" s="1" t="str">
        <f>IF(C130="","",COUNTIF($B$5:B130,B130))</f>
        <v/>
      </c>
      <c r="H130" s="4" t="str">
        <f t="shared" si="16"/>
        <v/>
      </c>
      <c r="L130" s="1" t="str">
        <f>IF(C130="","","【"&amp;A130&amp;"】"&amp;MAX($E$5:E130)&amp;"-"&amp;G130&amp;"_"&amp;B130&amp;"_"&amp;C130)</f>
        <v/>
      </c>
    </row>
    <row r="131" spans="4:12">
      <c r="D131" s="1" t="str">
        <f t="shared" si="14"/>
        <v/>
      </c>
      <c r="E131" s="150" t="str" cm="1">
        <f t="array" ref="E131">IF(B131="","",IF(B131&lt;&gt;B130,SUMPRODUCT(($B$5:B131&lt;&gt;$B$4:B130)*($B$5:B131&lt;&gt;"")),""))</f>
        <v/>
      </c>
      <c r="F131" s="1" t="str">
        <f t="shared" si="15"/>
        <v/>
      </c>
      <c r="G131" s="1" t="str">
        <f>IF(C131="","",COUNTIF($B$5:B131,B131))</f>
        <v/>
      </c>
      <c r="H131" s="4" t="str">
        <f t="shared" si="16"/>
        <v/>
      </c>
      <c r="L131" s="1" t="str">
        <f>IF(C131="","","【"&amp;A131&amp;"】"&amp;MAX($E$5:E131)&amp;"-"&amp;G131&amp;"_"&amp;B131&amp;"_"&amp;C131)</f>
        <v/>
      </c>
    </row>
    <row r="132" spans="4:12">
      <c r="D132" s="1" t="str">
        <f t="shared" si="14"/>
        <v/>
      </c>
      <c r="E132" s="150" t="str" cm="1">
        <f t="array" ref="E132">IF(B132="","",IF(B132&lt;&gt;B131,SUMPRODUCT(($B$5:B132&lt;&gt;$B$4:B131)*($B$5:B132&lt;&gt;"")),""))</f>
        <v/>
      </c>
      <c r="F132" s="1" t="str">
        <f t="shared" si="15"/>
        <v/>
      </c>
      <c r="G132" s="1" t="str">
        <f>IF(C132="","",COUNTIF($B$5:B132,B132))</f>
        <v/>
      </c>
      <c r="H132" s="4" t="str">
        <f t="shared" si="16"/>
        <v/>
      </c>
      <c r="L132" s="1" t="str">
        <f>IF(C132="","","【"&amp;A132&amp;"】"&amp;MAX($E$5:E132)&amp;"-"&amp;G132&amp;"_"&amp;B132&amp;"_"&amp;C132)</f>
        <v/>
      </c>
    </row>
    <row r="133" spans="4:12">
      <c r="D133" s="1" t="str">
        <f t="shared" si="14"/>
        <v/>
      </c>
      <c r="E133" s="150" t="str" cm="1">
        <f t="array" ref="E133">IF(B133="","",IF(B133&lt;&gt;B132,SUMPRODUCT(($B$5:B133&lt;&gt;$B$4:B132)*($B$5:B133&lt;&gt;"")),""))</f>
        <v/>
      </c>
      <c r="F133" s="1" t="str">
        <f t="shared" si="15"/>
        <v/>
      </c>
      <c r="G133" s="1" t="str">
        <f>IF(C133="","",COUNTIF($B$5:B133,B133))</f>
        <v/>
      </c>
      <c r="H133" s="4" t="str">
        <f t="shared" si="16"/>
        <v/>
      </c>
      <c r="L133" s="1" t="str">
        <f>IF(C133="","","【"&amp;A133&amp;"】"&amp;MAX($E$5:E133)&amp;"-"&amp;G133&amp;"_"&amp;B133&amp;"_"&amp;C133)</f>
        <v/>
      </c>
    </row>
    <row r="134" spans="4:12">
      <c r="D134" s="1" t="str">
        <f t="shared" ref="D134:D197" si="17">IF(A134&lt;&gt;"", IF(A134=A133, "", A134), "")</f>
        <v/>
      </c>
      <c r="E134" s="150" t="str" cm="1">
        <f t="array" ref="E134">IF(B134="","",IF(B134&lt;&gt;B133,SUMPRODUCT(($B$5:B134&lt;&gt;$B$4:B133)*($B$5:B134&lt;&gt;"")),""))</f>
        <v/>
      </c>
      <c r="F134" s="1" t="str">
        <f t="shared" ref="F134:F197" si="18">IF(B134&lt;&gt;"", IF(B134=B133, "", B134), "")</f>
        <v/>
      </c>
      <c r="G134" s="1" t="str">
        <f>IF(C134="","",COUNTIF($B$5:B134,B134))</f>
        <v/>
      </c>
      <c r="H134" s="4" t="str">
        <f t="shared" ref="H134:H197" si="19">IF(AND(C134&lt;&gt;"",OR(C134&lt;&gt;C133,B134&lt;&gt;B133)),C134,"")</f>
        <v/>
      </c>
      <c r="L134" s="1" t="str">
        <f>IF(C134="","","【"&amp;A134&amp;"】"&amp;MAX($E$5:E134)&amp;"-"&amp;G134&amp;"_"&amp;B134&amp;"_"&amp;C134)</f>
        <v/>
      </c>
    </row>
    <row r="135" spans="4:12">
      <c r="D135" s="1" t="str">
        <f t="shared" si="17"/>
        <v/>
      </c>
      <c r="E135" s="150" t="str" cm="1">
        <f t="array" ref="E135">IF(B135="","",IF(B135&lt;&gt;B134,SUMPRODUCT(($B$5:B135&lt;&gt;$B$4:B134)*($B$5:B135&lt;&gt;"")),""))</f>
        <v/>
      </c>
      <c r="F135" s="1" t="str">
        <f t="shared" si="18"/>
        <v/>
      </c>
      <c r="G135" s="1" t="str">
        <f>IF(C135="","",COUNTIF($B$5:B135,B135))</f>
        <v/>
      </c>
      <c r="H135" s="4" t="str">
        <f t="shared" si="19"/>
        <v/>
      </c>
      <c r="L135" s="1" t="str">
        <f>IF(C135="","","【"&amp;A135&amp;"】"&amp;MAX($E$5:E135)&amp;"-"&amp;G135&amp;"_"&amp;B135&amp;"_"&amp;C135)</f>
        <v/>
      </c>
    </row>
    <row r="136" spans="4:12">
      <c r="D136" s="1" t="str">
        <f t="shared" si="17"/>
        <v/>
      </c>
      <c r="E136" s="150" t="str" cm="1">
        <f t="array" ref="E136">IF(B136="","",IF(B136&lt;&gt;B135,SUMPRODUCT(($B$5:B136&lt;&gt;$B$4:B135)*($B$5:B136&lt;&gt;"")),""))</f>
        <v/>
      </c>
      <c r="F136" s="1" t="str">
        <f t="shared" si="18"/>
        <v/>
      </c>
      <c r="G136" s="1" t="str">
        <f>IF(C136="","",COUNTIF($B$5:B136,B136))</f>
        <v/>
      </c>
      <c r="H136" s="4" t="str">
        <f t="shared" si="19"/>
        <v/>
      </c>
      <c r="L136" s="1" t="str">
        <f>IF(C136="","","【"&amp;A136&amp;"】"&amp;MAX($E$5:E136)&amp;"-"&amp;G136&amp;"_"&amp;B136&amp;"_"&amp;C136)</f>
        <v/>
      </c>
    </row>
    <row r="137" spans="4:12">
      <c r="D137" s="1" t="str">
        <f t="shared" si="17"/>
        <v/>
      </c>
      <c r="E137" s="150" t="str" cm="1">
        <f t="array" ref="E137">IF(B137="","",IF(B137&lt;&gt;B136,SUMPRODUCT(($B$5:B137&lt;&gt;$B$4:B136)*($B$5:B137&lt;&gt;"")),""))</f>
        <v/>
      </c>
      <c r="F137" s="1" t="str">
        <f t="shared" si="18"/>
        <v/>
      </c>
      <c r="G137" s="1" t="str">
        <f>IF(C137="","",COUNTIF($B$5:B137,B137))</f>
        <v/>
      </c>
      <c r="H137" s="4" t="str">
        <f t="shared" si="19"/>
        <v/>
      </c>
      <c r="L137" s="1" t="str">
        <f>IF(C137="","","【"&amp;A137&amp;"】"&amp;MAX($E$5:E137)&amp;"-"&amp;G137&amp;"_"&amp;B137&amp;"_"&amp;C137)</f>
        <v/>
      </c>
    </row>
    <row r="138" spans="4:12">
      <c r="D138" s="1" t="str">
        <f t="shared" si="17"/>
        <v/>
      </c>
      <c r="E138" s="150" t="str" cm="1">
        <f t="array" ref="E138">IF(B138="","",IF(B138&lt;&gt;B137,SUMPRODUCT(($B$5:B138&lt;&gt;$B$4:B137)*($B$5:B138&lt;&gt;"")),""))</f>
        <v/>
      </c>
      <c r="F138" s="1" t="str">
        <f t="shared" si="18"/>
        <v/>
      </c>
      <c r="G138" s="1" t="str">
        <f>IF(C138="","",COUNTIF($B$5:B138,B138))</f>
        <v/>
      </c>
      <c r="H138" s="4" t="str">
        <f t="shared" si="19"/>
        <v/>
      </c>
      <c r="L138" s="1" t="str">
        <f>IF(C138="","","【"&amp;A138&amp;"】"&amp;MAX($E$5:E138)&amp;"-"&amp;G138&amp;"_"&amp;B138&amp;"_"&amp;C138)</f>
        <v/>
      </c>
    </row>
    <row r="139" spans="4:12">
      <c r="D139" s="1" t="str">
        <f t="shared" si="17"/>
        <v/>
      </c>
      <c r="E139" s="150" t="str" cm="1">
        <f t="array" ref="E139">IF(B139="","",IF(B139&lt;&gt;B138,SUMPRODUCT(($B$5:B139&lt;&gt;$B$4:B138)*($B$5:B139&lt;&gt;"")),""))</f>
        <v/>
      </c>
      <c r="F139" s="1" t="str">
        <f t="shared" si="18"/>
        <v/>
      </c>
      <c r="G139" s="1" t="str">
        <f>IF(C139="","",COUNTIF($B$5:B139,B139))</f>
        <v/>
      </c>
      <c r="H139" s="4" t="str">
        <f t="shared" si="19"/>
        <v/>
      </c>
      <c r="L139" s="1" t="str">
        <f>IF(C139="","","【"&amp;A139&amp;"】"&amp;MAX($E$5:E139)&amp;"-"&amp;G139&amp;"_"&amp;B139&amp;"_"&amp;C139)</f>
        <v/>
      </c>
    </row>
    <row r="140" spans="4:12">
      <c r="D140" s="1" t="str">
        <f t="shared" si="17"/>
        <v/>
      </c>
      <c r="E140" s="150" t="str" cm="1">
        <f t="array" ref="E140">IF(B140="","",IF(B140&lt;&gt;B139,SUMPRODUCT(($B$5:B140&lt;&gt;$B$4:B139)*($B$5:B140&lt;&gt;"")),""))</f>
        <v/>
      </c>
      <c r="F140" s="1" t="str">
        <f t="shared" si="18"/>
        <v/>
      </c>
      <c r="G140" s="1" t="str">
        <f>IF(C140="","",COUNTIF($B$5:B140,B140))</f>
        <v/>
      </c>
      <c r="H140" s="4" t="str">
        <f t="shared" si="19"/>
        <v/>
      </c>
      <c r="L140" s="1" t="str">
        <f>IF(C140="","","【"&amp;A140&amp;"】"&amp;MAX($E$5:E140)&amp;"-"&amp;G140&amp;"_"&amp;B140&amp;"_"&amp;C140)</f>
        <v/>
      </c>
    </row>
    <row r="141" spans="4:12">
      <c r="D141" s="1" t="str">
        <f t="shared" si="17"/>
        <v/>
      </c>
      <c r="E141" s="150" t="str" cm="1">
        <f t="array" ref="E141">IF(B141="","",IF(B141&lt;&gt;B140,SUMPRODUCT(($B$5:B141&lt;&gt;$B$4:B140)*($B$5:B141&lt;&gt;"")),""))</f>
        <v/>
      </c>
      <c r="F141" s="1" t="str">
        <f t="shared" si="18"/>
        <v/>
      </c>
      <c r="G141" s="1" t="str">
        <f>IF(C141="","",COUNTIF($B$5:B141,B141))</f>
        <v/>
      </c>
      <c r="H141" s="4" t="str">
        <f t="shared" si="19"/>
        <v/>
      </c>
      <c r="L141" s="1" t="str">
        <f>IF(C141="","","【"&amp;A141&amp;"】"&amp;MAX($E$5:E141)&amp;"-"&amp;G141&amp;"_"&amp;B141&amp;"_"&amp;C141)</f>
        <v/>
      </c>
    </row>
    <row r="142" spans="4:12">
      <c r="D142" s="1" t="str">
        <f t="shared" si="17"/>
        <v/>
      </c>
      <c r="E142" s="150" t="str" cm="1">
        <f t="array" ref="E142">IF(B142="","",IF(B142&lt;&gt;B141,SUMPRODUCT(($B$5:B142&lt;&gt;$B$4:B141)*($B$5:B142&lt;&gt;"")),""))</f>
        <v/>
      </c>
      <c r="F142" s="1" t="str">
        <f t="shared" si="18"/>
        <v/>
      </c>
      <c r="G142" s="1" t="str">
        <f>IF(C142="","",COUNTIF($B$5:B142,B142))</f>
        <v/>
      </c>
      <c r="H142" s="4" t="str">
        <f t="shared" si="19"/>
        <v/>
      </c>
      <c r="L142" s="1" t="str">
        <f>IF(C142="","","【"&amp;A142&amp;"】"&amp;MAX($E$5:E142)&amp;"-"&amp;G142&amp;"_"&amp;B142&amp;"_"&amp;C142)</f>
        <v/>
      </c>
    </row>
    <row r="143" spans="4:12">
      <c r="D143" s="1" t="str">
        <f t="shared" si="17"/>
        <v/>
      </c>
      <c r="E143" s="150" t="str" cm="1">
        <f t="array" ref="E143">IF(B143="","",IF(B143&lt;&gt;B142,SUMPRODUCT(($B$5:B143&lt;&gt;$B$4:B142)*($B$5:B143&lt;&gt;"")),""))</f>
        <v/>
      </c>
      <c r="F143" s="1" t="str">
        <f t="shared" si="18"/>
        <v/>
      </c>
      <c r="G143" s="1" t="str">
        <f>IF(C143="","",COUNTIF($B$5:B143,B143))</f>
        <v/>
      </c>
      <c r="H143" s="4" t="str">
        <f t="shared" si="19"/>
        <v/>
      </c>
      <c r="L143" s="1" t="str">
        <f>IF(C143="","","【"&amp;A143&amp;"】"&amp;MAX($E$5:E143)&amp;"-"&amp;G143&amp;"_"&amp;B143&amp;"_"&amp;C143)</f>
        <v/>
      </c>
    </row>
    <row r="144" spans="4:12">
      <c r="D144" s="1" t="str">
        <f t="shared" si="17"/>
        <v/>
      </c>
      <c r="E144" s="150" t="str" cm="1">
        <f t="array" ref="E144">IF(B144="","",IF(B144&lt;&gt;B143,SUMPRODUCT(($B$5:B144&lt;&gt;$B$4:B143)*($B$5:B144&lt;&gt;"")),""))</f>
        <v/>
      </c>
      <c r="F144" s="1" t="str">
        <f t="shared" si="18"/>
        <v/>
      </c>
      <c r="G144" s="1" t="str">
        <f>IF(C144="","",COUNTIF($B$5:B144,B144))</f>
        <v/>
      </c>
      <c r="H144" s="4" t="str">
        <f t="shared" si="19"/>
        <v/>
      </c>
      <c r="L144" s="1" t="str">
        <f>IF(C144="","","【"&amp;A144&amp;"】"&amp;MAX($E$5:E144)&amp;"-"&amp;G144&amp;"_"&amp;B144&amp;"_"&amp;C144)</f>
        <v/>
      </c>
    </row>
    <row r="145" spans="4:12">
      <c r="D145" s="1" t="str">
        <f t="shared" si="17"/>
        <v/>
      </c>
      <c r="E145" s="150" t="str" cm="1">
        <f t="array" ref="E145">IF(B145="","",IF(B145&lt;&gt;B144,SUMPRODUCT(($B$5:B145&lt;&gt;$B$4:B144)*($B$5:B145&lt;&gt;"")),""))</f>
        <v/>
      </c>
      <c r="F145" s="1" t="str">
        <f t="shared" si="18"/>
        <v/>
      </c>
      <c r="G145" s="1" t="str">
        <f>IF(C145="","",COUNTIF($B$5:B145,B145))</f>
        <v/>
      </c>
      <c r="H145" s="4" t="str">
        <f t="shared" si="19"/>
        <v/>
      </c>
      <c r="L145" s="1" t="str">
        <f>IF(C145="","","【"&amp;A145&amp;"】"&amp;MAX($E$5:E145)&amp;"-"&amp;G145&amp;"_"&amp;B145&amp;"_"&amp;C145)</f>
        <v/>
      </c>
    </row>
    <row r="146" spans="4:12">
      <c r="D146" s="1" t="str">
        <f t="shared" si="17"/>
        <v/>
      </c>
      <c r="E146" s="150" t="str" cm="1">
        <f t="array" ref="E146">IF(B146="","",IF(B146&lt;&gt;B145,SUMPRODUCT(($B$5:B146&lt;&gt;$B$4:B145)*($B$5:B146&lt;&gt;"")),""))</f>
        <v/>
      </c>
      <c r="F146" s="1" t="str">
        <f t="shared" si="18"/>
        <v/>
      </c>
      <c r="G146" s="1" t="str">
        <f>IF(C146="","",COUNTIF($B$5:B146,B146))</f>
        <v/>
      </c>
      <c r="H146" s="4" t="str">
        <f t="shared" si="19"/>
        <v/>
      </c>
      <c r="L146" s="1" t="str">
        <f>IF(C146="","","【"&amp;A146&amp;"】"&amp;MAX($E$5:E146)&amp;"-"&amp;G146&amp;"_"&amp;B146&amp;"_"&amp;C146)</f>
        <v/>
      </c>
    </row>
    <row r="147" spans="4:12">
      <c r="D147" s="1" t="str">
        <f t="shared" si="17"/>
        <v/>
      </c>
      <c r="E147" s="150" t="str" cm="1">
        <f t="array" ref="E147">IF(B147="","",IF(B147&lt;&gt;B146,SUMPRODUCT(($B$5:B147&lt;&gt;$B$4:B146)*($B$5:B147&lt;&gt;"")),""))</f>
        <v/>
      </c>
      <c r="F147" s="1" t="str">
        <f t="shared" si="18"/>
        <v/>
      </c>
      <c r="G147" s="1" t="str">
        <f>IF(C147="","",COUNTIF($B$5:B147,B147))</f>
        <v/>
      </c>
      <c r="H147" s="4" t="str">
        <f t="shared" si="19"/>
        <v/>
      </c>
      <c r="L147" s="1" t="str">
        <f>IF(C147="","","【"&amp;A147&amp;"】"&amp;MAX($E$5:E147)&amp;"-"&amp;G147&amp;"_"&amp;B147&amp;"_"&amp;C147)</f>
        <v/>
      </c>
    </row>
    <row r="148" spans="4:12">
      <c r="D148" s="1" t="str">
        <f t="shared" si="17"/>
        <v/>
      </c>
      <c r="E148" s="150" t="str" cm="1">
        <f t="array" ref="E148">IF(B148="","",IF(B148&lt;&gt;B147,SUMPRODUCT(($B$5:B148&lt;&gt;$B$4:B147)*($B$5:B148&lt;&gt;"")),""))</f>
        <v/>
      </c>
      <c r="F148" s="1" t="str">
        <f t="shared" si="18"/>
        <v/>
      </c>
      <c r="G148" s="1" t="str">
        <f>IF(C148="","",COUNTIF($B$5:B148,B148))</f>
        <v/>
      </c>
      <c r="H148" s="4" t="str">
        <f t="shared" si="19"/>
        <v/>
      </c>
      <c r="L148" s="1" t="str">
        <f>IF(C148="","","【"&amp;A148&amp;"】"&amp;MAX($E$5:E148)&amp;"-"&amp;G148&amp;"_"&amp;B148&amp;"_"&amp;C148)</f>
        <v/>
      </c>
    </row>
    <row r="149" spans="4:12">
      <c r="D149" s="1" t="str">
        <f t="shared" si="17"/>
        <v/>
      </c>
      <c r="E149" s="150" t="str" cm="1">
        <f t="array" ref="E149">IF(B149="","",IF(B149&lt;&gt;B148,SUMPRODUCT(($B$5:B149&lt;&gt;$B$4:B148)*($B$5:B149&lt;&gt;"")),""))</f>
        <v/>
      </c>
      <c r="F149" s="1" t="str">
        <f t="shared" si="18"/>
        <v/>
      </c>
      <c r="G149" s="1" t="str">
        <f>IF(C149="","",COUNTIF($B$5:B149,B149))</f>
        <v/>
      </c>
      <c r="H149" s="4" t="str">
        <f t="shared" si="19"/>
        <v/>
      </c>
      <c r="L149" s="1" t="str">
        <f>IF(C149="","","【"&amp;A149&amp;"】"&amp;MAX($E$5:E149)&amp;"-"&amp;G149&amp;"_"&amp;B149&amp;"_"&amp;C149)</f>
        <v/>
      </c>
    </row>
    <row r="150" spans="4:12">
      <c r="D150" s="1" t="str">
        <f t="shared" si="17"/>
        <v/>
      </c>
      <c r="E150" s="150" t="str" cm="1">
        <f t="array" ref="E150">IF(B150="","",IF(B150&lt;&gt;B149,SUMPRODUCT(($B$5:B150&lt;&gt;$B$4:B149)*($B$5:B150&lt;&gt;"")),""))</f>
        <v/>
      </c>
      <c r="F150" s="1" t="str">
        <f t="shared" si="18"/>
        <v/>
      </c>
      <c r="G150" s="1" t="str">
        <f>IF(C150="","",COUNTIF($B$5:B150,B150))</f>
        <v/>
      </c>
      <c r="H150" s="4" t="str">
        <f t="shared" si="19"/>
        <v/>
      </c>
      <c r="L150" s="1" t="str">
        <f>IF(C150="","","【"&amp;A150&amp;"】"&amp;MAX($E$5:E150)&amp;"-"&amp;G150&amp;"_"&amp;B150&amp;"_"&amp;C150)</f>
        <v/>
      </c>
    </row>
    <row r="151" spans="4:12">
      <c r="D151" s="1" t="str">
        <f t="shared" si="17"/>
        <v/>
      </c>
      <c r="E151" s="150" t="str" cm="1">
        <f t="array" ref="E151">IF(B151="","",IF(B151&lt;&gt;B150,SUMPRODUCT(($B$5:B151&lt;&gt;$B$4:B150)*($B$5:B151&lt;&gt;"")),""))</f>
        <v/>
      </c>
      <c r="F151" s="1" t="str">
        <f t="shared" si="18"/>
        <v/>
      </c>
      <c r="G151" s="1" t="str">
        <f>IF(C151="","",COUNTIF($B$5:B151,B151))</f>
        <v/>
      </c>
      <c r="H151" s="4" t="str">
        <f t="shared" si="19"/>
        <v/>
      </c>
      <c r="L151" s="1" t="str">
        <f>IF(C151="","","【"&amp;A151&amp;"】"&amp;MAX($E$5:E151)&amp;"-"&amp;G151&amp;"_"&amp;B151&amp;"_"&amp;C151)</f>
        <v/>
      </c>
    </row>
    <row r="152" spans="4:12">
      <c r="D152" s="1" t="str">
        <f t="shared" si="17"/>
        <v/>
      </c>
      <c r="E152" s="150" t="str" cm="1">
        <f t="array" ref="E152">IF(B152="","",IF(B152&lt;&gt;B151,SUMPRODUCT(($B$5:B152&lt;&gt;$B$4:B151)*($B$5:B152&lt;&gt;"")),""))</f>
        <v/>
      </c>
      <c r="F152" s="1" t="str">
        <f t="shared" si="18"/>
        <v/>
      </c>
      <c r="G152" s="1" t="str">
        <f>IF(C152="","",COUNTIF($B$5:B152,B152))</f>
        <v/>
      </c>
      <c r="H152" s="4" t="str">
        <f t="shared" si="19"/>
        <v/>
      </c>
      <c r="L152" s="1" t="str">
        <f>IF(C152="","","【"&amp;A152&amp;"】"&amp;MAX($E$5:E152)&amp;"-"&amp;G152&amp;"_"&amp;B152&amp;"_"&amp;C152)</f>
        <v/>
      </c>
    </row>
    <row r="153" spans="4:12">
      <c r="D153" s="1" t="str">
        <f t="shared" si="17"/>
        <v/>
      </c>
      <c r="E153" s="150" t="str" cm="1">
        <f t="array" ref="E153">IF(B153="","",IF(B153&lt;&gt;B152,SUMPRODUCT(($B$5:B153&lt;&gt;$B$4:B152)*($B$5:B153&lt;&gt;"")),""))</f>
        <v/>
      </c>
      <c r="F153" s="1" t="str">
        <f t="shared" si="18"/>
        <v/>
      </c>
      <c r="G153" s="1" t="str">
        <f>IF(C153="","",COUNTIF($B$5:B153,B153))</f>
        <v/>
      </c>
      <c r="H153" s="4" t="str">
        <f t="shared" si="19"/>
        <v/>
      </c>
      <c r="L153" s="1" t="str">
        <f>IF(C153="","","【"&amp;A153&amp;"】"&amp;MAX($E$5:E153)&amp;"-"&amp;G153&amp;"_"&amp;B153&amp;"_"&amp;C153)</f>
        <v/>
      </c>
    </row>
    <row r="154" spans="4:12">
      <c r="D154" s="1" t="str">
        <f t="shared" si="17"/>
        <v/>
      </c>
      <c r="E154" s="150" t="str" cm="1">
        <f t="array" ref="E154">IF(B154="","",IF(B154&lt;&gt;B153,SUMPRODUCT(($B$5:B154&lt;&gt;$B$4:B153)*($B$5:B154&lt;&gt;"")),""))</f>
        <v/>
      </c>
      <c r="F154" s="1" t="str">
        <f t="shared" si="18"/>
        <v/>
      </c>
      <c r="G154" s="1" t="str">
        <f>IF(C154="","",COUNTIF($B$5:B154,B154))</f>
        <v/>
      </c>
      <c r="H154" s="4" t="str">
        <f t="shared" si="19"/>
        <v/>
      </c>
      <c r="L154" s="1" t="str">
        <f>IF(C154="","","【"&amp;A154&amp;"】"&amp;MAX($E$5:E154)&amp;"-"&amp;G154&amp;"_"&amp;B154&amp;"_"&amp;C154)</f>
        <v/>
      </c>
    </row>
    <row r="155" spans="4:12">
      <c r="D155" s="1" t="str">
        <f t="shared" si="17"/>
        <v/>
      </c>
      <c r="E155" s="150" t="str" cm="1">
        <f t="array" ref="E155">IF(B155="","",IF(B155&lt;&gt;B154,SUMPRODUCT(($B$5:B155&lt;&gt;$B$4:B154)*($B$5:B155&lt;&gt;"")),""))</f>
        <v/>
      </c>
      <c r="F155" s="1" t="str">
        <f t="shared" si="18"/>
        <v/>
      </c>
      <c r="G155" s="1" t="str">
        <f>IF(C155="","",COUNTIF($B$5:B155,B155))</f>
        <v/>
      </c>
      <c r="H155" s="4" t="str">
        <f t="shared" si="19"/>
        <v/>
      </c>
      <c r="L155" s="1" t="str">
        <f>IF(C155="","","【"&amp;A155&amp;"】"&amp;MAX($E$5:E155)&amp;"-"&amp;G155&amp;"_"&amp;B155&amp;"_"&amp;C155)</f>
        <v/>
      </c>
    </row>
    <row r="156" spans="4:12">
      <c r="D156" s="1" t="str">
        <f t="shared" si="17"/>
        <v/>
      </c>
      <c r="E156" s="150" t="str" cm="1">
        <f t="array" ref="E156">IF(B156="","",IF(B156&lt;&gt;B155,SUMPRODUCT(($B$5:B156&lt;&gt;$B$4:B155)*($B$5:B156&lt;&gt;"")),""))</f>
        <v/>
      </c>
      <c r="F156" s="1" t="str">
        <f t="shared" si="18"/>
        <v/>
      </c>
      <c r="G156" s="1" t="str">
        <f>IF(C156="","",COUNTIF($B$5:B156,B156))</f>
        <v/>
      </c>
      <c r="H156" s="4" t="str">
        <f t="shared" si="19"/>
        <v/>
      </c>
      <c r="L156" s="1" t="str">
        <f>IF(C156="","","【"&amp;A156&amp;"】"&amp;MAX($E$5:E156)&amp;"-"&amp;G156&amp;"_"&amp;B156&amp;"_"&amp;C156)</f>
        <v/>
      </c>
    </row>
    <row r="157" spans="4:12">
      <c r="D157" s="1" t="str">
        <f t="shared" si="17"/>
        <v/>
      </c>
      <c r="E157" s="150" t="str" cm="1">
        <f t="array" ref="E157">IF(B157="","",IF(B157&lt;&gt;B156,SUMPRODUCT(($B$5:B157&lt;&gt;$B$4:B156)*($B$5:B157&lt;&gt;"")),""))</f>
        <v/>
      </c>
      <c r="F157" s="1" t="str">
        <f t="shared" si="18"/>
        <v/>
      </c>
      <c r="G157" s="1" t="str">
        <f>IF(C157="","",COUNTIF($B$5:B157,B157))</f>
        <v/>
      </c>
      <c r="H157" s="4" t="str">
        <f t="shared" si="19"/>
        <v/>
      </c>
      <c r="L157" s="1" t="str">
        <f>IF(C157="","","【"&amp;A157&amp;"】"&amp;MAX($E$5:E157)&amp;"-"&amp;G157&amp;"_"&amp;B157&amp;"_"&amp;C157)</f>
        <v/>
      </c>
    </row>
    <row r="158" spans="4:12">
      <c r="D158" s="1" t="str">
        <f t="shared" si="17"/>
        <v/>
      </c>
      <c r="E158" s="150" t="str" cm="1">
        <f t="array" ref="E158">IF(B158="","",IF(B158&lt;&gt;B157,SUMPRODUCT(($B$5:B158&lt;&gt;$B$4:B157)*($B$5:B158&lt;&gt;"")),""))</f>
        <v/>
      </c>
      <c r="F158" s="1" t="str">
        <f t="shared" si="18"/>
        <v/>
      </c>
      <c r="G158" s="1" t="str">
        <f>IF(C158="","",COUNTIF($B$5:B158,B158))</f>
        <v/>
      </c>
      <c r="H158" s="4" t="str">
        <f t="shared" si="19"/>
        <v/>
      </c>
      <c r="L158" s="1" t="str">
        <f>IF(C158="","","【"&amp;A158&amp;"】"&amp;MAX($E$5:E158)&amp;"-"&amp;G158&amp;"_"&amp;B158&amp;"_"&amp;C158)</f>
        <v/>
      </c>
    </row>
    <row r="159" spans="4:12">
      <c r="D159" s="1" t="str">
        <f t="shared" si="17"/>
        <v/>
      </c>
      <c r="E159" s="150" t="str" cm="1">
        <f t="array" ref="E159">IF(B159="","",IF(B159&lt;&gt;B158,SUMPRODUCT(($B$5:B159&lt;&gt;$B$4:B158)*($B$5:B159&lt;&gt;"")),""))</f>
        <v/>
      </c>
      <c r="F159" s="1" t="str">
        <f t="shared" si="18"/>
        <v/>
      </c>
      <c r="G159" s="1" t="str">
        <f>IF(C159="","",COUNTIF($B$5:B159,B159))</f>
        <v/>
      </c>
      <c r="H159" s="4" t="str">
        <f t="shared" si="19"/>
        <v/>
      </c>
      <c r="L159" s="1" t="str">
        <f>IF(C159="","","【"&amp;A159&amp;"】"&amp;MAX($E$5:E159)&amp;"-"&amp;G159&amp;"_"&amp;B159&amp;"_"&amp;C159)</f>
        <v/>
      </c>
    </row>
    <row r="160" spans="4:12">
      <c r="D160" s="1" t="str">
        <f t="shared" si="17"/>
        <v/>
      </c>
      <c r="E160" s="150" t="str" cm="1">
        <f t="array" ref="E160">IF(B160="","",IF(B160&lt;&gt;B159,SUMPRODUCT(($B$5:B160&lt;&gt;$B$4:B159)*($B$5:B160&lt;&gt;"")),""))</f>
        <v/>
      </c>
      <c r="F160" s="1" t="str">
        <f t="shared" si="18"/>
        <v/>
      </c>
      <c r="G160" s="1" t="str">
        <f>IF(C160="","",COUNTIF($B$5:B160,B160))</f>
        <v/>
      </c>
      <c r="H160" s="4" t="str">
        <f t="shared" si="19"/>
        <v/>
      </c>
      <c r="L160" s="1" t="str">
        <f>IF(C160="","","【"&amp;A160&amp;"】"&amp;MAX($E$5:E160)&amp;"-"&amp;G160&amp;"_"&amp;B160&amp;"_"&amp;C160)</f>
        <v/>
      </c>
    </row>
    <row r="161" spans="4:12">
      <c r="D161" s="1" t="str">
        <f t="shared" si="17"/>
        <v/>
      </c>
      <c r="E161" s="150" t="str" cm="1">
        <f t="array" ref="E161">IF(B161="","",IF(B161&lt;&gt;B160,SUMPRODUCT(($B$5:B161&lt;&gt;$B$4:B160)*($B$5:B161&lt;&gt;"")),""))</f>
        <v/>
      </c>
      <c r="F161" s="1" t="str">
        <f t="shared" si="18"/>
        <v/>
      </c>
      <c r="G161" s="1" t="str">
        <f>IF(C161="","",COUNTIF($B$5:B161,B161))</f>
        <v/>
      </c>
      <c r="H161" s="4" t="str">
        <f t="shared" si="19"/>
        <v/>
      </c>
      <c r="L161" s="1" t="str">
        <f>IF(C161="","","【"&amp;A161&amp;"】"&amp;MAX($E$5:E161)&amp;"-"&amp;G161&amp;"_"&amp;B161&amp;"_"&amp;C161)</f>
        <v/>
      </c>
    </row>
    <row r="162" spans="4:12">
      <c r="D162" s="1" t="str">
        <f t="shared" si="17"/>
        <v/>
      </c>
      <c r="E162" s="150" t="str" cm="1">
        <f t="array" ref="E162">IF(B162="","",IF(B162&lt;&gt;B161,SUMPRODUCT(($B$5:B162&lt;&gt;$B$4:B161)*($B$5:B162&lt;&gt;"")),""))</f>
        <v/>
      </c>
      <c r="F162" s="1" t="str">
        <f t="shared" si="18"/>
        <v/>
      </c>
      <c r="G162" s="1" t="str">
        <f>IF(C162="","",COUNTIF($B$5:B162,B162))</f>
        <v/>
      </c>
      <c r="H162" s="4" t="str">
        <f t="shared" si="19"/>
        <v/>
      </c>
      <c r="L162" s="1" t="str">
        <f>IF(C162="","","【"&amp;A162&amp;"】"&amp;MAX($E$5:E162)&amp;"-"&amp;G162&amp;"_"&amp;B162&amp;"_"&amp;C162)</f>
        <v/>
      </c>
    </row>
    <row r="163" spans="4:12">
      <c r="D163" s="1" t="str">
        <f t="shared" si="17"/>
        <v/>
      </c>
      <c r="E163" s="150" t="str" cm="1">
        <f t="array" ref="E163">IF(B163="","",IF(B163&lt;&gt;B162,SUMPRODUCT(($B$5:B163&lt;&gt;$B$4:B162)*($B$5:B163&lt;&gt;"")),""))</f>
        <v/>
      </c>
      <c r="F163" s="1" t="str">
        <f t="shared" si="18"/>
        <v/>
      </c>
      <c r="G163" s="1" t="str">
        <f>IF(C163="","",COUNTIF($B$5:B163,B163))</f>
        <v/>
      </c>
      <c r="H163" s="4" t="str">
        <f t="shared" si="19"/>
        <v/>
      </c>
      <c r="L163" s="1" t="str">
        <f>IF(C163="","","【"&amp;A163&amp;"】"&amp;MAX($E$5:E163)&amp;"-"&amp;G163&amp;"_"&amp;B163&amp;"_"&amp;C163)</f>
        <v/>
      </c>
    </row>
    <row r="164" spans="4:12">
      <c r="D164" s="1" t="str">
        <f t="shared" si="17"/>
        <v/>
      </c>
      <c r="E164" s="150" t="str" cm="1">
        <f t="array" ref="E164">IF(B164="","",IF(B164&lt;&gt;B163,SUMPRODUCT(($B$5:B164&lt;&gt;$B$4:B163)*($B$5:B164&lt;&gt;"")),""))</f>
        <v/>
      </c>
      <c r="F164" s="1" t="str">
        <f t="shared" si="18"/>
        <v/>
      </c>
      <c r="G164" s="1" t="str">
        <f>IF(C164="","",COUNTIF($B$5:B164,B164))</f>
        <v/>
      </c>
      <c r="H164" s="4" t="str">
        <f t="shared" si="19"/>
        <v/>
      </c>
      <c r="L164" s="1" t="str">
        <f>IF(C164="","","【"&amp;A164&amp;"】"&amp;MAX($E$5:E164)&amp;"-"&amp;G164&amp;"_"&amp;B164&amp;"_"&amp;C164)</f>
        <v/>
      </c>
    </row>
    <row r="165" spans="4:12">
      <c r="D165" s="1" t="str">
        <f t="shared" si="17"/>
        <v/>
      </c>
      <c r="E165" s="150" t="str" cm="1">
        <f t="array" ref="E165">IF(B165="","",IF(B165&lt;&gt;B164,SUMPRODUCT(($B$5:B165&lt;&gt;$B$4:B164)*($B$5:B165&lt;&gt;"")),""))</f>
        <v/>
      </c>
      <c r="F165" s="1" t="str">
        <f t="shared" si="18"/>
        <v/>
      </c>
      <c r="G165" s="1" t="str">
        <f>IF(C165="","",COUNTIF($B$5:B165,B165))</f>
        <v/>
      </c>
      <c r="H165" s="4" t="str">
        <f t="shared" si="19"/>
        <v/>
      </c>
      <c r="L165" s="1" t="str">
        <f>IF(C165="","","【"&amp;A165&amp;"】"&amp;MAX($E$5:E165)&amp;"-"&amp;G165&amp;"_"&amp;B165&amp;"_"&amp;C165)</f>
        <v/>
      </c>
    </row>
    <row r="166" spans="4:12">
      <c r="D166" s="1" t="str">
        <f t="shared" si="17"/>
        <v/>
      </c>
      <c r="E166" s="150" t="str" cm="1">
        <f t="array" ref="E166">IF(B166="","",IF(B166&lt;&gt;B165,SUMPRODUCT(($B$5:B166&lt;&gt;$B$4:B165)*($B$5:B166&lt;&gt;"")),""))</f>
        <v/>
      </c>
      <c r="F166" s="1" t="str">
        <f t="shared" si="18"/>
        <v/>
      </c>
      <c r="G166" s="1" t="str">
        <f>IF(C166="","",COUNTIF($B$5:B166,B166))</f>
        <v/>
      </c>
      <c r="H166" s="4" t="str">
        <f t="shared" si="19"/>
        <v/>
      </c>
      <c r="L166" s="1" t="str">
        <f>IF(C166="","","【"&amp;A166&amp;"】"&amp;MAX($E$5:E166)&amp;"-"&amp;G166&amp;"_"&amp;B166&amp;"_"&amp;C166)</f>
        <v/>
      </c>
    </row>
    <row r="167" spans="4:12">
      <c r="D167" s="1" t="str">
        <f t="shared" si="17"/>
        <v/>
      </c>
      <c r="E167" s="150" t="str" cm="1">
        <f t="array" ref="E167">IF(B167="","",IF(B167&lt;&gt;B166,SUMPRODUCT(($B$5:B167&lt;&gt;$B$4:B166)*($B$5:B167&lt;&gt;"")),""))</f>
        <v/>
      </c>
      <c r="F167" s="1" t="str">
        <f t="shared" si="18"/>
        <v/>
      </c>
      <c r="G167" s="1" t="str">
        <f>IF(C167="","",COUNTIF($B$5:B167,B167))</f>
        <v/>
      </c>
      <c r="H167" s="4" t="str">
        <f t="shared" si="19"/>
        <v/>
      </c>
      <c r="L167" s="1" t="str">
        <f>IF(C167="","","【"&amp;A167&amp;"】"&amp;MAX($E$5:E167)&amp;"-"&amp;G167&amp;"_"&amp;B167&amp;"_"&amp;C167)</f>
        <v/>
      </c>
    </row>
    <row r="168" spans="4:12">
      <c r="D168" s="1" t="str">
        <f t="shared" si="17"/>
        <v/>
      </c>
      <c r="E168" s="150" t="str" cm="1">
        <f t="array" ref="E168">IF(B168="","",IF(B168&lt;&gt;B167,SUMPRODUCT(($B$5:B168&lt;&gt;$B$4:B167)*($B$5:B168&lt;&gt;"")),""))</f>
        <v/>
      </c>
      <c r="F168" s="1" t="str">
        <f t="shared" si="18"/>
        <v/>
      </c>
      <c r="G168" s="1" t="str">
        <f>IF(C168="","",COUNTIF($B$5:B168,B168))</f>
        <v/>
      </c>
      <c r="H168" s="4" t="str">
        <f t="shared" si="19"/>
        <v/>
      </c>
      <c r="L168" s="1" t="str">
        <f>IF(C168="","","【"&amp;A168&amp;"】"&amp;MAX($E$5:E168)&amp;"-"&amp;G168&amp;"_"&amp;B168&amp;"_"&amp;C168)</f>
        <v/>
      </c>
    </row>
    <row r="169" spans="4:12">
      <c r="D169" s="1" t="str">
        <f t="shared" si="17"/>
        <v/>
      </c>
      <c r="E169" s="150" t="str" cm="1">
        <f t="array" ref="E169">IF(B169="","",IF(B169&lt;&gt;B168,SUMPRODUCT(($B$5:B169&lt;&gt;$B$4:B168)*($B$5:B169&lt;&gt;"")),""))</f>
        <v/>
      </c>
      <c r="F169" s="1" t="str">
        <f t="shared" si="18"/>
        <v/>
      </c>
      <c r="G169" s="1" t="str">
        <f>IF(C169="","",COUNTIF($B$5:B169,B169))</f>
        <v/>
      </c>
      <c r="H169" s="4" t="str">
        <f t="shared" si="19"/>
        <v/>
      </c>
      <c r="L169" s="1" t="str">
        <f>IF(C169="","","【"&amp;A169&amp;"】"&amp;MAX($E$5:E169)&amp;"-"&amp;G169&amp;"_"&amp;B169&amp;"_"&amp;C169)</f>
        <v/>
      </c>
    </row>
    <row r="170" spans="4:12">
      <c r="D170" s="1" t="str">
        <f t="shared" si="17"/>
        <v/>
      </c>
      <c r="E170" s="150" t="str" cm="1">
        <f t="array" ref="E170">IF(B170="","",IF(B170&lt;&gt;B169,SUMPRODUCT(($B$5:B170&lt;&gt;$B$4:B169)*($B$5:B170&lt;&gt;"")),""))</f>
        <v/>
      </c>
      <c r="F170" s="1" t="str">
        <f t="shared" si="18"/>
        <v/>
      </c>
      <c r="G170" s="1" t="str">
        <f>IF(C170="","",COUNTIF($B$5:B170,B170))</f>
        <v/>
      </c>
      <c r="H170" s="4" t="str">
        <f t="shared" si="19"/>
        <v/>
      </c>
      <c r="L170" s="1" t="str">
        <f>IF(C170="","","【"&amp;A170&amp;"】"&amp;MAX($E$5:E170)&amp;"-"&amp;G170&amp;"_"&amp;B170&amp;"_"&amp;C170)</f>
        <v/>
      </c>
    </row>
    <row r="171" spans="4:12">
      <c r="D171" s="1" t="str">
        <f t="shared" si="17"/>
        <v/>
      </c>
      <c r="E171" s="150" t="str" cm="1">
        <f t="array" ref="E171">IF(B171="","",IF(B171&lt;&gt;B170,SUMPRODUCT(($B$5:B171&lt;&gt;$B$4:B170)*($B$5:B171&lt;&gt;"")),""))</f>
        <v/>
      </c>
      <c r="F171" s="1" t="str">
        <f t="shared" si="18"/>
        <v/>
      </c>
      <c r="G171" s="1" t="str">
        <f>IF(C171="","",COUNTIF($B$5:B171,B171))</f>
        <v/>
      </c>
      <c r="H171" s="4" t="str">
        <f t="shared" si="19"/>
        <v/>
      </c>
      <c r="L171" s="1" t="str">
        <f>IF(C171="","","【"&amp;A171&amp;"】"&amp;MAX($E$5:E171)&amp;"-"&amp;G171&amp;"_"&amp;B171&amp;"_"&amp;C171)</f>
        <v/>
      </c>
    </row>
    <row r="172" spans="4:12">
      <c r="D172" s="1" t="str">
        <f t="shared" si="17"/>
        <v/>
      </c>
      <c r="E172" s="150" t="str" cm="1">
        <f t="array" ref="E172">IF(B172="","",IF(B172&lt;&gt;B171,SUMPRODUCT(($B$5:B172&lt;&gt;$B$4:B171)*($B$5:B172&lt;&gt;"")),""))</f>
        <v/>
      </c>
      <c r="F172" s="1" t="str">
        <f t="shared" si="18"/>
        <v/>
      </c>
      <c r="G172" s="1" t="str">
        <f>IF(C172="","",COUNTIF($B$5:B172,B172))</f>
        <v/>
      </c>
      <c r="H172" s="4" t="str">
        <f t="shared" si="19"/>
        <v/>
      </c>
      <c r="L172" s="1" t="str">
        <f>IF(C172="","","【"&amp;A172&amp;"】"&amp;MAX($E$5:E172)&amp;"-"&amp;G172&amp;"_"&amp;B172&amp;"_"&amp;C172)</f>
        <v/>
      </c>
    </row>
    <row r="173" spans="4:12">
      <c r="D173" s="1" t="str">
        <f t="shared" si="17"/>
        <v/>
      </c>
      <c r="E173" s="150" t="str" cm="1">
        <f t="array" ref="E173">IF(B173="","",IF(B173&lt;&gt;B172,SUMPRODUCT(($B$5:B173&lt;&gt;$B$4:B172)*($B$5:B173&lt;&gt;"")),""))</f>
        <v/>
      </c>
      <c r="F173" s="1" t="str">
        <f t="shared" si="18"/>
        <v/>
      </c>
      <c r="G173" s="1" t="str">
        <f>IF(C173="","",COUNTIF($B$5:B173,B173))</f>
        <v/>
      </c>
      <c r="H173" s="4" t="str">
        <f t="shared" si="19"/>
        <v/>
      </c>
      <c r="L173" s="1" t="str">
        <f>IF(C173="","","【"&amp;A173&amp;"】"&amp;MAX($E$5:E173)&amp;"-"&amp;G173&amp;"_"&amp;B173&amp;"_"&amp;C173)</f>
        <v/>
      </c>
    </row>
    <row r="174" spans="4:12">
      <c r="D174" s="1" t="str">
        <f t="shared" si="17"/>
        <v/>
      </c>
      <c r="E174" s="150" t="str" cm="1">
        <f t="array" ref="E174">IF(B174="","",IF(B174&lt;&gt;B173,SUMPRODUCT(($B$5:B174&lt;&gt;$B$4:B173)*($B$5:B174&lt;&gt;"")),""))</f>
        <v/>
      </c>
      <c r="F174" s="1" t="str">
        <f t="shared" si="18"/>
        <v/>
      </c>
      <c r="G174" s="1" t="str">
        <f>IF(C174="","",COUNTIF($B$5:B174,B174))</f>
        <v/>
      </c>
      <c r="H174" s="4" t="str">
        <f t="shared" si="19"/>
        <v/>
      </c>
      <c r="L174" s="1" t="str">
        <f>IF(C174="","","【"&amp;A174&amp;"】"&amp;MAX($E$5:E174)&amp;"-"&amp;G174&amp;"_"&amp;B174&amp;"_"&amp;C174)</f>
        <v/>
      </c>
    </row>
    <row r="175" spans="4:12">
      <c r="D175" s="1" t="str">
        <f t="shared" si="17"/>
        <v/>
      </c>
      <c r="E175" s="150" t="str" cm="1">
        <f t="array" ref="E175">IF(B175="","",IF(B175&lt;&gt;B174,SUMPRODUCT(($B$5:B175&lt;&gt;$B$4:B174)*($B$5:B175&lt;&gt;"")),""))</f>
        <v/>
      </c>
      <c r="F175" s="1" t="str">
        <f t="shared" si="18"/>
        <v/>
      </c>
      <c r="G175" s="1" t="str">
        <f>IF(C175="","",COUNTIF($B$5:B175,B175))</f>
        <v/>
      </c>
      <c r="H175" s="4" t="str">
        <f t="shared" si="19"/>
        <v/>
      </c>
      <c r="L175" s="1" t="str">
        <f>IF(C175="","","【"&amp;A175&amp;"】"&amp;MAX($E$5:E175)&amp;"-"&amp;G175&amp;"_"&amp;B175&amp;"_"&amp;C175)</f>
        <v/>
      </c>
    </row>
    <row r="176" spans="4:12">
      <c r="D176" s="1" t="str">
        <f t="shared" si="17"/>
        <v/>
      </c>
      <c r="E176" s="150" t="str" cm="1">
        <f t="array" ref="E176">IF(B176="","",IF(B176&lt;&gt;B175,SUMPRODUCT(($B$5:B176&lt;&gt;$B$4:B175)*($B$5:B176&lt;&gt;"")),""))</f>
        <v/>
      </c>
      <c r="F176" s="1" t="str">
        <f t="shared" si="18"/>
        <v/>
      </c>
      <c r="G176" s="1" t="str">
        <f>IF(C176="","",COUNTIF($B$5:B176,B176))</f>
        <v/>
      </c>
      <c r="H176" s="4" t="str">
        <f t="shared" si="19"/>
        <v/>
      </c>
      <c r="L176" s="1" t="str">
        <f>IF(C176="","","【"&amp;A176&amp;"】"&amp;MAX($E$5:E176)&amp;"-"&amp;G176&amp;"_"&amp;B176&amp;"_"&amp;C176)</f>
        <v/>
      </c>
    </row>
    <row r="177" spans="4:12">
      <c r="D177" s="1" t="str">
        <f t="shared" si="17"/>
        <v/>
      </c>
      <c r="E177" s="150" t="str" cm="1">
        <f t="array" ref="E177">IF(B177="","",IF(B177&lt;&gt;B176,SUMPRODUCT(($B$5:B177&lt;&gt;$B$4:B176)*($B$5:B177&lt;&gt;"")),""))</f>
        <v/>
      </c>
      <c r="F177" s="1" t="str">
        <f t="shared" si="18"/>
        <v/>
      </c>
      <c r="G177" s="1" t="str">
        <f>IF(C177="","",COUNTIF($B$5:B177,B177))</f>
        <v/>
      </c>
      <c r="H177" s="4" t="str">
        <f t="shared" si="19"/>
        <v/>
      </c>
      <c r="L177" s="1" t="str">
        <f>IF(C177="","","【"&amp;A177&amp;"】"&amp;MAX($E$5:E177)&amp;"-"&amp;G177&amp;"_"&amp;B177&amp;"_"&amp;C177)</f>
        <v/>
      </c>
    </row>
    <row r="178" spans="4:12">
      <c r="D178" s="1" t="str">
        <f t="shared" si="17"/>
        <v/>
      </c>
      <c r="E178" s="150" t="str" cm="1">
        <f t="array" ref="E178">IF(B178="","",IF(B178&lt;&gt;B177,SUMPRODUCT(($B$5:B178&lt;&gt;$B$4:B177)*($B$5:B178&lt;&gt;"")),""))</f>
        <v/>
      </c>
      <c r="F178" s="1" t="str">
        <f t="shared" si="18"/>
        <v/>
      </c>
      <c r="G178" s="1" t="str">
        <f>IF(C178="","",COUNTIF($B$5:B178,B178))</f>
        <v/>
      </c>
      <c r="H178" s="4" t="str">
        <f t="shared" si="19"/>
        <v/>
      </c>
      <c r="L178" s="1" t="str">
        <f>IF(C178="","","【"&amp;A178&amp;"】"&amp;MAX($E$5:E178)&amp;"-"&amp;G178&amp;"_"&amp;B178&amp;"_"&amp;C178)</f>
        <v/>
      </c>
    </row>
    <row r="179" spans="4:12">
      <c r="D179" s="1" t="str">
        <f t="shared" si="17"/>
        <v/>
      </c>
      <c r="E179" s="150" t="str" cm="1">
        <f t="array" ref="E179">IF(B179="","",IF(B179&lt;&gt;B178,SUMPRODUCT(($B$5:B179&lt;&gt;$B$4:B178)*($B$5:B179&lt;&gt;"")),""))</f>
        <v/>
      </c>
      <c r="F179" s="1" t="str">
        <f t="shared" si="18"/>
        <v/>
      </c>
      <c r="G179" s="1" t="str">
        <f>IF(C179="","",COUNTIF($B$5:B179,B179))</f>
        <v/>
      </c>
      <c r="H179" s="4" t="str">
        <f t="shared" si="19"/>
        <v/>
      </c>
      <c r="L179" s="1" t="str">
        <f>IF(C179="","","【"&amp;A179&amp;"】"&amp;MAX($E$5:E179)&amp;"-"&amp;G179&amp;"_"&amp;B179&amp;"_"&amp;C179)</f>
        <v/>
      </c>
    </row>
    <row r="180" spans="4:12">
      <c r="D180" s="1" t="str">
        <f t="shared" si="17"/>
        <v/>
      </c>
      <c r="E180" s="150" t="str" cm="1">
        <f t="array" ref="E180">IF(B180="","",IF(B180&lt;&gt;B179,SUMPRODUCT(($B$5:B180&lt;&gt;$B$4:B179)*($B$5:B180&lt;&gt;"")),""))</f>
        <v/>
      </c>
      <c r="F180" s="1" t="str">
        <f t="shared" si="18"/>
        <v/>
      </c>
      <c r="G180" s="1" t="str">
        <f>IF(C180="","",COUNTIF($B$5:B180,B180))</f>
        <v/>
      </c>
      <c r="H180" s="4" t="str">
        <f t="shared" si="19"/>
        <v/>
      </c>
      <c r="L180" s="1" t="str">
        <f>IF(C180="","","【"&amp;A180&amp;"】"&amp;MAX($E$5:E180)&amp;"-"&amp;G180&amp;"_"&amp;B180&amp;"_"&amp;C180)</f>
        <v/>
      </c>
    </row>
    <row r="181" spans="4:12">
      <c r="D181" s="1" t="str">
        <f t="shared" si="17"/>
        <v/>
      </c>
      <c r="E181" s="150" t="str" cm="1">
        <f t="array" ref="E181">IF(B181="","",IF(B181&lt;&gt;B180,SUMPRODUCT(($B$5:B181&lt;&gt;$B$4:B180)*($B$5:B181&lt;&gt;"")),""))</f>
        <v/>
      </c>
      <c r="F181" s="1" t="str">
        <f t="shared" si="18"/>
        <v/>
      </c>
      <c r="G181" s="1" t="str">
        <f>IF(C181="","",COUNTIF($B$5:B181,B181))</f>
        <v/>
      </c>
      <c r="H181" s="4" t="str">
        <f t="shared" si="19"/>
        <v/>
      </c>
      <c r="L181" s="1" t="str">
        <f>IF(C181="","","【"&amp;A181&amp;"】"&amp;MAX($E$5:E181)&amp;"-"&amp;G181&amp;"_"&amp;B181&amp;"_"&amp;C181)</f>
        <v/>
      </c>
    </row>
    <row r="182" spans="4:12">
      <c r="D182" s="1" t="str">
        <f t="shared" si="17"/>
        <v/>
      </c>
      <c r="E182" s="150" t="str" cm="1">
        <f t="array" ref="E182">IF(B182="","",IF(B182&lt;&gt;B181,SUMPRODUCT(($B$5:B182&lt;&gt;$B$4:B181)*($B$5:B182&lt;&gt;"")),""))</f>
        <v/>
      </c>
      <c r="F182" s="1" t="str">
        <f t="shared" si="18"/>
        <v/>
      </c>
      <c r="G182" s="1" t="str">
        <f>IF(C182="","",COUNTIF($B$5:B182,B182))</f>
        <v/>
      </c>
      <c r="H182" s="4" t="str">
        <f t="shared" si="19"/>
        <v/>
      </c>
      <c r="L182" s="1" t="str">
        <f>IF(C182="","","【"&amp;A182&amp;"】"&amp;MAX($E$5:E182)&amp;"-"&amp;G182&amp;"_"&amp;B182&amp;"_"&amp;C182)</f>
        <v/>
      </c>
    </row>
    <row r="183" spans="4:12">
      <c r="D183" s="1" t="str">
        <f t="shared" si="17"/>
        <v/>
      </c>
      <c r="E183" s="150" t="str" cm="1">
        <f t="array" ref="E183">IF(B183="","",IF(B183&lt;&gt;B182,SUMPRODUCT(($B$5:B183&lt;&gt;$B$4:B182)*($B$5:B183&lt;&gt;"")),""))</f>
        <v/>
      </c>
      <c r="F183" s="1" t="str">
        <f t="shared" si="18"/>
        <v/>
      </c>
      <c r="G183" s="1" t="str">
        <f>IF(C183="","",COUNTIF($B$5:B183,B183))</f>
        <v/>
      </c>
      <c r="H183" s="4" t="str">
        <f t="shared" si="19"/>
        <v/>
      </c>
      <c r="L183" s="1" t="str">
        <f>IF(C183="","","【"&amp;A183&amp;"】"&amp;MAX($E$5:E183)&amp;"-"&amp;G183&amp;"_"&amp;B183&amp;"_"&amp;C183)</f>
        <v/>
      </c>
    </row>
    <row r="184" spans="4:12">
      <c r="D184" s="1" t="str">
        <f t="shared" si="17"/>
        <v/>
      </c>
      <c r="E184" s="150" t="str" cm="1">
        <f t="array" ref="E184">IF(B184="","",IF(B184&lt;&gt;B183,SUMPRODUCT(($B$5:B184&lt;&gt;$B$4:B183)*($B$5:B184&lt;&gt;"")),""))</f>
        <v/>
      </c>
      <c r="F184" s="1" t="str">
        <f t="shared" si="18"/>
        <v/>
      </c>
      <c r="G184" s="1" t="str">
        <f>IF(C184="","",COUNTIF($B$5:B184,B184))</f>
        <v/>
      </c>
      <c r="H184" s="4" t="str">
        <f t="shared" si="19"/>
        <v/>
      </c>
      <c r="L184" s="1" t="str">
        <f>IF(C184="","","【"&amp;A184&amp;"】"&amp;MAX($E$5:E184)&amp;"-"&amp;G184&amp;"_"&amp;B184&amp;"_"&amp;C184)</f>
        <v/>
      </c>
    </row>
    <row r="185" spans="4:12">
      <c r="D185" s="1" t="str">
        <f t="shared" si="17"/>
        <v/>
      </c>
      <c r="E185" s="150" t="str" cm="1">
        <f t="array" ref="E185">IF(B185="","",IF(B185&lt;&gt;B184,SUMPRODUCT(($B$5:B185&lt;&gt;$B$4:B184)*($B$5:B185&lt;&gt;"")),""))</f>
        <v/>
      </c>
      <c r="F185" s="1" t="str">
        <f t="shared" si="18"/>
        <v/>
      </c>
      <c r="G185" s="1" t="str">
        <f>IF(C185="","",COUNTIF($B$5:B185,B185))</f>
        <v/>
      </c>
      <c r="H185" s="4" t="str">
        <f t="shared" si="19"/>
        <v/>
      </c>
      <c r="L185" s="1" t="str">
        <f>IF(C185="","","【"&amp;A185&amp;"】"&amp;MAX($E$5:E185)&amp;"-"&amp;G185&amp;"_"&amp;B185&amp;"_"&amp;C185)</f>
        <v/>
      </c>
    </row>
    <row r="186" spans="4:12">
      <c r="D186" s="1" t="str">
        <f t="shared" si="17"/>
        <v/>
      </c>
      <c r="E186" s="150" t="str" cm="1">
        <f t="array" ref="E186">IF(B186="","",IF(B186&lt;&gt;B185,SUMPRODUCT(($B$5:B186&lt;&gt;$B$4:B185)*($B$5:B186&lt;&gt;"")),""))</f>
        <v/>
      </c>
      <c r="F186" s="1" t="str">
        <f t="shared" si="18"/>
        <v/>
      </c>
      <c r="G186" s="1" t="str">
        <f>IF(C186="","",COUNTIF($B$5:B186,B186))</f>
        <v/>
      </c>
      <c r="H186" s="4" t="str">
        <f t="shared" si="19"/>
        <v/>
      </c>
      <c r="L186" s="1" t="str">
        <f>IF(C186="","","【"&amp;A186&amp;"】"&amp;MAX($E$5:E186)&amp;"-"&amp;G186&amp;"_"&amp;B186&amp;"_"&amp;C186)</f>
        <v/>
      </c>
    </row>
    <row r="187" spans="4:12">
      <c r="D187" s="1" t="str">
        <f t="shared" si="17"/>
        <v/>
      </c>
      <c r="E187" s="150" t="str" cm="1">
        <f t="array" ref="E187">IF(B187="","",IF(B187&lt;&gt;B186,SUMPRODUCT(($B$5:B187&lt;&gt;$B$4:B186)*($B$5:B187&lt;&gt;"")),""))</f>
        <v/>
      </c>
      <c r="F187" s="1" t="str">
        <f t="shared" si="18"/>
        <v/>
      </c>
      <c r="G187" s="1" t="str">
        <f>IF(C187="","",COUNTIF($B$5:B187,B187))</f>
        <v/>
      </c>
      <c r="H187" s="4" t="str">
        <f t="shared" si="19"/>
        <v/>
      </c>
      <c r="L187" s="1" t="str">
        <f>IF(C187="","","【"&amp;A187&amp;"】"&amp;MAX($E$5:E187)&amp;"-"&amp;G187&amp;"_"&amp;B187&amp;"_"&amp;C187)</f>
        <v/>
      </c>
    </row>
    <row r="188" spans="4:12">
      <c r="D188" s="1" t="str">
        <f t="shared" si="17"/>
        <v/>
      </c>
      <c r="E188" s="150" t="str" cm="1">
        <f t="array" ref="E188">IF(B188="","",IF(B188&lt;&gt;B187,SUMPRODUCT(($B$5:B188&lt;&gt;$B$4:B187)*($B$5:B188&lt;&gt;"")),""))</f>
        <v/>
      </c>
      <c r="F188" s="1" t="str">
        <f t="shared" si="18"/>
        <v/>
      </c>
      <c r="G188" s="1" t="str">
        <f>IF(C188="","",COUNTIF($B$5:B188,B188))</f>
        <v/>
      </c>
      <c r="H188" s="4" t="str">
        <f t="shared" si="19"/>
        <v/>
      </c>
      <c r="L188" s="1" t="str">
        <f>IF(C188="","","【"&amp;A188&amp;"】"&amp;MAX($E$5:E188)&amp;"-"&amp;G188&amp;"_"&amp;B188&amp;"_"&amp;C188)</f>
        <v/>
      </c>
    </row>
    <row r="189" spans="4:12">
      <c r="D189" s="1" t="str">
        <f t="shared" si="17"/>
        <v/>
      </c>
      <c r="E189" s="150" t="str" cm="1">
        <f t="array" ref="E189">IF(B189="","",IF(B189&lt;&gt;B188,SUMPRODUCT(($B$5:B189&lt;&gt;$B$4:B188)*($B$5:B189&lt;&gt;"")),""))</f>
        <v/>
      </c>
      <c r="F189" s="1" t="str">
        <f t="shared" si="18"/>
        <v/>
      </c>
      <c r="G189" s="1" t="str">
        <f>IF(C189="","",COUNTIF($B$5:B189,B189))</f>
        <v/>
      </c>
      <c r="H189" s="4" t="str">
        <f t="shared" si="19"/>
        <v/>
      </c>
      <c r="L189" s="1" t="str">
        <f>IF(C189="","","【"&amp;A189&amp;"】"&amp;MAX($E$5:E189)&amp;"-"&amp;G189&amp;"_"&amp;B189&amp;"_"&amp;C189)</f>
        <v/>
      </c>
    </row>
    <row r="190" spans="4:12">
      <c r="D190" s="1" t="str">
        <f t="shared" si="17"/>
        <v/>
      </c>
      <c r="E190" s="150" t="str" cm="1">
        <f t="array" ref="E190">IF(B190="","",IF(B190&lt;&gt;B189,SUMPRODUCT(($B$5:B190&lt;&gt;$B$4:B189)*($B$5:B190&lt;&gt;"")),""))</f>
        <v/>
      </c>
      <c r="F190" s="1" t="str">
        <f t="shared" si="18"/>
        <v/>
      </c>
      <c r="G190" s="1" t="str">
        <f>IF(C190="","",COUNTIF($B$5:B190,B190))</f>
        <v/>
      </c>
      <c r="H190" s="4" t="str">
        <f t="shared" si="19"/>
        <v/>
      </c>
      <c r="L190" s="1" t="str">
        <f>IF(C190="","","【"&amp;A190&amp;"】"&amp;MAX($E$5:E190)&amp;"-"&amp;G190&amp;"_"&amp;B190&amp;"_"&amp;C190)</f>
        <v/>
      </c>
    </row>
    <row r="191" spans="4:12">
      <c r="D191" s="1" t="str">
        <f t="shared" si="17"/>
        <v/>
      </c>
      <c r="E191" s="150" t="str" cm="1">
        <f t="array" ref="E191">IF(B191="","",IF(B191&lt;&gt;B190,SUMPRODUCT(($B$5:B191&lt;&gt;$B$4:B190)*($B$5:B191&lt;&gt;"")),""))</f>
        <v/>
      </c>
      <c r="F191" s="1" t="str">
        <f t="shared" si="18"/>
        <v/>
      </c>
      <c r="G191" s="1" t="str">
        <f>IF(C191="","",COUNTIF($B$5:B191,B191))</f>
        <v/>
      </c>
      <c r="H191" s="4" t="str">
        <f t="shared" si="19"/>
        <v/>
      </c>
      <c r="L191" s="1" t="str">
        <f>IF(C191="","","【"&amp;A191&amp;"】"&amp;MAX($E$5:E191)&amp;"-"&amp;G191&amp;"_"&amp;B191&amp;"_"&amp;C191)</f>
        <v/>
      </c>
    </row>
    <row r="192" spans="4:12">
      <c r="D192" s="1" t="str">
        <f t="shared" si="17"/>
        <v/>
      </c>
      <c r="E192" s="150" t="str" cm="1">
        <f t="array" ref="E192">IF(B192="","",IF(B192&lt;&gt;B191,SUMPRODUCT(($B$5:B192&lt;&gt;$B$4:B191)*($B$5:B192&lt;&gt;"")),""))</f>
        <v/>
      </c>
      <c r="F192" s="1" t="str">
        <f t="shared" si="18"/>
        <v/>
      </c>
      <c r="G192" s="1" t="str">
        <f>IF(C192="","",COUNTIF($B$5:B192,B192))</f>
        <v/>
      </c>
      <c r="H192" s="4" t="str">
        <f t="shared" si="19"/>
        <v/>
      </c>
      <c r="L192" s="1" t="str">
        <f>IF(C192="","","【"&amp;A192&amp;"】"&amp;MAX($E$5:E192)&amp;"-"&amp;G192&amp;"_"&amp;B192&amp;"_"&amp;C192)</f>
        <v/>
      </c>
    </row>
    <row r="193" spans="4:12">
      <c r="D193" s="1" t="str">
        <f t="shared" si="17"/>
        <v/>
      </c>
      <c r="E193" s="150" t="str" cm="1">
        <f t="array" ref="E193">IF(B193="","",IF(B193&lt;&gt;B192,SUMPRODUCT(($B$5:B193&lt;&gt;$B$4:B192)*($B$5:B193&lt;&gt;"")),""))</f>
        <v/>
      </c>
      <c r="F193" s="1" t="str">
        <f t="shared" si="18"/>
        <v/>
      </c>
      <c r="G193" s="1" t="str">
        <f>IF(C193="","",COUNTIF($B$5:B193,B193))</f>
        <v/>
      </c>
      <c r="H193" s="4" t="str">
        <f t="shared" si="19"/>
        <v/>
      </c>
      <c r="L193" s="1" t="str">
        <f>IF(C193="","","【"&amp;A193&amp;"】"&amp;MAX($E$5:E193)&amp;"-"&amp;G193&amp;"_"&amp;B193&amp;"_"&amp;C193)</f>
        <v/>
      </c>
    </row>
    <row r="194" spans="4:12">
      <c r="D194" s="1" t="str">
        <f t="shared" si="17"/>
        <v/>
      </c>
      <c r="E194" s="150" t="str" cm="1">
        <f t="array" ref="E194">IF(B194="","",IF(B194&lt;&gt;B193,SUMPRODUCT(($B$5:B194&lt;&gt;$B$4:B193)*($B$5:B194&lt;&gt;"")),""))</f>
        <v/>
      </c>
      <c r="F194" s="1" t="str">
        <f t="shared" si="18"/>
        <v/>
      </c>
      <c r="G194" s="1" t="str">
        <f>IF(C194="","",COUNTIF($B$5:B194,B194))</f>
        <v/>
      </c>
      <c r="H194" s="4" t="str">
        <f t="shared" si="19"/>
        <v/>
      </c>
      <c r="L194" s="1" t="str">
        <f>IF(C194="","","【"&amp;A194&amp;"】"&amp;MAX($E$5:E194)&amp;"-"&amp;G194&amp;"_"&amp;B194&amp;"_"&amp;C194)</f>
        <v/>
      </c>
    </row>
    <row r="195" spans="4:12">
      <c r="D195" s="1" t="str">
        <f t="shared" si="17"/>
        <v/>
      </c>
      <c r="E195" s="150" t="str" cm="1">
        <f t="array" ref="E195">IF(B195="","",IF(B195&lt;&gt;B194,SUMPRODUCT(($B$5:B195&lt;&gt;$B$4:B194)*($B$5:B195&lt;&gt;"")),""))</f>
        <v/>
      </c>
      <c r="F195" s="1" t="str">
        <f t="shared" si="18"/>
        <v/>
      </c>
      <c r="G195" s="1" t="str">
        <f>IF(C195="","",COUNTIF($B$5:B195,B195))</f>
        <v/>
      </c>
      <c r="H195" s="4" t="str">
        <f t="shared" si="19"/>
        <v/>
      </c>
      <c r="L195" s="1" t="str">
        <f>IF(C195="","","【"&amp;A195&amp;"】"&amp;MAX($E$5:E195)&amp;"-"&amp;G195&amp;"_"&amp;B195&amp;"_"&amp;C195)</f>
        <v/>
      </c>
    </row>
    <row r="196" spans="4:12">
      <c r="D196" s="1" t="str">
        <f t="shared" si="17"/>
        <v/>
      </c>
      <c r="E196" s="150" t="str" cm="1">
        <f t="array" ref="E196">IF(B196="","",IF(B196&lt;&gt;B195,SUMPRODUCT(($B$5:B196&lt;&gt;$B$4:B195)*($B$5:B196&lt;&gt;"")),""))</f>
        <v/>
      </c>
      <c r="F196" s="1" t="str">
        <f t="shared" si="18"/>
        <v/>
      </c>
      <c r="G196" s="1" t="str">
        <f>IF(C196="","",COUNTIF($B$5:B196,B196))</f>
        <v/>
      </c>
      <c r="H196" s="4" t="str">
        <f t="shared" si="19"/>
        <v/>
      </c>
      <c r="L196" s="1" t="str">
        <f>IF(C196="","","【"&amp;A196&amp;"】"&amp;MAX($E$5:E196)&amp;"-"&amp;G196&amp;"_"&amp;B196&amp;"_"&amp;C196)</f>
        <v/>
      </c>
    </row>
    <row r="197" spans="4:12">
      <c r="D197" s="1" t="str">
        <f t="shared" si="17"/>
        <v/>
      </c>
      <c r="E197" s="150" t="str" cm="1">
        <f t="array" ref="E197">IF(B197="","",IF(B197&lt;&gt;B196,SUMPRODUCT(($B$5:B197&lt;&gt;$B$4:B196)*($B$5:B197&lt;&gt;"")),""))</f>
        <v/>
      </c>
      <c r="F197" s="1" t="str">
        <f t="shared" si="18"/>
        <v/>
      </c>
      <c r="G197" s="1" t="str">
        <f>IF(C197="","",COUNTIF($B$5:B197,B197))</f>
        <v/>
      </c>
      <c r="H197" s="4" t="str">
        <f t="shared" si="19"/>
        <v/>
      </c>
      <c r="L197" s="1" t="str">
        <f>IF(C197="","","【"&amp;A197&amp;"】"&amp;MAX($E$5:E197)&amp;"-"&amp;G197&amp;"_"&amp;B197&amp;"_"&amp;C197)</f>
        <v/>
      </c>
    </row>
    <row r="198" spans="4:12">
      <c r="D198" s="1" t="str">
        <f t="shared" ref="D198:D200" si="20">IF(A198&lt;&gt;"", IF(A198=A197, "", A198), "")</f>
        <v/>
      </c>
      <c r="E198" s="150" t="str" cm="1">
        <f t="array" ref="E198">IF(B198="","",IF(B198&lt;&gt;B197,SUMPRODUCT(($B$5:B198&lt;&gt;$B$4:B197)*($B$5:B198&lt;&gt;"")),""))</f>
        <v/>
      </c>
      <c r="F198" s="1" t="str">
        <f t="shared" ref="F198:F200" si="21">IF(B198&lt;&gt;"", IF(B198=B197, "", B198), "")</f>
        <v/>
      </c>
      <c r="G198" s="1" t="str">
        <f>IF(C198="","",COUNTIF($B$5:B198,B198))</f>
        <v/>
      </c>
      <c r="H198" s="4" t="str">
        <f t="shared" ref="H198:H200" si="22">IF(AND(C198&lt;&gt;"",OR(C198&lt;&gt;C197,B198&lt;&gt;B197)),C198,"")</f>
        <v/>
      </c>
      <c r="L198" s="1" t="str">
        <f>IF(C198="","","【"&amp;A198&amp;"】"&amp;MAX($E$5:E198)&amp;"-"&amp;G198&amp;"_"&amp;B198&amp;"_"&amp;C198)</f>
        <v/>
      </c>
    </row>
    <row r="199" spans="4:12">
      <c r="D199" s="1" t="str">
        <f t="shared" si="20"/>
        <v/>
      </c>
      <c r="E199" s="150" t="str" cm="1">
        <f t="array" ref="E199">IF(B199="","",IF(B199&lt;&gt;B198,SUMPRODUCT(($B$5:B199&lt;&gt;$B$4:B198)*($B$5:B199&lt;&gt;"")),""))</f>
        <v/>
      </c>
      <c r="F199" s="1" t="str">
        <f t="shared" si="21"/>
        <v/>
      </c>
      <c r="G199" s="1" t="str">
        <f>IF(C199="","",COUNTIF($B$5:B199,B199))</f>
        <v/>
      </c>
      <c r="H199" s="4" t="str">
        <f t="shared" si="22"/>
        <v/>
      </c>
      <c r="L199" s="1" t="str">
        <f>IF(C199="","","【"&amp;A199&amp;"】"&amp;MAX($E$5:E199)&amp;"-"&amp;G199&amp;"_"&amp;B199&amp;"_"&amp;C199)</f>
        <v/>
      </c>
    </row>
    <row r="200" spans="4:12">
      <c r="D200" s="1" t="str">
        <f t="shared" si="20"/>
        <v/>
      </c>
      <c r="E200" s="150" t="str" cm="1">
        <f t="array" ref="E200">IF(B200="","",IF(B200&lt;&gt;B199,SUMPRODUCT(($B$5:B200&lt;&gt;$B$4:B199)*($B$5:B200&lt;&gt;"")),""))</f>
        <v/>
      </c>
      <c r="F200" s="1" t="str">
        <f t="shared" si="21"/>
        <v/>
      </c>
      <c r="G200" s="1" t="str">
        <f>IF(C200="","",COUNTIF($B$5:B200,B200))</f>
        <v/>
      </c>
      <c r="H200" s="4" t="str">
        <f t="shared" si="22"/>
        <v/>
      </c>
      <c r="L200" s="1" t="str">
        <f>IF(C200="","","【"&amp;A200&amp;"】"&amp;MAX($E$5:E200)&amp;"-"&amp;G200&amp;"_"&amp;B200&amp;"_"&amp;C200)</f>
        <v/>
      </c>
    </row>
  </sheetData>
  <sheetProtection sheet="1" objects="1" scenarios="1" formatColumns="0"/>
  <protectedRanges>
    <protectedRange sqref="A1:C1048576" name="項目編集列"/>
    <protectedRange sqref="I5:K1048576" name="タスク明細記入列1"/>
    <protectedRange sqref="P5:XFD1048576" name="ガント部分"/>
    <protectedRange sqref="P1:XFD3" name="日時スプリント情報記入行"/>
    <protectedRange sqref="M5:O1048576" name="タスク明細記入列2"/>
  </protectedRanges>
  <conditionalFormatting sqref="H5:N200">
    <cfRule type="expression" dxfId="47" priority="59">
      <formula>NOT(OR($I5="データ基盤",$I5="インフラ"))</formula>
    </cfRule>
  </conditionalFormatting>
  <conditionalFormatting sqref="O5:O200">
    <cfRule type="containsText" dxfId="46" priority="52" operator="containsText" text="準備中">
      <formula>NOT(ISERROR(SEARCH("準備中",O5)))</formula>
    </cfRule>
  </conditionalFormatting>
  <conditionalFormatting sqref="P5:CV200">
    <cfRule type="expression" dxfId="45" priority="41">
      <formula>AND($H5&lt;&gt;"",OR(P$4="土",P$4="日"))</formula>
    </cfRule>
  </conditionalFormatting>
  <conditionalFormatting sqref="P5:AAA200">
    <cfRule type="expression" dxfId="44" priority="46">
      <formula>AND(P$3&lt;&gt;"",OR($I5="DX道場",$I5="U-SLIM"),P$3&gt;=$M5,P$3&lt;=$N5)</formula>
    </cfRule>
  </conditionalFormatting>
  <conditionalFormatting sqref="E5:J42 E6:H200">
    <cfRule type="expression" dxfId="43" priority="57">
      <formula>AND($E5&lt;&gt;"",NOT(ISNUMBER($E5)))</formula>
    </cfRule>
  </conditionalFormatting>
  <conditionalFormatting sqref="J5:J200">
    <cfRule type="expression" dxfId="42" priority="38">
      <formula>AND($H5&lt;&gt;"",$J5="")</formula>
    </cfRule>
  </conditionalFormatting>
  <conditionalFormatting sqref="O5:O200">
    <cfRule type="containsText" dxfId="41" priority="53" operator="containsText" text="完了">
      <formula>NOT(ISERROR(SEARCH("完了",O5)))</formula>
    </cfRule>
  </conditionalFormatting>
  <conditionalFormatting sqref="O5:O200">
    <cfRule type="containsText" dxfId="40" priority="54" operator="containsText" text="進行中">
      <formula>NOT(ISERROR(SEARCH("進行中",O5)))</formula>
    </cfRule>
  </conditionalFormatting>
  <conditionalFormatting sqref="P3:AAA4">
    <cfRule type="expression" dxfId="39" priority="40">
      <formula>AND(OR(P$4="土",P$4="日"))</formula>
    </cfRule>
  </conditionalFormatting>
  <conditionalFormatting sqref="P5:AAA200">
    <cfRule type="expression" dxfId="38" priority="48">
      <formula>AND(P$3&lt;&gt;"",$I5="インフラ",P$3&gt;=$M5,P$3&lt;=$N5)</formula>
    </cfRule>
  </conditionalFormatting>
  <conditionalFormatting sqref="P5:AAA200">
    <cfRule type="expression" dxfId="37" priority="49">
      <formula>AND(P$3&lt;&gt;"",P$3&gt;=$M5,P$3&lt;=$N5)</formula>
    </cfRule>
  </conditionalFormatting>
  <conditionalFormatting sqref="P5:AAA200">
    <cfRule type="expression" dxfId="36" priority="47">
      <formula>AND(P$3&lt;&gt;"",$I5="データ基盤",P$3&gt;=$M5,P$3&lt;=$N5)</formula>
    </cfRule>
  </conditionalFormatting>
  <conditionalFormatting sqref="P5:AAA200">
    <cfRule type="expression" dxfId="35" priority="80">
      <formula>AND($H5&lt;&gt;"",P$3&lt;&gt;"")</formula>
    </cfRule>
  </conditionalFormatting>
  <conditionalFormatting sqref="G5:O200">
    <cfRule type="expression" dxfId="34" priority="79">
      <formula>$H5&lt;&gt;""</formula>
    </cfRule>
  </conditionalFormatting>
  <conditionalFormatting sqref="J5:J200">
    <cfRule type="expression" dxfId="33" priority="76">
      <formula>$H5&lt;&gt;""</formula>
    </cfRule>
  </conditionalFormatting>
  <conditionalFormatting sqref="I5:I200">
    <cfRule type="expression" dxfId="32" priority="75">
      <formula>$H5&lt;&gt;""</formula>
    </cfRule>
  </conditionalFormatting>
  <conditionalFormatting sqref="M5:M200">
    <cfRule type="expression" dxfId="31" priority="73">
      <formula>$H5&lt;&gt;""</formula>
    </cfRule>
  </conditionalFormatting>
  <conditionalFormatting sqref="N5:N200">
    <cfRule type="expression" dxfId="30" priority="74">
      <formula>$H5&lt;&gt;""</formula>
    </cfRule>
  </conditionalFormatting>
  <conditionalFormatting sqref="O5:O200">
    <cfRule type="expression" dxfId="29" priority="72">
      <formula>$H5&lt;&gt;""</formula>
    </cfRule>
  </conditionalFormatting>
  <conditionalFormatting sqref="E5:E200">
    <cfRule type="expression" dxfId="28" priority="77">
      <formula>$H5&lt;&gt;""</formula>
    </cfRule>
  </conditionalFormatting>
  <conditionalFormatting sqref="D5:D200">
    <cfRule type="expression" dxfId="27" priority="78">
      <formula>$H5&lt;&gt;""</formula>
    </cfRule>
  </conditionalFormatting>
  <conditionalFormatting sqref="E5:O200">
    <cfRule type="expression" dxfId="26" priority="71">
      <formula>$F6&lt;&gt;""</formula>
    </cfRule>
  </conditionalFormatting>
  <conditionalFormatting sqref="P5:AAA200">
    <cfRule type="expression" dxfId="25" priority="70">
      <formula>AND(P$3&lt;&gt;"",$F6&lt;&gt;"")</formula>
    </cfRule>
  </conditionalFormatting>
  <conditionalFormatting sqref="P3:AAA3">
    <cfRule type="expression" dxfId="24" priority="68">
      <formula>P$3&lt;&gt;""</formula>
    </cfRule>
  </conditionalFormatting>
  <conditionalFormatting sqref="P2:AAA2">
    <cfRule type="expression" dxfId="23" priority="69">
      <formula>P$3&lt;&gt;""</formula>
    </cfRule>
  </conditionalFormatting>
  <conditionalFormatting sqref="P3:AAA4">
    <cfRule type="expression" dxfId="22" priority="67">
      <formula>P$3&lt;&gt;""</formula>
    </cfRule>
  </conditionalFormatting>
  <conditionalFormatting sqref="P2:AAA4">
    <cfRule type="expression" dxfId="21" priority="65">
      <formula>P$2&lt;&gt;""</formula>
    </cfRule>
  </conditionalFormatting>
  <conditionalFormatting sqref="P5:AAA200">
    <cfRule type="expression" dxfId="20" priority="66">
      <formula>AND($H5&lt;&gt;"",P$2&lt;&gt;"")</formula>
    </cfRule>
  </conditionalFormatting>
  <conditionalFormatting sqref="P3:AAA4">
    <cfRule type="expression" dxfId="19" priority="56">
      <formula>AND(N$2&lt;&gt;"",P$4="水")</formula>
    </cfRule>
  </conditionalFormatting>
  <conditionalFormatting sqref="P2:AAA4">
    <cfRule type="expression" dxfId="18" priority="64">
      <formula>AND(P$3&lt;&gt;"",Q$3="")</formula>
    </cfRule>
  </conditionalFormatting>
  <conditionalFormatting sqref="P5:AAA200">
    <cfRule type="expression" dxfId="17" priority="62">
      <formula>AND($H5&lt;&gt;"",P$3&lt;&gt;"",Q$3="")</formula>
    </cfRule>
  </conditionalFormatting>
  <conditionalFormatting sqref="D5:O200">
    <cfRule type="expression" dxfId="16" priority="61">
      <formula>AND($H5&lt;&gt;"",$H6="")</formula>
    </cfRule>
  </conditionalFormatting>
  <conditionalFormatting sqref="P5:AAA200">
    <cfRule type="expression" dxfId="15" priority="60">
      <formula>AND(P$3&lt;&gt;"",$H5&lt;&gt;"",$H6="")</formula>
    </cfRule>
  </conditionalFormatting>
  <conditionalFormatting sqref="P2:AAA2">
    <cfRule type="expression" dxfId="14" priority="37">
      <formula>P$3&lt;&gt;""</formula>
    </cfRule>
  </conditionalFormatting>
  <dataValidations count="3">
    <dataValidation type="list" allowBlank="1" showInputMessage="1" showErrorMessage="1" sqref="I5:I1048576" xr:uid="{DA2C1009-8DA9-4B0B-904A-C9426E76036B}">
      <formula1>"データ基盤,インフラ,U-SLIM,DX道場,Cloudera,トヨタシステムズ"</formula1>
    </dataValidation>
    <dataValidation type="list" allowBlank="1" showInputMessage="1" showErrorMessage="1" sqref="O5:O1048576" xr:uid="{D982C8A4-DD98-4569-8107-90F528A4923C}">
      <formula1>"準備中,進行中,完了"</formula1>
    </dataValidation>
    <dataValidation type="custom" allowBlank="1" showInputMessage="1" showErrorMessage="1" errorTitle="編集不可" error="D～H列は編集不可です。_x000a_A～C列を編集してください（その内容に応じてD～H列が自動で入力されます）。" sqref="D3:H1048576" xr:uid="{1EDB9B59-1A9F-47B7-A0C6-AEB4C748FC9F}">
      <formula1>FALSE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4" id="{BB3A6172-53BD-416F-8F6F-5BF664D6806D}">
            <xm:f>AND(COUNTIF(ref_祝日・トヨテック休日一覧2026!$B:$B,P$3)&gt;0)</xm:f>
            <x14:dxf>
              <font>
                <color theme="1"/>
              </font>
              <fill>
                <patternFill patternType="solid">
                  <bgColor theme="0" tint="-4.9989318521683403E-2"/>
                </patternFill>
              </fill>
            </x14:dxf>
          </x14:cfRule>
          <xm:sqref>P3:AAA4</xm:sqref>
        </x14:conditionalFormatting>
        <x14:conditionalFormatting xmlns:xm="http://schemas.microsoft.com/office/excel/2006/main">
          <x14:cfRule type="expression" priority="43" id="{759E02F0-E321-4FEB-B353-4B9B5012F4B9}">
            <xm:f>AND($H5&lt;&gt;"",COUNTIF(ref_祝日・トヨテック休日一覧2026!$B:$B,P$3)&gt;0)</xm:f>
            <x14:dxf>
              <font>
                <color theme="1"/>
              </font>
              <fill>
                <patternFill patternType="solid">
                  <bgColor theme="0" tint="-4.9989318521683403E-2"/>
                </patternFill>
              </fill>
            </x14:dxf>
          </x14:cfRule>
          <xm:sqref>P5:AAA200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97"/>
  <sheetViews>
    <sheetView showGridLines="0" workbookViewId="0">
      <pane xSplit="14" ySplit="4" topLeftCell="O5" activePane="bottomRight" state="frozen"/>
      <selection pane="bottomRight" activeCell="D1" sqref="A1:D1048576"/>
      <selection pane="bottomLeft"/>
      <selection pane="topRight"/>
    </sheetView>
  </sheetViews>
  <sheetFormatPr defaultRowHeight="16.5"/>
  <cols>
    <col min="1" max="1" width="9" style="1" hidden="1" customWidth="1"/>
    <col min="2" max="2" width="6.375" style="1" hidden="1" customWidth="1"/>
    <col min="3" max="3" width="27.25" style="1" hidden="1" customWidth="1"/>
    <col min="4" max="4" width="56.5" style="4" hidden="1" customWidth="1"/>
    <col min="5" max="5" width="9.125" style="1" customWidth="1"/>
    <col min="6" max="6" width="5.25" style="150" customWidth="1"/>
    <col min="7" max="7" width="21" style="1" customWidth="1"/>
    <col min="8" max="8" width="55.625" style="4" customWidth="1"/>
    <col min="9" max="10" width="9" style="1"/>
    <col min="11" max="11" width="13" style="1" customWidth="1"/>
    <col min="12" max="13" width="6.375" style="5" customWidth="1"/>
    <col min="14" max="14" width="8" style="6" customWidth="1"/>
    <col min="15" max="99" width="4.375" style="1" customWidth="1"/>
    <col min="100" max="16384" width="9" style="1"/>
  </cols>
  <sheetData>
    <row r="1" spans="1:100">
      <c r="A1" s="1" t="s">
        <v>10</v>
      </c>
      <c r="E1" s="1" t="s">
        <v>11</v>
      </c>
      <c r="F1" s="1" t="s">
        <v>72</v>
      </c>
      <c r="L1" s="2"/>
      <c r="M1" s="2"/>
      <c r="N1" s="1"/>
    </row>
    <row r="2" spans="1:100">
      <c r="F2" s="117" t="s">
        <v>73</v>
      </c>
      <c r="L2" s="2"/>
      <c r="M2" s="2"/>
      <c r="N2" s="1"/>
      <c r="O2" s="138" t="s">
        <v>12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40"/>
      <c r="AC2" s="139" t="s">
        <v>13</v>
      </c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40"/>
      <c r="AQ2" s="139" t="s">
        <v>14</v>
      </c>
      <c r="AR2" s="139"/>
      <c r="AS2" s="114"/>
      <c r="AT2" s="114"/>
      <c r="AU2" s="114"/>
      <c r="AV2" s="115" t="s">
        <v>74</v>
      </c>
      <c r="AW2" s="115"/>
      <c r="AX2" s="115" t="s">
        <v>75</v>
      </c>
      <c r="AY2" s="115" t="s">
        <v>75</v>
      </c>
      <c r="AZ2" s="115" t="s">
        <v>75</v>
      </c>
      <c r="BA2" s="115" t="s">
        <v>75</v>
      </c>
      <c r="BB2" s="115" t="s">
        <v>75</v>
      </c>
      <c r="BC2" s="115" t="s">
        <v>75</v>
      </c>
      <c r="BD2" s="116" t="s">
        <v>76</v>
      </c>
      <c r="BE2" s="139" t="s">
        <v>16</v>
      </c>
      <c r="BF2" s="139"/>
      <c r="BG2" s="139"/>
      <c r="BH2" s="139"/>
      <c r="BI2" s="139"/>
      <c r="BJ2" s="139"/>
      <c r="BK2" s="139"/>
      <c r="BL2" s="139"/>
      <c r="BM2" s="139"/>
      <c r="BN2" s="139"/>
      <c r="BO2" s="139"/>
      <c r="BP2" s="139"/>
      <c r="BQ2" s="139"/>
      <c r="BR2" s="140"/>
      <c r="BS2" s="139" t="s">
        <v>17</v>
      </c>
      <c r="BT2" s="139"/>
      <c r="BU2" s="139"/>
      <c r="BV2" s="139"/>
      <c r="BW2" s="139"/>
      <c r="BX2" s="139"/>
      <c r="BY2" s="139"/>
      <c r="BZ2" s="139"/>
      <c r="CA2" s="139"/>
      <c r="CB2" s="139"/>
      <c r="CC2" s="139"/>
      <c r="CD2" s="139"/>
      <c r="CE2" s="139"/>
      <c r="CF2" s="140"/>
      <c r="CG2" s="139" t="s">
        <v>77</v>
      </c>
      <c r="CH2" s="139"/>
      <c r="CI2" s="139"/>
      <c r="CJ2" s="139"/>
      <c r="CK2" s="139"/>
      <c r="CL2" s="139"/>
      <c r="CM2" s="139"/>
      <c r="CN2" s="139"/>
      <c r="CO2" s="139"/>
      <c r="CP2" s="139"/>
      <c r="CQ2" s="139"/>
      <c r="CR2" s="139"/>
      <c r="CS2" s="139"/>
      <c r="CT2" s="140"/>
      <c r="CU2" s="140" t="s">
        <v>78</v>
      </c>
    </row>
    <row r="3" spans="1:100">
      <c r="A3" s="1" t="s">
        <v>18</v>
      </c>
      <c r="B3" s="1" t="s">
        <v>79</v>
      </c>
      <c r="C3" s="1" t="s">
        <v>19</v>
      </c>
      <c r="D3" s="4" t="s">
        <v>20</v>
      </c>
      <c r="E3" s="105" t="s">
        <v>21</v>
      </c>
      <c r="F3" s="105" t="s">
        <v>22</v>
      </c>
      <c r="G3" s="106"/>
      <c r="H3" s="107"/>
      <c r="I3" s="106" t="s">
        <v>23</v>
      </c>
      <c r="J3" s="108"/>
      <c r="K3" s="108" t="s">
        <v>80</v>
      </c>
      <c r="L3" s="109" t="s">
        <v>25</v>
      </c>
      <c r="M3" s="110"/>
      <c r="N3" s="108" t="s">
        <v>26</v>
      </c>
      <c r="O3" s="14">
        <v>46209</v>
      </c>
      <c r="P3" s="13">
        <v>46210</v>
      </c>
      <c r="Q3" s="55">
        <v>46211</v>
      </c>
      <c r="R3" s="13">
        <v>46212</v>
      </c>
      <c r="S3" s="13">
        <v>46213</v>
      </c>
      <c r="T3" s="13">
        <v>46214</v>
      </c>
      <c r="U3" s="13">
        <v>46215</v>
      </c>
      <c r="V3" s="13">
        <v>46216</v>
      </c>
      <c r="W3" s="13">
        <v>46217</v>
      </c>
      <c r="X3" s="13">
        <v>46218</v>
      </c>
      <c r="Y3" s="13">
        <v>46219</v>
      </c>
      <c r="Z3" s="13">
        <v>46220</v>
      </c>
      <c r="AA3" s="13">
        <v>46221</v>
      </c>
      <c r="AB3" s="37">
        <v>46222</v>
      </c>
      <c r="AC3" s="50">
        <v>46223</v>
      </c>
      <c r="AD3" s="13">
        <v>46224</v>
      </c>
      <c r="AE3" s="55">
        <v>46225</v>
      </c>
      <c r="AF3" s="13">
        <v>46226</v>
      </c>
      <c r="AG3" s="13">
        <v>46227</v>
      </c>
      <c r="AH3" s="13">
        <v>46228</v>
      </c>
      <c r="AI3" s="13">
        <v>46229</v>
      </c>
      <c r="AJ3" s="13">
        <v>46230</v>
      </c>
      <c r="AK3" s="13">
        <v>46231</v>
      </c>
      <c r="AL3" s="13">
        <v>46232</v>
      </c>
      <c r="AM3" s="13">
        <v>46233</v>
      </c>
      <c r="AN3" s="13">
        <v>46234</v>
      </c>
      <c r="AO3" s="13">
        <v>46235</v>
      </c>
      <c r="AP3" s="37">
        <v>46236</v>
      </c>
      <c r="AQ3" s="14">
        <v>46237</v>
      </c>
      <c r="AR3" s="13">
        <v>46238</v>
      </c>
      <c r="AS3" s="55">
        <v>46239</v>
      </c>
      <c r="AT3" s="13">
        <v>46240</v>
      </c>
      <c r="AU3" s="13">
        <v>46241</v>
      </c>
      <c r="AV3" s="13">
        <v>46242</v>
      </c>
      <c r="AW3" s="13">
        <v>46243</v>
      </c>
      <c r="AX3" s="16">
        <v>46244</v>
      </c>
      <c r="AY3" s="15">
        <v>46245</v>
      </c>
      <c r="AZ3" s="16">
        <v>46246</v>
      </c>
      <c r="BA3" s="16">
        <v>46247</v>
      </c>
      <c r="BB3" s="16">
        <v>46248</v>
      </c>
      <c r="BC3" s="13">
        <v>46249</v>
      </c>
      <c r="BD3" s="37">
        <v>46250</v>
      </c>
      <c r="BE3" s="14">
        <v>46251</v>
      </c>
      <c r="BF3" s="13">
        <v>46252</v>
      </c>
      <c r="BG3" s="55">
        <v>46253</v>
      </c>
      <c r="BH3" s="13">
        <v>46254</v>
      </c>
      <c r="BI3" s="13">
        <v>46255</v>
      </c>
      <c r="BJ3" s="13">
        <v>46256</v>
      </c>
      <c r="BK3" s="13">
        <v>46257</v>
      </c>
      <c r="BL3" s="13">
        <v>46258</v>
      </c>
      <c r="BM3" s="13">
        <v>46259</v>
      </c>
      <c r="BN3" s="13">
        <v>46260</v>
      </c>
      <c r="BO3" s="13">
        <v>46261</v>
      </c>
      <c r="BP3" s="13">
        <v>46262</v>
      </c>
      <c r="BQ3" s="13">
        <v>46263</v>
      </c>
      <c r="BR3" s="37">
        <v>46264</v>
      </c>
      <c r="BS3" s="14">
        <v>46265</v>
      </c>
      <c r="BT3" s="13">
        <v>46266</v>
      </c>
      <c r="BU3" s="55">
        <v>46267</v>
      </c>
      <c r="BV3" s="13">
        <v>46268</v>
      </c>
      <c r="BW3" s="13">
        <v>46269</v>
      </c>
      <c r="BX3" s="13">
        <v>46270</v>
      </c>
      <c r="BY3" s="13">
        <v>46271</v>
      </c>
      <c r="BZ3" s="13">
        <v>46272</v>
      </c>
      <c r="CA3" s="13">
        <v>46273</v>
      </c>
      <c r="CB3" s="13">
        <v>46274</v>
      </c>
      <c r="CC3" s="13">
        <v>46275</v>
      </c>
      <c r="CD3" s="13">
        <v>46276</v>
      </c>
      <c r="CE3" s="13">
        <v>46277</v>
      </c>
      <c r="CF3" s="37">
        <v>46278</v>
      </c>
      <c r="CG3" s="14">
        <v>46279</v>
      </c>
      <c r="CH3" s="13">
        <v>46280</v>
      </c>
      <c r="CI3" s="55">
        <v>46281</v>
      </c>
      <c r="CJ3" s="13">
        <v>46282</v>
      </c>
      <c r="CK3" s="13">
        <v>46283</v>
      </c>
      <c r="CL3" s="13">
        <v>46284</v>
      </c>
      <c r="CM3" s="13">
        <v>46285</v>
      </c>
      <c r="CN3" s="13">
        <v>46286</v>
      </c>
      <c r="CO3" s="13">
        <v>46287</v>
      </c>
      <c r="CP3" s="13">
        <v>46288</v>
      </c>
      <c r="CQ3" s="13">
        <v>46289</v>
      </c>
      <c r="CR3" s="13">
        <v>46290</v>
      </c>
      <c r="CS3" s="13">
        <v>46291</v>
      </c>
      <c r="CT3" s="37">
        <v>46292</v>
      </c>
      <c r="CU3" s="48">
        <v>46293</v>
      </c>
      <c r="CV3" s="2"/>
    </row>
    <row r="4" spans="1:100">
      <c r="B4" s="3"/>
      <c r="C4" s="1" t="s">
        <v>27</v>
      </c>
      <c r="D4" s="4" t="s">
        <v>27</v>
      </c>
      <c r="E4" s="64" t="s">
        <v>18</v>
      </c>
      <c r="F4" s="63" t="s">
        <v>79</v>
      </c>
      <c r="G4" s="58" t="s">
        <v>19</v>
      </c>
      <c r="H4" s="132" t="s">
        <v>20</v>
      </c>
      <c r="I4" s="58" t="s">
        <v>30</v>
      </c>
      <c r="J4" s="59" t="s">
        <v>31</v>
      </c>
      <c r="K4" s="60" t="s">
        <v>36</v>
      </c>
      <c r="L4" s="61" t="s">
        <v>34</v>
      </c>
      <c r="M4" s="62" t="s">
        <v>35</v>
      </c>
      <c r="N4" s="60"/>
      <c r="O4" s="43" t="s">
        <v>81</v>
      </c>
      <c r="P4" s="44" t="s">
        <v>82</v>
      </c>
      <c r="Q4" s="56" t="s">
        <v>83</v>
      </c>
      <c r="R4" s="44" t="s">
        <v>84</v>
      </c>
      <c r="S4" s="44" t="s">
        <v>85</v>
      </c>
      <c r="T4" s="44" t="s">
        <v>86</v>
      </c>
      <c r="U4" s="44" t="s">
        <v>87</v>
      </c>
      <c r="V4" s="44" t="s">
        <v>81</v>
      </c>
      <c r="W4" s="44" t="s">
        <v>82</v>
      </c>
      <c r="X4" s="44" t="s">
        <v>83</v>
      </c>
      <c r="Y4" s="44" t="s">
        <v>84</v>
      </c>
      <c r="Z4" s="44" t="s">
        <v>85</v>
      </c>
      <c r="AA4" s="44" t="s">
        <v>86</v>
      </c>
      <c r="AB4" s="47" t="s">
        <v>87</v>
      </c>
      <c r="AC4" s="51" t="s">
        <v>81</v>
      </c>
      <c r="AD4" s="44" t="s">
        <v>82</v>
      </c>
      <c r="AE4" s="56" t="s">
        <v>83</v>
      </c>
      <c r="AF4" s="44" t="s">
        <v>84</v>
      </c>
      <c r="AG4" s="44" t="s">
        <v>85</v>
      </c>
      <c r="AH4" s="44" t="s">
        <v>86</v>
      </c>
      <c r="AI4" s="44" t="s">
        <v>87</v>
      </c>
      <c r="AJ4" s="44" t="s">
        <v>81</v>
      </c>
      <c r="AK4" s="44" t="s">
        <v>82</v>
      </c>
      <c r="AL4" s="44" t="s">
        <v>83</v>
      </c>
      <c r="AM4" s="44" t="s">
        <v>84</v>
      </c>
      <c r="AN4" s="44" t="s">
        <v>85</v>
      </c>
      <c r="AO4" s="44" t="s">
        <v>86</v>
      </c>
      <c r="AP4" s="47" t="s">
        <v>87</v>
      </c>
      <c r="AQ4" s="43" t="s">
        <v>81</v>
      </c>
      <c r="AR4" s="44" t="s">
        <v>82</v>
      </c>
      <c r="AS4" s="56" t="s">
        <v>83</v>
      </c>
      <c r="AT4" s="44" t="s">
        <v>84</v>
      </c>
      <c r="AU4" s="44" t="s">
        <v>85</v>
      </c>
      <c r="AV4" s="44" t="s">
        <v>86</v>
      </c>
      <c r="AW4" s="44" t="s">
        <v>87</v>
      </c>
      <c r="AX4" s="46" t="s">
        <v>81</v>
      </c>
      <c r="AY4" s="45" t="s">
        <v>82</v>
      </c>
      <c r="AZ4" s="46" t="s">
        <v>83</v>
      </c>
      <c r="BA4" s="46" t="s">
        <v>84</v>
      </c>
      <c r="BB4" s="46" t="s">
        <v>85</v>
      </c>
      <c r="BC4" s="44" t="s">
        <v>86</v>
      </c>
      <c r="BD4" s="47" t="s">
        <v>87</v>
      </c>
      <c r="BE4" s="43" t="s">
        <v>81</v>
      </c>
      <c r="BF4" s="44" t="s">
        <v>82</v>
      </c>
      <c r="BG4" s="56" t="s">
        <v>83</v>
      </c>
      <c r="BH4" s="44" t="s">
        <v>84</v>
      </c>
      <c r="BI4" s="44" t="s">
        <v>85</v>
      </c>
      <c r="BJ4" s="44" t="s">
        <v>86</v>
      </c>
      <c r="BK4" s="44" t="s">
        <v>87</v>
      </c>
      <c r="BL4" s="44" t="s">
        <v>81</v>
      </c>
      <c r="BM4" s="44" t="s">
        <v>82</v>
      </c>
      <c r="BN4" s="44" t="s">
        <v>83</v>
      </c>
      <c r="BO4" s="44" t="s">
        <v>84</v>
      </c>
      <c r="BP4" s="44" t="s">
        <v>85</v>
      </c>
      <c r="BQ4" s="44" t="s">
        <v>86</v>
      </c>
      <c r="BR4" s="47" t="s">
        <v>87</v>
      </c>
      <c r="BS4" s="43" t="s">
        <v>81</v>
      </c>
      <c r="BT4" s="44" t="s">
        <v>82</v>
      </c>
      <c r="BU4" s="56" t="s">
        <v>83</v>
      </c>
      <c r="BV4" s="44" t="s">
        <v>84</v>
      </c>
      <c r="BW4" s="44" t="s">
        <v>85</v>
      </c>
      <c r="BX4" s="44" t="s">
        <v>86</v>
      </c>
      <c r="BY4" s="44" t="s">
        <v>87</v>
      </c>
      <c r="BZ4" s="44" t="s">
        <v>81</v>
      </c>
      <c r="CA4" s="44" t="s">
        <v>82</v>
      </c>
      <c r="CB4" s="44" t="s">
        <v>83</v>
      </c>
      <c r="CC4" s="44" t="s">
        <v>84</v>
      </c>
      <c r="CD4" s="44" t="s">
        <v>85</v>
      </c>
      <c r="CE4" s="44" t="s">
        <v>86</v>
      </c>
      <c r="CF4" s="47" t="s">
        <v>87</v>
      </c>
      <c r="CG4" s="43" t="s">
        <v>81</v>
      </c>
      <c r="CH4" s="44" t="s">
        <v>82</v>
      </c>
      <c r="CI4" s="56" t="s">
        <v>83</v>
      </c>
      <c r="CJ4" s="44" t="s">
        <v>84</v>
      </c>
      <c r="CK4" s="44" t="s">
        <v>85</v>
      </c>
      <c r="CL4" s="44" t="s">
        <v>86</v>
      </c>
      <c r="CM4" s="44" t="s">
        <v>87</v>
      </c>
      <c r="CN4" s="44" t="s">
        <v>81</v>
      </c>
      <c r="CO4" s="44" t="s">
        <v>82</v>
      </c>
      <c r="CP4" s="44" t="s">
        <v>83</v>
      </c>
      <c r="CQ4" s="44" t="s">
        <v>84</v>
      </c>
      <c r="CR4" s="44" t="s">
        <v>85</v>
      </c>
      <c r="CS4" s="44" t="s">
        <v>86</v>
      </c>
      <c r="CT4" s="47" t="s">
        <v>87</v>
      </c>
      <c r="CU4" s="49" t="s">
        <v>81</v>
      </c>
    </row>
    <row r="5" spans="1:100">
      <c r="A5" s="1" t="s">
        <v>88</v>
      </c>
      <c r="B5" s="1">
        <v>1</v>
      </c>
      <c r="C5" s="1" t="s">
        <v>89</v>
      </c>
      <c r="D5" s="4" t="s">
        <v>90</v>
      </c>
      <c r="E5" s="23" t="str">
        <f>IF(A5&lt;&gt;"", IF(A5=A4, "", A5), "")</f>
        <v>Dataviz</v>
      </c>
      <c r="F5" s="143">
        <f>IF(B5&lt;&gt;"", IF(B5=B4, "", B5), "")</f>
        <v>1</v>
      </c>
      <c r="G5" s="57" t="str">
        <f>IF(C5&lt;&gt;"", IF(C5=C4, "", C5), "")</f>
        <v>プロジェクト管理</v>
      </c>
      <c r="H5" s="133" t="str">
        <f>IF(D5&lt;&gt;"", IF(D5=D4, "", D5), "")</f>
        <v>PowerBI関連</v>
      </c>
      <c r="I5" s="30" t="s">
        <v>52</v>
      </c>
      <c r="J5" s="17" t="s">
        <v>52</v>
      </c>
      <c r="K5" s="27" t="s">
        <v>36</v>
      </c>
      <c r="L5" s="14">
        <v>46209</v>
      </c>
      <c r="M5" s="37">
        <v>46293</v>
      </c>
      <c r="N5" s="40" t="s">
        <v>50</v>
      </c>
      <c r="O5" s="30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17"/>
      <c r="AC5" s="52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17"/>
      <c r="AQ5" s="30"/>
      <c r="AR5" s="7"/>
      <c r="AS5" s="7"/>
      <c r="AT5" s="7"/>
      <c r="AU5" s="7"/>
      <c r="AV5" s="7"/>
      <c r="AW5" s="7"/>
      <c r="AX5" s="9"/>
      <c r="AY5" s="8"/>
      <c r="AZ5" s="9"/>
      <c r="BA5" s="9"/>
      <c r="BB5" s="9"/>
      <c r="BC5" s="7"/>
      <c r="BD5" s="17"/>
      <c r="BE5" s="30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17"/>
      <c r="BS5" s="30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17"/>
      <c r="CG5" s="30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17"/>
      <c r="CU5" s="27"/>
    </row>
    <row r="6" spans="1:100">
      <c r="A6" s="1" t="s">
        <v>88</v>
      </c>
      <c r="B6" s="1">
        <v>2</v>
      </c>
      <c r="C6" s="1" t="s">
        <v>89</v>
      </c>
      <c r="D6" s="4" t="s">
        <v>91</v>
      </c>
      <c r="E6" s="23" t="str">
        <f t="shared" ref="E6:F73" si="0">IF(A6&lt;&gt;"", IF(A6=A5, "", A6), "")</f>
        <v/>
      </c>
      <c r="F6" s="144">
        <f t="shared" ref="F6:F10" si="1">IF(B6&lt;&gt;"", IF(B6=B5, "", B6), "")</f>
        <v>2</v>
      </c>
      <c r="G6" s="57" t="str">
        <f>IF(C6&lt;&gt;"", IF(C6=C5, "", C6), "")</f>
        <v/>
      </c>
      <c r="H6" s="131" t="str">
        <f>IF(D6&lt;&gt;"", IF(D6=D5, "", D6), "")</f>
        <v>dataviz関連</v>
      </c>
      <c r="I6" s="76" t="s">
        <v>52</v>
      </c>
      <c r="J6" s="77" t="s">
        <v>52</v>
      </c>
      <c r="K6" s="78" t="s">
        <v>36</v>
      </c>
      <c r="L6" s="79">
        <v>46209</v>
      </c>
      <c r="M6" s="80">
        <v>46293</v>
      </c>
      <c r="N6" s="81" t="s">
        <v>50</v>
      </c>
      <c r="O6" s="76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77"/>
      <c r="AC6" s="83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77"/>
      <c r="AQ6" s="76"/>
      <c r="AR6" s="82"/>
      <c r="AS6" s="82"/>
      <c r="AT6" s="82"/>
      <c r="AU6" s="82"/>
      <c r="AV6" s="82"/>
      <c r="AW6" s="82"/>
      <c r="AX6" s="84"/>
      <c r="AY6" s="85"/>
      <c r="AZ6" s="84"/>
      <c r="BA6" s="84"/>
      <c r="BB6" s="84"/>
      <c r="BC6" s="82"/>
      <c r="BD6" s="77"/>
      <c r="BE6" s="76"/>
      <c r="BF6" s="82"/>
      <c r="BG6" s="82"/>
      <c r="BH6" s="82"/>
      <c r="BI6" s="82"/>
      <c r="BJ6" s="82"/>
      <c r="BK6" s="82"/>
      <c r="BL6" s="82"/>
      <c r="BM6" s="82"/>
      <c r="BN6" s="82"/>
      <c r="BO6" s="82"/>
      <c r="BP6" s="82"/>
      <c r="BQ6" s="82"/>
      <c r="BR6" s="77"/>
      <c r="BS6" s="76"/>
      <c r="BT6" s="82"/>
      <c r="BU6" s="82"/>
      <c r="BV6" s="82"/>
      <c r="BW6" s="82"/>
      <c r="BX6" s="82"/>
      <c r="BY6" s="82"/>
      <c r="BZ6" s="82"/>
      <c r="CA6" s="82"/>
      <c r="CB6" s="82"/>
      <c r="CC6" s="82"/>
      <c r="CD6" s="82"/>
      <c r="CE6" s="82"/>
      <c r="CF6" s="77"/>
      <c r="CG6" s="76"/>
      <c r="CH6" s="82"/>
      <c r="CI6" s="82"/>
      <c r="CJ6" s="82"/>
      <c r="CK6" s="82"/>
      <c r="CL6" s="82"/>
      <c r="CM6" s="82"/>
      <c r="CN6" s="82"/>
      <c r="CO6" s="82"/>
      <c r="CP6" s="82"/>
      <c r="CQ6" s="82"/>
      <c r="CR6" s="82"/>
      <c r="CS6" s="82"/>
      <c r="CT6" s="77"/>
      <c r="CU6" s="78"/>
    </row>
    <row r="7" spans="1:100">
      <c r="A7" s="1" t="s">
        <v>88</v>
      </c>
      <c r="B7" s="1">
        <v>3</v>
      </c>
      <c r="C7" s="1" t="s">
        <v>90</v>
      </c>
      <c r="D7" s="4" t="s">
        <v>92</v>
      </c>
      <c r="E7" s="24" t="str">
        <f t="shared" si="0"/>
        <v/>
      </c>
      <c r="F7" s="145">
        <f t="shared" si="1"/>
        <v>3</v>
      </c>
      <c r="G7" s="118" t="str">
        <f>IF(C7&lt;&gt;"", IF(C7=C6, "", C7), "")</f>
        <v>PowerBI関連</v>
      </c>
      <c r="H7" s="135" t="str">
        <f>IF(D7&lt;&gt;"", IF(D7=D6, "", D7), "")</f>
        <v>PowerBI帳票仕様変更対応</v>
      </c>
      <c r="I7" s="65" t="s">
        <v>52</v>
      </c>
      <c r="J7" s="67" t="s">
        <v>52</v>
      </c>
      <c r="K7" s="68" t="s">
        <v>36</v>
      </c>
      <c r="L7" s="69">
        <v>46209</v>
      </c>
      <c r="M7" s="70">
        <v>46293</v>
      </c>
      <c r="N7" s="71" t="s">
        <v>50</v>
      </c>
      <c r="O7" s="65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67"/>
      <c r="AC7" s="73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67"/>
      <c r="AQ7" s="65"/>
      <c r="AR7" s="72"/>
      <c r="AS7" s="72"/>
      <c r="AT7" s="72"/>
      <c r="AU7" s="72"/>
      <c r="AV7" s="72"/>
      <c r="AW7" s="72"/>
      <c r="AX7" s="74"/>
      <c r="AY7" s="75"/>
      <c r="AZ7" s="74"/>
      <c r="BA7" s="74"/>
      <c r="BB7" s="74"/>
      <c r="BC7" s="72"/>
      <c r="BD7" s="67"/>
      <c r="BE7" s="65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67"/>
      <c r="BS7" s="65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67"/>
      <c r="CG7" s="65"/>
      <c r="CH7" s="72"/>
      <c r="CI7" s="72"/>
      <c r="CJ7" s="72"/>
      <c r="CK7" s="72"/>
      <c r="CL7" s="72"/>
      <c r="CM7" s="72"/>
      <c r="CN7" s="72"/>
      <c r="CO7" s="72"/>
      <c r="CP7" s="72"/>
      <c r="CQ7" s="72"/>
      <c r="CR7" s="72"/>
      <c r="CS7" s="72"/>
      <c r="CT7" s="67"/>
      <c r="CU7" s="68"/>
    </row>
    <row r="8" spans="1:100">
      <c r="A8" s="1" t="s">
        <v>88</v>
      </c>
      <c r="B8" s="1">
        <v>4</v>
      </c>
      <c r="C8" s="1" t="s">
        <v>90</v>
      </c>
      <c r="D8" s="4" t="s">
        <v>93</v>
      </c>
      <c r="E8" s="23" t="str">
        <f t="shared" si="0"/>
        <v/>
      </c>
      <c r="F8" s="146">
        <f t="shared" si="1"/>
        <v>4</v>
      </c>
      <c r="G8" s="134" t="str">
        <f>IF(C8&lt;&gt;"", IF(C8=C7, "", C8), "")</f>
        <v/>
      </c>
      <c r="H8" s="136" t="str">
        <f>IF(D8&lt;&gt;"", IF(D8=D7, "", D8), "")</f>
        <v>NEO帳票仕様変更対応(仕様変更と全国展開対応)</v>
      </c>
      <c r="I8" s="32" t="s">
        <v>52</v>
      </c>
      <c r="J8" s="22" t="s">
        <v>52</v>
      </c>
      <c r="K8" s="29" t="s">
        <v>36</v>
      </c>
      <c r="L8" s="36">
        <v>46209</v>
      </c>
      <c r="M8" s="39">
        <v>46293</v>
      </c>
      <c r="N8" s="42" t="s">
        <v>50</v>
      </c>
      <c r="O8" s="32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22"/>
      <c r="AC8" s="54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22"/>
      <c r="AQ8" s="32"/>
      <c r="AR8" s="19"/>
      <c r="AS8" s="19"/>
      <c r="AT8" s="19"/>
      <c r="AU8" s="19"/>
      <c r="AV8" s="19"/>
      <c r="AW8" s="19"/>
      <c r="AX8" s="21"/>
      <c r="AY8" s="20"/>
      <c r="AZ8" s="21"/>
      <c r="BA8" s="21"/>
      <c r="BB8" s="21"/>
      <c r="BC8" s="19"/>
      <c r="BD8" s="22"/>
      <c r="BE8" s="32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22"/>
      <c r="BS8" s="32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22"/>
      <c r="CG8" s="32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22"/>
      <c r="CU8" s="29"/>
    </row>
    <row r="9" spans="1:100">
      <c r="A9" s="1" t="s">
        <v>88</v>
      </c>
      <c r="B9" s="1">
        <v>5</v>
      </c>
      <c r="C9" s="1" t="s">
        <v>94</v>
      </c>
      <c r="D9" s="4" t="s">
        <v>95</v>
      </c>
      <c r="E9" s="23" t="str">
        <f t="shared" si="0"/>
        <v/>
      </c>
      <c r="F9" s="147">
        <f t="shared" si="1"/>
        <v>5</v>
      </c>
      <c r="G9" s="57" t="str">
        <f>IF(C9&lt;&gt;"", IF(C9=C8, "", C9), "")</f>
        <v>問合せ</v>
      </c>
      <c r="H9" s="137" t="str">
        <f>IF(D9&lt;&gt;"", IF(D9=D8, "", D9), "")</f>
        <v>顧客問合せ対応</v>
      </c>
      <c r="I9" s="57" t="s">
        <v>52</v>
      </c>
      <c r="J9" s="96" t="s">
        <v>52</v>
      </c>
      <c r="K9" s="97" t="s">
        <v>36</v>
      </c>
      <c r="L9" s="98">
        <v>46209</v>
      </c>
      <c r="M9" s="99">
        <v>46293</v>
      </c>
      <c r="N9" s="100" t="s">
        <v>50</v>
      </c>
      <c r="O9" s="57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96"/>
      <c r="AC9" s="101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96"/>
      <c r="AQ9" s="57"/>
      <c r="AR9" s="33"/>
      <c r="AS9" s="33"/>
      <c r="AT9" s="33"/>
      <c r="AU9" s="33"/>
      <c r="AV9" s="33"/>
      <c r="AW9" s="33"/>
      <c r="AX9" s="102"/>
      <c r="AY9" s="103"/>
      <c r="AZ9" s="102"/>
      <c r="BA9" s="102"/>
      <c r="BB9" s="102"/>
      <c r="BC9" s="33"/>
      <c r="BD9" s="96"/>
      <c r="BE9" s="57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96"/>
      <c r="BS9" s="57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96"/>
      <c r="CG9" s="57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96"/>
      <c r="CU9" s="97"/>
    </row>
    <row r="10" spans="1:100" ht="33">
      <c r="A10" s="1" t="s">
        <v>88</v>
      </c>
      <c r="B10" s="1">
        <v>6</v>
      </c>
      <c r="C10" s="1" t="s">
        <v>96</v>
      </c>
      <c r="D10" s="4" t="s">
        <v>97</v>
      </c>
      <c r="E10" s="23" t="str">
        <f t="shared" si="0"/>
        <v/>
      </c>
      <c r="F10" s="148">
        <f t="shared" si="1"/>
        <v>6</v>
      </c>
      <c r="G10" s="118" t="str">
        <f>IF(C10&lt;&gt;"", IF(C10=C9, "", C10), "")</f>
        <v>dataviz開発（既存機能）</v>
      </c>
      <c r="H10" s="129" t="str">
        <f>IF(D10&lt;&gt;"", IF(D10=D9, "", D10), "")</f>
        <v>残った帳票の開発（SMB空き枠カレンダー、新車受注分析、長崎_経営ダッシュボード 、マスタメンテナンス機能の一部）</v>
      </c>
      <c r="I10" s="118" t="s">
        <v>52</v>
      </c>
      <c r="J10" s="119" t="s">
        <v>52</v>
      </c>
      <c r="K10" s="26" t="s">
        <v>36</v>
      </c>
      <c r="L10" s="120">
        <v>46209</v>
      </c>
      <c r="M10" s="121">
        <v>46220</v>
      </c>
      <c r="N10" s="122" t="s">
        <v>50</v>
      </c>
      <c r="O10" s="118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119"/>
      <c r="AC10" s="123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119"/>
      <c r="AQ10" s="118"/>
      <c r="AR10" s="66"/>
      <c r="AS10" s="66"/>
      <c r="AT10" s="66"/>
      <c r="AU10" s="66"/>
      <c r="AV10" s="66"/>
      <c r="AW10" s="66"/>
      <c r="AX10" s="124"/>
      <c r="AY10" s="125"/>
      <c r="AZ10" s="124"/>
      <c r="BA10" s="124"/>
      <c r="BB10" s="124"/>
      <c r="BC10" s="66"/>
      <c r="BD10" s="119"/>
      <c r="BE10" s="118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119"/>
      <c r="BS10" s="118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119"/>
      <c r="CG10" s="118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119"/>
      <c r="CU10" s="26"/>
    </row>
    <row r="11" spans="1:100">
      <c r="A11" s="1" t="s">
        <v>88</v>
      </c>
      <c r="B11" s="1">
        <v>7</v>
      </c>
      <c r="C11" s="1" t="s">
        <v>98</v>
      </c>
      <c r="D11" s="4" t="s">
        <v>99</v>
      </c>
      <c r="E11" s="23" t="str">
        <f>IF(A11&lt;&gt;"", IF(A11=A10, "", A11), "")</f>
        <v/>
      </c>
      <c r="F11" s="145">
        <f>IF(B11&lt;&gt;"", IF(B11=B18, "", B11), "")</f>
        <v>7</v>
      </c>
      <c r="G11" s="66" t="str">
        <f>IF(C11&lt;&gt;"", IF(C11=C18, "", C11), "")</f>
        <v>dataviz開発（マージ対応）</v>
      </c>
      <c r="H11" s="68" t="str">
        <f>IF(D11&lt;&gt;"", IF(D11=D18, "", D11), "")</f>
        <v>新車受注分析</v>
      </c>
      <c r="I11" s="65" t="s">
        <v>52</v>
      </c>
      <c r="J11" s="67" t="s">
        <v>52</v>
      </c>
      <c r="K11" s="68" t="s">
        <v>36</v>
      </c>
      <c r="L11" s="69">
        <v>46216</v>
      </c>
      <c r="M11" s="70">
        <v>46234</v>
      </c>
      <c r="N11" s="71" t="s">
        <v>53</v>
      </c>
      <c r="O11" s="65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67"/>
      <c r="AC11" s="73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67"/>
      <c r="AQ11" s="65"/>
      <c r="AR11" s="72"/>
      <c r="AS11" s="72"/>
      <c r="AT11" s="72"/>
      <c r="AU11" s="72"/>
      <c r="AV11" s="72"/>
      <c r="AW11" s="72"/>
      <c r="AX11" s="74"/>
      <c r="AY11" s="75"/>
      <c r="AZ11" s="74"/>
      <c r="BA11" s="74"/>
      <c r="BB11" s="74"/>
      <c r="BC11" s="72"/>
      <c r="BD11" s="67"/>
      <c r="BE11" s="65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67"/>
      <c r="BS11" s="65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67"/>
      <c r="CG11" s="65"/>
      <c r="CH11" s="72"/>
      <c r="CI11" s="72"/>
      <c r="CJ11" s="72"/>
      <c r="CK11" s="72"/>
      <c r="CL11" s="72"/>
      <c r="CM11" s="72"/>
      <c r="CN11" s="72"/>
      <c r="CO11" s="72"/>
      <c r="CP11" s="72"/>
      <c r="CQ11" s="72"/>
      <c r="CR11" s="72"/>
      <c r="CS11" s="72"/>
      <c r="CT11" s="67"/>
      <c r="CU11" s="68"/>
    </row>
    <row r="12" spans="1:100">
      <c r="A12" s="1" t="s">
        <v>88</v>
      </c>
      <c r="B12" s="1">
        <v>8</v>
      </c>
      <c r="C12" s="1" t="s">
        <v>98</v>
      </c>
      <c r="D12" s="4" t="s">
        <v>100</v>
      </c>
      <c r="E12" s="23" t="str">
        <f t="shared" si="0"/>
        <v/>
      </c>
      <c r="F12" s="149">
        <f t="shared" ref="F12:F38" si="2">IF(B12&lt;&gt;"", IF(B12=B11, "", B12), "")</f>
        <v>8</v>
      </c>
      <c r="G12" s="57" t="str">
        <f>IF(C12&lt;&gt;"", IF(C12=C11, "", C12), "")</f>
        <v/>
      </c>
      <c r="H12" s="130" t="str">
        <f t="shared" ref="H12:H38" si="3">IF(D12&lt;&gt;"", IF(D12=D11, "", D12), "")</f>
        <v>中古車受注分析（マスタ画面含め）</v>
      </c>
      <c r="I12" s="31" t="s">
        <v>52</v>
      </c>
      <c r="J12" s="18" t="s">
        <v>52</v>
      </c>
      <c r="K12" s="28" t="s">
        <v>36</v>
      </c>
      <c r="L12" s="35">
        <v>46216</v>
      </c>
      <c r="M12" s="38">
        <v>46234</v>
      </c>
      <c r="N12" s="41" t="s">
        <v>53</v>
      </c>
      <c r="O12" s="31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8"/>
      <c r="AC12" s="53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8"/>
      <c r="AQ12" s="31"/>
      <c r="AR12" s="10"/>
      <c r="AS12" s="10"/>
      <c r="AT12" s="10"/>
      <c r="AU12" s="10"/>
      <c r="AV12" s="10"/>
      <c r="AW12" s="10"/>
      <c r="AX12" s="12"/>
      <c r="AY12" s="11"/>
      <c r="AZ12" s="12"/>
      <c r="BA12" s="12"/>
      <c r="BB12" s="12"/>
      <c r="BC12" s="10"/>
      <c r="BD12" s="18"/>
      <c r="BE12" s="31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8"/>
      <c r="BS12" s="31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8"/>
      <c r="CG12" s="31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8"/>
      <c r="CU12" s="28"/>
    </row>
    <row r="13" spans="1:100">
      <c r="A13" s="1" t="s">
        <v>88</v>
      </c>
      <c r="B13" s="1">
        <v>9</v>
      </c>
      <c r="C13" s="1" t="s">
        <v>98</v>
      </c>
      <c r="D13" s="4" t="s">
        <v>101</v>
      </c>
      <c r="E13" s="23" t="str">
        <f t="shared" si="0"/>
        <v/>
      </c>
      <c r="F13" s="149">
        <f t="shared" si="2"/>
        <v>9</v>
      </c>
      <c r="G13" s="57" t="str">
        <f t="shared" ref="G12:G38" si="4">IF(C13&lt;&gt;"", IF(C13=C12, "", C13), "")</f>
        <v/>
      </c>
      <c r="H13" s="130" t="str">
        <f>IF(D13&lt;&gt;"", IF(D13=D12, "", D13), "")</f>
        <v>中古車仕入・在庫情報</v>
      </c>
      <c r="I13" s="31" t="s">
        <v>52</v>
      </c>
      <c r="J13" s="18" t="s">
        <v>52</v>
      </c>
      <c r="K13" s="28" t="s">
        <v>36</v>
      </c>
      <c r="L13" s="35">
        <v>46216</v>
      </c>
      <c r="M13" s="38">
        <v>46234</v>
      </c>
      <c r="N13" s="41" t="s">
        <v>53</v>
      </c>
      <c r="O13" s="31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8"/>
      <c r="AC13" s="53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8"/>
      <c r="AQ13" s="31"/>
      <c r="AR13" s="10"/>
      <c r="AS13" s="10"/>
      <c r="AT13" s="10"/>
      <c r="AU13" s="10"/>
      <c r="AV13" s="10"/>
      <c r="AW13" s="10"/>
      <c r="AX13" s="12"/>
      <c r="AY13" s="11"/>
      <c r="AZ13" s="12"/>
      <c r="BA13" s="12"/>
      <c r="BB13" s="12"/>
      <c r="BC13" s="10"/>
      <c r="BD13" s="18"/>
      <c r="BE13" s="31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8"/>
      <c r="BS13" s="31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8"/>
      <c r="CG13" s="31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8"/>
      <c r="CU13" s="28"/>
    </row>
    <row r="14" spans="1:100">
      <c r="A14" s="1" t="s">
        <v>88</v>
      </c>
      <c r="B14" s="1">
        <v>10</v>
      </c>
      <c r="C14" s="1" t="s">
        <v>98</v>
      </c>
      <c r="D14" s="4" t="s">
        <v>102</v>
      </c>
      <c r="E14" s="23" t="str">
        <f t="shared" si="0"/>
        <v/>
      </c>
      <c r="F14" s="149">
        <f t="shared" si="2"/>
        <v>10</v>
      </c>
      <c r="G14" s="57" t="str">
        <f t="shared" si="4"/>
        <v/>
      </c>
      <c r="H14" s="130" t="str">
        <f t="shared" si="3"/>
        <v>市場処置の実施状況と部品管理見える化</v>
      </c>
      <c r="I14" s="31" t="s">
        <v>52</v>
      </c>
      <c r="J14" s="18" t="s">
        <v>52</v>
      </c>
      <c r="K14" s="28" t="s">
        <v>36</v>
      </c>
      <c r="L14" s="35">
        <v>46216</v>
      </c>
      <c r="M14" s="38">
        <v>46220</v>
      </c>
      <c r="N14" s="41" t="s">
        <v>53</v>
      </c>
      <c r="O14" s="31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8"/>
      <c r="AC14" s="53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8"/>
      <c r="AQ14" s="31"/>
      <c r="AR14" s="10"/>
      <c r="AS14" s="10"/>
      <c r="AT14" s="10"/>
      <c r="AU14" s="10"/>
      <c r="AV14" s="10"/>
      <c r="AW14" s="10"/>
      <c r="AX14" s="12"/>
      <c r="AY14" s="11"/>
      <c r="AZ14" s="12"/>
      <c r="BA14" s="12"/>
      <c r="BB14" s="12"/>
      <c r="BC14" s="10"/>
      <c r="BD14" s="18"/>
      <c r="BE14" s="31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8"/>
      <c r="BS14" s="31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8"/>
      <c r="CG14" s="31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8"/>
      <c r="CU14" s="28"/>
    </row>
    <row r="15" spans="1:100">
      <c r="A15" s="1" t="s">
        <v>88</v>
      </c>
      <c r="B15" s="1">
        <v>11</v>
      </c>
      <c r="C15" s="1" t="s">
        <v>98</v>
      </c>
      <c r="D15" s="4" t="s">
        <v>103</v>
      </c>
      <c r="E15" s="23" t="str">
        <f t="shared" si="0"/>
        <v/>
      </c>
      <c r="F15" s="149">
        <f t="shared" si="2"/>
        <v>11</v>
      </c>
      <c r="G15" s="57" t="str">
        <f t="shared" si="4"/>
        <v/>
      </c>
      <c r="H15" s="130" t="str">
        <f t="shared" si="3"/>
        <v>NEO 契約№変更対応の帳票改修</v>
      </c>
      <c r="I15" s="31" t="s">
        <v>52</v>
      </c>
      <c r="J15" s="18" t="s">
        <v>52</v>
      </c>
      <c r="K15" s="28" t="s">
        <v>36</v>
      </c>
      <c r="L15" s="35">
        <v>46224</v>
      </c>
      <c r="M15" s="38">
        <v>46227</v>
      </c>
      <c r="N15" s="41" t="s">
        <v>53</v>
      </c>
      <c r="O15" s="31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8"/>
      <c r="AC15" s="53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8"/>
      <c r="AQ15" s="31"/>
      <c r="AR15" s="10"/>
      <c r="AS15" s="10"/>
      <c r="AT15" s="10"/>
      <c r="AU15" s="10"/>
      <c r="AV15" s="10"/>
      <c r="AW15" s="10"/>
      <c r="AX15" s="12"/>
      <c r="AY15" s="11"/>
      <c r="AZ15" s="12"/>
      <c r="BA15" s="12"/>
      <c r="BB15" s="12"/>
      <c r="BC15" s="10"/>
      <c r="BD15" s="18"/>
      <c r="BE15" s="31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8"/>
      <c r="BS15" s="31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8"/>
      <c r="CG15" s="31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8"/>
      <c r="CU15" s="28"/>
    </row>
    <row r="16" spans="1:100">
      <c r="A16" s="1" t="s">
        <v>88</v>
      </c>
      <c r="B16" s="1">
        <v>12</v>
      </c>
      <c r="C16" s="1" t="s">
        <v>98</v>
      </c>
      <c r="D16" s="4" t="s">
        <v>104</v>
      </c>
      <c r="E16" s="23" t="str">
        <f t="shared" si="0"/>
        <v/>
      </c>
      <c r="F16" s="144">
        <f t="shared" si="2"/>
        <v>12</v>
      </c>
      <c r="G16" s="57" t="str">
        <f t="shared" si="4"/>
        <v/>
      </c>
      <c r="H16" s="131" t="str">
        <f t="shared" si="3"/>
        <v>ストール充足率の見える化</v>
      </c>
      <c r="I16" s="76" t="s">
        <v>52</v>
      </c>
      <c r="J16" s="77" t="s">
        <v>52</v>
      </c>
      <c r="K16" s="78" t="s">
        <v>36</v>
      </c>
      <c r="L16" s="79">
        <v>46230</v>
      </c>
      <c r="M16" s="80">
        <v>46234</v>
      </c>
      <c r="N16" s="81" t="s">
        <v>53</v>
      </c>
      <c r="O16" s="76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77"/>
      <c r="AC16" s="83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77"/>
      <c r="AQ16" s="76"/>
      <c r="AR16" s="82"/>
      <c r="AS16" s="82"/>
      <c r="AT16" s="82"/>
      <c r="AU16" s="82"/>
      <c r="AV16" s="82"/>
      <c r="AW16" s="82"/>
      <c r="AX16" s="84"/>
      <c r="AY16" s="85"/>
      <c r="AZ16" s="84"/>
      <c r="BA16" s="84"/>
      <c r="BB16" s="84"/>
      <c r="BC16" s="82"/>
      <c r="BD16" s="77"/>
      <c r="BE16" s="76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77"/>
      <c r="BS16" s="76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77"/>
      <c r="CG16" s="76"/>
      <c r="CH16" s="82"/>
      <c r="CI16" s="82"/>
      <c r="CJ16" s="82"/>
      <c r="CK16" s="82"/>
      <c r="CL16" s="82"/>
      <c r="CM16" s="82"/>
      <c r="CN16" s="82"/>
      <c r="CO16" s="82"/>
      <c r="CP16" s="82"/>
      <c r="CQ16" s="82"/>
      <c r="CR16" s="82"/>
      <c r="CS16" s="82"/>
      <c r="CT16" s="77"/>
      <c r="CU16" s="78"/>
    </row>
    <row r="17" spans="1:99">
      <c r="A17" s="1" t="s">
        <v>88</v>
      </c>
      <c r="B17" s="1" t="s">
        <v>41</v>
      </c>
      <c r="C17" s="1" t="s">
        <v>105</v>
      </c>
      <c r="D17" s="4" t="s">
        <v>106</v>
      </c>
      <c r="E17" s="23"/>
      <c r="F17" s="145" t="str">
        <f>IF(B17&lt;&gt;"", IF(B17=B10, "", B17), "")</f>
        <v>A</v>
      </c>
      <c r="G17" s="118" t="str">
        <f>IF(C17&lt;&gt;"", IF(C17=C10, "", C17), "")</f>
        <v>事前準備</v>
      </c>
      <c r="H17" s="135" t="str">
        <f>IF(D17&lt;&gt;"", IF(D17=D10, "", D17), "")</f>
        <v>Dataviz構成図整理</v>
      </c>
      <c r="I17" s="65" t="s">
        <v>48</v>
      </c>
      <c r="J17" s="67" t="s">
        <v>107</v>
      </c>
      <c r="K17" s="141" t="s">
        <v>108</v>
      </c>
      <c r="L17" s="69">
        <v>46212</v>
      </c>
      <c r="M17" s="70">
        <v>46213</v>
      </c>
      <c r="N17" s="71" t="s">
        <v>50</v>
      </c>
      <c r="O17" s="65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67"/>
      <c r="AC17" s="73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67"/>
      <c r="AQ17" s="65"/>
      <c r="AR17" s="72"/>
      <c r="AS17" s="72"/>
      <c r="AT17" s="72"/>
      <c r="AU17" s="72"/>
      <c r="AV17" s="72"/>
      <c r="AW17" s="72"/>
      <c r="AX17" s="74"/>
      <c r="AY17" s="75"/>
      <c r="AZ17" s="74"/>
      <c r="BA17" s="74"/>
      <c r="BB17" s="74"/>
      <c r="BC17" s="72"/>
      <c r="BD17" s="67"/>
      <c r="BE17" s="65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67"/>
      <c r="BS17" s="65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67"/>
      <c r="CG17" s="65"/>
      <c r="CH17" s="72"/>
      <c r="CI17" s="72"/>
      <c r="CJ17" s="72"/>
      <c r="CK17" s="72"/>
      <c r="CL17" s="72"/>
      <c r="CM17" s="72"/>
      <c r="CN17" s="72"/>
      <c r="CO17" s="72"/>
      <c r="CP17" s="72"/>
      <c r="CQ17" s="72"/>
      <c r="CR17" s="72"/>
      <c r="CS17" s="72"/>
      <c r="CT17" s="67"/>
      <c r="CU17" s="68"/>
    </row>
    <row r="18" spans="1:99">
      <c r="A18" s="1" t="s">
        <v>88</v>
      </c>
      <c r="B18" s="1" t="s">
        <v>45</v>
      </c>
      <c r="C18" s="1" t="s">
        <v>105</v>
      </c>
      <c r="D18" s="4" t="s">
        <v>109</v>
      </c>
      <c r="E18" s="23"/>
      <c r="F18" s="144" t="str">
        <f>IF(B18&lt;&gt;"", IF(B18=B11, "", B18), "")</f>
        <v>B</v>
      </c>
      <c r="G18" s="57"/>
      <c r="H18" s="131" t="str">
        <f>IF(D18&lt;&gt;"", IF(D18=D11, "", D18), "")</f>
        <v>WBS作成</v>
      </c>
      <c r="I18" s="32" t="s">
        <v>48</v>
      </c>
      <c r="J18" s="22" t="s">
        <v>110</v>
      </c>
      <c r="K18" s="142" t="s">
        <v>111</v>
      </c>
      <c r="L18" s="36">
        <v>46212</v>
      </c>
      <c r="M18" s="39">
        <v>46213</v>
      </c>
      <c r="N18" s="41" t="s">
        <v>50</v>
      </c>
      <c r="O18" s="32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22"/>
      <c r="AC18" s="54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22"/>
      <c r="AQ18" s="32"/>
      <c r="AR18" s="19"/>
      <c r="AS18" s="19"/>
      <c r="AT18" s="19"/>
      <c r="AU18" s="19"/>
      <c r="AV18" s="19"/>
      <c r="AW18" s="19"/>
      <c r="AX18" s="21"/>
      <c r="AY18" s="20"/>
      <c r="AZ18" s="21"/>
      <c r="BA18" s="21"/>
      <c r="BB18" s="21"/>
      <c r="BC18" s="19"/>
      <c r="BD18" s="22"/>
      <c r="BE18" s="32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22"/>
      <c r="BS18" s="32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22"/>
      <c r="CG18" s="32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22"/>
      <c r="CU18" s="29"/>
    </row>
    <row r="19" spans="1:99">
      <c r="A19" s="1" t="s">
        <v>88</v>
      </c>
      <c r="B19" s="1">
        <v>13</v>
      </c>
      <c r="C19" s="1" t="s">
        <v>112</v>
      </c>
      <c r="D19" s="4" t="s">
        <v>113</v>
      </c>
      <c r="E19" s="23" t="str">
        <f>IF(A19&lt;&gt;"", IF(A19=A16, "", A19), "")</f>
        <v/>
      </c>
      <c r="F19" s="145">
        <f>IF(B19&lt;&gt;"", IF(B19=B16, "", B19), "")</f>
        <v>13</v>
      </c>
      <c r="G19" s="118" t="str">
        <f>IF(C19&lt;&gt;"", IF(C19=C16, "", C19), "")</f>
        <v>権限設計</v>
      </c>
      <c r="H19" s="135" t="str">
        <f>IF(D19&lt;&gt;"", IF(D19=D16, "", D19), "")</f>
        <v>各販社のユーザー情報収集</v>
      </c>
      <c r="I19" s="65" t="s">
        <v>52</v>
      </c>
      <c r="J19" s="67" t="s">
        <v>52</v>
      </c>
      <c r="K19" s="27" t="s">
        <v>36</v>
      </c>
      <c r="L19" s="69">
        <v>46216</v>
      </c>
      <c r="M19" s="70">
        <v>46220</v>
      </c>
      <c r="N19" s="71" t="s">
        <v>53</v>
      </c>
      <c r="O19" s="65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67"/>
      <c r="AC19" s="73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67"/>
      <c r="AQ19" s="65"/>
      <c r="AR19" s="72"/>
      <c r="AS19" s="72"/>
      <c r="AT19" s="72"/>
      <c r="AU19" s="72"/>
      <c r="AV19" s="72"/>
      <c r="AW19" s="72"/>
      <c r="AX19" s="74"/>
      <c r="AY19" s="75"/>
      <c r="AZ19" s="74"/>
      <c r="BA19" s="74"/>
      <c r="BB19" s="74"/>
      <c r="BC19" s="72"/>
      <c r="BD19" s="67"/>
      <c r="BE19" s="65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67"/>
      <c r="BS19" s="65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67"/>
      <c r="CG19" s="65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2"/>
      <c r="CT19" s="67"/>
      <c r="CU19" s="68"/>
    </row>
    <row r="20" spans="1:99">
      <c r="A20" s="1" t="s">
        <v>88</v>
      </c>
      <c r="B20" s="1">
        <v>14</v>
      </c>
      <c r="C20" s="1" t="s">
        <v>112</v>
      </c>
      <c r="D20" s="4" t="s">
        <v>114</v>
      </c>
      <c r="E20" s="23" t="str">
        <f t="shared" si="0"/>
        <v/>
      </c>
      <c r="F20" s="149">
        <f t="shared" si="2"/>
        <v>14</v>
      </c>
      <c r="G20" s="57" t="str">
        <f t="shared" si="4"/>
        <v/>
      </c>
      <c r="H20" s="130" t="str">
        <f t="shared" si="3"/>
        <v>Ranger権限設定のデモのスクリプト作成とインフラチームへの説明</v>
      </c>
      <c r="I20" s="31" t="s">
        <v>52</v>
      </c>
      <c r="J20" s="18" t="s">
        <v>52</v>
      </c>
      <c r="K20" s="28" t="s">
        <v>36</v>
      </c>
      <c r="L20" s="35">
        <v>46224</v>
      </c>
      <c r="M20" s="38">
        <v>46227</v>
      </c>
      <c r="N20" s="41" t="s">
        <v>53</v>
      </c>
      <c r="O20" s="31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8"/>
      <c r="AC20" s="53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8"/>
      <c r="AQ20" s="31"/>
      <c r="AR20" s="10"/>
      <c r="AS20" s="10"/>
      <c r="AT20" s="10"/>
      <c r="AU20" s="10"/>
      <c r="AV20" s="10"/>
      <c r="AW20" s="10"/>
      <c r="AX20" s="12"/>
      <c r="AY20" s="11"/>
      <c r="AZ20" s="12"/>
      <c r="BA20" s="12"/>
      <c r="BB20" s="12"/>
      <c r="BC20" s="10"/>
      <c r="BD20" s="18"/>
      <c r="BE20" s="31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8"/>
      <c r="BS20" s="31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8"/>
      <c r="CG20" s="31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8"/>
      <c r="CU20" s="28"/>
    </row>
    <row r="21" spans="1:99">
      <c r="A21" s="1" t="s">
        <v>88</v>
      </c>
      <c r="B21" s="1" t="s">
        <v>49</v>
      </c>
      <c r="C21" s="1" t="s">
        <v>112</v>
      </c>
      <c r="D21" s="4" t="s">
        <v>115</v>
      </c>
      <c r="E21" s="23"/>
      <c r="F21" s="149" t="str">
        <f t="shared" si="2"/>
        <v>C</v>
      </c>
      <c r="G21" s="57" t="str">
        <f t="shared" si="4"/>
        <v/>
      </c>
      <c r="H21" s="130" t="str">
        <f t="shared" si="3"/>
        <v>Ranger権限設定のレビュー（Clouderaに連携）</v>
      </c>
      <c r="I21" s="126" t="s">
        <v>48</v>
      </c>
      <c r="J21" s="34"/>
      <c r="K21" s="28"/>
      <c r="L21" s="35">
        <v>46212</v>
      </c>
      <c r="M21" s="38">
        <v>46218</v>
      </c>
      <c r="N21" s="41" t="s">
        <v>53</v>
      </c>
      <c r="O21" s="31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8"/>
      <c r="AC21" s="53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8"/>
      <c r="AQ21" s="31"/>
      <c r="AR21" s="10"/>
      <c r="AS21" s="10"/>
      <c r="AT21" s="10"/>
      <c r="AU21" s="10"/>
      <c r="AV21" s="10"/>
      <c r="AW21" s="10"/>
      <c r="AX21" s="12"/>
      <c r="AY21" s="11"/>
      <c r="AZ21" s="12"/>
      <c r="BA21" s="12"/>
      <c r="BB21" s="12"/>
      <c r="BC21" s="10"/>
      <c r="BD21" s="18"/>
      <c r="BE21" s="31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8"/>
      <c r="BS21" s="31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8"/>
      <c r="CG21" s="31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8"/>
      <c r="CU21" s="28"/>
    </row>
    <row r="22" spans="1:99">
      <c r="A22" s="1" t="s">
        <v>88</v>
      </c>
      <c r="B22" s="1">
        <v>15</v>
      </c>
      <c r="C22" s="1" t="s">
        <v>112</v>
      </c>
      <c r="D22" s="4" t="s">
        <v>116</v>
      </c>
      <c r="E22" s="23" t="str">
        <f>IF(A22&lt;&gt;"", IF(A22=A20, "", A22), "")</f>
        <v/>
      </c>
      <c r="F22" s="149">
        <f t="shared" si="2"/>
        <v>15</v>
      </c>
      <c r="G22" s="57" t="str">
        <f t="shared" si="4"/>
        <v/>
      </c>
      <c r="H22" s="130" t="str">
        <f t="shared" si="3"/>
        <v>各販社ユーザー向けRangeロール作成（検証環境）</v>
      </c>
      <c r="I22" s="126" t="s">
        <v>48</v>
      </c>
      <c r="J22" s="18"/>
      <c r="K22" s="28"/>
      <c r="L22" s="35">
        <v>46230</v>
      </c>
      <c r="M22" s="38">
        <v>46234</v>
      </c>
      <c r="N22" s="41" t="s">
        <v>53</v>
      </c>
      <c r="O22" s="31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8"/>
      <c r="AC22" s="53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8"/>
      <c r="AQ22" s="31"/>
      <c r="AR22" s="10"/>
      <c r="AS22" s="10"/>
      <c r="AT22" s="10"/>
      <c r="AU22" s="10"/>
      <c r="AV22" s="10"/>
      <c r="AW22" s="10"/>
      <c r="AX22" s="12"/>
      <c r="AY22" s="11"/>
      <c r="AZ22" s="12"/>
      <c r="BA22" s="12"/>
      <c r="BB22" s="12"/>
      <c r="BC22" s="10"/>
      <c r="BD22" s="18"/>
      <c r="BE22" s="31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8"/>
      <c r="BS22" s="31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8"/>
      <c r="CG22" s="31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8"/>
      <c r="CU22" s="28"/>
    </row>
    <row r="23" spans="1:99">
      <c r="A23" s="1" t="s">
        <v>88</v>
      </c>
      <c r="B23" s="1">
        <v>16</v>
      </c>
      <c r="C23" s="1" t="s">
        <v>112</v>
      </c>
      <c r="D23" s="4" t="s">
        <v>117</v>
      </c>
      <c r="E23" s="23" t="str">
        <f t="shared" si="0"/>
        <v/>
      </c>
      <c r="F23" s="149">
        <f t="shared" si="2"/>
        <v>16</v>
      </c>
      <c r="G23" s="57" t="str">
        <f t="shared" si="4"/>
        <v/>
      </c>
      <c r="H23" s="130" t="str">
        <f t="shared" si="3"/>
        <v>各販社ユーザー向けユーザ権限付与（検証環境）</v>
      </c>
      <c r="I23" s="126" t="s">
        <v>48</v>
      </c>
      <c r="J23" s="18"/>
      <c r="K23" s="28"/>
      <c r="L23" s="35">
        <v>46230</v>
      </c>
      <c r="M23" s="38">
        <v>46234</v>
      </c>
      <c r="N23" s="41" t="s">
        <v>53</v>
      </c>
      <c r="O23" s="31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8"/>
      <c r="AC23" s="53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8"/>
      <c r="AQ23" s="31"/>
      <c r="AR23" s="10"/>
      <c r="AS23" s="10"/>
      <c r="AT23" s="10"/>
      <c r="AU23" s="10"/>
      <c r="AV23" s="10"/>
      <c r="AW23" s="10"/>
      <c r="AX23" s="12"/>
      <c r="AY23" s="11"/>
      <c r="AZ23" s="12"/>
      <c r="BA23" s="12"/>
      <c r="BB23" s="12"/>
      <c r="BC23" s="10"/>
      <c r="BD23" s="18"/>
      <c r="BE23" s="31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8"/>
      <c r="BS23" s="31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8"/>
      <c r="CG23" s="31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8"/>
      <c r="CU23" s="28"/>
    </row>
    <row r="24" spans="1:99">
      <c r="A24" s="1" t="s">
        <v>88</v>
      </c>
      <c r="B24" s="1">
        <v>17</v>
      </c>
      <c r="C24" s="1" t="s">
        <v>112</v>
      </c>
      <c r="D24" s="4" t="s">
        <v>118</v>
      </c>
      <c r="E24" s="23" t="str">
        <f t="shared" si="0"/>
        <v/>
      </c>
      <c r="F24" s="149">
        <f t="shared" si="2"/>
        <v>17</v>
      </c>
      <c r="G24" s="57" t="str">
        <f t="shared" si="4"/>
        <v/>
      </c>
      <c r="H24" s="130" t="str">
        <f t="shared" si="3"/>
        <v>Dataviz関連ユーザ権限設計レビュー（設計は６月にやった）</v>
      </c>
      <c r="I24" s="126" t="s">
        <v>52</v>
      </c>
      <c r="J24" s="18" t="s">
        <v>52</v>
      </c>
      <c r="K24" s="28" t="s">
        <v>36</v>
      </c>
      <c r="L24" s="35">
        <v>46209</v>
      </c>
      <c r="M24" s="38">
        <v>46220</v>
      </c>
      <c r="N24" s="41" t="s">
        <v>53</v>
      </c>
      <c r="O24" s="31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8"/>
      <c r="AC24" s="53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8"/>
      <c r="AQ24" s="31"/>
      <c r="AR24" s="10"/>
      <c r="AS24" s="10"/>
      <c r="AT24" s="10"/>
      <c r="AU24" s="10"/>
      <c r="AV24" s="10"/>
      <c r="AW24" s="10"/>
      <c r="AX24" s="12"/>
      <c r="AY24" s="11"/>
      <c r="AZ24" s="12"/>
      <c r="BA24" s="12"/>
      <c r="BB24" s="12"/>
      <c r="BC24" s="10"/>
      <c r="BD24" s="18"/>
      <c r="BE24" s="31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8"/>
      <c r="BS24" s="31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8"/>
      <c r="CG24" s="31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8"/>
      <c r="CU24" s="28"/>
    </row>
    <row r="25" spans="1:99">
      <c r="A25" s="1" t="s">
        <v>88</v>
      </c>
      <c r="B25" s="1">
        <v>18</v>
      </c>
      <c r="C25" s="1" t="s">
        <v>112</v>
      </c>
      <c r="D25" s="4" t="s">
        <v>119</v>
      </c>
      <c r="E25" s="23" t="str">
        <f t="shared" si="0"/>
        <v/>
      </c>
      <c r="F25" s="146">
        <f t="shared" si="2"/>
        <v>18</v>
      </c>
      <c r="G25" s="134" t="str">
        <f t="shared" si="4"/>
        <v/>
      </c>
      <c r="H25" s="136" t="str">
        <f t="shared" si="3"/>
        <v>Dataviz関連ユーザ権限設計検証</v>
      </c>
      <c r="I25" s="128" t="s">
        <v>52</v>
      </c>
      <c r="J25" s="22" t="s">
        <v>52</v>
      </c>
      <c r="K25" s="29" t="s">
        <v>36</v>
      </c>
      <c r="L25" s="36">
        <v>46230</v>
      </c>
      <c r="M25" s="39">
        <v>46255</v>
      </c>
      <c r="N25" s="42" t="s">
        <v>53</v>
      </c>
      <c r="O25" s="32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22"/>
      <c r="AC25" s="54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22"/>
      <c r="AQ25" s="32"/>
      <c r="AR25" s="19"/>
      <c r="AS25" s="19"/>
      <c r="AT25" s="19"/>
      <c r="AU25" s="19"/>
      <c r="AV25" s="19"/>
      <c r="AW25" s="19"/>
      <c r="AX25" s="21"/>
      <c r="AY25" s="20"/>
      <c r="AZ25" s="21"/>
      <c r="BA25" s="21"/>
      <c r="BB25" s="21"/>
      <c r="BC25" s="19"/>
      <c r="BD25" s="22"/>
      <c r="BE25" s="32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22"/>
      <c r="BS25" s="32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22"/>
      <c r="CG25" s="32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22"/>
      <c r="CU25" s="29"/>
    </row>
    <row r="26" spans="1:99">
      <c r="A26" s="1" t="s">
        <v>88</v>
      </c>
      <c r="B26" s="1" t="s">
        <v>120</v>
      </c>
      <c r="C26" s="1" t="s">
        <v>121</v>
      </c>
      <c r="D26" s="4" t="s">
        <v>122</v>
      </c>
      <c r="E26" s="23"/>
      <c r="F26" s="143" t="str">
        <f t="shared" si="2"/>
        <v>D</v>
      </c>
      <c r="G26" s="57" t="str">
        <f t="shared" si="4"/>
        <v>認証方式変更</v>
      </c>
      <c r="H26" s="133" t="str">
        <f t="shared" si="3"/>
        <v>GAC申請</v>
      </c>
      <c r="I26" s="127" t="s">
        <v>48</v>
      </c>
      <c r="J26" s="104"/>
      <c r="K26" s="27"/>
      <c r="L26" s="14">
        <v>46212</v>
      </c>
      <c r="M26" s="37">
        <v>46218</v>
      </c>
      <c r="N26" s="40" t="s">
        <v>53</v>
      </c>
      <c r="O26" s="30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17"/>
      <c r="AC26" s="52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17"/>
      <c r="AQ26" s="30"/>
      <c r="AR26" s="7"/>
      <c r="AS26" s="7"/>
      <c r="AT26" s="7"/>
      <c r="AU26" s="7"/>
      <c r="AV26" s="7"/>
      <c r="AW26" s="7"/>
      <c r="AX26" s="9"/>
      <c r="AY26" s="8"/>
      <c r="AZ26" s="9"/>
      <c r="BA26" s="9"/>
      <c r="BB26" s="9"/>
      <c r="BC26" s="7"/>
      <c r="BD26" s="17"/>
      <c r="BE26" s="30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17"/>
      <c r="BS26" s="30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17"/>
      <c r="CG26" s="30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17"/>
      <c r="CU26" s="27"/>
    </row>
    <row r="27" spans="1:99" ht="33">
      <c r="A27" s="1" t="s">
        <v>88</v>
      </c>
      <c r="B27" s="1">
        <v>19</v>
      </c>
      <c r="C27" s="1" t="s">
        <v>121</v>
      </c>
      <c r="D27" s="4" t="s">
        <v>123</v>
      </c>
      <c r="E27" s="23" t="str">
        <f>IF(A27&lt;&gt;"", IF(A27=A25, "", A27), "")</f>
        <v/>
      </c>
      <c r="F27" s="149">
        <f t="shared" si="2"/>
        <v>19</v>
      </c>
      <c r="G27" s="57" t="str">
        <f t="shared" si="4"/>
        <v/>
      </c>
      <c r="H27" s="130" t="str">
        <f t="shared" si="3"/>
        <v>ATSC／GAC CDP導入（検証環境）
※望ましいのは7月末前に完了、できない場合、8/7前に完了必須</v>
      </c>
      <c r="I27" s="31" t="s">
        <v>48</v>
      </c>
      <c r="J27" s="18"/>
      <c r="K27" s="28"/>
      <c r="L27" s="35">
        <v>46209</v>
      </c>
      <c r="M27" s="38">
        <v>46234</v>
      </c>
      <c r="N27" s="41" t="s">
        <v>53</v>
      </c>
      <c r="O27" s="31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8"/>
      <c r="AC27" s="53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8"/>
      <c r="AQ27" s="31"/>
      <c r="AR27" s="10"/>
      <c r="AS27" s="10"/>
      <c r="AT27" s="10"/>
      <c r="AU27" s="10"/>
      <c r="AV27" s="10"/>
      <c r="AW27" s="10"/>
      <c r="AX27" s="12"/>
      <c r="AY27" s="11"/>
      <c r="AZ27" s="12"/>
      <c r="BA27" s="12"/>
      <c r="BB27" s="12"/>
      <c r="BC27" s="10"/>
      <c r="BD27" s="18"/>
      <c r="BE27" s="31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8"/>
      <c r="BS27" s="31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8"/>
      <c r="CG27" s="31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8"/>
      <c r="CU27" s="28"/>
    </row>
    <row r="28" spans="1:99">
      <c r="A28" s="1" t="s">
        <v>88</v>
      </c>
      <c r="B28" s="1">
        <v>20</v>
      </c>
      <c r="C28" s="1" t="s">
        <v>121</v>
      </c>
      <c r="D28" s="4" t="s">
        <v>124</v>
      </c>
      <c r="E28" s="23" t="str">
        <f t="shared" si="0"/>
        <v/>
      </c>
      <c r="F28" s="144">
        <f t="shared" si="2"/>
        <v>20</v>
      </c>
      <c r="G28" s="57" t="str">
        <f t="shared" si="4"/>
        <v/>
      </c>
      <c r="H28" s="131" t="str">
        <f t="shared" si="3"/>
        <v>ATSC／GAC  Web導入（検証環境）</v>
      </c>
      <c r="I28" s="76" t="s">
        <v>52</v>
      </c>
      <c r="J28" s="77" t="s">
        <v>52</v>
      </c>
      <c r="K28" s="78" t="s">
        <v>36</v>
      </c>
      <c r="L28" s="79">
        <v>46237</v>
      </c>
      <c r="M28" s="80">
        <v>46248</v>
      </c>
      <c r="N28" s="81" t="s">
        <v>53</v>
      </c>
      <c r="O28" s="76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77"/>
      <c r="AC28" s="83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77"/>
      <c r="AQ28" s="76"/>
      <c r="AR28" s="82"/>
      <c r="AS28" s="82"/>
      <c r="AT28" s="82"/>
      <c r="AU28" s="82"/>
      <c r="AV28" s="82"/>
      <c r="AW28" s="82"/>
      <c r="AX28" s="84"/>
      <c r="AY28" s="85"/>
      <c r="AZ28" s="84"/>
      <c r="BA28" s="84"/>
      <c r="BB28" s="84"/>
      <c r="BC28" s="82"/>
      <c r="BD28" s="77"/>
      <c r="BE28" s="76"/>
      <c r="BF28" s="82"/>
      <c r="BG28" s="82"/>
      <c r="BH28" s="82"/>
      <c r="BI28" s="82"/>
      <c r="BJ28" s="82"/>
      <c r="BK28" s="82"/>
      <c r="BL28" s="82"/>
      <c r="BM28" s="82"/>
      <c r="BN28" s="82"/>
      <c r="BO28" s="82"/>
      <c r="BP28" s="82"/>
      <c r="BQ28" s="82"/>
      <c r="BR28" s="77"/>
      <c r="BS28" s="76"/>
      <c r="BT28" s="82"/>
      <c r="BU28" s="82"/>
      <c r="BV28" s="82"/>
      <c r="BW28" s="82"/>
      <c r="BX28" s="82"/>
      <c r="BY28" s="82"/>
      <c r="BZ28" s="82"/>
      <c r="CA28" s="82"/>
      <c r="CB28" s="82"/>
      <c r="CC28" s="82"/>
      <c r="CD28" s="82"/>
      <c r="CE28" s="82"/>
      <c r="CF28" s="77"/>
      <c r="CG28" s="76"/>
      <c r="CH28" s="82"/>
      <c r="CI28" s="82"/>
      <c r="CJ28" s="82"/>
      <c r="CK28" s="82"/>
      <c r="CL28" s="82"/>
      <c r="CM28" s="82"/>
      <c r="CN28" s="82"/>
      <c r="CO28" s="82"/>
      <c r="CP28" s="82"/>
      <c r="CQ28" s="82"/>
      <c r="CR28" s="82"/>
      <c r="CS28" s="82"/>
      <c r="CT28" s="77"/>
      <c r="CU28" s="78"/>
    </row>
    <row r="29" spans="1:99">
      <c r="A29" s="1" t="s">
        <v>88</v>
      </c>
      <c r="B29" s="1">
        <v>21</v>
      </c>
      <c r="C29" s="1" t="s">
        <v>125</v>
      </c>
      <c r="D29" s="4" t="s">
        <v>126</v>
      </c>
      <c r="E29" s="23" t="str">
        <f t="shared" si="0"/>
        <v/>
      </c>
      <c r="F29" s="145">
        <f t="shared" si="2"/>
        <v>21</v>
      </c>
      <c r="G29" s="118" t="str">
        <f t="shared" si="4"/>
        <v>中間テーブル</v>
      </c>
      <c r="H29" s="135" t="str">
        <f t="shared" si="3"/>
        <v>JOB環境の申込</v>
      </c>
      <c r="I29" s="65" t="s">
        <v>52</v>
      </c>
      <c r="J29" s="67" t="s">
        <v>52</v>
      </c>
      <c r="K29" s="68" t="s">
        <v>36</v>
      </c>
      <c r="L29" s="69">
        <v>46216</v>
      </c>
      <c r="M29" s="70">
        <v>46225</v>
      </c>
      <c r="N29" s="71" t="s">
        <v>53</v>
      </c>
      <c r="O29" s="65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67"/>
      <c r="AC29" s="73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67"/>
      <c r="AQ29" s="65"/>
      <c r="AR29" s="72"/>
      <c r="AS29" s="72"/>
      <c r="AT29" s="72"/>
      <c r="AU29" s="72"/>
      <c r="AV29" s="72"/>
      <c r="AW29" s="72"/>
      <c r="AX29" s="74"/>
      <c r="AY29" s="75"/>
      <c r="AZ29" s="74"/>
      <c r="BA29" s="74"/>
      <c r="BB29" s="74"/>
      <c r="BC29" s="72"/>
      <c r="BD29" s="67"/>
      <c r="BE29" s="65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67"/>
      <c r="BS29" s="65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67"/>
      <c r="CG29" s="65"/>
      <c r="CH29" s="72"/>
      <c r="CI29" s="72"/>
      <c r="CJ29" s="72"/>
      <c r="CK29" s="72"/>
      <c r="CL29" s="72"/>
      <c r="CM29" s="72"/>
      <c r="CN29" s="72"/>
      <c r="CO29" s="72"/>
      <c r="CP29" s="72"/>
      <c r="CQ29" s="72"/>
      <c r="CR29" s="72"/>
      <c r="CS29" s="72"/>
      <c r="CT29" s="67"/>
      <c r="CU29" s="68"/>
    </row>
    <row r="30" spans="1:99">
      <c r="A30" s="1" t="s">
        <v>88</v>
      </c>
      <c r="B30" s="1">
        <v>22</v>
      </c>
      <c r="C30" s="1" t="s">
        <v>125</v>
      </c>
      <c r="D30" s="4" t="s">
        <v>127</v>
      </c>
      <c r="E30" s="23" t="str">
        <f t="shared" si="0"/>
        <v/>
      </c>
      <c r="F30" s="149">
        <f t="shared" si="2"/>
        <v>22</v>
      </c>
      <c r="G30" s="57" t="str">
        <f t="shared" si="4"/>
        <v/>
      </c>
      <c r="H30" s="130" t="str">
        <f t="shared" si="3"/>
        <v>JOB環境の構築</v>
      </c>
      <c r="I30" s="31" t="s">
        <v>48</v>
      </c>
      <c r="J30" s="18"/>
      <c r="K30" s="28"/>
      <c r="L30" s="35">
        <v>46226</v>
      </c>
      <c r="M30" s="38">
        <v>46234</v>
      </c>
      <c r="N30" s="41" t="s">
        <v>53</v>
      </c>
      <c r="O30" s="31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8"/>
      <c r="AC30" s="53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8"/>
      <c r="AQ30" s="31"/>
      <c r="AR30" s="10"/>
      <c r="AS30" s="10"/>
      <c r="AT30" s="10"/>
      <c r="AU30" s="10"/>
      <c r="AV30" s="10"/>
      <c r="AW30" s="10"/>
      <c r="AX30" s="12"/>
      <c r="AY30" s="11"/>
      <c r="AZ30" s="12"/>
      <c r="BA30" s="12"/>
      <c r="BB30" s="12"/>
      <c r="BC30" s="10"/>
      <c r="BD30" s="18"/>
      <c r="BE30" s="31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8"/>
      <c r="BS30" s="31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8"/>
      <c r="CG30" s="31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8"/>
      <c r="CU30" s="28"/>
    </row>
    <row r="31" spans="1:99">
      <c r="A31" s="1" t="s">
        <v>88</v>
      </c>
      <c r="B31" s="1">
        <v>23</v>
      </c>
      <c r="C31" s="1" t="s">
        <v>125</v>
      </c>
      <c r="D31" s="4" t="s">
        <v>128</v>
      </c>
      <c r="E31" s="23" t="str">
        <f t="shared" si="0"/>
        <v/>
      </c>
      <c r="F31" s="149">
        <f t="shared" si="2"/>
        <v>23</v>
      </c>
      <c r="G31" s="57" t="str">
        <f t="shared" si="4"/>
        <v/>
      </c>
      <c r="H31" s="130" t="str">
        <f t="shared" si="3"/>
        <v>中間テーブル更新のJOB作成</v>
      </c>
      <c r="I31" s="31" t="s">
        <v>52</v>
      </c>
      <c r="J31" s="18" t="s">
        <v>52</v>
      </c>
      <c r="K31" s="28" t="s">
        <v>36</v>
      </c>
      <c r="L31" s="35">
        <v>46237</v>
      </c>
      <c r="M31" s="38">
        <v>46248</v>
      </c>
      <c r="N31" s="41" t="s">
        <v>53</v>
      </c>
      <c r="O31" s="31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8"/>
      <c r="AC31" s="53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8"/>
      <c r="AQ31" s="31"/>
      <c r="AR31" s="10"/>
      <c r="AS31" s="10"/>
      <c r="AT31" s="10"/>
      <c r="AU31" s="10"/>
      <c r="AV31" s="10"/>
      <c r="AW31" s="10"/>
      <c r="AX31" s="12"/>
      <c r="AY31" s="11"/>
      <c r="AZ31" s="12"/>
      <c r="BA31" s="12"/>
      <c r="BB31" s="12"/>
      <c r="BC31" s="10"/>
      <c r="BD31" s="18"/>
      <c r="BE31" s="31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8"/>
      <c r="BS31" s="31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8"/>
      <c r="CG31" s="31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8"/>
      <c r="CU31" s="28"/>
    </row>
    <row r="32" spans="1:99">
      <c r="A32" s="1" t="s">
        <v>88</v>
      </c>
      <c r="B32" s="1">
        <v>24</v>
      </c>
      <c r="C32" s="1" t="s">
        <v>125</v>
      </c>
      <c r="D32" s="4" t="s">
        <v>129</v>
      </c>
      <c r="E32" s="23" t="str">
        <f t="shared" si="0"/>
        <v/>
      </c>
      <c r="F32" s="149">
        <f t="shared" si="2"/>
        <v>24</v>
      </c>
      <c r="G32" s="57" t="str">
        <f t="shared" si="4"/>
        <v/>
      </c>
      <c r="H32" s="130" t="str">
        <f t="shared" si="3"/>
        <v>テスト</v>
      </c>
      <c r="I32" s="31" t="s">
        <v>52</v>
      </c>
      <c r="J32" s="18" t="s">
        <v>52</v>
      </c>
      <c r="K32" s="28" t="s">
        <v>36</v>
      </c>
      <c r="L32" s="35">
        <v>46244</v>
      </c>
      <c r="M32" s="38">
        <v>46255</v>
      </c>
      <c r="N32" s="41" t="s">
        <v>53</v>
      </c>
      <c r="O32" s="31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8"/>
      <c r="AC32" s="53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8"/>
      <c r="AQ32" s="31"/>
      <c r="AR32" s="10"/>
      <c r="AS32" s="10"/>
      <c r="AT32" s="10"/>
      <c r="AU32" s="10"/>
      <c r="AV32" s="10"/>
      <c r="AW32" s="10"/>
      <c r="AX32" s="12"/>
      <c r="AY32" s="11"/>
      <c r="AZ32" s="12"/>
      <c r="BA32" s="12"/>
      <c r="BB32" s="12"/>
      <c r="BC32" s="10"/>
      <c r="BD32" s="18"/>
      <c r="BE32" s="31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8"/>
      <c r="BS32" s="31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8"/>
      <c r="CG32" s="31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8"/>
      <c r="CU32" s="28"/>
    </row>
    <row r="33" spans="1:99">
      <c r="A33" s="1" t="s">
        <v>88</v>
      </c>
      <c r="B33" s="1">
        <v>25</v>
      </c>
      <c r="C33" s="1" t="s">
        <v>125</v>
      </c>
      <c r="D33" s="4" t="s">
        <v>130</v>
      </c>
      <c r="E33" s="23" t="str">
        <f t="shared" si="0"/>
        <v/>
      </c>
      <c r="F33" s="146">
        <f t="shared" si="2"/>
        <v>25</v>
      </c>
      <c r="G33" s="134" t="str">
        <f t="shared" si="4"/>
        <v/>
      </c>
      <c r="H33" s="136" t="str">
        <f t="shared" si="3"/>
        <v>詳細設計書改修</v>
      </c>
      <c r="I33" s="32" t="s">
        <v>52</v>
      </c>
      <c r="J33" s="22" t="s">
        <v>52</v>
      </c>
      <c r="K33" s="29" t="s">
        <v>36</v>
      </c>
      <c r="L33" s="36">
        <v>46251</v>
      </c>
      <c r="M33" s="39">
        <v>46262</v>
      </c>
      <c r="N33" s="42" t="s">
        <v>53</v>
      </c>
      <c r="O33" s="32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22"/>
      <c r="AC33" s="54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22"/>
      <c r="AQ33" s="32"/>
      <c r="AR33" s="19"/>
      <c r="AS33" s="19"/>
      <c r="AT33" s="19"/>
      <c r="AU33" s="19"/>
      <c r="AV33" s="19"/>
      <c r="AW33" s="19"/>
      <c r="AX33" s="21"/>
      <c r="AY33" s="20"/>
      <c r="AZ33" s="21"/>
      <c r="BA33" s="21"/>
      <c r="BB33" s="21"/>
      <c r="BC33" s="19"/>
      <c r="BD33" s="22"/>
      <c r="BE33" s="32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22"/>
      <c r="BS33" s="32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22"/>
      <c r="CG33" s="32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22"/>
      <c r="CU33" s="29"/>
    </row>
    <row r="34" spans="1:99">
      <c r="A34" s="1" t="s">
        <v>88</v>
      </c>
      <c r="B34" s="1">
        <v>26</v>
      </c>
      <c r="C34" s="1" t="s">
        <v>131</v>
      </c>
      <c r="D34" s="4" t="s">
        <v>132</v>
      </c>
      <c r="E34" s="23" t="str">
        <f t="shared" si="0"/>
        <v/>
      </c>
      <c r="F34" s="143">
        <f t="shared" si="2"/>
        <v>26</v>
      </c>
      <c r="G34" s="57" t="str">
        <f t="shared" si="4"/>
        <v>資料整備</v>
      </c>
      <c r="H34" s="133" t="str">
        <f t="shared" si="3"/>
        <v>マニュアル改修</v>
      </c>
      <c r="I34" s="30" t="s">
        <v>52</v>
      </c>
      <c r="J34" s="17" t="s">
        <v>52</v>
      </c>
      <c r="K34" s="27" t="s">
        <v>36</v>
      </c>
      <c r="L34" s="14">
        <v>46251</v>
      </c>
      <c r="M34" s="37">
        <v>46262</v>
      </c>
      <c r="N34" s="40" t="s">
        <v>53</v>
      </c>
      <c r="O34" s="30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17"/>
      <c r="AC34" s="52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17"/>
      <c r="AQ34" s="30"/>
      <c r="AR34" s="7"/>
      <c r="AS34" s="7"/>
      <c r="AT34" s="7"/>
      <c r="AU34" s="7"/>
      <c r="AV34" s="7"/>
      <c r="AW34" s="7"/>
      <c r="AX34" s="9"/>
      <c r="AY34" s="8"/>
      <c r="AZ34" s="9"/>
      <c r="BA34" s="9"/>
      <c r="BB34" s="9"/>
      <c r="BC34" s="7"/>
      <c r="BD34" s="17"/>
      <c r="BE34" s="30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17"/>
      <c r="BS34" s="30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17"/>
      <c r="CG34" s="30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17"/>
      <c r="CU34" s="27"/>
    </row>
    <row r="35" spans="1:99">
      <c r="A35" s="1" t="s">
        <v>88</v>
      </c>
      <c r="B35" s="1">
        <v>27</v>
      </c>
      <c r="C35" s="1" t="s">
        <v>131</v>
      </c>
      <c r="D35" s="4" t="s">
        <v>133</v>
      </c>
      <c r="E35" s="23" t="str">
        <f t="shared" si="0"/>
        <v/>
      </c>
      <c r="F35" s="144">
        <f t="shared" si="2"/>
        <v>27</v>
      </c>
      <c r="G35" s="57" t="str">
        <f t="shared" si="4"/>
        <v/>
      </c>
      <c r="H35" s="131" t="str">
        <f t="shared" si="3"/>
        <v>受入テスト対応</v>
      </c>
      <c r="I35" s="76" t="s">
        <v>52</v>
      </c>
      <c r="J35" s="77" t="s">
        <v>52</v>
      </c>
      <c r="K35" s="78" t="s">
        <v>36</v>
      </c>
      <c r="L35" s="79">
        <v>46251</v>
      </c>
      <c r="M35" s="80">
        <v>46260</v>
      </c>
      <c r="N35" s="81" t="s">
        <v>53</v>
      </c>
      <c r="O35" s="76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77"/>
      <c r="AC35" s="83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77"/>
      <c r="AQ35" s="76"/>
      <c r="AR35" s="82"/>
      <c r="AS35" s="82"/>
      <c r="AT35" s="82"/>
      <c r="AU35" s="82"/>
      <c r="AV35" s="82"/>
      <c r="AW35" s="82"/>
      <c r="AX35" s="84"/>
      <c r="AY35" s="85"/>
      <c r="AZ35" s="84"/>
      <c r="BA35" s="84"/>
      <c r="BB35" s="84"/>
      <c r="BC35" s="82"/>
      <c r="BD35" s="77"/>
      <c r="BE35" s="76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77"/>
      <c r="BS35" s="76"/>
      <c r="BT35" s="82"/>
      <c r="BU35" s="82"/>
      <c r="BV35" s="82"/>
      <c r="BW35" s="82"/>
      <c r="BX35" s="82"/>
      <c r="BY35" s="82"/>
      <c r="BZ35" s="82"/>
      <c r="CA35" s="82"/>
      <c r="CB35" s="82"/>
      <c r="CC35" s="82"/>
      <c r="CD35" s="82"/>
      <c r="CE35" s="82"/>
      <c r="CF35" s="77"/>
      <c r="CG35" s="76"/>
      <c r="CH35" s="82"/>
      <c r="CI35" s="82"/>
      <c r="CJ35" s="82"/>
      <c r="CK35" s="82"/>
      <c r="CL35" s="82"/>
      <c r="CM35" s="82"/>
      <c r="CN35" s="82"/>
      <c r="CO35" s="82"/>
      <c r="CP35" s="82"/>
      <c r="CQ35" s="82"/>
      <c r="CR35" s="82"/>
      <c r="CS35" s="82"/>
      <c r="CT35" s="77"/>
      <c r="CU35" s="78"/>
    </row>
    <row r="36" spans="1:99">
      <c r="A36" s="1" t="s">
        <v>88</v>
      </c>
      <c r="B36" s="1">
        <v>28</v>
      </c>
      <c r="C36" s="1" t="s">
        <v>134</v>
      </c>
      <c r="D36" s="4" t="s">
        <v>135</v>
      </c>
      <c r="E36" s="23" t="str">
        <f t="shared" si="0"/>
        <v/>
      </c>
      <c r="F36" s="148">
        <f t="shared" si="2"/>
        <v>28</v>
      </c>
      <c r="G36" s="118" t="str">
        <f t="shared" si="4"/>
        <v>受入テスト</v>
      </c>
      <c r="H36" s="129" t="str">
        <f t="shared" si="3"/>
        <v>ユーザーアクセス権限の本番データ移行</v>
      </c>
      <c r="I36" s="86" t="s">
        <v>48</v>
      </c>
      <c r="J36" s="88"/>
      <c r="K36" s="89"/>
      <c r="L36" s="90">
        <v>46258</v>
      </c>
      <c r="M36" s="91">
        <v>46262</v>
      </c>
      <c r="N36" s="92" t="s">
        <v>53</v>
      </c>
      <c r="O36" s="86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8"/>
      <c r="AC36" s="93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8"/>
      <c r="AQ36" s="86"/>
      <c r="AR36" s="87"/>
      <c r="AS36" s="87"/>
      <c r="AT36" s="87"/>
      <c r="AU36" s="87"/>
      <c r="AV36" s="87"/>
      <c r="AW36" s="87"/>
      <c r="AX36" s="94"/>
      <c r="AY36" s="95"/>
      <c r="AZ36" s="94"/>
      <c r="BA36" s="94"/>
      <c r="BB36" s="94"/>
      <c r="BC36" s="87"/>
      <c r="BD36" s="88"/>
      <c r="BE36" s="86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8"/>
      <c r="BS36" s="86"/>
      <c r="BT36" s="87"/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7"/>
      <c r="CF36" s="88"/>
      <c r="CG36" s="86"/>
      <c r="CH36" s="87"/>
      <c r="CI36" s="87"/>
      <c r="CJ36" s="87"/>
      <c r="CK36" s="87"/>
      <c r="CL36" s="87"/>
      <c r="CM36" s="87"/>
      <c r="CN36" s="87"/>
      <c r="CO36" s="87"/>
      <c r="CP36" s="87"/>
      <c r="CQ36" s="87"/>
      <c r="CR36" s="87"/>
      <c r="CS36" s="87"/>
      <c r="CT36" s="88"/>
      <c r="CU36" s="89"/>
    </row>
    <row r="37" spans="1:99">
      <c r="A37" s="1" t="s">
        <v>88</v>
      </c>
      <c r="B37" s="1">
        <v>29</v>
      </c>
      <c r="C37" s="1" t="s">
        <v>136</v>
      </c>
      <c r="D37" s="4" t="s">
        <v>137</v>
      </c>
      <c r="E37" s="23" t="str">
        <f t="shared" si="0"/>
        <v/>
      </c>
      <c r="F37" s="145">
        <f t="shared" si="2"/>
        <v>29</v>
      </c>
      <c r="G37" s="118" t="str">
        <f t="shared" si="4"/>
        <v>本番リリース</v>
      </c>
      <c r="H37" s="135" t="str">
        <f t="shared" si="3"/>
        <v>本番情報設定（役割グループ、Ranger、Job）</v>
      </c>
      <c r="I37" s="30" t="s">
        <v>48</v>
      </c>
      <c r="J37" s="17"/>
      <c r="K37" s="27"/>
      <c r="L37" s="14">
        <v>46258</v>
      </c>
      <c r="M37" s="37">
        <v>46262</v>
      </c>
      <c r="N37" s="40" t="s">
        <v>53</v>
      </c>
      <c r="O37" s="30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17"/>
      <c r="AC37" s="52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17"/>
      <c r="AQ37" s="30"/>
      <c r="AR37" s="7"/>
      <c r="AS37" s="7"/>
      <c r="AT37" s="7"/>
      <c r="AU37" s="7"/>
      <c r="AV37" s="7"/>
      <c r="AW37" s="7"/>
      <c r="AX37" s="9"/>
      <c r="AY37" s="8"/>
      <c r="AZ37" s="9"/>
      <c r="BA37" s="9"/>
      <c r="BB37" s="9"/>
      <c r="BC37" s="7"/>
      <c r="BD37" s="17"/>
      <c r="BE37" s="30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17"/>
      <c r="BS37" s="30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17"/>
      <c r="CG37" s="30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17"/>
      <c r="CU37" s="27"/>
    </row>
    <row r="38" spans="1:99">
      <c r="A38" s="1" t="s">
        <v>88</v>
      </c>
      <c r="B38" s="1">
        <v>30</v>
      </c>
      <c r="C38" s="1" t="s">
        <v>136</v>
      </c>
      <c r="D38" s="4" t="s">
        <v>138</v>
      </c>
      <c r="E38" s="25" t="str">
        <f t="shared" si="0"/>
        <v/>
      </c>
      <c r="F38" s="146">
        <f t="shared" si="2"/>
        <v>30</v>
      </c>
      <c r="G38" s="134" t="str">
        <f t="shared" si="4"/>
        <v/>
      </c>
      <c r="H38" s="136" t="str">
        <f t="shared" si="3"/>
        <v>リリース準備と実施</v>
      </c>
      <c r="I38" s="32" t="s">
        <v>52</v>
      </c>
      <c r="J38" s="22" t="s">
        <v>52</v>
      </c>
      <c r="K38" s="29" t="s">
        <v>36</v>
      </c>
      <c r="L38" s="36">
        <v>46258</v>
      </c>
      <c r="M38" s="39">
        <v>46262</v>
      </c>
      <c r="N38" s="42" t="s">
        <v>53</v>
      </c>
      <c r="O38" s="32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22"/>
      <c r="AC38" s="54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22"/>
      <c r="AQ38" s="32"/>
      <c r="AR38" s="19"/>
      <c r="AS38" s="19"/>
      <c r="AT38" s="19"/>
      <c r="AU38" s="19"/>
      <c r="AV38" s="19"/>
      <c r="AW38" s="19"/>
      <c r="AX38" s="21"/>
      <c r="AY38" s="20"/>
      <c r="AZ38" s="21"/>
      <c r="BA38" s="21"/>
      <c r="BB38" s="21"/>
      <c r="BC38" s="19"/>
      <c r="BD38" s="22"/>
      <c r="BE38" s="32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22"/>
      <c r="BS38" s="32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22"/>
      <c r="CG38" s="32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22"/>
      <c r="CU38" s="29"/>
    </row>
    <row r="39" spans="1:99">
      <c r="B39" s="1" t="str">
        <f t="shared" ref="B39:B73" si="5">IF(C39&lt;&gt;"", ROW()-4, "")</f>
        <v/>
      </c>
      <c r="E39" s="1" t="str">
        <f t="shared" si="0"/>
        <v/>
      </c>
      <c r="F39" s="150" t="str">
        <f t="shared" si="0"/>
        <v/>
      </c>
      <c r="G39" s="1" t="str">
        <f t="shared" ref="G20:G83" si="6">IF(C39&lt;&gt;"", IF(C39=C38, "", C39), "")</f>
        <v/>
      </c>
      <c r="H39" s="4" t="str">
        <f t="shared" ref="H20:H83" si="7">IF(D39&lt;&gt;"", IF(D39=D38, "", D39), "")</f>
        <v/>
      </c>
    </row>
    <row r="40" spans="1:99">
      <c r="B40" s="1" t="str">
        <f t="shared" si="5"/>
        <v/>
      </c>
      <c r="E40" s="1" t="str">
        <f t="shared" si="0"/>
        <v/>
      </c>
      <c r="F40" s="150" t="str">
        <f t="shared" si="0"/>
        <v/>
      </c>
      <c r="G40" s="1" t="str">
        <f t="shared" si="6"/>
        <v/>
      </c>
      <c r="H40" s="4" t="str">
        <f t="shared" si="7"/>
        <v/>
      </c>
    </row>
    <row r="41" spans="1:99">
      <c r="B41" s="1" t="str">
        <f t="shared" si="5"/>
        <v/>
      </c>
      <c r="E41" s="1" t="str">
        <f t="shared" si="0"/>
        <v/>
      </c>
      <c r="F41" s="150" t="str">
        <f t="shared" si="0"/>
        <v/>
      </c>
      <c r="G41" s="1" t="str">
        <f t="shared" si="6"/>
        <v/>
      </c>
      <c r="H41" s="1"/>
    </row>
    <row r="42" spans="1:99">
      <c r="B42" s="1" t="str">
        <f t="shared" si="5"/>
        <v/>
      </c>
      <c r="E42" s="1" t="str">
        <f t="shared" si="0"/>
        <v/>
      </c>
      <c r="F42" s="150" t="str">
        <f t="shared" si="0"/>
        <v/>
      </c>
      <c r="G42" s="1" t="str">
        <f t="shared" si="6"/>
        <v/>
      </c>
    </row>
    <row r="43" spans="1:99">
      <c r="B43" s="1" t="str">
        <f t="shared" si="5"/>
        <v/>
      </c>
      <c r="E43" s="1" t="str">
        <f t="shared" si="0"/>
        <v/>
      </c>
      <c r="F43" s="150" t="str">
        <f t="shared" si="0"/>
        <v/>
      </c>
      <c r="G43" s="1" t="str">
        <f t="shared" si="6"/>
        <v/>
      </c>
    </row>
    <row r="44" spans="1:99">
      <c r="B44" s="1" t="str">
        <f t="shared" si="5"/>
        <v/>
      </c>
      <c r="E44" s="1" t="str">
        <f t="shared" si="0"/>
        <v/>
      </c>
      <c r="F44" s="150" t="str">
        <f t="shared" si="0"/>
        <v/>
      </c>
      <c r="G44" s="1" t="str">
        <f t="shared" si="6"/>
        <v/>
      </c>
    </row>
    <row r="45" spans="1:99">
      <c r="B45" s="1" t="str">
        <f t="shared" si="5"/>
        <v/>
      </c>
      <c r="E45" s="1" t="str">
        <f t="shared" si="0"/>
        <v/>
      </c>
      <c r="F45" s="150" t="str">
        <f t="shared" si="0"/>
        <v/>
      </c>
      <c r="G45" s="1" t="str">
        <f t="shared" si="6"/>
        <v/>
      </c>
      <c r="H45" s="4" t="str">
        <f t="shared" si="7"/>
        <v/>
      </c>
    </row>
    <row r="46" spans="1:99">
      <c r="B46" s="1" t="str">
        <f t="shared" si="5"/>
        <v/>
      </c>
      <c r="E46" s="1" t="str">
        <f t="shared" si="0"/>
        <v/>
      </c>
      <c r="F46" s="150" t="str">
        <f t="shared" si="0"/>
        <v/>
      </c>
      <c r="G46" s="1" t="str">
        <f t="shared" si="6"/>
        <v/>
      </c>
      <c r="H46" s="4" t="str">
        <f t="shared" si="7"/>
        <v/>
      </c>
    </row>
    <row r="47" spans="1:99">
      <c r="B47" s="1" t="str">
        <f t="shared" si="5"/>
        <v/>
      </c>
      <c r="E47" s="1" t="str">
        <f t="shared" si="0"/>
        <v/>
      </c>
      <c r="F47" s="150" t="str">
        <f t="shared" si="0"/>
        <v/>
      </c>
      <c r="G47" s="1" t="str">
        <f t="shared" si="6"/>
        <v/>
      </c>
      <c r="H47" s="4" t="str">
        <f t="shared" si="7"/>
        <v/>
      </c>
    </row>
    <row r="48" spans="1:99">
      <c r="B48" s="1" t="str">
        <f t="shared" si="5"/>
        <v/>
      </c>
      <c r="E48" s="1" t="str">
        <f t="shared" si="0"/>
        <v/>
      </c>
      <c r="F48" s="150" t="str">
        <f t="shared" si="0"/>
        <v/>
      </c>
      <c r="G48" s="1" t="str">
        <f t="shared" si="6"/>
        <v/>
      </c>
      <c r="H48" s="4" t="str">
        <f t="shared" si="7"/>
        <v/>
      </c>
    </row>
    <row r="49" spans="2:8">
      <c r="B49" s="1" t="str">
        <f t="shared" si="5"/>
        <v/>
      </c>
      <c r="E49" s="1" t="str">
        <f t="shared" si="0"/>
        <v/>
      </c>
      <c r="F49" s="150" t="str">
        <f t="shared" si="0"/>
        <v/>
      </c>
      <c r="G49" s="1" t="str">
        <f t="shared" si="6"/>
        <v/>
      </c>
      <c r="H49" s="4" t="str">
        <f t="shared" si="7"/>
        <v/>
      </c>
    </row>
    <row r="50" spans="2:8">
      <c r="B50" s="1" t="str">
        <f t="shared" si="5"/>
        <v/>
      </c>
      <c r="E50" s="1" t="str">
        <f t="shared" si="0"/>
        <v/>
      </c>
      <c r="F50" s="150" t="str">
        <f t="shared" si="0"/>
        <v/>
      </c>
      <c r="G50" s="1" t="str">
        <f t="shared" si="6"/>
        <v/>
      </c>
      <c r="H50" s="4" t="str">
        <f t="shared" si="7"/>
        <v/>
      </c>
    </row>
    <row r="51" spans="2:8">
      <c r="B51" s="1" t="str">
        <f t="shared" si="5"/>
        <v/>
      </c>
      <c r="E51" s="1" t="str">
        <f t="shared" si="0"/>
        <v/>
      </c>
      <c r="F51" s="150" t="str">
        <f t="shared" si="0"/>
        <v/>
      </c>
      <c r="G51" s="1" t="str">
        <f t="shared" si="6"/>
        <v/>
      </c>
      <c r="H51" s="4" t="str">
        <f t="shared" si="7"/>
        <v/>
      </c>
    </row>
    <row r="52" spans="2:8">
      <c r="B52" s="1" t="str">
        <f t="shared" si="5"/>
        <v/>
      </c>
      <c r="E52" s="1" t="str">
        <f t="shared" si="0"/>
        <v/>
      </c>
      <c r="F52" s="150" t="str">
        <f t="shared" si="0"/>
        <v/>
      </c>
      <c r="G52" s="1" t="str">
        <f t="shared" si="6"/>
        <v/>
      </c>
      <c r="H52" s="4" t="str">
        <f t="shared" si="7"/>
        <v/>
      </c>
    </row>
    <row r="53" spans="2:8">
      <c r="B53" s="1" t="str">
        <f t="shared" si="5"/>
        <v/>
      </c>
      <c r="E53" s="1" t="str">
        <f t="shared" si="0"/>
        <v/>
      </c>
      <c r="F53" s="150" t="str">
        <f t="shared" si="0"/>
        <v/>
      </c>
      <c r="G53" s="1" t="str">
        <f t="shared" si="6"/>
        <v/>
      </c>
      <c r="H53" s="4" t="str">
        <f t="shared" si="7"/>
        <v/>
      </c>
    </row>
    <row r="54" spans="2:8">
      <c r="B54" s="1" t="str">
        <f t="shared" si="5"/>
        <v/>
      </c>
      <c r="E54" s="1" t="str">
        <f t="shared" si="0"/>
        <v/>
      </c>
      <c r="F54" s="150" t="str">
        <f t="shared" si="0"/>
        <v/>
      </c>
      <c r="G54" s="1" t="str">
        <f t="shared" si="6"/>
        <v/>
      </c>
      <c r="H54" s="4" t="str">
        <f t="shared" si="7"/>
        <v/>
      </c>
    </row>
    <row r="55" spans="2:8">
      <c r="B55" s="1" t="str">
        <f t="shared" si="5"/>
        <v/>
      </c>
      <c r="E55" s="1" t="str">
        <f t="shared" si="0"/>
        <v/>
      </c>
      <c r="F55" s="150" t="str">
        <f t="shared" si="0"/>
        <v/>
      </c>
      <c r="G55" s="1" t="str">
        <f t="shared" si="6"/>
        <v/>
      </c>
      <c r="H55" s="4" t="str">
        <f t="shared" si="7"/>
        <v/>
      </c>
    </row>
    <row r="56" spans="2:8">
      <c r="B56" s="1" t="str">
        <f t="shared" si="5"/>
        <v/>
      </c>
      <c r="E56" s="1" t="str">
        <f t="shared" si="0"/>
        <v/>
      </c>
      <c r="F56" s="150" t="str">
        <f t="shared" si="0"/>
        <v/>
      </c>
      <c r="G56" s="1" t="str">
        <f t="shared" si="6"/>
        <v/>
      </c>
      <c r="H56" s="4" t="str">
        <f t="shared" si="7"/>
        <v/>
      </c>
    </row>
    <row r="57" spans="2:8">
      <c r="B57" s="1" t="str">
        <f t="shared" si="5"/>
        <v/>
      </c>
      <c r="E57" s="1" t="str">
        <f t="shared" si="0"/>
        <v/>
      </c>
      <c r="F57" s="150" t="str">
        <f t="shared" si="0"/>
        <v/>
      </c>
      <c r="G57" s="1" t="str">
        <f t="shared" si="6"/>
        <v/>
      </c>
      <c r="H57" s="4" t="str">
        <f t="shared" si="7"/>
        <v/>
      </c>
    </row>
    <row r="58" spans="2:8">
      <c r="B58" s="1" t="str">
        <f t="shared" si="5"/>
        <v/>
      </c>
      <c r="E58" s="1" t="str">
        <f t="shared" si="0"/>
        <v/>
      </c>
      <c r="F58" s="150" t="str">
        <f t="shared" si="0"/>
        <v/>
      </c>
      <c r="G58" s="1" t="str">
        <f t="shared" si="6"/>
        <v/>
      </c>
      <c r="H58" s="4" t="str">
        <f t="shared" si="7"/>
        <v/>
      </c>
    </row>
    <row r="59" spans="2:8">
      <c r="B59" s="1" t="str">
        <f t="shared" si="5"/>
        <v/>
      </c>
      <c r="E59" s="1" t="str">
        <f t="shared" si="0"/>
        <v/>
      </c>
      <c r="F59" s="150" t="str">
        <f t="shared" si="0"/>
        <v/>
      </c>
      <c r="G59" s="1" t="str">
        <f t="shared" si="6"/>
        <v/>
      </c>
      <c r="H59" s="4" t="str">
        <f t="shared" si="7"/>
        <v/>
      </c>
    </row>
    <row r="60" spans="2:8">
      <c r="B60" s="1" t="str">
        <f t="shared" si="5"/>
        <v/>
      </c>
      <c r="E60" s="1" t="str">
        <f t="shared" si="0"/>
        <v/>
      </c>
      <c r="F60" s="150" t="str">
        <f t="shared" si="0"/>
        <v/>
      </c>
      <c r="G60" s="1" t="str">
        <f t="shared" si="6"/>
        <v/>
      </c>
      <c r="H60" s="4" t="str">
        <f t="shared" si="7"/>
        <v/>
      </c>
    </row>
    <row r="61" spans="2:8">
      <c r="B61" s="1" t="str">
        <f t="shared" si="5"/>
        <v/>
      </c>
      <c r="E61" s="1" t="str">
        <f t="shared" si="0"/>
        <v/>
      </c>
      <c r="F61" s="150" t="str">
        <f t="shared" si="0"/>
        <v/>
      </c>
      <c r="G61" s="1" t="str">
        <f t="shared" si="6"/>
        <v/>
      </c>
      <c r="H61" s="4" t="str">
        <f t="shared" si="7"/>
        <v/>
      </c>
    </row>
    <row r="62" spans="2:8">
      <c r="B62" s="1" t="str">
        <f t="shared" si="5"/>
        <v/>
      </c>
      <c r="E62" s="1" t="str">
        <f t="shared" si="0"/>
        <v/>
      </c>
      <c r="F62" s="150" t="str">
        <f t="shared" si="0"/>
        <v/>
      </c>
      <c r="G62" s="1" t="str">
        <f t="shared" si="6"/>
        <v/>
      </c>
      <c r="H62" s="4" t="str">
        <f t="shared" si="7"/>
        <v/>
      </c>
    </row>
    <row r="63" spans="2:8">
      <c r="B63" s="1" t="str">
        <f t="shared" si="5"/>
        <v/>
      </c>
      <c r="E63" s="1" t="str">
        <f t="shared" si="0"/>
        <v/>
      </c>
      <c r="F63" s="150" t="str">
        <f t="shared" si="0"/>
        <v/>
      </c>
      <c r="G63" s="1" t="str">
        <f t="shared" si="6"/>
        <v/>
      </c>
      <c r="H63" s="4" t="str">
        <f t="shared" si="7"/>
        <v/>
      </c>
    </row>
    <row r="64" spans="2:8">
      <c r="B64" s="1" t="str">
        <f t="shared" si="5"/>
        <v/>
      </c>
      <c r="E64" s="1" t="str">
        <f t="shared" si="0"/>
        <v/>
      </c>
      <c r="F64" s="150" t="str">
        <f t="shared" si="0"/>
        <v/>
      </c>
      <c r="G64" s="1" t="str">
        <f t="shared" si="6"/>
        <v/>
      </c>
      <c r="H64" s="4" t="str">
        <f t="shared" si="7"/>
        <v/>
      </c>
    </row>
    <row r="65" spans="2:8">
      <c r="B65" s="1" t="str">
        <f t="shared" si="5"/>
        <v/>
      </c>
      <c r="E65" s="1" t="str">
        <f t="shared" si="0"/>
        <v/>
      </c>
      <c r="F65" s="150" t="str">
        <f t="shared" si="0"/>
        <v/>
      </c>
      <c r="G65" s="1" t="str">
        <f t="shared" si="6"/>
        <v/>
      </c>
      <c r="H65" s="4" t="str">
        <f t="shared" si="7"/>
        <v/>
      </c>
    </row>
    <row r="66" spans="2:8">
      <c r="B66" s="1" t="str">
        <f t="shared" si="5"/>
        <v/>
      </c>
      <c r="E66" s="1" t="str">
        <f t="shared" si="0"/>
        <v/>
      </c>
      <c r="F66" s="150" t="str">
        <f t="shared" si="0"/>
        <v/>
      </c>
      <c r="G66" s="1" t="str">
        <f t="shared" si="6"/>
        <v/>
      </c>
      <c r="H66" s="4" t="str">
        <f t="shared" si="7"/>
        <v/>
      </c>
    </row>
    <row r="67" spans="2:8">
      <c r="B67" s="1" t="str">
        <f t="shared" si="5"/>
        <v/>
      </c>
      <c r="E67" s="1" t="str">
        <f t="shared" si="0"/>
        <v/>
      </c>
      <c r="F67" s="150" t="str">
        <f t="shared" si="0"/>
        <v/>
      </c>
      <c r="G67" s="1" t="str">
        <f t="shared" si="6"/>
        <v/>
      </c>
      <c r="H67" s="4" t="str">
        <f t="shared" si="7"/>
        <v/>
      </c>
    </row>
    <row r="68" spans="2:8">
      <c r="B68" s="1" t="str">
        <f t="shared" si="5"/>
        <v/>
      </c>
      <c r="E68" s="1" t="str">
        <f t="shared" si="0"/>
        <v/>
      </c>
      <c r="F68" s="150" t="str">
        <f t="shared" si="0"/>
        <v/>
      </c>
      <c r="G68" s="1" t="str">
        <f t="shared" si="6"/>
        <v/>
      </c>
      <c r="H68" s="4" t="str">
        <f t="shared" si="7"/>
        <v/>
      </c>
    </row>
    <row r="69" spans="2:8">
      <c r="B69" s="1" t="str">
        <f t="shared" si="5"/>
        <v/>
      </c>
      <c r="E69" s="1" t="str">
        <f t="shared" si="0"/>
        <v/>
      </c>
      <c r="F69" s="150" t="str">
        <f t="shared" si="0"/>
        <v/>
      </c>
      <c r="G69" s="1" t="str">
        <f t="shared" si="6"/>
        <v/>
      </c>
      <c r="H69" s="4" t="str">
        <f t="shared" si="7"/>
        <v/>
      </c>
    </row>
    <row r="70" spans="2:8">
      <c r="B70" s="1" t="str">
        <f t="shared" si="5"/>
        <v/>
      </c>
      <c r="E70" s="1" t="str">
        <f t="shared" si="0"/>
        <v/>
      </c>
      <c r="F70" s="150" t="str">
        <f t="shared" si="0"/>
        <v/>
      </c>
      <c r="G70" s="1" t="str">
        <f t="shared" si="6"/>
        <v/>
      </c>
      <c r="H70" s="4" t="str">
        <f t="shared" si="7"/>
        <v/>
      </c>
    </row>
    <row r="71" spans="2:8">
      <c r="B71" s="1" t="str">
        <f t="shared" si="5"/>
        <v/>
      </c>
      <c r="E71" s="1" t="str">
        <f t="shared" si="0"/>
        <v/>
      </c>
      <c r="F71" s="150" t="str">
        <f t="shared" si="0"/>
        <v/>
      </c>
      <c r="G71" s="1" t="str">
        <f t="shared" si="6"/>
        <v/>
      </c>
      <c r="H71" s="4" t="str">
        <f t="shared" si="7"/>
        <v/>
      </c>
    </row>
    <row r="72" spans="2:8">
      <c r="B72" s="1" t="str">
        <f t="shared" si="5"/>
        <v/>
      </c>
      <c r="E72" s="1" t="str">
        <f t="shared" si="0"/>
        <v/>
      </c>
      <c r="F72" s="150" t="str">
        <f t="shared" si="0"/>
        <v/>
      </c>
      <c r="G72" s="1" t="str">
        <f t="shared" si="6"/>
        <v/>
      </c>
      <c r="H72" s="4" t="str">
        <f t="shared" si="7"/>
        <v/>
      </c>
    </row>
    <row r="73" spans="2:8">
      <c r="B73" s="1" t="str">
        <f t="shared" si="5"/>
        <v/>
      </c>
      <c r="E73" s="1" t="str">
        <f t="shared" si="0"/>
        <v/>
      </c>
      <c r="F73" s="150" t="str">
        <f t="shared" si="0"/>
        <v/>
      </c>
      <c r="G73" s="1" t="str">
        <f t="shared" si="6"/>
        <v/>
      </c>
      <c r="H73" s="4" t="str">
        <f t="shared" si="7"/>
        <v/>
      </c>
    </row>
    <row r="74" spans="2:8">
      <c r="B74" s="1" t="str">
        <f t="shared" ref="B74:B137" si="8">IF(C74&lt;&gt;"", ROW()-4, "")</f>
        <v/>
      </c>
      <c r="E74" s="1" t="str">
        <f t="shared" ref="E74:F137" si="9">IF(A74&lt;&gt;"", IF(A74=A73, "", A74), "")</f>
        <v/>
      </c>
      <c r="F74" s="150" t="str">
        <f t="shared" si="9"/>
        <v/>
      </c>
      <c r="G74" s="1" t="str">
        <f t="shared" si="6"/>
        <v/>
      </c>
      <c r="H74" s="4" t="str">
        <f t="shared" si="7"/>
        <v/>
      </c>
    </row>
    <row r="75" spans="2:8">
      <c r="B75" s="1" t="str">
        <f t="shared" si="8"/>
        <v/>
      </c>
      <c r="E75" s="1" t="str">
        <f t="shared" si="9"/>
        <v/>
      </c>
      <c r="F75" s="150" t="str">
        <f t="shared" si="9"/>
        <v/>
      </c>
      <c r="G75" s="1" t="str">
        <f t="shared" si="6"/>
        <v/>
      </c>
      <c r="H75" s="4" t="str">
        <f t="shared" si="7"/>
        <v/>
      </c>
    </row>
    <row r="76" spans="2:8">
      <c r="B76" s="1" t="str">
        <f t="shared" si="8"/>
        <v/>
      </c>
      <c r="E76" s="1" t="str">
        <f t="shared" si="9"/>
        <v/>
      </c>
      <c r="F76" s="150" t="str">
        <f t="shared" si="9"/>
        <v/>
      </c>
      <c r="G76" s="1" t="str">
        <f t="shared" si="6"/>
        <v/>
      </c>
      <c r="H76" s="4" t="str">
        <f t="shared" si="7"/>
        <v/>
      </c>
    </row>
    <row r="77" spans="2:8">
      <c r="B77" s="1" t="str">
        <f t="shared" si="8"/>
        <v/>
      </c>
      <c r="E77" s="1" t="str">
        <f t="shared" si="9"/>
        <v/>
      </c>
      <c r="F77" s="150" t="str">
        <f t="shared" si="9"/>
        <v/>
      </c>
      <c r="G77" s="1" t="str">
        <f t="shared" si="6"/>
        <v/>
      </c>
      <c r="H77" s="4" t="str">
        <f t="shared" si="7"/>
        <v/>
      </c>
    </row>
    <row r="78" spans="2:8">
      <c r="B78" s="1" t="str">
        <f t="shared" si="8"/>
        <v/>
      </c>
      <c r="E78" s="1" t="str">
        <f t="shared" si="9"/>
        <v/>
      </c>
      <c r="F78" s="150" t="str">
        <f t="shared" si="9"/>
        <v/>
      </c>
      <c r="G78" s="1" t="str">
        <f t="shared" si="6"/>
        <v/>
      </c>
      <c r="H78" s="4" t="str">
        <f t="shared" si="7"/>
        <v/>
      </c>
    </row>
    <row r="79" spans="2:8">
      <c r="B79" s="1" t="str">
        <f t="shared" si="8"/>
        <v/>
      </c>
      <c r="E79" s="1" t="str">
        <f t="shared" si="9"/>
        <v/>
      </c>
      <c r="F79" s="150" t="str">
        <f t="shared" si="9"/>
        <v/>
      </c>
      <c r="G79" s="1" t="str">
        <f t="shared" si="6"/>
        <v/>
      </c>
      <c r="H79" s="4" t="str">
        <f t="shared" si="7"/>
        <v/>
      </c>
    </row>
    <row r="80" spans="2:8">
      <c r="B80" s="1" t="str">
        <f t="shared" si="8"/>
        <v/>
      </c>
      <c r="E80" s="1" t="str">
        <f t="shared" si="9"/>
        <v/>
      </c>
      <c r="F80" s="150" t="str">
        <f t="shared" si="9"/>
        <v/>
      </c>
      <c r="G80" s="1" t="str">
        <f t="shared" si="6"/>
        <v/>
      </c>
      <c r="H80" s="4" t="str">
        <f t="shared" si="7"/>
        <v/>
      </c>
    </row>
    <row r="81" spans="2:8">
      <c r="B81" s="1" t="str">
        <f t="shared" si="8"/>
        <v/>
      </c>
      <c r="E81" s="1" t="str">
        <f t="shared" si="9"/>
        <v/>
      </c>
      <c r="F81" s="150" t="str">
        <f t="shared" si="9"/>
        <v/>
      </c>
      <c r="G81" s="1" t="str">
        <f t="shared" si="6"/>
        <v/>
      </c>
      <c r="H81" s="4" t="str">
        <f t="shared" si="7"/>
        <v/>
      </c>
    </row>
    <row r="82" spans="2:8">
      <c r="B82" s="1" t="str">
        <f t="shared" si="8"/>
        <v/>
      </c>
      <c r="E82" s="1" t="str">
        <f t="shared" si="9"/>
        <v/>
      </c>
      <c r="F82" s="150" t="str">
        <f t="shared" si="9"/>
        <v/>
      </c>
      <c r="G82" s="1" t="str">
        <f t="shared" si="6"/>
        <v/>
      </c>
      <c r="H82" s="4" t="str">
        <f t="shared" si="7"/>
        <v/>
      </c>
    </row>
    <row r="83" spans="2:8">
      <c r="B83" s="1" t="str">
        <f t="shared" si="8"/>
        <v/>
      </c>
      <c r="E83" s="1" t="str">
        <f t="shared" si="9"/>
        <v/>
      </c>
      <c r="F83" s="150" t="str">
        <f t="shared" si="9"/>
        <v/>
      </c>
      <c r="G83" s="1" t="str">
        <f t="shared" si="6"/>
        <v/>
      </c>
      <c r="H83" s="4" t="str">
        <f t="shared" si="7"/>
        <v/>
      </c>
    </row>
    <row r="84" spans="2:8">
      <c r="B84" s="1" t="str">
        <f t="shared" si="8"/>
        <v/>
      </c>
      <c r="E84" s="1" t="str">
        <f t="shared" si="9"/>
        <v/>
      </c>
      <c r="F84" s="150" t="str">
        <f t="shared" si="9"/>
        <v/>
      </c>
      <c r="G84" s="1" t="str">
        <f t="shared" ref="G84:G111" si="10">IF(C84&lt;&gt;"", IF(C84=C83, "", C84), "")</f>
        <v/>
      </c>
      <c r="H84" s="4" t="str">
        <f t="shared" ref="H84:H111" si="11">IF(D84&lt;&gt;"", IF(D84=D83, "", D84), "")</f>
        <v/>
      </c>
    </row>
    <row r="85" spans="2:8">
      <c r="B85" s="1" t="str">
        <f t="shared" si="8"/>
        <v/>
      </c>
      <c r="E85" s="1" t="str">
        <f t="shared" si="9"/>
        <v/>
      </c>
      <c r="F85" s="150" t="str">
        <f t="shared" si="9"/>
        <v/>
      </c>
      <c r="G85" s="1" t="str">
        <f t="shared" si="10"/>
        <v/>
      </c>
      <c r="H85" s="4" t="str">
        <f t="shared" si="11"/>
        <v/>
      </c>
    </row>
    <row r="86" spans="2:8">
      <c r="B86" s="1" t="str">
        <f t="shared" si="8"/>
        <v/>
      </c>
      <c r="E86" s="1" t="str">
        <f t="shared" si="9"/>
        <v/>
      </c>
      <c r="F86" s="150" t="str">
        <f t="shared" si="9"/>
        <v/>
      </c>
      <c r="G86" s="1" t="str">
        <f t="shared" si="10"/>
        <v/>
      </c>
      <c r="H86" s="4" t="str">
        <f t="shared" si="11"/>
        <v/>
      </c>
    </row>
    <row r="87" spans="2:8">
      <c r="B87" s="1" t="str">
        <f t="shared" si="8"/>
        <v/>
      </c>
      <c r="E87" s="1" t="str">
        <f t="shared" si="9"/>
        <v/>
      </c>
      <c r="F87" s="150" t="str">
        <f t="shared" si="9"/>
        <v/>
      </c>
      <c r="G87" s="1" t="str">
        <f t="shared" si="10"/>
        <v/>
      </c>
      <c r="H87" s="4" t="str">
        <f t="shared" si="11"/>
        <v/>
      </c>
    </row>
    <row r="88" spans="2:8">
      <c r="B88" s="1" t="str">
        <f t="shared" si="8"/>
        <v/>
      </c>
      <c r="E88" s="1" t="str">
        <f t="shared" si="9"/>
        <v/>
      </c>
      <c r="F88" s="150" t="str">
        <f t="shared" ref="F88:F90" si="12">IF(B88&lt;&gt;"", IF(B88=B87, "", B88), "")</f>
        <v/>
      </c>
      <c r="G88" s="1" t="str">
        <f t="shared" si="10"/>
        <v/>
      </c>
      <c r="H88" s="4" t="str">
        <f t="shared" si="11"/>
        <v/>
      </c>
    </row>
    <row r="89" spans="2:8">
      <c r="B89" s="1" t="str">
        <f t="shared" si="8"/>
        <v/>
      </c>
      <c r="E89" s="1" t="str">
        <f t="shared" si="9"/>
        <v/>
      </c>
      <c r="F89" s="150" t="str">
        <f t="shared" si="12"/>
        <v/>
      </c>
      <c r="G89" s="1" t="str">
        <f t="shared" si="10"/>
        <v/>
      </c>
      <c r="H89" s="4" t="str">
        <f t="shared" si="11"/>
        <v/>
      </c>
    </row>
    <row r="90" spans="2:8">
      <c r="B90" s="1" t="str">
        <f t="shared" si="8"/>
        <v/>
      </c>
      <c r="E90" s="1" t="str">
        <f t="shared" si="9"/>
        <v/>
      </c>
      <c r="F90" s="150" t="str">
        <f t="shared" si="12"/>
        <v/>
      </c>
      <c r="G90" s="1" t="str">
        <f t="shared" si="10"/>
        <v/>
      </c>
      <c r="H90" s="4" t="str">
        <f t="shared" si="11"/>
        <v/>
      </c>
    </row>
    <row r="91" spans="2:8">
      <c r="B91" s="1" t="str">
        <f t="shared" si="8"/>
        <v/>
      </c>
      <c r="E91" s="1" t="str">
        <f t="shared" si="9"/>
        <v/>
      </c>
      <c r="F91" s="150" t="str">
        <f t="shared" si="9"/>
        <v/>
      </c>
      <c r="G91" s="1" t="str">
        <f t="shared" si="10"/>
        <v/>
      </c>
      <c r="H91" s="4" t="str">
        <f t="shared" si="11"/>
        <v/>
      </c>
    </row>
    <row r="92" spans="2:8">
      <c r="B92" s="1" t="str">
        <f t="shared" si="8"/>
        <v/>
      </c>
      <c r="E92" s="1" t="str">
        <f t="shared" si="9"/>
        <v/>
      </c>
      <c r="F92" s="150" t="str">
        <f t="shared" si="9"/>
        <v/>
      </c>
      <c r="G92" s="1" t="str">
        <f t="shared" si="10"/>
        <v/>
      </c>
      <c r="H92" s="4" t="str">
        <f t="shared" si="11"/>
        <v/>
      </c>
    </row>
    <row r="93" spans="2:8">
      <c r="B93" s="1" t="str">
        <f t="shared" si="8"/>
        <v/>
      </c>
      <c r="E93" s="1" t="str">
        <f t="shared" si="9"/>
        <v/>
      </c>
      <c r="F93" s="150" t="str">
        <f t="shared" si="9"/>
        <v/>
      </c>
      <c r="G93" s="1" t="str">
        <f t="shared" si="10"/>
        <v/>
      </c>
      <c r="H93" s="4" t="str">
        <f t="shared" si="11"/>
        <v/>
      </c>
    </row>
    <row r="94" spans="2:8">
      <c r="B94" s="1" t="str">
        <f t="shared" si="8"/>
        <v/>
      </c>
      <c r="E94" s="1" t="str">
        <f t="shared" si="9"/>
        <v/>
      </c>
      <c r="F94" s="150" t="str">
        <f t="shared" si="9"/>
        <v/>
      </c>
      <c r="G94" s="1" t="str">
        <f t="shared" si="10"/>
        <v/>
      </c>
      <c r="H94" s="4" t="str">
        <f t="shared" si="11"/>
        <v/>
      </c>
    </row>
    <row r="95" spans="2:8">
      <c r="B95" s="1" t="str">
        <f t="shared" si="8"/>
        <v/>
      </c>
      <c r="E95" s="1" t="str">
        <f t="shared" si="9"/>
        <v/>
      </c>
      <c r="F95" s="150" t="str">
        <f t="shared" si="9"/>
        <v/>
      </c>
      <c r="G95" s="1" t="str">
        <f t="shared" si="10"/>
        <v/>
      </c>
      <c r="H95" s="4" t="str">
        <f t="shared" si="11"/>
        <v/>
      </c>
    </row>
    <row r="96" spans="2:8">
      <c r="B96" s="1" t="str">
        <f t="shared" si="8"/>
        <v/>
      </c>
      <c r="E96" s="1" t="str">
        <f t="shared" si="9"/>
        <v/>
      </c>
      <c r="F96" s="150" t="str">
        <f t="shared" si="9"/>
        <v/>
      </c>
      <c r="G96" s="1" t="str">
        <f t="shared" si="10"/>
        <v/>
      </c>
      <c r="H96" s="4" t="str">
        <f t="shared" si="11"/>
        <v/>
      </c>
    </row>
    <row r="97" spans="2:8">
      <c r="B97" s="1" t="str">
        <f t="shared" si="8"/>
        <v/>
      </c>
      <c r="E97" s="1" t="str">
        <f t="shared" si="9"/>
        <v/>
      </c>
      <c r="F97" s="150" t="str">
        <f t="shared" si="9"/>
        <v/>
      </c>
      <c r="G97" s="1" t="str">
        <f t="shared" si="10"/>
        <v/>
      </c>
      <c r="H97" s="4" t="str">
        <f t="shared" si="11"/>
        <v/>
      </c>
    </row>
    <row r="98" spans="2:8">
      <c r="B98" s="1" t="str">
        <f t="shared" si="8"/>
        <v/>
      </c>
      <c r="E98" s="1" t="str">
        <f t="shared" si="9"/>
        <v/>
      </c>
      <c r="F98" s="150" t="str">
        <f t="shared" si="9"/>
        <v/>
      </c>
      <c r="G98" s="1" t="str">
        <f t="shared" si="10"/>
        <v/>
      </c>
      <c r="H98" s="4" t="str">
        <f t="shared" si="11"/>
        <v/>
      </c>
    </row>
    <row r="99" spans="2:8">
      <c r="B99" s="1" t="str">
        <f t="shared" si="8"/>
        <v/>
      </c>
      <c r="E99" s="1" t="str">
        <f t="shared" si="9"/>
        <v/>
      </c>
      <c r="F99" s="150" t="str">
        <f t="shared" si="9"/>
        <v/>
      </c>
      <c r="G99" s="1" t="str">
        <f t="shared" si="10"/>
        <v/>
      </c>
      <c r="H99" s="4" t="str">
        <f t="shared" si="11"/>
        <v/>
      </c>
    </row>
    <row r="100" spans="2:8">
      <c r="B100" s="1" t="str">
        <f t="shared" si="8"/>
        <v/>
      </c>
      <c r="E100" s="1" t="str">
        <f t="shared" si="9"/>
        <v/>
      </c>
      <c r="F100" s="150" t="str">
        <f t="shared" si="9"/>
        <v/>
      </c>
      <c r="G100" s="1" t="str">
        <f t="shared" si="10"/>
        <v/>
      </c>
      <c r="H100" s="4" t="str">
        <f t="shared" si="11"/>
        <v/>
      </c>
    </row>
    <row r="101" spans="2:8">
      <c r="B101" s="1" t="str">
        <f t="shared" si="8"/>
        <v/>
      </c>
      <c r="E101" s="1" t="str">
        <f t="shared" si="9"/>
        <v/>
      </c>
      <c r="F101" s="150" t="str">
        <f t="shared" si="9"/>
        <v/>
      </c>
      <c r="G101" s="1" t="str">
        <f t="shared" si="10"/>
        <v/>
      </c>
      <c r="H101" s="4" t="str">
        <f t="shared" si="11"/>
        <v/>
      </c>
    </row>
    <row r="102" spans="2:8">
      <c r="B102" s="1" t="str">
        <f t="shared" si="8"/>
        <v/>
      </c>
      <c r="E102" s="1" t="str">
        <f t="shared" si="9"/>
        <v/>
      </c>
      <c r="F102" s="150" t="str">
        <f t="shared" si="9"/>
        <v/>
      </c>
      <c r="G102" s="1" t="str">
        <f t="shared" si="10"/>
        <v/>
      </c>
      <c r="H102" s="4" t="str">
        <f t="shared" si="11"/>
        <v/>
      </c>
    </row>
    <row r="103" spans="2:8">
      <c r="B103" s="1" t="str">
        <f t="shared" si="8"/>
        <v/>
      </c>
      <c r="E103" s="1" t="str">
        <f t="shared" si="9"/>
        <v/>
      </c>
      <c r="F103" s="150" t="str">
        <f t="shared" si="9"/>
        <v/>
      </c>
      <c r="G103" s="1" t="str">
        <f t="shared" si="10"/>
        <v/>
      </c>
      <c r="H103" s="4" t="str">
        <f t="shared" si="11"/>
        <v/>
      </c>
    </row>
    <row r="104" spans="2:8">
      <c r="B104" s="1" t="str">
        <f t="shared" si="8"/>
        <v/>
      </c>
      <c r="E104" s="1" t="str">
        <f t="shared" si="9"/>
        <v/>
      </c>
      <c r="F104" s="150" t="str">
        <f t="shared" si="9"/>
        <v/>
      </c>
      <c r="G104" s="1" t="str">
        <f t="shared" si="10"/>
        <v/>
      </c>
      <c r="H104" s="4" t="str">
        <f t="shared" si="11"/>
        <v/>
      </c>
    </row>
    <row r="105" spans="2:8">
      <c r="B105" s="1" t="str">
        <f t="shared" si="8"/>
        <v/>
      </c>
      <c r="E105" s="1" t="str">
        <f t="shared" si="9"/>
        <v/>
      </c>
      <c r="F105" s="150" t="str">
        <f t="shared" si="9"/>
        <v/>
      </c>
      <c r="G105" s="1" t="str">
        <f t="shared" si="10"/>
        <v/>
      </c>
      <c r="H105" s="4" t="str">
        <f t="shared" si="11"/>
        <v/>
      </c>
    </row>
    <row r="106" spans="2:8">
      <c r="B106" s="1" t="str">
        <f t="shared" si="8"/>
        <v/>
      </c>
      <c r="E106" s="1" t="str">
        <f t="shared" si="9"/>
        <v/>
      </c>
      <c r="F106" s="150" t="str">
        <f t="shared" si="9"/>
        <v/>
      </c>
      <c r="G106" s="1" t="str">
        <f t="shared" si="10"/>
        <v/>
      </c>
      <c r="H106" s="4" t="str">
        <f t="shared" si="11"/>
        <v/>
      </c>
    </row>
    <row r="107" spans="2:8">
      <c r="B107" s="1" t="str">
        <f t="shared" si="8"/>
        <v/>
      </c>
      <c r="E107" s="1" t="str">
        <f t="shared" si="9"/>
        <v/>
      </c>
      <c r="F107" s="150" t="str">
        <f t="shared" si="9"/>
        <v/>
      </c>
      <c r="G107" s="1" t="str">
        <f t="shared" si="10"/>
        <v/>
      </c>
      <c r="H107" s="4" t="str">
        <f t="shared" si="11"/>
        <v/>
      </c>
    </row>
    <row r="108" spans="2:8">
      <c r="B108" s="1" t="str">
        <f t="shared" si="8"/>
        <v/>
      </c>
      <c r="E108" s="1" t="str">
        <f t="shared" si="9"/>
        <v/>
      </c>
      <c r="F108" s="150" t="str">
        <f t="shared" si="9"/>
        <v/>
      </c>
      <c r="G108" s="1" t="str">
        <f t="shared" si="10"/>
        <v/>
      </c>
      <c r="H108" s="4" t="str">
        <f t="shared" si="11"/>
        <v/>
      </c>
    </row>
    <row r="109" spans="2:8">
      <c r="B109" s="1" t="str">
        <f t="shared" si="8"/>
        <v/>
      </c>
      <c r="E109" s="1" t="str">
        <f t="shared" si="9"/>
        <v/>
      </c>
      <c r="F109" s="150" t="str">
        <f t="shared" si="9"/>
        <v/>
      </c>
      <c r="G109" s="1" t="str">
        <f t="shared" si="10"/>
        <v/>
      </c>
      <c r="H109" s="4" t="str">
        <f t="shared" si="11"/>
        <v/>
      </c>
    </row>
    <row r="110" spans="2:8">
      <c r="B110" s="1" t="str">
        <f t="shared" si="8"/>
        <v/>
      </c>
      <c r="E110" s="1" t="str">
        <f t="shared" si="9"/>
        <v/>
      </c>
      <c r="F110" s="150" t="str">
        <f t="shared" si="9"/>
        <v/>
      </c>
      <c r="G110" s="1" t="str">
        <f t="shared" si="10"/>
        <v/>
      </c>
      <c r="H110" s="4" t="str">
        <f t="shared" si="11"/>
        <v/>
      </c>
    </row>
    <row r="111" spans="2:8">
      <c r="B111" s="1" t="str">
        <f t="shared" si="8"/>
        <v/>
      </c>
      <c r="E111" s="1" t="str">
        <f t="shared" si="9"/>
        <v/>
      </c>
      <c r="F111" s="150" t="str">
        <f t="shared" si="9"/>
        <v/>
      </c>
      <c r="G111" s="1" t="str">
        <f t="shared" si="10"/>
        <v/>
      </c>
      <c r="H111" s="4" t="str">
        <f t="shared" si="11"/>
        <v/>
      </c>
    </row>
    <row r="112" spans="2:8">
      <c r="B112" s="1" t="str">
        <f t="shared" si="8"/>
        <v/>
      </c>
      <c r="E112" s="1" t="str">
        <f t="shared" si="9"/>
        <v/>
      </c>
      <c r="F112" s="150" t="str">
        <f t="shared" si="9"/>
        <v/>
      </c>
      <c r="G112" s="1" t="str">
        <f t="shared" ref="G99:G152" si="13">IF(C112&lt;&gt;"", IF(C112=C111, "", C112), "")</f>
        <v/>
      </c>
      <c r="H112" s="4" t="str">
        <f t="shared" ref="H99:H152" si="14">IF(D112&lt;&gt;"", IF(D112=D111, "", D112), "")</f>
        <v/>
      </c>
    </row>
    <row r="113" spans="2:8">
      <c r="B113" s="1" t="str">
        <f t="shared" si="8"/>
        <v/>
      </c>
      <c r="E113" s="1" t="str">
        <f t="shared" si="9"/>
        <v/>
      </c>
      <c r="F113" s="150" t="str">
        <f t="shared" si="9"/>
        <v/>
      </c>
      <c r="G113" s="1" t="str">
        <f t="shared" si="13"/>
        <v/>
      </c>
      <c r="H113" s="4" t="str">
        <f t="shared" si="14"/>
        <v/>
      </c>
    </row>
    <row r="114" spans="2:8">
      <c r="B114" s="1" t="str">
        <f t="shared" si="8"/>
        <v/>
      </c>
      <c r="E114" s="1" t="str">
        <f t="shared" si="9"/>
        <v/>
      </c>
      <c r="F114" s="150" t="str">
        <f t="shared" si="9"/>
        <v/>
      </c>
      <c r="G114" s="1" t="str">
        <f t="shared" si="13"/>
        <v/>
      </c>
      <c r="H114" s="4" t="str">
        <f t="shared" si="14"/>
        <v/>
      </c>
    </row>
    <row r="115" spans="2:8">
      <c r="B115" s="1" t="str">
        <f t="shared" si="8"/>
        <v/>
      </c>
      <c r="E115" s="1" t="str">
        <f t="shared" si="9"/>
        <v/>
      </c>
      <c r="F115" s="150" t="str">
        <f t="shared" si="9"/>
        <v/>
      </c>
      <c r="G115" s="1" t="str">
        <f t="shared" si="13"/>
        <v/>
      </c>
      <c r="H115" s="4" t="str">
        <f t="shared" si="14"/>
        <v/>
      </c>
    </row>
    <row r="116" spans="2:8">
      <c r="B116" s="1" t="str">
        <f t="shared" si="8"/>
        <v/>
      </c>
      <c r="E116" s="1" t="str">
        <f t="shared" si="9"/>
        <v/>
      </c>
      <c r="F116" s="150" t="str">
        <f t="shared" si="9"/>
        <v/>
      </c>
      <c r="G116" s="1" t="str">
        <f t="shared" si="13"/>
        <v/>
      </c>
      <c r="H116" s="4" t="str">
        <f t="shared" si="14"/>
        <v/>
      </c>
    </row>
    <row r="117" spans="2:8">
      <c r="B117" s="1" t="str">
        <f t="shared" si="8"/>
        <v/>
      </c>
      <c r="E117" s="1" t="str">
        <f t="shared" si="9"/>
        <v/>
      </c>
      <c r="F117" s="150" t="str">
        <f t="shared" si="9"/>
        <v/>
      </c>
      <c r="G117" s="1" t="str">
        <f t="shared" si="13"/>
        <v/>
      </c>
      <c r="H117" s="4" t="str">
        <f t="shared" si="14"/>
        <v/>
      </c>
    </row>
    <row r="118" spans="2:8">
      <c r="B118" s="1" t="str">
        <f t="shared" si="8"/>
        <v/>
      </c>
      <c r="E118" s="1" t="str">
        <f t="shared" si="9"/>
        <v/>
      </c>
      <c r="F118" s="150" t="str">
        <f t="shared" si="9"/>
        <v/>
      </c>
      <c r="G118" s="1" t="str">
        <f t="shared" si="13"/>
        <v/>
      </c>
      <c r="H118" s="4" t="str">
        <f t="shared" si="14"/>
        <v/>
      </c>
    </row>
    <row r="119" spans="2:8">
      <c r="B119" s="1" t="str">
        <f t="shared" si="8"/>
        <v/>
      </c>
      <c r="E119" s="1" t="str">
        <f t="shared" si="9"/>
        <v/>
      </c>
      <c r="F119" s="150" t="str">
        <f t="shared" si="9"/>
        <v/>
      </c>
      <c r="G119" s="1" t="str">
        <f t="shared" si="13"/>
        <v/>
      </c>
      <c r="H119" s="4" t="str">
        <f t="shared" si="14"/>
        <v/>
      </c>
    </row>
    <row r="120" spans="2:8">
      <c r="B120" s="1" t="str">
        <f t="shared" si="8"/>
        <v/>
      </c>
      <c r="E120" s="1" t="str">
        <f t="shared" si="9"/>
        <v/>
      </c>
      <c r="F120" s="150" t="str">
        <f t="shared" si="9"/>
        <v/>
      </c>
      <c r="G120" s="1" t="str">
        <f t="shared" si="13"/>
        <v/>
      </c>
      <c r="H120" s="4" t="str">
        <f t="shared" si="14"/>
        <v/>
      </c>
    </row>
    <row r="121" spans="2:8">
      <c r="B121" s="1" t="str">
        <f t="shared" si="8"/>
        <v/>
      </c>
      <c r="E121" s="1" t="str">
        <f t="shared" si="9"/>
        <v/>
      </c>
      <c r="F121" s="150" t="str">
        <f t="shared" si="9"/>
        <v/>
      </c>
      <c r="G121" s="1" t="str">
        <f t="shared" si="13"/>
        <v/>
      </c>
      <c r="H121" s="4" t="str">
        <f t="shared" si="14"/>
        <v/>
      </c>
    </row>
    <row r="122" spans="2:8">
      <c r="B122" s="1" t="str">
        <f t="shared" si="8"/>
        <v/>
      </c>
      <c r="E122" s="1" t="str">
        <f t="shared" si="9"/>
        <v/>
      </c>
      <c r="F122" s="150" t="str">
        <f t="shared" si="9"/>
        <v/>
      </c>
      <c r="G122" s="1" t="str">
        <f t="shared" si="13"/>
        <v/>
      </c>
      <c r="H122" s="4" t="str">
        <f t="shared" si="14"/>
        <v/>
      </c>
    </row>
    <row r="123" spans="2:8">
      <c r="B123" s="1" t="str">
        <f t="shared" si="8"/>
        <v/>
      </c>
      <c r="E123" s="1" t="str">
        <f t="shared" si="9"/>
        <v/>
      </c>
      <c r="F123" s="150" t="str">
        <f t="shared" si="9"/>
        <v/>
      </c>
      <c r="G123" s="1" t="str">
        <f t="shared" si="13"/>
        <v/>
      </c>
      <c r="H123" s="4" t="str">
        <f t="shared" si="14"/>
        <v/>
      </c>
    </row>
    <row r="124" spans="2:8">
      <c r="B124" s="1" t="str">
        <f t="shared" si="8"/>
        <v/>
      </c>
      <c r="E124" s="1" t="str">
        <f t="shared" si="9"/>
        <v/>
      </c>
      <c r="F124" s="150" t="str">
        <f t="shared" si="9"/>
        <v/>
      </c>
      <c r="G124" s="1" t="str">
        <f t="shared" si="13"/>
        <v/>
      </c>
      <c r="H124" s="4" t="str">
        <f t="shared" si="14"/>
        <v/>
      </c>
    </row>
    <row r="125" spans="2:8">
      <c r="B125" s="1" t="str">
        <f t="shared" si="8"/>
        <v/>
      </c>
      <c r="E125" s="1" t="str">
        <f t="shared" si="9"/>
        <v/>
      </c>
      <c r="F125" s="150" t="str">
        <f t="shared" si="9"/>
        <v/>
      </c>
      <c r="G125" s="1" t="str">
        <f t="shared" si="13"/>
        <v/>
      </c>
      <c r="H125" s="4" t="str">
        <f t="shared" si="14"/>
        <v/>
      </c>
    </row>
    <row r="126" spans="2:8">
      <c r="B126" s="1" t="str">
        <f t="shared" si="8"/>
        <v/>
      </c>
      <c r="E126" s="1" t="str">
        <f t="shared" si="9"/>
        <v/>
      </c>
      <c r="F126" s="150" t="str">
        <f t="shared" si="9"/>
        <v/>
      </c>
      <c r="G126" s="1" t="str">
        <f t="shared" si="13"/>
        <v/>
      </c>
      <c r="H126" s="4" t="str">
        <f t="shared" si="14"/>
        <v/>
      </c>
    </row>
    <row r="127" spans="2:8">
      <c r="B127" s="1" t="str">
        <f t="shared" si="8"/>
        <v/>
      </c>
      <c r="E127" s="1" t="str">
        <f t="shared" si="9"/>
        <v/>
      </c>
      <c r="F127" s="150" t="str">
        <f t="shared" si="9"/>
        <v/>
      </c>
      <c r="G127" s="1" t="str">
        <f t="shared" si="13"/>
        <v/>
      </c>
      <c r="H127" s="4" t="str">
        <f t="shared" si="14"/>
        <v/>
      </c>
    </row>
    <row r="128" spans="2:8">
      <c r="B128" s="1" t="str">
        <f t="shared" si="8"/>
        <v/>
      </c>
      <c r="E128" s="1" t="str">
        <f t="shared" si="9"/>
        <v/>
      </c>
      <c r="F128" s="150" t="str">
        <f t="shared" si="9"/>
        <v/>
      </c>
      <c r="G128" s="1" t="str">
        <f t="shared" si="13"/>
        <v/>
      </c>
      <c r="H128" s="4" t="str">
        <f t="shared" si="14"/>
        <v/>
      </c>
    </row>
    <row r="129" spans="2:8">
      <c r="B129" s="1" t="str">
        <f t="shared" si="8"/>
        <v/>
      </c>
      <c r="E129" s="1" t="str">
        <f t="shared" si="9"/>
        <v/>
      </c>
      <c r="F129" s="150" t="str">
        <f t="shared" si="9"/>
        <v/>
      </c>
      <c r="G129" s="1" t="str">
        <f t="shared" si="13"/>
        <v/>
      </c>
      <c r="H129" s="4" t="str">
        <f t="shared" si="14"/>
        <v/>
      </c>
    </row>
    <row r="130" spans="2:8">
      <c r="B130" s="1" t="str">
        <f t="shared" si="8"/>
        <v/>
      </c>
      <c r="E130" s="1" t="str">
        <f t="shared" si="9"/>
        <v/>
      </c>
      <c r="F130" s="150" t="str">
        <f t="shared" si="9"/>
        <v/>
      </c>
      <c r="G130" s="1" t="str">
        <f t="shared" si="13"/>
        <v/>
      </c>
      <c r="H130" s="4" t="str">
        <f t="shared" si="14"/>
        <v/>
      </c>
    </row>
    <row r="131" spans="2:8">
      <c r="B131" s="1" t="str">
        <f t="shared" si="8"/>
        <v/>
      </c>
      <c r="E131" s="1" t="str">
        <f t="shared" si="9"/>
        <v/>
      </c>
      <c r="F131" s="150" t="str">
        <f t="shared" si="9"/>
        <v/>
      </c>
      <c r="G131" s="1" t="str">
        <f t="shared" si="13"/>
        <v/>
      </c>
      <c r="H131" s="4" t="str">
        <f t="shared" si="14"/>
        <v/>
      </c>
    </row>
    <row r="132" spans="2:8">
      <c r="B132" s="1" t="str">
        <f t="shared" si="8"/>
        <v/>
      </c>
      <c r="E132" s="1" t="str">
        <f t="shared" si="9"/>
        <v/>
      </c>
      <c r="F132" s="150" t="str">
        <f t="shared" si="9"/>
        <v/>
      </c>
      <c r="G132" s="1" t="str">
        <f t="shared" si="13"/>
        <v/>
      </c>
      <c r="H132" s="4" t="str">
        <f t="shared" si="14"/>
        <v/>
      </c>
    </row>
    <row r="133" spans="2:8">
      <c r="B133" s="1" t="str">
        <f t="shared" si="8"/>
        <v/>
      </c>
      <c r="E133" s="1" t="str">
        <f t="shared" si="9"/>
        <v/>
      </c>
      <c r="F133" s="150" t="str">
        <f t="shared" si="9"/>
        <v/>
      </c>
      <c r="G133" s="1" t="str">
        <f t="shared" si="13"/>
        <v/>
      </c>
      <c r="H133" s="4" t="str">
        <f t="shared" si="14"/>
        <v/>
      </c>
    </row>
    <row r="134" spans="2:8">
      <c r="B134" s="1" t="str">
        <f t="shared" si="8"/>
        <v/>
      </c>
      <c r="E134" s="1" t="str">
        <f t="shared" si="9"/>
        <v/>
      </c>
      <c r="F134" s="150" t="str">
        <f t="shared" si="9"/>
        <v/>
      </c>
      <c r="G134" s="1" t="str">
        <f t="shared" si="13"/>
        <v/>
      </c>
      <c r="H134" s="4" t="str">
        <f t="shared" si="14"/>
        <v/>
      </c>
    </row>
    <row r="135" spans="2:8">
      <c r="B135" s="1" t="str">
        <f t="shared" si="8"/>
        <v/>
      </c>
      <c r="E135" s="1" t="str">
        <f t="shared" si="9"/>
        <v/>
      </c>
      <c r="F135" s="150" t="str">
        <f t="shared" si="9"/>
        <v/>
      </c>
      <c r="G135" s="1" t="str">
        <f t="shared" si="13"/>
        <v/>
      </c>
      <c r="H135" s="4" t="str">
        <f t="shared" si="14"/>
        <v/>
      </c>
    </row>
    <row r="136" spans="2:8">
      <c r="B136" s="1" t="str">
        <f t="shared" si="8"/>
        <v/>
      </c>
      <c r="E136" s="1" t="str">
        <f t="shared" si="9"/>
        <v/>
      </c>
      <c r="F136" s="150" t="str">
        <f t="shared" si="9"/>
        <v/>
      </c>
      <c r="G136" s="1" t="str">
        <f t="shared" si="13"/>
        <v/>
      </c>
      <c r="H136" s="4" t="str">
        <f t="shared" si="14"/>
        <v/>
      </c>
    </row>
    <row r="137" spans="2:8">
      <c r="B137" s="1" t="str">
        <f t="shared" si="8"/>
        <v/>
      </c>
      <c r="E137" s="1" t="str">
        <f t="shared" si="9"/>
        <v/>
      </c>
      <c r="F137" s="150" t="str">
        <f t="shared" si="9"/>
        <v/>
      </c>
      <c r="G137" s="1" t="str">
        <f t="shared" si="13"/>
        <v/>
      </c>
      <c r="H137" s="4" t="str">
        <f t="shared" si="14"/>
        <v/>
      </c>
    </row>
    <row r="138" spans="2:8">
      <c r="B138" s="1" t="str">
        <f t="shared" ref="B138:B201" si="15">IF(C138&lt;&gt;"", ROW()-4, "")</f>
        <v/>
      </c>
      <c r="E138" s="1" t="str">
        <f t="shared" ref="E138:F201" si="16">IF(A138&lt;&gt;"", IF(A138=A137, "", A138), "")</f>
        <v/>
      </c>
      <c r="F138" s="150" t="str">
        <f t="shared" si="16"/>
        <v/>
      </c>
      <c r="G138" s="1" t="str">
        <f t="shared" si="13"/>
        <v/>
      </c>
      <c r="H138" s="4" t="str">
        <f t="shared" si="14"/>
        <v/>
      </c>
    </row>
    <row r="139" spans="2:8">
      <c r="B139" s="1" t="str">
        <f t="shared" si="15"/>
        <v/>
      </c>
      <c r="E139" s="1" t="str">
        <f t="shared" si="16"/>
        <v/>
      </c>
      <c r="F139" s="150" t="str">
        <f t="shared" si="16"/>
        <v/>
      </c>
      <c r="G139" s="1" t="str">
        <f t="shared" si="13"/>
        <v/>
      </c>
      <c r="H139" s="4" t="str">
        <f t="shared" si="14"/>
        <v/>
      </c>
    </row>
    <row r="140" spans="2:8">
      <c r="B140" s="1" t="str">
        <f t="shared" si="15"/>
        <v/>
      </c>
      <c r="E140" s="1" t="str">
        <f t="shared" si="16"/>
        <v/>
      </c>
      <c r="F140" s="150" t="str">
        <f t="shared" si="16"/>
        <v/>
      </c>
      <c r="G140" s="1" t="str">
        <f t="shared" si="13"/>
        <v/>
      </c>
      <c r="H140" s="4" t="str">
        <f t="shared" si="14"/>
        <v/>
      </c>
    </row>
    <row r="141" spans="2:8">
      <c r="B141" s="1" t="str">
        <f t="shared" si="15"/>
        <v/>
      </c>
      <c r="E141" s="1" t="str">
        <f t="shared" si="16"/>
        <v/>
      </c>
      <c r="F141" s="150" t="str">
        <f t="shared" si="16"/>
        <v/>
      </c>
      <c r="G141" s="1" t="str">
        <f t="shared" si="13"/>
        <v/>
      </c>
      <c r="H141" s="4" t="str">
        <f t="shared" si="14"/>
        <v/>
      </c>
    </row>
    <row r="142" spans="2:8">
      <c r="B142" s="1" t="str">
        <f t="shared" si="15"/>
        <v/>
      </c>
      <c r="E142" s="1" t="str">
        <f t="shared" si="16"/>
        <v/>
      </c>
      <c r="F142" s="150" t="str">
        <f t="shared" si="16"/>
        <v/>
      </c>
      <c r="G142" s="1" t="str">
        <f t="shared" si="13"/>
        <v/>
      </c>
      <c r="H142" s="4" t="str">
        <f t="shared" si="14"/>
        <v/>
      </c>
    </row>
    <row r="143" spans="2:8">
      <c r="B143" s="1" t="str">
        <f t="shared" si="15"/>
        <v/>
      </c>
      <c r="E143" s="1" t="str">
        <f t="shared" si="16"/>
        <v/>
      </c>
      <c r="F143" s="150" t="str">
        <f t="shared" si="16"/>
        <v/>
      </c>
      <c r="G143" s="1" t="str">
        <f t="shared" si="13"/>
        <v/>
      </c>
      <c r="H143" s="4" t="str">
        <f t="shared" si="14"/>
        <v/>
      </c>
    </row>
    <row r="144" spans="2:8">
      <c r="B144" s="1" t="str">
        <f t="shared" si="15"/>
        <v/>
      </c>
      <c r="E144" s="1" t="str">
        <f t="shared" si="16"/>
        <v/>
      </c>
      <c r="F144" s="150" t="str">
        <f t="shared" si="16"/>
        <v/>
      </c>
      <c r="G144" s="1" t="str">
        <f t="shared" si="13"/>
        <v/>
      </c>
      <c r="H144" s="4" t="str">
        <f t="shared" si="14"/>
        <v/>
      </c>
    </row>
    <row r="145" spans="2:8">
      <c r="B145" s="1" t="str">
        <f t="shared" si="15"/>
        <v/>
      </c>
      <c r="E145" s="1" t="str">
        <f t="shared" si="16"/>
        <v/>
      </c>
      <c r="F145" s="150" t="str">
        <f t="shared" si="16"/>
        <v/>
      </c>
      <c r="G145" s="1" t="str">
        <f t="shared" si="13"/>
        <v/>
      </c>
      <c r="H145" s="4" t="str">
        <f t="shared" si="14"/>
        <v/>
      </c>
    </row>
    <row r="146" spans="2:8">
      <c r="B146" s="1" t="str">
        <f t="shared" si="15"/>
        <v/>
      </c>
      <c r="E146" s="1" t="str">
        <f t="shared" si="16"/>
        <v/>
      </c>
      <c r="F146" s="150" t="str">
        <f t="shared" si="16"/>
        <v/>
      </c>
      <c r="G146" s="1" t="str">
        <f t="shared" si="13"/>
        <v/>
      </c>
      <c r="H146" s="4" t="str">
        <f t="shared" si="14"/>
        <v/>
      </c>
    </row>
    <row r="147" spans="2:8">
      <c r="B147" s="1" t="str">
        <f t="shared" si="15"/>
        <v/>
      </c>
      <c r="E147" s="1" t="str">
        <f t="shared" si="16"/>
        <v/>
      </c>
      <c r="F147" s="150" t="str">
        <f t="shared" si="16"/>
        <v/>
      </c>
      <c r="G147" s="1" t="str">
        <f t="shared" si="13"/>
        <v/>
      </c>
      <c r="H147" s="4" t="str">
        <f t="shared" si="14"/>
        <v/>
      </c>
    </row>
    <row r="148" spans="2:8">
      <c r="B148" s="1" t="str">
        <f t="shared" si="15"/>
        <v/>
      </c>
      <c r="E148" s="1" t="str">
        <f t="shared" si="16"/>
        <v/>
      </c>
      <c r="F148" s="150" t="str">
        <f t="shared" si="16"/>
        <v/>
      </c>
      <c r="G148" s="1" t="str">
        <f t="shared" si="13"/>
        <v/>
      </c>
      <c r="H148" s="4" t="str">
        <f t="shared" si="14"/>
        <v/>
      </c>
    </row>
    <row r="149" spans="2:8">
      <c r="B149" s="1" t="str">
        <f t="shared" si="15"/>
        <v/>
      </c>
      <c r="E149" s="1" t="str">
        <f t="shared" si="16"/>
        <v/>
      </c>
      <c r="F149" s="150" t="str">
        <f t="shared" si="16"/>
        <v/>
      </c>
      <c r="G149" s="1" t="str">
        <f t="shared" si="13"/>
        <v/>
      </c>
      <c r="H149" s="4" t="str">
        <f t="shared" si="14"/>
        <v/>
      </c>
    </row>
    <row r="150" spans="2:8">
      <c r="B150" s="1" t="str">
        <f t="shared" si="15"/>
        <v/>
      </c>
      <c r="E150" s="1" t="str">
        <f t="shared" si="16"/>
        <v/>
      </c>
      <c r="F150" s="150" t="str">
        <f t="shared" si="16"/>
        <v/>
      </c>
      <c r="G150" s="1" t="str">
        <f t="shared" si="13"/>
        <v/>
      </c>
      <c r="H150" s="4" t="str">
        <f t="shared" si="14"/>
        <v/>
      </c>
    </row>
    <row r="151" spans="2:8">
      <c r="B151" s="1" t="str">
        <f t="shared" si="15"/>
        <v/>
      </c>
      <c r="E151" s="1" t="str">
        <f t="shared" si="16"/>
        <v/>
      </c>
      <c r="F151" s="150" t="str">
        <f t="shared" si="16"/>
        <v/>
      </c>
      <c r="G151" s="1" t="str">
        <f t="shared" si="13"/>
        <v/>
      </c>
      <c r="H151" s="4" t="str">
        <f t="shared" si="14"/>
        <v/>
      </c>
    </row>
    <row r="152" spans="2:8">
      <c r="B152" s="1" t="str">
        <f t="shared" si="15"/>
        <v/>
      </c>
      <c r="E152" s="1" t="str">
        <f t="shared" si="16"/>
        <v/>
      </c>
      <c r="F152" s="150" t="str">
        <f t="shared" si="16"/>
        <v/>
      </c>
      <c r="G152" s="1" t="str">
        <f t="shared" si="13"/>
        <v/>
      </c>
      <c r="H152" s="4" t="str">
        <f t="shared" si="14"/>
        <v/>
      </c>
    </row>
    <row r="153" spans="2:8">
      <c r="B153" s="1" t="str">
        <f t="shared" si="15"/>
        <v/>
      </c>
      <c r="E153" s="1" t="str">
        <f t="shared" si="16"/>
        <v/>
      </c>
      <c r="F153" s="150" t="str">
        <f t="shared" si="16"/>
        <v/>
      </c>
      <c r="G153" s="1" t="str">
        <f t="shared" ref="G153:G216" si="17">IF(C153&lt;&gt;"", IF(C153=C152, "", C153), "")</f>
        <v/>
      </c>
      <c r="H153" s="4" t="str">
        <f t="shared" ref="H153:H216" si="18">IF(D153&lt;&gt;"", IF(D153=D152, "", D153), "")</f>
        <v/>
      </c>
    </row>
    <row r="154" spans="2:8">
      <c r="B154" s="1" t="str">
        <f t="shared" si="15"/>
        <v/>
      </c>
      <c r="E154" s="1" t="str">
        <f t="shared" si="16"/>
        <v/>
      </c>
      <c r="F154" s="150" t="str">
        <f t="shared" si="16"/>
        <v/>
      </c>
      <c r="G154" s="1" t="str">
        <f t="shared" si="17"/>
        <v/>
      </c>
      <c r="H154" s="4" t="str">
        <f t="shared" si="18"/>
        <v/>
      </c>
    </row>
    <row r="155" spans="2:8">
      <c r="B155" s="1" t="str">
        <f t="shared" si="15"/>
        <v/>
      </c>
      <c r="E155" s="1" t="str">
        <f t="shared" si="16"/>
        <v/>
      </c>
      <c r="F155" s="150" t="str">
        <f t="shared" si="16"/>
        <v/>
      </c>
      <c r="G155" s="1" t="str">
        <f t="shared" si="17"/>
        <v/>
      </c>
      <c r="H155" s="4" t="str">
        <f t="shared" si="18"/>
        <v/>
      </c>
    </row>
    <row r="156" spans="2:8">
      <c r="B156" s="1" t="str">
        <f t="shared" si="15"/>
        <v/>
      </c>
      <c r="E156" s="1" t="str">
        <f t="shared" si="16"/>
        <v/>
      </c>
      <c r="F156" s="150" t="str">
        <f t="shared" si="16"/>
        <v/>
      </c>
      <c r="G156" s="1" t="str">
        <f t="shared" si="17"/>
        <v/>
      </c>
      <c r="H156" s="4" t="str">
        <f t="shared" si="18"/>
        <v/>
      </c>
    </row>
    <row r="157" spans="2:8">
      <c r="B157" s="1" t="str">
        <f t="shared" si="15"/>
        <v/>
      </c>
      <c r="E157" s="1" t="str">
        <f t="shared" si="16"/>
        <v/>
      </c>
      <c r="F157" s="150" t="str">
        <f t="shared" si="16"/>
        <v/>
      </c>
      <c r="G157" s="1" t="str">
        <f t="shared" si="17"/>
        <v/>
      </c>
      <c r="H157" s="4" t="str">
        <f t="shared" si="18"/>
        <v/>
      </c>
    </row>
    <row r="158" spans="2:8">
      <c r="B158" s="1" t="str">
        <f t="shared" si="15"/>
        <v/>
      </c>
      <c r="E158" s="1" t="str">
        <f t="shared" si="16"/>
        <v/>
      </c>
      <c r="F158" s="150" t="str">
        <f t="shared" si="16"/>
        <v/>
      </c>
      <c r="G158" s="1" t="str">
        <f t="shared" si="17"/>
        <v/>
      </c>
      <c r="H158" s="4" t="str">
        <f t="shared" si="18"/>
        <v/>
      </c>
    </row>
    <row r="159" spans="2:8">
      <c r="B159" s="1" t="str">
        <f t="shared" si="15"/>
        <v/>
      </c>
      <c r="E159" s="1" t="str">
        <f t="shared" si="16"/>
        <v/>
      </c>
      <c r="F159" s="150" t="str">
        <f t="shared" si="16"/>
        <v/>
      </c>
      <c r="G159" s="1" t="str">
        <f t="shared" si="17"/>
        <v/>
      </c>
      <c r="H159" s="4" t="str">
        <f t="shared" si="18"/>
        <v/>
      </c>
    </row>
    <row r="160" spans="2:8">
      <c r="B160" s="1" t="str">
        <f t="shared" si="15"/>
        <v/>
      </c>
      <c r="E160" s="1" t="str">
        <f t="shared" si="16"/>
        <v/>
      </c>
      <c r="F160" s="150" t="str">
        <f t="shared" si="16"/>
        <v/>
      </c>
      <c r="G160" s="1" t="str">
        <f t="shared" si="17"/>
        <v/>
      </c>
      <c r="H160" s="4" t="str">
        <f t="shared" si="18"/>
        <v/>
      </c>
    </row>
    <row r="161" spans="2:8">
      <c r="B161" s="1" t="str">
        <f t="shared" si="15"/>
        <v/>
      </c>
      <c r="E161" s="1" t="str">
        <f t="shared" si="16"/>
        <v/>
      </c>
      <c r="F161" s="150" t="str">
        <f t="shared" si="16"/>
        <v/>
      </c>
      <c r="G161" s="1" t="str">
        <f t="shared" si="17"/>
        <v/>
      </c>
      <c r="H161" s="4" t="str">
        <f t="shared" si="18"/>
        <v/>
      </c>
    </row>
    <row r="162" spans="2:8">
      <c r="B162" s="1" t="str">
        <f t="shared" si="15"/>
        <v/>
      </c>
      <c r="E162" s="1" t="str">
        <f t="shared" si="16"/>
        <v/>
      </c>
      <c r="F162" s="150" t="str">
        <f t="shared" si="16"/>
        <v/>
      </c>
      <c r="G162" s="1" t="str">
        <f t="shared" si="17"/>
        <v/>
      </c>
      <c r="H162" s="4" t="str">
        <f t="shared" si="18"/>
        <v/>
      </c>
    </row>
    <row r="163" spans="2:8">
      <c r="B163" s="1" t="str">
        <f t="shared" si="15"/>
        <v/>
      </c>
      <c r="E163" s="1" t="str">
        <f t="shared" si="16"/>
        <v/>
      </c>
      <c r="F163" s="150" t="str">
        <f t="shared" si="16"/>
        <v/>
      </c>
      <c r="G163" s="1" t="str">
        <f t="shared" si="17"/>
        <v/>
      </c>
      <c r="H163" s="4" t="str">
        <f t="shared" si="18"/>
        <v/>
      </c>
    </row>
    <row r="164" spans="2:8">
      <c r="B164" s="1" t="str">
        <f t="shared" si="15"/>
        <v/>
      </c>
      <c r="E164" s="1" t="str">
        <f t="shared" si="16"/>
        <v/>
      </c>
      <c r="F164" s="150" t="str">
        <f t="shared" si="16"/>
        <v/>
      </c>
      <c r="G164" s="1" t="str">
        <f t="shared" si="17"/>
        <v/>
      </c>
      <c r="H164" s="4" t="str">
        <f t="shared" si="18"/>
        <v/>
      </c>
    </row>
    <row r="165" spans="2:8">
      <c r="B165" s="1" t="str">
        <f t="shared" si="15"/>
        <v/>
      </c>
      <c r="E165" s="1" t="str">
        <f t="shared" si="16"/>
        <v/>
      </c>
      <c r="F165" s="150" t="str">
        <f t="shared" si="16"/>
        <v/>
      </c>
      <c r="G165" s="1" t="str">
        <f t="shared" si="17"/>
        <v/>
      </c>
      <c r="H165" s="4" t="str">
        <f t="shared" si="18"/>
        <v/>
      </c>
    </row>
    <row r="166" spans="2:8">
      <c r="B166" s="1" t="str">
        <f t="shared" si="15"/>
        <v/>
      </c>
      <c r="E166" s="1" t="str">
        <f t="shared" si="16"/>
        <v/>
      </c>
      <c r="F166" s="150" t="str">
        <f t="shared" si="16"/>
        <v/>
      </c>
      <c r="G166" s="1" t="str">
        <f t="shared" si="17"/>
        <v/>
      </c>
      <c r="H166" s="4" t="str">
        <f t="shared" si="18"/>
        <v/>
      </c>
    </row>
    <row r="167" spans="2:8">
      <c r="B167" s="1" t="str">
        <f t="shared" si="15"/>
        <v/>
      </c>
      <c r="E167" s="1" t="str">
        <f t="shared" si="16"/>
        <v/>
      </c>
      <c r="F167" s="150" t="str">
        <f t="shared" si="16"/>
        <v/>
      </c>
      <c r="G167" s="1" t="str">
        <f t="shared" si="17"/>
        <v/>
      </c>
      <c r="H167" s="4" t="str">
        <f t="shared" si="18"/>
        <v/>
      </c>
    </row>
    <row r="168" spans="2:8">
      <c r="B168" s="1" t="str">
        <f t="shared" si="15"/>
        <v/>
      </c>
      <c r="E168" s="1" t="str">
        <f t="shared" si="16"/>
        <v/>
      </c>
      <c r="F168" s="150" t="str">
        <f t="shared" si="16"/>
        <v/>
      </c>
      <c r="G168" s="1" t="str">
        <f t="shared" si="17"/>
        <v/>
      </c>
      <c r="H168" s="4" t="str">
        <f t="shared" si="18"/>
        <v/>
      </c>
    </row>
    <row r="169" spans="2:8">
      <c r="B169" s="1" t="str">
        <f t="shared" si="15"/>
        <v/>
      </c>
      <c r="E169" s="1" t="str">
        <f t="shared" si="16"/>
        <v/>
      </c>
      <c r="F169" s="150" t="str">
        <f t="shared" si="16"/>
        <v/>
      </c>
      <c r="G169" s="1" t="str">
        <f t="shared" si="17"/>
        <v/>
      </c>
      <c r="H169" s="4" t="str">
        <f t="shared" si="18"/>
        <v/>
      </c>
    </row>
    <row r="170" spans="2:8">
      <c r="B170" s="1" t="str">
        <f t="shared" si="15"/>
        <v/>
      </c>
      <c r="E170" s="1" t="str">
        <f t="shared" si="16"/>
        <v/>
      </c>
      <c r="F170" s="150" t="str">
        <f t="shared" si="16"/>
        <v/>
      </c>
      <c r="G170" s="1" t="str">
        <f t="shared" si="17"/>
        <v/>
      </c>
      <c r="H170" s="4" t="str">
        <f t="shared" si="18"/>
        <v/>
      </c>
    </row>
    <row r="171" spans="2:8">
      <c r="B171" s="1" t="str">
        <f t="shared" si="15"/>
        <v/>
      </c>
      <c r="E171" s="1" t="str">
        <f t="shared" si="16"/>
        <v/>
      </c>
      <c r="F171" s="150" t="str">
        <f t="shared" si="16"/>
        <v/>
      </c>
      <c r="G171" s="1" t="str">
        <f t="shared" si="17"/>
        <v/>
      </c>
      <c r="H171" s="4" t="str">
        <f t="shared" si="18"/>
        <v/>
      </c>
    </row>
    <row r="172" spans="2:8">
      <c r="B172" s="1" t="str">
        <f t="shared" si="15"/>
        <v/>
      </c>
      <c r="E172" s="1" t="str">
        <f t="shared" si="16"/>
        <v/>
      </c>
      <c r="F172" s="150" t="str">
        <f t="shared" si="16"/>
        <v/>
      </c>
      <c r="G172" s="1" t="str">
        <f t="shared" si="17"/>
        <v/>
      </c>
      <c r="H172" s="4" t="str">
        <f t="shared" si="18"/>
        <v/>
      </c>
    </row>
    <row r="173" spans="2:8">
      <c r="B173" s="1" t="str">
        <f t="shared" si="15"/>
        <v/>
      </c>
      <c r="E173" s="1" t="str">
        <f t="shared" si="16"/>
        <v/>
      </c>
      <c r="F173" s="150" t="str">
        <f t="shared" si="16"/>
        <v/>
      </c>
      <c r="G173" s="1" t="str">
        <f t="shared" si="17"/>
        <v/>
      </c>
      <c r="H173" s="4" t="str">
        <f t="shared" si="18"/>
        <v/>
      </c>
    </row>
    <row r="174" spans="2:8">
      <c r="B174" s="1" t="str">
        <f t="shared" si="15"/>
        <v/>
      </c>
      <c r="E174" s="1" t="str">
        <f t="shared" si="16"/>
        <v/>
      </c>
      <c r="F174" s="150" t="str">
        <f t="shared" si="16"/>
        <v/>
      </c>
      <c r="G174" s="1" t="str">
        <f t="shared" si="17"/>
        <v/>
      </c>
      <c r="H174" s="4" t="str">
        <f t="shared" si="18"/>
        <v/>
      </c>
    </row>
    <row r="175" spans="2:8">
      <c r="B175" s="1" t="str">
        <f t="shared" si="15"/>
        <v/>
      </c>
      <c r="E175" s="1" t="str">
        <f t="shared" si="16"/>
        <v/>
      </c>
      <c r="F175" s="150" t="str">
        <f t="shared" ref="F175:F216" si="19">IF(B175&lt;&gt;"", IF(B175=B174, "", B175), "")</f>
        <v/>
      </c>
      <c r="G175" s="1" t="str">
        <f t="shared" si="17"/>
        <v/>
      </c>
      <c r="H175" s="4" t="str">
        <f t="shared" si="18"/>
        <v/>
      </c>
    </row>
    <row r="176" spans="2:8">
      <c r="B176" s="1" t="str">
        <f t="shared" si="15"/>
        <v/>
      </c>
      <c r="E176" s="1" t="str">
        <f t="shared" si="16"/>
        <v/>
      </c>
      <c r="F176" s="150" t="str">
        <f t="shared" si="19"/>
        <v/>
      </c>
      <c r="G176" s="1" t="str">
        <f t="shared" si="17"/>
        <v/>
      </c>
      <c r="H176" s="4" t="str">
        <f t="shared" si="18"/>
        <v/>
      </c>
    </row>
    <row r="177" spans="2:8">
      <c r="B177" s="1" t="str">
        <f t="shared" si="15"/>
        <v/>
      </c>
      <c r="E177" s="1" t="str">
        <f t="shared" si="16"/>
        <v/>
      </c>
      <c r="F177" s="150" t="str">
        <f t="shared" si="19"/>
        <v/>
      </c>
      <c r="G177" s="1" t="str">
        <f t="shared" si="17"/>
        <v/>
      </c>
      <c r="H177" s="4" t="str">
        <f t="shared" si="18"/>
        <v/>
      </c>
    </row>
    <row r="178" spans="2:8">
      <c r="B178" s="1" t="str">
        <f t="shared" si="15"/>
        <v/>
      </c>
      <c r="E178" s="1" t="str">
        <f t="shared" si="16"/>
        <v/>
      </c>
      <c r="F178" s="150" t="str">
        <f t="shared" si="19"/>
        <v/>
      </c>
      <c r="G178" s="1" t="str">
        <f t="shared" si="17"/>
        <v/>
      </c>
      <c r="H178" s="4" t="str">
        <f t="shared" si="18"/>
        <v/>
      </c>
    </row>
    <row r="179" spans="2:8">
      <c r="B179" s="1" t="str">
        <f t="shared" si="15"/>
        <v/>
      </c>
      <c r="E179" s="1" t="str">
        <f t="shared" si="16"/>
        <v/>
      </c>
      <c r="F179" s="150" t="str">
        <f t="shared" si="19"/>
        <v/>
      </c>
      <c r="G179" s="1" t="str">
        <f t="shared" si="17"/>
        <v/>
      </c>
      <c r="H179" s="4" t="str">
        <f t="shared" si="18"/>
        <v/>
      </c>
    </row>
    <row r="180" spans="2:8">
      <c r="B180" s="1" t="str">
        <f t="shared" si="15"/>
        <v/>
      </c>
      <c r="E180" s="1" t="str">
        <f t="shared" si="16"/>
        <v/>
      </c>
      <c r="F180" s="150" t="str">
        <f t="shared" si="19"/>
        <v/>
      </c>
      <c r="G180" s="1" t="str">
        <f t="shared" si="17"/>
        <v/>
      </c>
      <c r="H180" s="4" t="str">
        <f t="shared" si="18"/>
        <v/>
      </c>
    </row>
    <row r="181" spans="2:8">
      <c r="B181" s="1" t="str">
        <f t="shared" si="15"/>
        <v/>
      </c>
      <c r="E181" s="1" t="str">
        <f t="shared" si="16"/>
        <v/>
      </c>
      <c r="F181" s="150" t="str">
        <f t="shared" si="19"/>
        <v/>
      </c>
      <c r="G181" s="1" t="str">
        <f t="shared" si="17"/>
        <v/>
      </c>
      <c r="H181" s="4" t="str">
        <f t="shared" si="18"/>
        <v/>
      </c>
    </row>
    <row r="182" spans="2:8">
      <c r="B182" s="1" t="str">
        <f t="shared" si="15"/>
        <v/>
      </c>
      <c r="E182" s="1" t="str">
        <f t="shared" si="16"/>
        <v/>
      </c>
      <c r="F182" s="150" t="str">
        <f t="shared" si="19"/>
        <v/>
      </c>
      <c r="G182" s="1" t="str">
        <f t="shared" si="17"/>
        <v/>
      </c>
      <c r="H182" s="4" t="str">
        <f t="shared" si="18"/>
        <v/>
      </c>
    </row>
    <row r="183" spans="2:8">
      <c r="B183" s="1" t="str">
        <f t="shared" si="15"/>
        <v/>
      </c>
      <c r="E183" s="1" t="str">
        <f t="shared" si="16"/>
        <v/>
      </c>
      <c r="F183" s="150" t="str">
        <f t="shared" si="19"/>
        <v/>
      </c>
      <c r="G183" s="1" t="str">
        <f t="shared" si="17"/>
        <v/>
      </c>
      <c r="H183" s="4" t="str">
        <f t="shared" si="18"/>
        <v/>
      </c>
    </row>
    <row r="184" spans="2:8">
      <c r="B184" s="1" t="str">
        <f t="shared" si="15"/>
        <v/>
      </c>
      <c r="E184" s="1" t="str">
        <f t="shared" si="16"/>
        <v/>
      </c>
      <c r="F184" s="150" t="str">
        <f t="shared" si="19"/>
        <v/>
      </c>
      <c r="G184" s="1" t="str">
        <f t="shared" si="17"/>
        <v/>
      </c>
      <c r="H184" s="4" t="str">
        <f t="shared" si="18"/>
        <v/>
      </c>
    </row>
    <row r="185" spans="2:8">
      <c r="B185" s="1" t="str">
        <f t="shared" si="15"/>
        <v/>
      </c>
      <c r="E185" s="1" t="str">
        <f t="shared" si="16"/>
        <v/>
      </c>
      <c r="F185" s="150" t="str">
        <f t="shared" si="19"/>
        <v/>
      </c>
      <c r="G185" s="1" t="str">
        <f t="shared" si="17"/>
        <v/>
      </c>
      <c r="H185" s="4" t="str">
        <f t="shared" si="18"/>
        <v/>
      </c>
    </row>
    <row r="186" spans="2:8">
      <c r="B186" s="1" t="str">
        <f t="shared" si="15"/>
        <v/>
      </c>
      <c r="E186" s="1" t="str">
        <f t="shared" si="16"/>
        <v/>
      </c>
      <c r="F186" s="150" t="str">
        <f t="shared" si="19"/>
        <v/>
      </c>
      <c r="G186" s="1" t="str">
        <f t="shared" si="17"/>
        <v/>
      </c>
      <c r="H186" s="4" t="str">
        <f t="shared" si="18"/>
        <v/>
      </c>
    </row>
    <row r="187" spans="2:8">
      <c r="B187" s="1" t="str">
        <f t="shared" si="15"/>
        <v/>
      </c>
      <c r="E187" s="1" t="str">
        <f t="shared" si="16"/>
        <v/>
      </c>
      <c r="F187" s="150" t="str">
        <f t="shared" si="19"/>
        <v/>
      </c>
      <c r="G187" s="1" t="str">
        <f t="shared" si="17"/>
        <v/>
      </c>
      <c r="H187" s="4" t="str">
        <f t="shared" si="18"/>
        <v/>
      </c>
    </row>
    <row r="188" spans="2:8">
      <c r="B188" s="1" t="str">
        <f t="shared" si="15"/>
        <v/>
      </c>
      <c r="E188" s="1" t="str">
        <f t="shared" si="16"/>
        <v/>
      </c>
      <c r="F188" s="150" t="str">
        <f t="shared" si="19"/>
        <v/>
      </c>
      <c r="G188" s="1" t="str">
        <f t="shared" si="17"/>
        <v/>
      </c>
      <c r="H188" s="4" t="str">
        <f t="shared" si="18"/>
        <v/>
      </c>
    </row>
    <row r="189" spans="2:8">
      <c r="B189" s="1" t="str">
        <f t="shared" si="15"/>
        <v/>
      </c>
      <c r="E189" s="1" t="str">
        <f t="shared" si="16"/>
        <v/>
      </c>
      <c r="F189" s="150" t="str">
        <f t="shared" si="19"/>
        <v/>
      </c>
      <c r="G189" s="1" t="str">
        <f t="shared" si="17"/>
        <v/>
      </c>
      <c r="H189" s="4" t="str">
        <f t="shared" si="18"/>
        <v/>
      </c>
    </row>
    <row r="190" spans="2:8">
      <c r="B190" s="1" t="str">
        <f t="shared" si="15"/>
        <v/>
      </c>
      <c r="E190" s="1" t="str">
        <f t="shared" si="16"/>
        <v/>
      </c>
      <c r="F190" s="150" t="str">
        <f t="shared" si="19"/>
        <v/>
      </c>
      <c r="G190" s="1" t="str">
        <f t="shared" si="17"/>
        <v/>
      </c>
      <c r="H190" s="4" t="str">
        <f t="shared" si="18"/>
        <v/>
      </c>
    </row>
    <row r="191" spans="2:8">
      <c r="B191" s="1" t="str">
        <f t="shared" si="15"/>
        <v/>
      </c>
      <c r="E191" s="1" t="str">
        <f t="shared" si="16"/>
        <v/>
      </c>
      <c r="F191" s="150" t="str">
        <f t="shared" si="19"/>
        <v/>
      </c>
      <c r="G191" s="1" t="str">
        <f t="shared" si="17"/>
        <v/>
      </c>
      <c r="H191" s="4" t="str">
        <f t="shared" si="18"/>
        <v/>
      </c>
    </row>
    <row r="192" spans="2:8">
      <c r="B192" s="1" t="str">
        <f t="shared" si="15"/>
        <v/>
      </c>
      <c r="E192" s="1" t="str">
        <f t="shared" si="16"/>
        <v/>
      </c>
      <c r="F192" s="150" t="str">
        <f t="shared" si="19"/>
        <v/>
      </c>
      <c r="G192" s="1" t="str">
        <f t="shared" si="17"/>
        <v/>
      </c>
      <c r="H192" s="4" t="str">
        <f t="shared" si="18"/>
        <v/>
      </c>
    </row>
    <row r="193" spans="2:8">
      <c r="B193" s="1" t="str">
        <f t="shared" si="15"/>
        <v/>
      </c>
      <c r="E193" s="1" t="str">
        <f t="shared" si="16"/>
        <v/>
      </c>
      <c r="F193" s="150" t="str">
        <f t="shared" si="19"/>
        <v/>
      </c>
      <c r="G193" s="1" t="str">
        <f t="shared" si="17"/>
        <v/>
      </c>
      <c r="H193" s="4" t="str">
        <f t="shared" si="18"/>
        <v/>
      </c>
    </row>
    <row r="194" spans="2:8">
      <c r="B194" s="1" t="str">
        <f t="shared" si="15"/>
        <v/>
      </c>
      <c r="E194" s="1" t="str">
        <f t="shared" si="16"/>
        <v/>
      </c>
      <c r="F194" s="150" t="str">
        <f t="shared" si="19"/>
        <v/>
      </c>
      <c r="G194" s="1" t="str">
        <f t="shared" si="17"/>
        <v/>
      </c>
      <c r="H194" s="4" t="str">
        <f t="shared" si="18"/>
        <v/>
      </c>
    </row>
    <row r="195" spans="2:8">
      <c r="B195" s="1" t="str">
        <f t="shared" si="15"/>
        <v/>
      </c>
      <c r="E195" s="1" t="str">
        <f t="shared" si="16"/>
        <v/>
      </c>
      <c r="F195" s="150" t="str">
        <f t="shared" si="19"/>
        <v/>
      </c>
      <c r="G195" s="1" t="str">
        <f t="shared" si="17"/>
        <v/>
      </c>
      <c r="H195" s="4" t="str">
        <f t="shared" si="18"/>
        <v/>
      </c>
    </row>
    <row r="196" spans="2:8">
      <c r="B196" s="1" t="str">
        <f t="shared" si="15"/>
        <v/>
      </c>
      <c r="E196" s="1" t="str">
        <f t="shared" si="16"/>
        <v/>
      </c>
      <c r="F196" s="150" t="str">
        <f t="shared" si="19"/>
        <v/>
      </c>
      <c r="G196" s="1" t="str">
        <f t="shared" si="17"/>
        <v/>
      </c>
      <c r="H196" s="4" t="str">
        <f t="shared" si="18"/>
        <v/>
      </c>
    </row>
    <row r="197" spans="2:8">
      <c r="B197" s="1" t="str">
        <f t="shared" si="15"/>
        <v/>
      </c>
      <c r="E197" s="1" t="str">
        <f t="shared" si="16"/>
        <v/>
      </c>
      <c r="F197" s="150" t="str">
        <f t="shared" si="19"/>
        <v/>
      </c>
      <c r="G197" s="1" t="str">
        <f t="shared" si="17"/>
        <v/>
      </c>
      <c r="H197" s="4" t="str">
        <f t="shared" si="18"/>
        <v/>
      </c>
    </row>
    <row r="198" spans="2:8">
      <c r="B198" s="1" t="str">
        <f t="shared" si="15"/>
        <v/>
      </c>
      <c r="E198" s="1" t="str">
        <f t="shared" si="16"/>
        <v/>
      </c>
      <c r="F198" s="150" t="str">
        <f t="shared" si="19"/>
        <v/>
      </c>
      <c r="G198" s="1" t="str">
        <f t="shared" si="17"/>
        <v/>
      </c>
      <c r="H198" s="4" t="str">
        <f t="shared" si="18"/>
        <v/>
      </c>
    </row>
    <row r="199" spans="2:8">
      <c r="B199" s="1" t="str">
        <f t="shared" si="15"/>
        <v/>
      </c>
      <c r="E199" s="1" t="str">
        <f t="shared" si="16"/>
        <v/>
      </c>
      <c r="F199" s="150" t="str">
        <f t="shared" si="19"/>
        <v/>
      </c>
      <c r="G199" s="1" t="str">
        <f t="shared" si="17"/>
        <v/>
      </c>
      <c r="H199" s="4" t="str">
        <f t="shared" si="18"/>
        <v/>
      </c>
    </row>
    <row r="200" spans="2:8">
      <c r="B200" s="1" t="str">
        <f t="shared" si="15"/>
        <v/>
      </c>
      <c r="E200" s="1" t="str">
        <f t="shared" si="16"/>
        <v/>
      </c>
      <c r="F200" s="150" t="str">
        <f t="shared" si="19"/>
        <v/>
      </c>
      <c r="G200" s="1" t="str">
        <f t="shared" si="17"/>
        <v/>
      </c>
      <c r="H200" s="4" t="str">
        <f t="shared" si="18"/>
        <v/>
      </c>
    </row>
    <row r="201" spans="2:8">
      <c r="B201" s="1" t="str">
        <f t="shared" si="15"/>
        <v/>
      </c>
      <c r="E201" s="1" t="str">
        <f t="shared" si="16"/>
        <v/>
      </c>
      <c r="F201" s="150" t="str">
        <f t="shared" si="19"/>
        <v/>
      </c>
      <c r="G201" s="1" t="str">
        <f t="shared" si="17"/>
        <v/>
      </c>
      <c r="H201" s="4" t="str">
        <f t="shared" si="18"/>
        <v/>
      </c>
    </row>
    <row r="202" spans="2:8">
      <c r="B202" s="1" t="str">
        <f t="shared" ref="B202:B203" si="20">IF(C202&lt;&gt;"", ROW()-4, "")</f>
        <v/>
      </c>
      <c r="E202" s="1" t="str">
        <f t="shared" ref="E202:E265" si="21">IF(A202&lt;&gt;"", IF(A202=A201, "", A202), "")</f>
        <v/>
      </c>
      <c r="F202" s="150" t="str">
        <f t="shared" si="19"/>
        <v/>
      </c>
      <c r="G202" s="1" t="str">
        <f t="shared" si="17"/>
        <v/>
      </c>
      <c r="H202" s="4" t="str">
        <f t="shared" si="18"/>
        <v/>
      </c>
    </row>
    <row r="203" spans="2:8">
      <c r="B203" s="1" t="str">
        <f t="shared" si="20"/>
        <v/>
      </c>
      <c r="E203" s="1" t="str">
        <f t="shared" si="21"/>
        <v/>
      </c>
      <c r="F203" s="150" t="str">
        <f t="shared" si="19"/>
        <v/>
      </c>
      <c r="G203" s="1" t="str">
        <f t="shared" si="17"/>
        <v/>
      </c>
      <c r="H203" s="4" t="str">
        <f t="shared" si="18"/>
        <v/>
      </c>
    </row>
    <row r="204" spans="2:8">
      <c r="E204" s="1" t="str">
        <f t="shared" si="21"/>
        <v/>
      </c>
      <c r="F204" s="150" t="str">
        <f t="shared" si="19"/>
        <v/>
      </c>
      <c r="G204" s="1" t="str">
        <f t="shared" si="17"/>
        <v/>
      </c>
      <c r="H204" s="4" t="str">
        <f t="shared" si="18"/>
        <v/>
      </c>
    </row>
    <row r="205" spans="2:8">
      <c r="E205" s="1" t="str">
        <f t="shared" si="21"/>
        <v/>
      </c>
      <c r="F205" s="150" t="str">
        <f t="shared" si="19"/>
        <v/>
      </c>
      <c r="G205" s="1" t="str">
        <f t="shared" si="17"/>
        <v/>
      </c>
      <c r="H205" s="4" t="str">
        <f t="shared" si="18"/>
        <v/>
      </c>
    </row>
    <row r="206" spans="2:8">
      <c r="E206" s="1" t="str">
        <f t="shared" si="21"/>
        <v/>
      </c>
      <c r="F206" s="150" t="str">
        <f t="shared" si="19"/>
        <v/>
      </c>
      <c r="G206" s="1" t="str">
        <f t="shared" si="17"/>
        <v/>
      </c>
      <c r="H206" s="4" t="str">
        <f t="shared" si="18"/>
        <v/>
      </c>
    </row>
    <row r="207" spans="2:8">
      <c r="E207" s="1" t="str">
        <f t="shared" si="21"/>
        <v/>
      </c>
      <c r="F207" s="150" t="str">
        <f t="shared" si="19"/>
        <v/>
      </c>
      <c r="G207" s="1" t="str">
        <f t="shared" si="17"/>
        <v/>
      </c>
      <c r="H207" s="4" t="str">
        <f t="shared" si="18"/>
        <v/>
      </c>
    </row>
    <row r="208" spans="2:8">
      <c r="E208" s="1" t="str">
        <f t="shared" si="21"/>
        <v/>
      </c>
      <c r="F208" s="150" t="str">
        <f t="shared" si="19"/>
        <v/>
      </c>
      <c r="G208" s="1" t="str">
        <f t="shared" si="17"/>
        <v/>
      </c>
      <c r="H208" s="4" t="str">
        <f t="shared" si="18"/>
        <v/>
      </c>
    </row>
    <row r="209" spans="5:8">
      <c r="E209" s="1" t="str">
        <f t="shared" si="21"/>
        <v/>
      </c>
      <c r="F209" s="150" t="str">
        <f t="shared" si="19"/>
        <v/>
      </c>
      <c r="G209" s="1" t="str">
        <f t="shared" si="17"/>
        <v/>
      </c>
      <c r="H209" s="4" t="str">
        <f t="shared" si="18"/>
        <v/>
      </c>
    </row>
    <row r="210" spans="5:8">
      <c r="E210" s="1" t="str">
        <f t="shared" si="21"/>
        <v/>
      </c>
      <c r="F210" s="150" t="str">
        <f t="shared" si="19"/>
        <v/>
      </c>
      <c r="G210" s="1" t="str">
        <f t="shared" si="17"/>
        <v/>
      </c>
      <c r="H210" s="4" t="str">
        <f t="shared" si="18"/>
        <v/>
      </c>
    </row>
    <row r="211" spans="5:8">
      <c r="E211" s="1" t="str">
        <f t="shared" si="21"/>
        <v/>
      </c>
      <c r="F211" s="150" t="str">
        <f t="shared" si="19"/>
        <v/>
      </c>
      <c r="G211" s="1" t="str">
        <f t="shared" si="17"/>
        <v/>
      </c>
      <c r="H211" s="4" t="str">
        <f t="shared" si="18"/>
        <v/>
      </c>
    </row>
    <row r="212" spans="5:8">
      <c r="E212" s="1" t="str">
        <f t="shared" si="21"/>
        <v/>
      </c>
      <c r="F212" s="150" t="str">
        <f t="shared" si="19"/>
        <v/>
      </c>
      <c r="G212" s="1" t="str">
        <f t="shared" si="17"/>
        <v/>
      </c>
      <c r="H212" s="4" t="str">
        <f t="shared" si="18"/>
        <v/>
      </c>
    </row>
    <row r="213" spans="5:8">
      <c r="E213" s="1" t="str">
        <f t="shared" si="21"/>
        <v/>
      </c>
      <c r="F213" s="150" t="str">
        <f t="shared" si="19"/>
        <v/>
      </c>
      <c r="G213" s="1" t="str">
        <f t="shared" si="17"/>
        <v/>
      </c>
      <c r="H213" s="4" t="str">
        <f t="shared" si="18"/>
        <v/>
      </c>
    </row>
    <row r="214" spans="5:8">
      <c r="E214" s="1" t="str">
        <f t="shared" si="21"/>
        <v/>
      </c>
      <c r="F214" s="150" t="str">
        <f t="shared" si="19"/>
        <v/>
      </c>
      <c r="G214" s="1" t="str">
        <f t="shared" si="17"/>
        <v/>
      </c>
      <c r="H214" s="4" t="str">
        <f t="shared" si="18"/>
        <v/>
      </c>
    </row>
    <row r="215" spans="5:8">
      <c r="E215" s="1" t="str">
        <f t="shared" si="21"/>
        <v/>
      </c>
      <c r="F215" s="150" t="str">
        <f t="shared" si="19"/>
        <v/>
      </c>
      <c r="G215" s="1" t="str">
        <f t="shared" si="17"/>
        <v/>
      </c>
      <c r="H215" s="4" t="str">
        <f t="shared" si="18"/>
        <v/>
      </c>
    </row>
    <row r="216" spans="5:8">
      <c r="E216" s="1" t="str">
        <f t="shared" si="21"/>
        <v/>
      </c>
      <c r="F216" s="150" t="str">
        <f t="shared" si="19"/>
        <v/>
      </c>
      <c r="G216" s="1" t="str">
        <f t="shared" si="17"/>
        <v/>
      </c>
      <c r="H216" s="4" t="str">
        <f t="shared" si="18"/>
        <v/>
      </c>
    </row>
    <row r="217" spans="5:8">
      <c r="E217" s="1" t="str">
        <f t="shared" si="21"/>
        <v/>
      </c>
      <c r="F217" s="150" t="str">
        <f t="shared" ref="F217:F280" si="22">IF(B217&lt;&gt;"", IF(B217=B216, "", B217), "")</f>
        <v/>
      </c>
      <c r="G217" s="1" t="str">
        <f t="shared" ref="G217:G280" si="23">IF(C217&lt;&gt;"", IF(C217=C216, "", C217), "")</f>
        <v/>
      </c>
      <c r="H217" s="4" t="str">
        <f t="shared" ref="H217:H280" si="24">IF(D217&lt;&gt;"", IF(D217=D216, "", D217), "")</f>
        <v/>
      </c>
    </row>
    <row r="218" spans="5:8">
      <c r="E218" s="1" t="str">
        <f t="shared" si="21"/>
        <v/>
      </c>
      <c r="F218" s="150" t="str">
        <f t="shared" si="22"/>
        <v/>
      </c>
      <c r="G218" s="1" t="str">
        <f t="shared" si="23"/>
        <v/>
      </c>
      <c r="H218" s="4" t="str">
        <f t="shared" si="24"/>
        <v/>
      </c>
    </row>
    <row r="219" spans="5:8">
      <c r="E219" s="1" t="str">
        <f t="shared" si="21"/>
        <v/>
      </c>
      <c r="F219" s="150" t="str">
        <f t="shared" si="22"/>
        <v/>
      </c>
      <c r="G219" s="1" t="str">
        <f t="shared" si="23"/>
        <v/>
      </c>
      <c r="H219" s="4" t="str">
        <f t="shared" si="24"/>
        <v/>
      </c>
    </row>
    <row r="220" spans="5:8">
      <c r="E220" s="1" t="str">
        <f t="shared" si="21"/>
        <v/>
      </c>
      <c r="F220" s="150" t="str">
        <f t="shared" si="22"/>
        <v/>
      </c>
      <c r="G220" s="1" t="str">
        <f t="shared" si="23"/>
        <v/>
      </c>
      <c r="H220" s="4" t="str">
        <f t="shared" si="24"/>
        <v/>
      </c>
    </row>
    <row r="221" spans="5:8">
      <c r="E221" s="1" t="str">
        <f t="shared" si="21"/>
        <v/>
      </c>
      <c r="F221" s="150" t="str">
        <f t="shared" si="22"/>
        <v/>
      </c>
      <c r="G221" s="1" t="str">
        <f t="shared" si="23"/>
        <v/>
      </c>
      <c r="H221" s="4" t="str">
        <f t="shared" si="24"/>
        <v/>
      </c>
    </row>
    <row r="222" spans="5:8">
      <c r="E222" s="1" t="str">
        <f t="shared" si="21"/>
        <v/>
      </c>
      <c r="F222" s="150" t="str">
        <f t="shared" si="22"/>
        <v/>
      </c>
      <c r="G222" s="1" t="str">
        <f t="shared" si="23"/>
        <v/>
      </c>
      <c r="H222" s="4" t="str">
        <f t="shared" si="24"/>
        <v/>
      </c>
    </row>
    <row r="223" spans="5:8">
      <c r="E223" s="1" t="str">
        <f t="shared" si="21"/>
        <v/>
      </c>
      <c r="F223" s="150" t="str">
        <f t="shared" si="22"/>
        <v/>
      </c>
      <c r="G223" s="1" t="str">
        <f t="shared" si="23"/>
        <v/>
      </c>
      <c r="H223" s="4" t="str">
        <f t="shared" si="24"/>
        <v/>
      </c>
    </row>
    <row r="224" spans="5:8">
      <c r="E224" s="1" t="str">
        <f t="shared" si="21"/>
        <v/>
      </c>
      <c r="F224" s="150" t="str">
        <f t="shared" si="22"/>
        <v/>
      </c>
      <c r="G224" s="1" t="str">
        <f t="shared" si="23"/>
        <v/>
      </c>
      <c r="H224" s="4" t="str">
        <f t="shared" si="24"/>
        <v/>
      </c>
    </row>
    <row r="225" spans="5:8">
      <c r="E225" s="1" t="str">
        <f t="shared" si="21"/>
        <v/>
      </c>
      <c r="F225" s="150" t="str">
        <f t="shared" si="22"/>
        <v/>
      </c>
      <c r="G225" s="1" t="str">
        <f t="shared" si="23"/>
        <v/>
      </c>
      <c r="H225" s="4" t="str">
        <f t="shared" si="24"/>
        <v/>
      </c>
    </row>
    <row r="226" spans="5:8">
      <c r="E226" s="1" t="str">
        <f t="shared" si="21"/>
        <v/>
      </c>
      <c r="F226" s="150" t="str">
        <f t="shared" si="22"/>
        <v/>
      </c>
      <c r="G226" s="1" t="str">
        <f t="shared" si="23"/>
        <v/>
      </c>
      <c r="H226" s="4" t="str">
        <f t="shared" si="24"/>
        <v/>
      </c>
    </row>
    <row r="227" spans="5:8">
      <c r="E227" s="1" t="str">
        <f t="shared" si="21"/>
        <v/>
      </c>
      <c r="F227" s="150" t="str">
        <f t="shared" si="22"/>
        <v/>
      </c>
      <c r="G227" s="1" t="str">
        <f t="shared" si="23"/>
        <v/>
      </c>
      <c r="H227" s="4" t="str">
        <f t="shared" si="24"/>
        <v/>
      </c>
    </row>
    <row r="228" spans="5:8">
      <c r="E228" s="1" t="str">
        <f t="shared" si="21"/>
        <v/>
      </c>
      <c r="F228" s="150" t="str">
        <f t="shared" si="22"/>
        <v/>
      </c>
      <c r="G228" s="1" t="str">
        <f t="shared" si="23"/>
        <v/>
      </c>
      <c r="H228" s="4" t="str">
        <f t="shared" si="24"/>
        <v/>
      </c>
    </row>
    <row r="229" spans="5:8">
      <c r="E229" s="1" t="str">
        <f t="shared" si="21"/>
        <v/>
      </c>
      <c r="F229" s="150" t="str">
        <f t="shared" si="22"/>
        <v/>
      </c>
      <c r="G229" s="1" t="str">
        <f t="shared" si="23"/>
        <v/>
      </c>
      <c r="H229" s="4" t="str">
        <f t="shared" si="24"/>
        <v/>
      </c>
    </row>
    <row r="230" spans="5:8">
      <c r="E230" s="1" t="str">
        <f t="shared" si="21"/>
        <v/>
      </c>
      <c r="F230" s="150" t="str">
        <f t="shared" si="22"/>
        <v/>
      </c>
      <c r="G230" s="1" t="str">
        <f t="shared" si="23"/>
        <v/>
      </c>
      <c r="H230" s="4" t="str">
        <f t="shared" si="24"/>
        <v/>
      </c>
    </row>
    <row r="231" spans="5:8">
      <c r="E231" s="1" t="str">
        <f t="shared" si="21"/>
        <v/>
      </c>
      <c r="F231" s="150" t="str">
        <f t="shared" si="22"/>
        <v/>
      </c>
      <c r="G231" s="1" t="str">
        <f t="shared" si="23"/>
        <v/>
      </c>
      <c r="H231" s="4" t="str">
        <f t="shared" si="24"/>
        <v/>
      </c>
    </row>
    <row r="232" spans="5:8">
      <c r="E232" s="1" t="str">
        <f t="shared" si="21"/>
        <v/>
      </c>
      <c r="F232" s="150" t="str">
        <f t="shared" si="22"/>
        <v/>
      </c>
      <c r="G232" s="1" t="str">
        <f t="shared" si="23"/>
        <v/>
      </c>
      <c r="H232" s="4" t="str">
        <f t="shared" si="24"/>
        <v/>
      </c>
    </row>
    <row r="233" spans="5:8">
      <c r="E233" s="1" t="str">
        <f t="shared" si="21"/>
        <v/>
      </c>
      <c r="F233" s="150" t="str">
        <f t="shared" si="22"/>
        <v/>
      </c>
      <c r="G233" s="1" t="str">
        <f t="shared" si="23"/>
        <v/>
      </c>
      <c r="H233" s="4" t="str">
        <f t="shared" si="24"/>
        <v/>
      </c>
    </row>
    <row r="234" spans="5:8">
      <c r="E234" s="1" t="str">
        <f t="shared" si="21"/>
        <v/>
      </c>
      <c r="F234" s="150" t="str">
        <f t="shared" si="22"/>
        <v/>
      </c>
      <c r="G234" s="1" t="str">
        <f t="shared" si="23"/>
        <v/>
      </c>
      <c r="H234" s="4" t="str">
        <f t="shared" si="24"/>
        <v/>
      </c>
    </row>
    <row r="235" spans="5:8">
      <c r="E235" s="1" t="str">
        <f t="shared" si="21"/>
        <v/>
      </c>
      <c r="F235" s="150" t="str">
        <f t="shared" si="22"/>
        <v/>
      </c>
      <c r="G235" s="1" t="str">
        <f t="shared" si="23"/>
        <v/>
      </c>
      <c r="H235" s="4" t="str">
        <f t="shared" si="24"/>
        <v/>
      </c>
    </row>
    <row r="236" spans="5:8">
      <c r="E236" s="1" t="str">
        <f t="shared" si="21"/>
        <v/>
      </c>
      <c r="F236" s="150" t="str">
        <f t="shared" si="22"/>
        <v/>
      </c>
      <c r="G236" s="1" t="str">
        <f t="shared" si="23"/>
        <v/>
      </c>
      <c r="H236" s="4" t="str">
        <f t="shared" si="24"/>
        <v/>
      </c>
    </row>
    <row r="237" spans="5:8">
      <c r="E237" s="1" t="str">
        <f t="shared" si="21"/>
        <v/>
      </c>
      <c r="F237" s="150" t="str">
        <f t="shared" si="22"/>
        <v/>
      </c>
      <c r="G237" s="1" t="str">
        <f t="shared" si="23"/>
        <v/>
      </c>
      <c r="H237" s="4" t="str">
        <f t="shared" si="24"/>
        <v/>
      </c>
    </row>
    <row r="238" spans="5:8">
      <c r="E238" s="1" t="str">
        <f t="shared" si="21"/>
        <v/>
      </c>
      <c r="F238" s="150" t="str">
        <f t="shared" si="22"/>
        <v/>
      </c>
      <c r="G238" s="1" t="str">
        <f t="shared" si="23"/>
        <v/>
      </c>
      <c r="H238" s="4" t="str">
        <f t="shared" si="24"/>
        <v/>
      </c>
    </row>
    <row r="239" spans="5:8">
      <c r="E239" s="1" t="str">
        <f t="shared" si="21"/>
        <v/>
      </c>
      <c r="F239" s="150" t="str">
        <f t="shared" si="22"/>
        <v/>
      </c>
      <c r="G239" s="1" t="str">
        <f t="shared" si="23"/>
        <v/>
      </c>
      <c r="H239" s="4" t="str">
        <f t="shared" si="24"/>
        <v/>
      </c>
    </row>
    <row r="240" spans="5:8">
      <c r="E240" s="1" t="str">
        <f t="shared" si="21"/>
        <v/>
      </c>
      <c r="F240" s="150" t="str">
        <f t="shared" si="22"/>
        <v/>
      </c>
      <c r="G240" s="1" t="str">
        <f t="shared" si="23"/>
        <v/>
      </c>
      <c r="H240" s="4" t="str">
        <f t="shared" si="24"/>
        <v/>
      </c>
    </row>
    <row r="241" spans="5:8">
      <c r="E241" s="1" t="str">
        <f t="shared" si="21"/>
        <v/>
      </c>
      <c r="F241" s="150" t="str">
        <f t="shared" si="22"/>
        <v/>
      </c>
      <c r="G241" s="1" t="str">
        <f t="shared" si="23"/>
        <v/>
      </c>
      <c r="H241" s="4" t="str">
        <f t="shared" si="24"/>
        <v/>
      </c>
    </row>
    <row r="242" spans="5:8">
      <c r="E242" s="1" t="str">
        <f t="shared" si="21"/>
        <v/>
      </c>
      <c r="F242" s="150" t="str">
        <f t="shared" si="22"/>
        <v/>
      </c>
      <c r="G242" s="1" t="str">
        <f t="shared" si="23"/>
        <v/>
      </c>
      <c r="H242" s="4" t="str">
        <f t="shared" si="24"/>
        <v/>
      </c>
    </row>
    <row r="243" spans="5:8">
      <c r="E243" s="1" t="str">
        <f t="shared" si="21"/>
        <v/>
      </c>
      <c r="F243" s="150" t="str">
        <f t="shared" si="22"/>
        <v/>
      </c>
      <c r="G243" s="1" t="str">
        <f t="shared" si="23"/>
        <v/>
      </c>
      <c r="H243" s="4" t="str">
        <f t="shared" si="24"/>
        <v/>
      </c>
    </row>
    <row r="244" spans="5:8">
      <c r="E244" s="1" t="str">
        <f t="shared" si="21"/>
        <v/>
      </c>
      <c r="F244" s="150" t="str">
        <f t="shared" si="22"/>
        <v/>
      </c>
      <c r="G244" s="1" t="str">
        <f t="shared" si="23"/>
        <v/>
      </c>
      <c r="H244" s="4" t="str">
        <f t="shared" si="24"/>
        <v/>
      </c>
    </row>
    <row r="245" spans="5:8">
      <c r="E245" s="1" t="str">
        <f t="shared" si="21"/>
        <v/>
      </c>
      <c r="F245" s="150" t="str">
        <f t="shared" si="22"/>
        <v/>
      </c>
      <c r="G245" s="1" t="str">
        <f t="shared" si="23"/>
        <v/>
      </c>
      <c r="H245" s="4" t="str">
        <f t="shared" si="24"/>
        <v/>
      </c>
    </row>
    <row r="246" spans="5:8">
      <c r="E246" s="1" t="str">
        <f t="shared" si="21"/>
        <v/>
      </c>
      <c r="F246" s="150" t="str">
        <f t="shared" si="22"/>
        <v/>
      </c>
      <c r="G246" s="1" t="str">
        <f t="shared" si="23"/>
        <v/>
      </c>
      <c r="H246" s="4" t="str">
        <f t="shared" si="24"/>
        <v/>
      </c>
    </row>
    <row r="247" spans="5:8">
      <c r="E247" s="1" t="str">
        <f t="shared" si="21"/>
        <v/>
      </c>
      <c r="F247" s="150" t="str">
        <f t="shared" si="22"/>
        <v/>
      </c>
      <c r="G247" s="1" t="str">
        <f t="shared" si="23"/>
        <v/>
      </c>
      <c r="H247" s="4" t="str">
        <f t="shared" si="24"/>
        <v/>
      </c>
    </row>
    <row r="248" spans="5:8">
      <c r="E248" s="1" t="str">
        <f t="shared" si="21"/>
        <v/>
      </c>
      <c r="F248" s="150" t="str">
        <f t="shared" si="22"/>
        <v/>
      </c>
      <c r="G248" s="1" t="str">
        <f t="shared" si="23"/>
        <v/>
      </c>
      <c r="H248" s="4" t="str">
        <f t="shared" si="24"/>
        <v/>
      </c>
    </row>
    <row r="249" spans="5:8">
      <c r="E249" s="1" t="str">
        <f t="shared" si="21"/>
        <v/>
      </c>
      <c r="F249" s="150" t="str">
        <f t="shared" si="22"/>
        <v/>
      </c>
      <c r="G249" s="1" t="str">
        <f t="shared" si="23"/>
        <v/>
      </c>
      <c r="H249" s="4" t="str">
        <f t="shared" si="24"/>
        <v/>
      </c>
    </row>
    <row r="250" spans="5:8">
      <c r="E250" s="1" t="str">
        <f t="shared" si="21"/>
        <v/>
      </c>
      <c r="F250" s="150" t="str">
        <f t="shared" si="22"/>
        <v/>
      </c>
      <c r="G250" s="1" t="str">
        <f t="shared" si="23"/>
        <v/>
      </c>
      <c r="H250" s="4" t="str">
        <f t="shared" si="24"/>
        <v/>
      </c>
    </row>
    <row r="251" spans="5:8">
      <c r="E251" s="1" t="str">
        <f t="shared" si="21"/>
        <v/>
      </c>
      <c r="F251" s="150" t="str">
        <f t="shared" si="22"/>
        <v/>
      </c>
      <c r="G251" s="1" t="str">
        <f t="shared" si="23"/>
        <v/>
      </c>
      <c r="H251" s="4" t="str">
        <f t="shared" si="24"/>
        <v/>
      </c>
    </row>
    <row r="252" spans="5:8">
      <c r="E252" s="1" t="str">
        <f t="shared" si="21"/>
        <v/>
      </c>
      <c r="F252" s="150" t="str">
        <f t="shared" si="22"/>
        <v/>
      </c>
      <c r="G252" s="1" t="str">
        <f t="shared" si="23"/>
        <v/>
      </c>
      <c r="H252" s="4" t="str">
        <f t="shared" si="24"/>
        <v/>
      </c>
    </row>
    <row r="253" spans="5:8">
      <c r="E253" s="1" t="str">
        <f t="shared" si="21"/>
        <v/>
      </c>
      <c r="F253" s="150" t="str">
        <f t="shared" si="22"/>
        <v/>
      </c>
      <c r="G253" s="1" t="str">
        <f t="shared" si="23"/>
        <v/>
      </c>
      <c r="H253" s="4" t="str">
        <f t="shared" si="24"/>
        <v/>
      </c>
    </row>
    <row r="254" spans="5:8">
      <c r="E254" s="1" t="str">
        <f t="shared" si="21"/>
        <v/>
      </c>
      <c r="F254" s="150" t="str">
        <f t="shared" si="22"/>
        <v/>
      </c>
      <c r="G254" s="1" t="str">
        <f t="shared" si="23"/>
        <v/>
      </c>
      <c r="H254" s="4" t="str">
        <f t="shared" si="24"/>
        <v/>
      </c>
    </row>
    <row r="255" spans="5:8">
      <c r="E255" s="1" t="str">
        <f t="shared" si="21"/>
        <v/>
      </c>
      <c r="F255" s="150" t="str">
        <f t="shared" si="22"/>
        <v/>
      </c>
      <c r="G255" s="1" t="str">
        <f t="shared" si="23"/>
        <v/>
      </c>
      <c r="H255" s="4" t="str">
        <f t="shared" si="24"/>
        <v/>
      </c>
    </row>
    <row r="256" spans="5:8">
      <c r="E256" s="1" t="str">
        <f t="shared" si="21"/>
        <v/>
      </c>
      <c r="F256" s="150" t="str">
        <f t="shared" si="22"/>
        <v/>
      </c>
      <c r="G256" s="1" t="str">
        <f t="shared" si="23"/>
        <v/>
      </c>
      <c r="H256" s="4" t="str">
        <f t="shared" si="24"/>
        <v/>
      </c>
    </row>
    <row r="257" spans="5:8">
      <c r="E257" s="1" t="str">
        <f t="shared" si="21"/>
        <v/>
      </c>
      <c r="F257" s="150" t="str">
        <f t="shared" si="22"/>
        <v/>
      </c>
      <c r="G257" s="1" t="str">
        <f t="shared" si="23"/>
        <v/>
      </c>
      <c r="H257" s="4" t="str">
        <f t="shared" si="24"/>
        <v/>
      </c>
    </row>
    <row r="258" spans="5:8">
      <c r="E258" s="1" t="str">
        <f t="shared" si="21"/>
        <v/>
      </c>
      <c r="F258" s="150" t="str">
        <f t="shared" si="22"/>
        <v/>
      </c>
      <c r="G258" s="1" t="str">
        <f t="shared" si="23"/>
        <v/>
      </c>
      <c r="H258" s="4" t="str">
        <f t="shared" si="24"/>
        <v/>
      </c>
    </row>
    <row r="259" spans="5:8">
      <c r="E259" s="1" t="str">
        <f t="shared" si="21"/>
        <v/>
      </c>
      <c r="F259" s="150" t="str">
        <f t="shared" si="22"/>
        <v/>
      </c>
      <c r="G259" s="1" t="str">
        <f t="shared" si="23"/>
        <v/>
      </c>
      <c r="H259" s="4" t="str">
        <f t="shared" si="24"/>
        <v/>
      </c>
    </row>
    <row r="260" spans="5:8">
      <c r="E260" s="1" t="str">
        <f t="shared" si="21"/>
        <v/>
      </c>
      <c r="F260" s="150" t="str">
        <f t="shared" si="22"/>
        <v/>
      </c>
      <c r="G260" s="1" t="str">
        <f t="shared" si="23"/>
        <v/>
      </c>
      <c r="H260" s="4" t="str">
        <f t="shared" si="24"/>
        <v/>
      </c>
    </row>
    <row r="261" spans="5:8">
      <c r="E261" s="1" t="str">
        <f t="shared" si="21"/>
        <v/>
      </c>
      <c r="F261" s="150" t="str">
        <f t="shared" si="22"/>
        <v/>
      </c>
      <c r="G261" s="1" t="str">
        <f t="shared" si="23"/>
        <v/>
      </c>
      <c r="H261" s="4" t="str">
        <f t="shared" si="24"/>
        <v/>
      </c>
    </row>
    <row r="262" spans="5:8">
      <c r="E262" s="1" t="str">
        <f t="shared" si="21"/>
        <v/>
      </c>
      <c r="F262" s="150" t="str">
        <f t="shared" si="22"/>
        <v/>
      </c>
      <c r="G262" s="1" t="str">
        <f t="shared" si="23"/>
        <v/>
      </c>
      <c r="H262" s="4" t="str">
        <f t="shared" si="24"/>
        <v/>
      </c>
    </row>
    <row r="263" spans="5:8">
      <c r="E263" s="1" t="str">
        <f t="shared" si="21"/>
        <v/>
      </c>
      <c r="F263" s="150" t="str">
        <f t="shared" si="22"/>
        <v/>
      </c>
      <c r="G263" s="1" t="str">
        <f t="shared" si="23"/>
        <v/>
      </c>
      <c r="H263" s="4" t="str">
        <f t="shared" si="24"/>
        <v/>
      </c>
    </row>
    <row r="264" spans="5:8">
      <c r="E264" s="1" t="str">
        <f t="shared" si="21"/>
        <v/>
      </c>
      <c r="F264" s="150" t="str">
        <f t="shared" si="22"/>
        <v/>
      </c>
      <c r="G264" s="1" t="str">
        <f t="shared" si="23"/>
        <v/>
      </c>
      <c r="H264" s="4" t="str">
        <f t="shared" si="24"/>
        <v/>
      </c>
    </row>
    <row r="265" spans="5:8">
      <c r="E265" s="1" t="str">
        <f t="shared" si="21"/>
        <v/>
      </c>
      <c r="F265" s="150" t="str">
        <f t="shared" si="22"/>
        <v/>
      </c>
      <c r="G265" s="1" t="str">
        <f t="shared" si="23"/>
        <v/>
      </c>
      <c r="H265" s="4" t="str">
        <f t="shared" si="24"/>
        <v/>
      </c>
    </row>
    <row r="266" spans="5:8">
      <c r="E266" s="1" t="str">
        <f t="shared" ref="E266:E297" si="25">IF(A266&lt;&gt;"", IF(A266=A265, "", A266), "")</f>
        <v/>
      </c>
      <c r="F266" s="150" t="str">
        <f t="shared" si="22"/>
        <v/>
      </c>
      <c r="G266" s="1" t="str">
        <f t="shared" si="23"/>
        <v/>
      </c>
      <c r="H266" s="4" t="str">
        <f t="shared" si="24"/>
        <v/>
      </c>
    </row>
    <row r="267" spans="5:8">
      <c r="E267" s="1" t="str">
        <f t="shared" si="25"/>
        <v/>
      </c>
      <c r="F267" s="150" t="str">
        <f t="shared" si="22"/>
        <v/>
      </c>
      <c r="G267" s="1" t="str">
        <f t="shared" si="23"/>
        <v/>
      </c>
      <c r="H267" s="4" t="str">
        <f t="shared" si="24"/>
        <v/>
      </c>
    </row>
    <row r="268" spans="5:8">
      <c r="E268" s="1" t="str">
        <f t="shared" si="25"/>
        <v/>
      </c>
      <c r="F268" s="150" t="str">
        <f t="shared" si="22"/>
        <v/>
      </c>
      <c r="G268" s="1" t="str">
        <f t="shared" si="23"/>
        <v/>
      </c>
      <c r="H268" s="4" t="str">
        <f t="shared" si="24"/>
        <v/>
      </c>
    </row>
    <row r="269" spans="5:8">
      <c r="E269" s="1" t="str">
        <f t="shared" si="25"/>
        <v/>
      </c>
      <c r="F269" s="150" t="str">
        <f t="shared" si="22"/>
        <v/>
      </c>
      <c r="G269" s="1" t="str">
        <f t="shared" si="23"/>
        <v/>
      </c>
      <c r="H269" s="4" t="str">
        <f t="shared" si="24"/>
        <v/>
      </c>
    </row>
    <row r="270" spans="5:8">
      <c r="E270" s="1" t="str">
        <f t="shared" si="25"/>
        <v/>
      </c>
      <c r="F270" s="150" t="str">
        <f t="shared" si="22"/>
        <v/>
      </c>
      <c r="G270" s="1" t="str">
        <f t="shared" si="23"/>
        <v/>
      </c>
      <c r="H270" s="4" t="str">
        <f t="shared" si="24"/>
        <v/>
      </c>
    </row>
    <row r="271" spans="5:8">
      <c r="E271" s="1" t="str">
        <f t="shared" si="25"/>
        <v/>
      </c>
      <c r="F271" s="150" t="str">
        <f t="shared" si="22"/>
        <v/>
      </c>
      <c r="G271" s="1" t="str">
        <f t="shared" si="23"/>
        <v/>
      </c>
      <c r="H271" s="4" t="str">
        <f t="shared" si="24"/>
        <v/>
      </c>
    </row>
    <row r="272" spans="5:8">
      <c r="E272" s="1" t="str">
        <f t="shared" si="25"/>
        <v/>
      </c>
      <c r="F272" s="150" t="str">
        <f t="shared" si="22"/>
        <v/>
      </c>
      <c r="G272" s="1" t="str">
        <f t="shared" si="23"/>
        <v/>
      </c>
      <c r="H272" s="4" t="str">
        <f t="shared" si="24"/>
        <v/>
      </c>
    </row>
    <row r="273" spans="5:8">
      <c r="E273" s="1" t="str">
        <f t="shared" si="25"/>
        <v/>
      </c>
      <c r="F273" s="150" t="str">
        <f t="shared" si="22"/>
        <v/>
      </c>
      <c r="G273" s="1" t="str">
        <f t="shared" si="23"/>
        <v/>
      </c>
      <c r="H273" s="4" t="str">
        <f t="shared" si="24"/>
        <v/>
      </c>
    </row>
    <row r="274" spans="5:8">
      <c r="E274" s="1" t="str">
        <f t="shared" si="25"/>
        <v/>
      </c>
      <c r="F274" s="150" t="str">
        <f t="shared" si="22"/>
        <v/>
      </c>
      <c r="G274" s="1" t="str">
        <f t="shared" si="23"/>
        <v/>
      </c>
      <c r="H274" s="4" t="str">
        <f t="shared" si="24"/>
        <v/>
      </c>
    </row>
    <row r="275" spans="5:8">
      <c r="E275" s="1" t="str">
        <f t="shared" si="25"/>
        <v/>
      </c>
      <c r="F275" s="150" t="str">
        <f t="shared" si="22"/>
        <v/>
      </c>
      <c r="G275" s="1" t="str">
        <f t="shared" si="23"/>
        <v/>
      </c>
      <c r="H275" s="4" t="str">
        <f t="shared" si="24"/>
        <v/>
      </c>
    </row>
    <row r="276" spans="5:8">
      <c r="E276" s="1" t="str">
        <f t="shared" si="25"/>
        <v/>
      </c>
      <c r="F276" s="150" t="str">
        <f t="shared" si="22"/>
        <v/>
      </c>
      <c r="G276" s="1" t="str">
        <f t="shared" si="23"/>
        <v/>
      </c>
      <c r="H276" s="4" t="str">
        <f t="shared" si="24"/>
        <v/>
      </c>
    </row>
    <row r="277" spans="5:8">
      <c r="E277" s="1" t="str">
        <f t="shared" si="25"/>
        <v/>
      </c>
      <c r="F277" s="150" t="str">
        <f t="shared" si="22"/>
        <v/>
      </c>
      <c r="G277" s="1" t="str">
        <f t="shared" si="23"/>
        <v/>
      </c>
      <c r="H277" s="4" t="str">
        <f t="shared" si="24"/>
        <v/>
      </c>
    </row>
    <row r="278" spans="5:8">
      <c r="E278" s="1" t="str">
        <f t="shared" si="25"/>
        <v/>
      </c>
      <c r="F278" s="150" t="str">
        <f t="shared" si="22"/>
        <v/>
      </c>
      <c r="G278" s="1" t="str">
        <f t="shared" si="23"/>
        <v/>
      </c>
      <c r="H278" s="4" t="str">
        <f t="shared" si="24"/>
        <v/>
      </c>
    </row>
    <row r="279" spans="5:8">
      <c r="E279" s="1" t="str">
        <f t="shared" si="25"/>
        <v/>
      </c>
      <c r="F279" s="150" t="str">
        <f t="shared" si="22"/>
        <v/>
      </c>
      <c r="G279" s="1" t="str">
        <f t="shared" si="23"/>
        <v/>
      </c>
      <c r="H279" s="4" t="str">
        <f t="shared" si="24"/>
        <v/>
      </c>
    </row>
    <row r="280" spans="5:8">
      <c r="E280" s="1" t="str">
        <f t="shared" si="25"/>
        <v/>
      </c>
      <c r="F280" s="150" t="str">
        <f t="shared" si="22"/>
        <v/>
      </c>
      <c r="G280" s="1" t="str">
        <f t="shared" si="23"/>
        <v/>
      </c>
      <c r="H280" s="4" t="str">
        <f t="shared" si="24"/>
        <v/>
      </c>
    </row>
    <row r="281" spans="5:8">
      <c r="E281" s="1" t="str">
        <f t="shared" si="25"/>
        <v/>
      </c>
      <c r="F281" s="150" t="str">
        <f t="shared" ref="F281:F297" si="26">IF(B281&lt;&gt;"", IF(B281=B280, "", B281), "")</f>
        <v/>
      </c>
      <c r="G281" s="1" t="str">
        <f t="shared" ref="G281:G297" si="27">IF(C281&lt;&gt;"", IF(C281=C280, "", C281), "")</f>
        <v/>
      </c>
      <c r="H281" s="4" t="str">
        <f t="shared" ref="H281:H297" si="28">IF(D281&lt;&gt;"", IF(D281=D280, "", D281), "")</f>
        <v/>
      </c>
    </row>
    <row r="282" spans="5:8">
      <c r="E282" s="1" t="str">
        <f t="shared" si="25"/>
        <v/>
      </c>
      <c r="F282" s="150" t="str">
        <f t="shared" si="26"/>
        <v/>
      </c>
      <c r="G282" s="1" t="str">
        <f t="shared" si="27"/>
        <v/>
      </c>
      <c r="H282" s="4" t="str">
        <f t="shared" si="28"/>
        <v/>
      </c>
    </row>
    <row r="283" spans="5:8">
      <c r="E283" s="1" t="str">
        <f t="shared" si="25"/>
        <v/>
      </c>
      <c r="F283" s="150" t="str">
        <f t="shared" si="26"/>
        <v/>
      </c>
      <c r="G283" s="1" t="str">
        <f t="shared" si="27"/>
        <v/>
      </c>
      <c r="H283" s="4" t="str">
        <f t="shared" si="28"/>
        <v/>
      </c>
    </row>
    <row r="284" spans="5:8">
      <c r="E284" s="1" t="str">
        <f t="shared" si="25"/>
        <v/>
      </c>
      <c r="F284" s="150" t="str">
        <f t="shared" si="26"/>
        <v/>
      </c>
      <c r="G284" s="1" t="str">
        <f t="shared" si="27"/>
        <v/>
      </c>
      <c r="H284" s="4" t="str">
        <f t="shared" si="28"/>
        <v/>
      </c>
    </row>
    <row r="285" spans="5:8">
      <c r="E285" s="1" t="str">
        <f t="shared" si="25"/>
        <v/>
      </c>
      <c r="F285" s="150" t="str">
        <f t="shared" si="26"/>
        <v/>
      </c>
      <c r="G285" s="1" t="str">
        <f t="shared" si="27"/>
        <v/>
      </c>
      <c r="H285" s="4" t="str">
        <f t="shared" si="28"/>
        <v/>
      </c>
    </row>
    <row r="286" spans="5:8">
      <c r="E286" s="1" t="str">
        <f t="shared" si="25"/>
        <v/>
      </c>
      <c r="F286" s="150" t="str">
        <f t="shared" si="26"/>
        <v/>
      </c>
      <c r="G286" s="1" t="str">
        <f t="shared" si="27"/>
        <v/>
      </c>
      <c r="H286" s="4" t="str">
        <f t="shared" si="28"/>
        <v/>
      </c>
    </row>
    <row r="287" spans="5:8">
      <c r="E287" s="1" t="str">
        <f t="shared" si="25"/>
        <v/>
      </c>
      <c r="F287" s="150" t="str">
        <f t="shared" si="26"/>
        <v/>
      </c>
      <c r="G287" s="1" t="str">
        <f t="shared" si="27"/>
        <v/>
      </c>
      <c r="H287" s="4" t="str">
        <f t="shared" si="28"/>
        <v/>
      </c>
    </row>
    <row r="288" spans="5:8">
      <c r="E288" s="1" t="str">
        <f t="shared" si="25"/>
        <v/>
      </c>
      <c r="F288" s="150" t="str">
        <f t="shared" si="26"/>
        <v/>
      </c>
      <c r="G288" s="1" t="str">
        <f t="shared" si="27"/>
        <v/>
      </c>
      <c r="H288" s="4" t="str">
        <f t="shared" si="28"/>
        <v/>
      </c>
    </row>
    <row r="289" spans="5:8">
      <c r="E289" s="1" t="str">
        <f t="shared" si="25"/>
        <v/>
      </c>
      <c r="F289" s="150" t="str">
        <f t="shared" si="26"/>
        <v/>
      </c>
      <c r="G289" s="1" t="str">
        <f t="shared" si="27"/>
        <v/>
      </c>
      <c r="H289" s="4" t="str">
        <f t="shared" si="28"/>
        <v/>
      </c>
    </row>
    <row r="290" spans="5:8">
      <c r="E290" s="1" t="str">
        <f t="shared" si="25"/>
        <v/>
      </c>
      <c r="F290" s="150" t="str">
        <f t="shared" si="26"/>
        <v/>
      </c>
      <c r="G290" s="1" t="str">
        <f t="shared" si="27"/>
        <v/>
      </c>
      <c r="H290" s="4" t="str">
        <f t="shared" si="28"/>
        <v/>
      </c>
    </row>
    <row r="291" spans="5:8">
      <c r="E291" s="1" t="str">
        <f t="shared" si="25"/>
        <v/>
      </c>
      <c r="F291" s="150" t="str">
        <f t="shared" si="26"/>
        <v/>
      </c>
      <c r="G291" s="1" t="str">
        <f t="shared" si="27"/>
        <v/>
      </c>
      <c r="H291" s="4" t="str">
        <f t="shared" si="28"/>
        <v/>
      </c>
    </row>
    <row r="292" spans="5:8">
      <c r="E292" s="1" t="str">
        <f t="shared" si="25"/>
        <v/>
      </c>
      <c r="F292" s="150" t="str">
        <f t="shared" si="26"/>
        <v/>
      </c>
      <c r="G292" s="1" t="str">
        <f t="shared" si="27"/>
        <v/>
      </c>
      <c r="H292" s="4" t="str">
        <f t="shared" si="28"/>
        <v/>
      </c>
    </row>
    <row r="293" spans="5:8">
      <c r="E293" s="1" t="str">
        <f t="shared" si="25"/>
        <v/>
      </c>
      <c r="F293" s="150" t="str">
        <f t="shared" si="26"/>
        <v/>
      </c>
      <c r="G293" s="1" t="str">
        <f t="shared" si="27"/>
        <v/>
      </c>
      <c r="H293" s="4" t="str">
        <f t="shared" si="28"/>
        <v/>
      </c>
    </row>
    <row r="294" spans="5:8">
      <c r="E294" s="1" t="str">
        <f t="shared" si="25"/>
        <v/>
      </c>
      <c r="F294" s="150" t="str">
        <f t="shared" si="26"/>
        <v/>
      </c>
      <c r="G294" s="1" t="str">
        <f t="shared" si="27"/>
        <v/>
      </c>
      <c r="H294" s="4" t="str">
        <f t="shared" si="28"/>
        <v/>
      </c>
    </row>
    <row r="295" spans="5:8">
      <c r="E295" s="1" t="str">
        <f t="shared" si="25"/>
        <v/>
      </c>
      <c r="F295" s="150" t="str">
        <f t="shared" si="26"/>
        <v/>
      </c>
      <c r="G295" s="1" t="str">
        <f t="shared" si="27"/>
        <v/>
      </c>
      <c r="H295" s="4" t="str">
        <f t="shared" si="28"/>
        <v/>
      </c>
    </row>
    <row r="296" spans="5:8">
      <c r="E296" s="1" t="str">
        <f t="shared" si="25"/>
        <v/>
      </c>
      <c r="F296" s="150" t="str">
        <f t="shared" si="26"/>
        <v/>
      </c>
      <c r="G296" s="1" t="str">
        <f t="shared" si="27"/>
        <v/>
      </c>
      <c r="H296" s="4" t="str">
        <f t="shared" si="28"/>
        <v/>
      </c>
    </row>
    <row r="297" spans="5:8">
      <c r="E297" s="1" t="str">
        <f t="shared" si="25"/>
        <v/>
      </c>
      <c r="F297" s="150" t="str">
        <f t="shared" si="26"/>
        <v/>
      </c>
      <c r="G297" s="1" t="str">
        <f t="shared" si="27"/>
        <v/>
      </c>
      <c r="H297" s="4" t="str">
        <f t="shared" si="28"/>
        <v/>
      </c>
    </row>
  </sheetData>
  <conditionalFormatting sqref="H5:M38">
    <cfRule type="expression" dxfId="11" priority="25">
      <formula>$I5="DX道場"</formula>
    </cfRule>
  </conditionalFormatting>
  <conditionalFormatting sqref="N5:N1048576">
    <cfRule type="containsText" dxfId="10" priority="22" operator="containsText" text="準備中">
      <formula>NOT(ISERROR(SEARCH("準備中",N5)))</formula>
    </cfRule>
  </conditionalFormatting>
  <conditionalFormatting sqref="O3:CU38">
    <cfRule type="expression" dxfId="9" priority="15">
      <formula>AND(OR(O$4="土",O$4="日"))</formula>
    </cfRule>
  </conditionalFormatting>
  <conditionalFormatting sqref="O5:CU38">
    <cfRule type="expression" dxfId="8" priority="17">
      <formula>AND($I5="DX道場",O$3&gt;=$L5,O$3&lt;=$M5)</formula>
    </cfRule>
    <cfRule type="expression" dxfId="7" priority="20">
      <formula>AND($I5="インフラ",O$3&gt;=$L5,O$3&lt;=$M5)</formula>
    </cfRule>
  </conditionalFormatting>
  <conditionalFormatting sqref="F5:J38">
    <cfRule type="expression" dxfId="6" priority="4">
      <formula>NOT(ISNUMBER($F5))</formula>
    </cfRule>
  </conditionalFormatting>
  <conditionalFormatting sqref="J5:J38">
    <cfRule type="expression" dxfId="5" priority="3">
      <formula>AND($H5&lt;&gt;"",$J5="")</formula>
    </cfRule>
  </conditionalFormatting>
  <conditionalFormatting sqref="N5:N1048576">
    <cfRule type="containsText" dxfId="4" priority="23" operator="containsText" text="完了">
      <formula>NOT(ISERROR(SEARCH("完了",N5)))</formula>
    </cfRule>
  </conditionalFormatting>
  <conditionalFormatting sqref="N5:N1048576">
    <cfRule type="containsText" dxfId="3" priority="24" operator="containsText" text="進行中">
      <formula>NOT(ISERROR(SEARCH("進行中",N5)))</formula>
    </cfRule>
  </conditionalFormatting>
  <conditionalFormatting sqref="M10">
    <cfRule type="containsText" dxfId="2" priority="1" operator="containsText" text="完了">
      <formula>NOT(ISERROR(SEARCH("完了",M10)))</formula>
    </cfRule>
  </conditionalFormatting>
  <conditionalFormatting sqref="M10">
    <cfRule type="containsText" dxfId="1" priority="2" operator="containsText" text="進行中">
      <formula>NOT(ISERROR(SEARCH("進行中",M10)))</formula>
    </cfRule>
  </conditionalFormatting>
  <dataValidations count="2">
    <dataValidation type="list" allowBlank="1" showInputMessage="1" showErrorMessage="1" sqref="N5:N1048576" xr:uid="{C4AB3F98-1C86-4A30-939D-E5F7745767A5}">
      <formula1>"準備中,進行中,完了"</formula1>
    </dataValidation>
    <dataValidation type="list" allowBlank="1" showInputMessage="1" showErrorMessage="1" sqref="I5:I1048576" xr:uid="{17271D95-3E5C-45FF-AD61-6E709209A0E2}">
      <formula1>"データ基盤,インフラ,DX道場"</formula1>
    </dataValidation>
  </dataValidations>
  <hyperlinks>
    <hyperlink ref="K18" r:id="rId1" xr:uid="{103B1508-338C-467E-B6B3-14E5C3FC4432}"/>
    <hyperlink ref="K17" r:id="rId2" xr:uid="{58207C60-55BE-4ADE-80F2-B59A8C9DF27B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6" id="{38725E54-2344-4CFE-8C51-2504C80886AC}">
            <xm:f>AND(COUNTIF(ref_祝日・トヨテック休日一覧2026!$B:$B,O$3)&gt;0)</xm:f>
            <x14:dxf>
              <font>
                <color theme="1"/>
              </font>
              <fill>
                <patternFill patternType="solid">
                  <bgColor theme="0" tint="-4.9989318521683403E-2"/>
                </patternFill>
              </fill>
            </x14:dxf>
          </x14:cfRule>
          <xm:sqref>O3:CU38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EE954-B701-4A74-AD89-3935D63A58FC}">
  <dimension ref="A1:C23"/>
  <sheetViews>
    <sheetView workbookViewId="0">
      <selection activeCell="D28" sqref="D28"/>
    </sheetView>
  </sheetViews>
  <sheetFormatPr defaultRowHeight="16.5"/>
  <cols>
    <col min="1" max="1" width="14.5" style="1" customWidth="1"/>
    <col min="2" max="2" width="9.375" style="1" bestFit="1" customWidth="1"/>
    <col min="3" max="16384" width="9" style="1"/>
  </cols>
  <sheetData>
    <row r="1" spans="1:3">
      <c r="A1" s="112" t="s">
        <v>139</v>
      </c>
      <c r="B1" s="112" t="s">
        <v>140</v>
      </c>
      <c r="C1" s="112" t="s">
        <v>141</v>
      </c>
    </row>
    <row r="2" spans="1:3">
      <c r="A2" s="112" t="s">
        <v>142</v>
      </c>
      <c r="B2" s="111">
        <v>46023</v>
      </c>
      <c r="C2" s="112" t="s">
        <v>84</v>
      </c>
    </row>
    <row r="3" spans="1:3">
      <c r="A3" s="112" t="s">
        <v>143</v>
      </c>
      <c r="B3" s="111">
        <v>46034</v>
      </c>
      <c r="C3" s="112" t="s">
        <v>81</v>
      </c>
    </row>
    <row r="4" spans="1:3">
      <c r="A4" s="112" t="s">
        <v>144</v>
      </c>
      <c r="B4" s="111">
        <v>46064</v>
      </c>
      <c r="C4" s="112" t="s">
        <v>83</v>
      </c>
    </row>
    <row r="5" spans="1:3">
      <c r="A5" s="112" t="s">
        <v>145</v>
      </c>
      <c r="B5" s="111">
        <v>46076</v>
      </c>
      <c r="C5" s="112" t="s">
        <v>81</v>
      </c>
    </row>
    <row r="6" spans="1:3">
      <c r="A6" s="112" t="s">
        <v>146</v>
      </c>
      <c r="B6" s="111">
        <v>46101</v>
      </c>
      <c r="C6" s="112" t="s">
        <v>85</v>
      </c>
    </row>
    <row r="7" spans="1:3">
      <c r="A7" s="112" t="s">
        <v>147</v>
      </c>
      <c r="B7" s="111">
        <v>46141</v>
      </c>
      <c r="C7" s="112" t="s">
        <v>83</v>
      </c>
    </row>
    <row r="8" spans="1:3">
      <c r="A8" s="112" t="s">
        <v>148</v>
      </c>
      <c r="B8" s="111">
        <v>46145</v>
      </c>
      <c r="C8" s="112" t="s">
        <v>87</v>
      </c>
    </row>
    <row r="9" spans="1:3">
      <c r="A9" s="112" t="s">
        <v>149</v>
      </c>
      <c r="B9" s="111">
        <v>46146</v>
      </c>
      <c r="C9" s="112" t="s">
        <v>81</v>
      </c>
    </row>
    <row r="10" spans="1:3">
      <c r="A10" s="112" t="s">
        <v>150</v>
      </c>
      <c r="B10" s="111">
        <v>46147</v>
      </c>
      <c r="C10" s="112" t="s">
        <v>82</v>
      </c>
    </row>
    <row r="11" spans="1:3">
      <c r="A11" s="112" t="s">
        <v>151</v>
      </c>
      <c r="B11" s="111">
        <v>46148</v>
      </c>
      <c r="C11" s="112" t="s">
        <v>83</v>
      </c>
    </row>
    <row r="12" spans="1:3">
      <c r="A12" s="112" t="s">
        <v>152</v>
      </c>
      <c r="B12" s="111">
        <v>46223</v>
      </c>
      <c r="C12" s="112" t="s">
        <v>81</v>
      </c>
    </row>
    <row r="13" spans="1:3">
      <c r="A13" s="112" t="s">
        <v>153</v>
      </c>
      <c r="B13" s="111">
        <v>46245</v>
      </c>
      <c r="C13" s="112" t="s">
        <v>82</v>
      </c>
    </row>
    <row r="14" spans="1:3">
      <c r="A14" s="112" t="s">
        <v>154</v>
      </c>
      <c r="B14" s="111">
        <v>46286</v>
      </c>
      <c r="C14" s="112" t="s">
        <v>81</v>
      </c>
    </row>
    <row r="15" spans="1:3">
      <c r="A15" s="112" t="s">
        <v>155</v>
      </c>
      <c r="B15" s="111">
        <v>46287</v>
      </c>
      <c r="C15" s="112" t="s">
        <v>82</v>
      </c>
    </row>
    <row r="16" spans="1:3">
      <c r="A16" s="112" t="s">
        <v>156</v>
      </c>
      <c r="B16" s="111">
        <v>46288</v>
      </c>
      <c r="C16" s="112" t="s">
        <v>83</v>
      </c>
    </row>
    <row r="17" spans="1:3">
      <c r="A17" s="112" t="s">
        <v>157</v>
      </c>
      <c r="B17" s="111">
        <v>46307</v>
      </c>
      <c r="C17" s="112" t="s">
        <v>81</v>
      </c>
    </row>
    <row r="18" spans="1:3">
      <c r="A18" s="112" t="s">
        <v>158</v>
      </c>
      <c r="B18" s="111">
        <v>46329</v>
      </c>
      <c r="C18" s="112" t="s">
        <v>82</v>
      </c>
    </row>
    <row r="19" spans="1:3">
      <c r="A19" s="1" t="s">
        <v>159</v>
      </c>
      <c r="B19" s="113">
        <v>46349</v>
      </c>
      <c r="C19" s="1" t="s">
        <v>81</v>
      </c>
    </row>
    <row r="20" spans="1:3">
      <c r="A20" s="1" t="s">
        <v>160</v>
      </c>
      <c r="B20" s="113">
        <v>46244</v>
      </c>
    </row>
    <row r="21" spans="1:3">
      <c r="A21" s="1" t="s">
        <v>160</v>
      </c>
      <c r="B21" s="113">
        <v>46246</v>
      </c>
    </row>
    <row r="22" spans="1:3">
      <c r="A22" s="1" t="s">
        <v>160</v>
      </c>
      <c r="B22" s="113">
        <v>46247</v>
      </c>
    </row>
    <row r="23" spans="1:3">
      <c r="A23" s="1" t="s">
        <v>160</v>
      </c>
      <c r="B23" s="113">
        <v>46248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23F1E4B07BBC341A8F6905F09A2526F" ma:contentTypeVersion="17" ma:contentTypeDescription="新しいドキュメントを作成します。" ma:contentTypeScope="" ma:versionID="1437aaece15ac943c27d84c7bd287707">
  <xsd:schema xmlns:xsd="http://www.w3.org/2001/XMLSchema" xmlns:xs="http://www.w3.org/2001/XMLSchema" xmlns:p="http://schemas.microsoft.com/office/2006/metadata/properties" xmlns:ns2="879ce5c7-7ac0-470a-8fb0-80b8dfe33f1c" xmlns:ns3="00dc9add-bb5d-4974-938e-6de906df2254" targetNamespace="http://schemas.microsoft.com/office/2006/metadata/properties" ma:root="true" ma:fieldsID="a41d73b5ccc80413fe00e27c354e6c45" ns2:_="" ns3:_="">
    <xsd:import namespace="879ce5c7-7ac0-470a-8fb0-80b8dfe33f1c"/>
    <xsd:import namespace="00dc9add-bb5d-4974-938e-6de906df22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NTENTS" minOccurs="0"/>
                <xsd:element ref="ns2:_x8cc7__x6599__x8aac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ce5c7-7ac0-470a-8fb0-80b8dfe33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def91d17-8bee-472f-b8e3-30905430c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NTENTS" ma:index="22" nillable="true" ma:displayName="CONTENTS" ma:format="Dropdown" ma:internalName="CONTENTS">
      <xsd:simpleType>
        <xsd:restriction base="dms:Text">
          <xsd:maxLength value="255"/>
        </xsd:restriction>
      </xsd:simpleType>
    </xsd:element>
    <xsd:element name="_x8cc7__x6599__x8aac__x660e_" ma:index="23" nillable="true" ma:displayName="資料説明" ma:format="Dropdown" ma:internalName="_x8cc7__x6599__x8aac__x660e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c9add-bb5d-4974-938e-6de906df225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5f91764-4324-4dd1-9de8-4bb0ffe7790b}" ma:internalName="TaxCatchAll" ma:showField="CatchAllData" ma:web="00dc9add-bb5d-4974-938e-6de906df22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9ce5c7-7ac0-470a-8fb0-80b8dfe33f1c">
      <Terms xmlns="http://schemas.microsoft.com/office/infopath/2007/PartnerControls"/>
    </lcf76f155ced4ddcb4097134ff3c332f>
    <TaxCatchAll xmlns="00dc9add-bb5d-4974-938e-6de906df2254" xsi:nil="true"/>
    <CONTENTS xmlns="879ce5c7-7ac0-470a-8fb0-80b8dfe33f1c" xsi:nil="true"/>
    <_x8cc7__x6599__x8aac__x660e_ xmlns="879ce5c7-7ac0-470a-8fb0-80b8dfe33f1c" xsi:nil="true"/>
  </documentManagement>
</p:properties>
</file>

<file path=customXml/itemProps1.xml><?xml version="1.0" encoding="utf-8"?>
<ds:datastoreItem xmlns:ds="http://schemas.openxmlformats.org/officeDocument/2006/customXml" ds:itemID="{7BE993CF-640C-43FF-96B9-FE0E3A8FE39E}"/>
</file>

<file path=customXml/itemProps2.xml><?xml version="1.0" encoding="utf-8"?>
<ds:datastoreItem xmlns:ds="http://schemas.openxmlformats.org/officeDocument/2006/customXml" ds:itemID="{29B9581B-CC8C-4C70-8F1B-A51DBFFCCEDE}"/>
</file>

<file path=customXml/itemProps3.xml><?xml version="1.0" encoding="utf-8"?>
<ds:datastoreItem xmlns:ds="http://schemas.openxmlformats.org/officeDocument/2006/customXml" ds:itemID="{06E43336-E639-48C8-B2E3-2A1790C493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2026-07-09T04:55:13Z</dcterms:created>
  <dcterms:modified xsi:type="dcterms:W3CDTF">2026-07-30T03:09:36Z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0x010100D23F1E4B07BBC341A8F6905F09A2526F</vt:lpwstr>
  </property>
  <property fmtid="{D5CDD505-2E9C-101B-9397-08002B2CF9AE}" pid="3" name="MediaServiceImageTags">
    <vt:lpwstr/>
  </property>
</Properties>
</file>