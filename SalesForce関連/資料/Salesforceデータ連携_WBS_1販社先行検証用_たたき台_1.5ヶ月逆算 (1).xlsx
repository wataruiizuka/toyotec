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1" documentId="11_93791BA6D9B32470EA19D8CCE83F2DC1CDCF4EF7" xr6:coauthVersionLast="47" xr6:coauthVersionMax="47" xr10:uidLastSave="{30CF8B64-CB92-44F0-84CF-7DD6BE173837}"/>
  <bookViews>
    <workbookView xWindow="0" yWindow="0" windowWidth="0" windowHeight="0" activeTab="6" xr2:uid="{00000000-000D-0000-FFFF-FFFF00000000}"/>
  </bookViews>
  <sheets>
    <sheet name="README_入力規則設定" sheetId="1" r:id="rId1"/>
    <sheet name="WBS_テンプレ" sheetId="2" r:id="rId2"/>
    <sheet name="_old_WBS_Kuduバージョン" sheetId="3" r:id="rId3"/>
    <sheet name="ref_祝日・トヨテック休日一覧2026" sheetId="4" r:id="rId4"/>
    <sheet name="WBS_タスク補足" sheetId="5" r:id="rId5"/>
    <sheet name="見積工数対応表" sheetId="6" r:id="rId6"/>
    <sheet name="WBS_閲覧用" sheetId="7" r:id="rId7"/>
    <sheet name="WBS_方針変更記録" sheetId="8" r:id="rId8"/>
    <sheet name="WBS工数配賦" sheetId="9" r:id="rId9"/>
    <sheet name="見積突合・スコープ整理" sheetId="10" r:id="rId10"/>
    <sheet name="1.5か月実行方針" sheetId="11" r:id="rId1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7" i="7" l="1"/>
  <c r="U127" i="7"/>
  <c r="T127" i="7"/>
  <c r="S127" i="7"/>
  <c r="R127" i="7"/>
  <c r="Q127" i="7"/>
  <c r="P127" i="7"/>
  <c r="O127" i="7"/>
  <c r="N127" i="7"/>
  <c r="M127" i="7"/>
  <c r="L127" i="7"/>
  <c r="V126" i="7"/>
  <c r="U126" i="7"/>
  <c r="T126" i="7"/>
  <c r="S126" i="7"/>
  <c r="R126" i="7"/>
  <c r="Q126" i="7"/>
  <c r="P126" i="7"/>
  <c r="O126" i="7"/>
  <c r="N126" i="7"/>
  <c r="M126" i="7"/>
  <c r="L126" i="7"/>
  <c r="V125" i="7"/>
  <c r="U125" i="7"/>
  <c r="T125" i="7"/>
  <c r="S125" i="7"/>
  <c r="R125" i="7"/>
  <c r="Q125" i="7"/>
  <c r="P125" i="7"/>
  <c r="O125" i="7"/>
  <c r="N125" i="7"/>
  <c r="M125" i="7"/>
  <c r="L125" i="7"/>
  <c r="V124" i="7"/>
  <c r="U124" i="7"/>
  <c r="T124" i="7"/>
  <c r="S124" i="7"/>
  <c r="R124" i="7"/>
  <c r="Q124" i="7"/>
  <c r="P124" i="7"/>
  <c r="O124" i="7"/>
  <c r="N124" i="7"/>
  <c r="M124" i="7"/>
  <c r="L124" i="7"/>
  <c r="V123" i="7"/>
  <c r="U123" i="7"/>
  <c r="T123" i="7"/>
  <c r="S123" i="7"/>
  <c r="R123" i="7"/>
  <c r="Q123" i="7"/>
  <c r="P123" i="7"/>
  <c r="O123" i="7"/>
  <c r="N123" i="7"/>
  <c r="M123" i="7"/>
  <c r="L123" i="7"/>
  <c r="V122" i="7"/>
  <c r="U122" i="7"/>
  <c r="T122" i="7"/>
  <c r="S122" i="7"/>
  <c r="R122" i="7"/>
  <c r="Q122" i="7"/>
  <c r="P122" i="7"/>
  <c r="O122" i="7"/>
  <c r="N122" i="7"/>
  <c r="M122" i="7"/>
  <c r="L122" i="7"/>
  <c r="V121" i="7"/>
  <c r="U121" i="7"/>
  <c r="T121" i="7"/>
  <c r="S121" i="7"/>
  <c r="R121" i="7"/>
  <c r="Q121" i="7"/>
  <c r="P121" i="7"/>
  <c r="O121" i="7"/>
  <c r="N121" i="7"/>
  <c r="M121" i="7"/>
  <c r="L121" i="7"/>
  <c r="V120" i="7"/>
  <c r="U120" i="7"/>
  <c r="T120" i="7"/>
  <c r="S120" i="7"/>
  <c r="R120" i="7"/>
  <c r="Q120" i="7"/>
  <c r="P120" i="7"/>
  <c r="O120" i="7"/>
  <c r="N120" i="7"/>
  <c r="M120" i="7"/>
  <c r="L120" i="7"/>
  <c r="V119" i="7"/>
  <c r="U119" i="7"/>
  <c r="T119" i="7"/>
  <c r="S119" i="7"/>
  <c r="R119" i="7"/>
  <c r="Q119" i="7"/>
  <c r="P119" i="7"/>
  <c r="O119" i="7"/>
  <c r="N119" i="7"/>
  <c r="M119" i="7"/>
  <c r="L119" i="7"/>
  <c r="V118" i="7"/>
  <c r="U118" i="7"/>
  <c r="T118" i="7"/>
  <c r="S118" i="7"/>
  <c r="R118" i="7"/>
  <c r="Q118" i="7"/>
  <c r="P118" i="7"/>
  <c r="O118" i="7"/>
  <c r="N118" i="7"/>
  <c r="M118" i="7"/>
  <c r="L118" i="7"/>
  <c r="V117" i="7"/>
  <c r="U117" i="7"/>
  <c r="T117" i="7"/>
  <c r="S117" i="7"/>
  <c r="R117" i="7"/>
  <c r="Q117" i="7"/>
  <c r="P117" i="7"/>
  <c r="O117" i="7"/>
  <c r="N117" i="7"/>
  <c r="M117" i="7"/>
  <c r="L117" i="7"/>
  <c r="V116" i="7"/>
  <c r="U116" i="7"/>
  <c r="T116" i="7"/>
  <c r="S116" i="7"/>
  <c r="R116" i="7"/>
  <c r="Q116" i="7"/>
  <c r="P116" i="7"/>
  <c r="O116" i="7"/>
  <c r="N116" i="7"/>
  <c r="M116" i="7"/>
  <c r="L116" i="7"/>
  <c r="V115" i="7"/>
  <c r="U115" i="7"/>
  <c r="T115" i="7"/>
  <c r="S115" i="7"/>
  <c r="R115" i="7"/>
  <c r="Q115" i="7"/>
  <c r="P115" i="7"/>
  <c r="O115" i="7"/>
  <c r="N115" i="7"/>
  <c r="M115" i="7"/>
  <c r="L115" i="7"/>
  <c r="V114" i="7"/>
  <c r="U114" i="7"/>
  <c r="T114" i="7"/>
  <c r="S114" i="7"/>
  <c r="R114" i="7"/>
  <c r="Q114" i="7"/>
  <c r="P114" i="7"/>
  <c r="O114" i="7"/>
  <c r="N114" i="7"/>
  <c r="M114" i="7"/>
  <c r="L114" i="7"/>
  <c r="V113" i="7"/>
  <c r="U113" i="7"/>
  <c r="T113" i="7"/>
  <c r="S113" i="7"/>
  <c r="R113" i="7"/>
  <c r="Q113" i="7"/>
  <c r="P113" i="7"/>
  <c r="O113" i="7"/>
  <c r="N113" i="7"/>
  <c r="M113" i="7"/>
  <c r="L113" i="7"/>
  <c r="V112" i="7"/>
  <c r="U112" i="7"/>
  <c r="T112" i="7"/>
  <c r="S112" i="7"/>
  <c r="R112" i="7"/>
  <c r="Q112" i="7"/>
  <c r="P112" i="7"/>
  <c r="O112" i="7"/>
  <c r="N112" i="7"/>
  <c r="M112" i="7"/>
  <c r="L112" i="7"/>
  <c r="V111" i="7"/>
  <c r="U111" i="7"/>
  <c r="T111" i="7"/>
  <c r="S111" i="7"/>
  <c r="R111" i="7"/>
  <c r="Q111" i="7"/>
  <c r="P111" i="7"/>
  <c r="O111" i="7"/>
  <c r="N111" i="7"/>
  <c r="M111" i="7"/>
  <c r="L111" i="7"/>
  <c r="V110" i="7"/>
  <c r="U110" i="7"/>
  <c r="T110" i="7"/>
  <c r="S110" i="7"/>
  <c r="R110" i="7"/>
  <c r="Q110" i="7"/>
  <c r="P110" i="7"/>
  <c r="O110" i="7"/>
  <c r="N110" i="7"/>
  <c r="M110" i="7"/>
  <c r="L110" i="7"/>
  <c r="V109" i="7"/>
  <c r="U109" i="7"/>
  <c r="T109" i="7"/>
  <c r="S109" i="7"/>
  <c r="R109" i="7"/>
  <c r="Q109" i="7"/>
  <c r="P109" i="7"/>
  <c r="O109" i="7"/>
  <c r="N109" i="7"/>
  <c r="M109" i="7"/>
  <c r="L109" i="7"/>
  <c r="V108" i="7"/>
  <c r="U108" i="7"/>
  <c r="T108" i="7"/>
  <c r="S108" i="7"/>
  <c r="R108" i="7"/>
  <c r="Q108" i="7"/>
  <c r="P108" i="7"/>
  <c r="O108" i="7"/>
  <c r="N108" i="7"/>
  <c r="M108" i="7"/>
  <c r="L108" i="7"/>
  <c r="V107" i="7"/>
  <c r="U107" i="7"/>
  <c r="T107" i="7"/>
  <c r="S107" i="7"/>
  <c r="R107" i="7"/>
  <c r="Q107" i="7"/>
  <c r="P107" i="7"/>
  <c r="O107" i="7"/>
  <c r="N107" i="7"/>
  <c r="M107" i="7"/>
  <c r="L107" i="7"/>
  <c r="V106" i="7"/>
  <c r="U106" i="7"/>
  <c r="T106" i="7"/>
  <c r="S106" i="7"/>
  <c r="R106" i="7"/>
  <c r="Q106" i="7"/>
  <c r="P106" i="7"/>
  <c r="O106" i="7"/>
  <c r="N106" i="7"/>
  <c r="M106" i="7"/>
  <c r="L106" i="7"/>
  <c r="V105" i="7"/>
  <c r="U105" i="7"/>
  <c r="T105" i="7"/>
  <c r="S105" i="7"/>
  <c r="R105" i="7"/>
  <c r="Q105" i="7"/>
  <c r="P105" i="7"/>
  <c r="O105" i="7"/>
  <c r="N105" i="7"/>
  <c r="M105" i="7"/>
  <c r="L105" i="7"/>
  <c r="V104" i="7"/>
  <c r="U104" i="7"/>
  <c r="T104" i="7"/>
  <c r="S104" i="7"/>
  <c r="R104" i="7"/>
  <c r="Q104" i="7"/>
  <c r="P104" i="7"/>
  <c r="O104" i="7"/>
  <c r="N104" i="7"/>
  <c r="M104" i="7"/>
  <c r="L104" i="7"/>
  <c r="V103" i="7"/>
  <c r="U103" i="7"/>
  <c r="T103" i="7"/>
  <c r="S103" i="7"/>
  <c r="R103" i="7"/>
  <c r="Q103" i="7"/>
  <c r="P103" i="7"/>
  <c r="O103" i="7"/>
  <c r="N103" i="7"/>
  <c r="M103" i="7"/>
  <c r="L103" i="7"/>
  <c r="V102" i="7"/>
  <c r="U102" i="7"/>
  <c r="T102" i="7"/>
  <c r="S102" i="7"/>
  <c r="R102" i="7"/>
  <c r="Q102" i="7"/>
  <c r="P102" i="7"/>
  <c r="O102" i="7"/>
  <c r="N102" i="7"/>
  <c r="M102" i="7"/>
  <c r="L102" i="7"/>
  <c r="V101" i="7"/>
  <c r="U101" i="7"/>
  <c r="T101" i="7"/>
  <c r="S101" i="7"/>
  <c r="R101" i="7"/>
  <c r="Q101" i="7"/>
  <c r="P101" i="7"/>
  <c r="O101" i="7"/>
  <c r="N101" i="7"/>
  <c r="M101" i="7"/>
  <c r="L101" i="7"/>
  <c r="V100" i="7"/>
  <c r="U100" i="7"/>
  <c r="T100" i="7"/>
  <c r="S100" i="7"/>
  <c r="R100" i="7"/>
  <c r="Q100" i="7"/>
  <c r="P100" i="7"/>
  <c r="O100" i="7"/>
  <c r="N100" i="7"/>
  <c r="M100" i="7"/>
  <c r="L100" i="7"/>
  <c r="V99" i="7"/>
  <c r="U99" i="7"/>
  <c r="T99" i="7"/>
  <c r="S99" i="7"/>
  <c r="R99" i="7"/>
  <c r="Q99" i="7"/>
  <c r="P99" i="7"/>
  <c r="O99" i="7"/>
  <c r="N99" i="7"/>
  <c r="M99" i="7"/>
  <c r="L99" i="7"/>
  <c r="V98" i="7"/>
  <c r="U98" i="7"/>
  <c r="T98" i="7"/>
  <c r="S98" i="7"/>
  <c r="R98" i="7"/>
  <c r="Q98" i="7"/>
  <c r="P98" i="7"/>
  <c r="O98" i="7"/>
  <c r="N98" i="7"/>
  <c r="M98" i="7"/>
  <c r="L98" i="7"/>
  <c r="V97" i="7"/>
  <c r="U97" i="7"/>
  <c r="T97" i="7"/>
  <c r="S97" i="7"/>
  <c r="R97" i="7"/>
  <c r="Q97" i="7"/>
  <c r="P97" i="7"/>
  <c r="O97" i="7"/>
  <c r="N97" i="7"/>
  <c r="M97" i="7"/>
  <c r="L97" i="7"/>
  <c r="V96" i="7"/>
  <c r="U96" i="7"/>
  <c r="T96" i="7"/>
  <c r="S96" i="7"/>
  <c r="R96" i="7"/>
  <c r="Q96" i="7"/>
  <c r="P96" i="7"/>
  <c r="O96" i="7"/>
  <c r="N96" i="7"/>
  <c r="M96" i="7"/>
  <c r="L96" i="7"/>
  <c r="V95" i="7"/>
  <c r="U95" i="7"/>
  <c r="T95" i="7"/>
  <c r="S95" i="7"/>
  <c r="R95" i="7"/>
  <c r="Q95" i="7"/>
  <c r="P95" i="7"/>
  <c r="O95" i="7"/>
  <c r="N95" i="7"/>
  <c r="M95" i="7"/>
  <c r="L95" i="7"/>
  <c r="V94" i="7"/>
  <c r="U94" i="7"/>
  <c r="T94" i="7"/>
  <c r="S94" i="7"/>
  <c r="R94" i="7"/>
  <c r="Q94" i="7"/>
  <c r="P94" i="7"/>
  <c r="O94" i="7"/>
  <c r="N94" i="7"/>
  <c r="M94" i="7"/>
  <c r="L94" i="7"/>
  <c r="V93" i="7"/>
  <c r="U93" i="7"/>
  <c r="T93" i="7"/>
  <c r="S93" i="7"/>
  <c r="R93" i="7"/>
  <c r="Q93" i="7"/>
  <c r="P93" i="7"/>
  <c r="O93" i="7"/>
  <c r="N93" i="7"/>
  <c r="M93" i="7"/>
  <c r="L93" i="7"/>
  <c r="V92" i="7"/>
  <c r="U92" i="7"/>
  <c r="T92" i="7"/>
  <c r="S92" i="7"/>
  <c r="R92" i="7"/>
  <c r="Q92" i="7"/>
  <c r="P92" i="7"/>
  <c r="O92" i="7"/>
  <c r="N92" i="7"/>
  <c r="M92" i="7"/>
  <c r="L92" i="7"/>
  <c r="V91" i="7"/>
  <c r="U91" i="7"/>
  <c r="T91" i="7"/>
  <c r="S91" i="7"/>
  <c r="R91" i="7"/>
  <c r="Q91" i="7"/>
  <c r="P91" i="7"/>
  <c r="O91" i="7"/>
  <c r="N91" i="7"/>
  <c r="M91" i="7"/>
  <c r="L91" i="7"/>
  <c r="V90" i="7"/>
  <c r="U90" i="7"/>
  <c r="T90" i="7"/>
  <c r="S90" i="7"/>
  <c r="R90" i="7"/>
  <c r="Q90" i="7"/>
  <c r="P90" i="7"/>
  <c r="O90" i="7"/>
  <c r="N90" i="7"/>
  <c r="M90" i="7"/>
  <c r="L90" i="7"/>
  <c r="V89" i="7"/>
  <c r="U89" i="7"/>
  <c r="T89" i="7"/>
  <c r="S89" i="7"/>
  <c r="R89" i="7"/>
  <c r="Q89" i="7"/>
  <c r="P89" i="7"/>
  <c r="O89" i="7"/>
  <c r="N89" i="7"/>
  <c r="M89" i="7"/>
  <c r="L89" i="7"/>
  <c r="V88" i="7"/>
  <c r="U88" i="7"/>
  <c r="T88" i="7"/>
  <c r="S88" i="7"/>
  <c r="R88" i="7"/>
  <c r="Q88" i="7"/>
  <c r="P88" i="7"/>
  <c r="O88" i="7"/>
  <c r="N88" i="7"/>
  <c r="M88" i="7"/>
  <c r="L88" i="7"/>
  <c r="V87" i="7"/>
  <c r="U87" i="7"/>
  <c r="T87" i="7"/>
  <c r="S87" i="7"/>
  <c r="R87" i="7"/>
  <c r="Q87" i="7"/>
  <c r="P87" i="7"/>
  <c r="O87" i="7"/>
  <c r="N87" i="7"/>
  <c r="M87" i="7"/>
  <c r="L87" i="7"/>
  <c r="V86" i="7"/>
  <c r="U86" i="7"/>
  <c r="T86" i="7"/>
  <c r="S86" i="7"/>
  <c r="R86" i="7"/>
  <c r="Q86" i="7"/>
  <c r="P86" i="7"/>
  <c r="O86" i="7"/>
  <c r="N86" i="7"/>
  <c r="M86" i="7"/>
  <c r="L86" i="7"/>
  <c r="V85" i="7"/>
  <c r="U85" i="7"/>
  <c r="T85" i="7"/>
  <c r="S85" i="7"/>
  <c r="R85" i="7"/>
  <c r="Q85" i="7"/>
  <c r="P85" i="7"/>
  <c r="O85" i="7"/>
  <c r="N85" i="7"/>
  <c r="M85" i="7"/>
  <c r="L85" i="7"/>
  <c r="V84" i="7"/>
  <c r="U84" i="7"/>
  <c r="T84" i="7"/>
  <c r="S84" i="7"/>
  <c r="R84" i="7"/>
  <c r="Q84" i="7"/>
  <c r="P84" i="7"/>
  <c r="O84" i="7"/>
  <c r="N84" i="7"/>
  <c r="M84" i="7"/>
  <c r="L84" i="7"/>
  <c r="V83" i="7"/>
  <c r="U83" i="7"/>
  <c r="T83" i="7"/>
  <c r="S83" i="7"/>
  <c r="R83" i="7"/>
  <c r="Q83" i="7"/>
  <c r="P83" i="7"/>
  <c r="O83" i="7"/>
  <c r="N83" i="7"/>
  <c r="M83" i="7"/>
  <c r="L83" i="7"/>
  <c r="V82" i="7"/>
  <c r="U82" i="7"/>
  <c r="T82" i="7"/>
  <c r="S82" i="7"/>
  <c r="R82" i="7"/>
  <c r="Q82" i="7"/>
  <c r="P82" i="7"/>
  <c r="O82" i="7"/>
  <c r="N82" i="7"/>
  <c r="M82" i="7"/>
  <c r="L82" i="7"/>
  <c r="V81" i="7"/>
  <c r="U81" i="7"/>
  <c r="T81" i="7"/>
  <c r="S81" i="7"/>
  <c r="R81" i="7"/>
  <c r="Q81" i="7"/>
  <c r="P81" i="7"/>
  <c r="O81" i="7"/>
  <c r="N81" i="7"/>
  <c r="M81" i="7"/>
  <c r="L81" i="7"/>
  <c r="V80" i="7"/>
  <c r="U80" i="7"/>
  <c r="T80" i="7"/>
  <c r="S80" i="7"/>
  <c r="R80" i="7"/>
  <c r="Q80" i="7"/>
  <c r="P80" i="7"/>
  <c r="O80" i="7"/>
  <c r="N80" i="7"/>
  <c r="M80" i="7"/>
  <c r="L80" i="7"/>
  <c r="V79" i="7"/>
  <c r="U79" i="7"/>
  <c r="T79" i="7"/>
  <c r="S79" i="7"/>
  <c r="R79" i="7"/>
  <c r="Q79" i="7"/>
  <c r="P79" i="7"/>
  <c r="O79" i="7"/>
  <c r="N79" i="7"/>
  <c r="M79" i="7"/>
  <c r="L79" i="7"/>
  <c r="V78" i="7"/>
  <c r="U78" i="7"/>
  <c r="T78" i="7"/>
  <c r="S78" i="7"/>
  <c r="R78" i="7"/>
  <c r="Q78" i="7"/>
  <c r="P78" i="7"/>
  <c r="O78" i="7"/>
  <c r="N78" i="7"/>
  <c r="M78" i="7"/>
  <c r="L78" i="7"/>
  <c r="V77" i="7"/>
  <c r="U77" i="7"/>
  <c r="T77" i="7"/>
  <c r="S77" i="7"/>
  <c r="R77" i="7"/>
  <c r="Q77" i="7"/>
  <c r="P77" i="7"/>
  <c r="O77" i="7"/>
  <c r="N77" i="7"/>
  <c r="M77" i="7"/>
  <c r="L77" i="7"/>
  <c r="V76" i="7"/>
  <c r="U76" i="7"/>
  <c r="T76" i="7"/>
  <c r="S76" i="7"/>
  <c r="R76" i="7"/>
  <c r="Q76" i="7"/>
  <c r="P76" i="7"/>
  <c r="O76" i="7"/>
  <c r="N76" i="7"/>
  <c r="M76" i="7"/>
  <c r="L76" i="7"/>
  <c r="V75" i="7"/>
  <c r="U75" i="7"/>
  <c r="T75" i="7"/>
  <c r="S75" i="7"/>
  <c r="R75" i="7"/>
  <c r="Q75" i="7"/>
  <c r="P75" i="7"/>
  <c r="O75" i="7"/>
  <c r="N75" i="7"/>
  <c r="M75" i="7"/>
  <c r="L75" i="7"/>
  <c r="V74" i="7"/>
  <c r="U74" i="7"/>
  <c r="T74" i="7"/>
  <c r="S74" i="7"/>
  <c r="R74" i="7"/>
  <c r="Q74" i="7"/>
  <c r="P74" i="7"/>
  <c r="O74" i="7"/>
  <c r="N74" i="7"/>
  <c r="M74" i="7"/>
  <c r="L74" i="7"/>
  <c r="V73" i="7"/>
  <c r="U73" i="7"/>
  <c r="T73" i="7"/>
  <c r="S73" i="7"/>
  <c r="R73" i="7"/>
  <c r="Q73" i="7"/>
  <c r="P73" i="7"/>
  <c r="O73" i="7"/>
  <c r="N73" i="7"/>
  <c r="M73" i="7"/>
  <c r="L73" i="7"/>
  <c r="V72" i="7"/>
  <c r="U72" i="7"/>
  <c r="T72" i="7"/>
  <c r="S72" i="7"/>
  <c r="R72" i="7"/>
  <c r="Q72" i="7"/>
  <c r="P72" i="7"/>
  <c r="O72" i="7"/>
  <c r="N72" i="7"/>
  <c r="M72" i="7"/>
  <c r="L72" i="7"/>
  <c r="V71" i="7"/>
  <c r="U71" i="7"/>
  <c r="T71" i="7"/>
  <c r="S71" i="7"/>
  <c r="R71" i="7"/>
  <c r="Q71" i="7"/>
  <c r="P71" i="7"/>
  <c r="O71" i="7"/>
  <c r="N71" i="7"/>
  <c r="M71" i="7"/>
  <c r="L71" i="7"/>
  <c r="V70" i="7"/>
  <c r="U70" i="7"/>
  <c r="T70" i="7"/>
  <c r="S70" i="7"/>
  <c r="R70" i="7"/>
  <c r="Q70" i="7"/>
  <c r="P70" i="7"/>
  <c r="O70" i="7"/>
  <c r="N70" i="7"/>
  <c r="M70" i="7"/>
  <c r="L70" i="7"/>
  <c r="V69" i="7"/>
  <c r="U69" i="7"/>
  <c r="T69" i="7"/>
  <c r="S69" i="7"/>
  <c r="R69" i="7"/>
  <c r="Q69" i="7"/>
  <c r="P69" i="7"/>
  <c r="O69" i="7"/>
  <c r="N69" i="7"/>
  <c r="M69" i="7"/>
  <c r="L69" i="7"/>
  <c r="V68" i="7"/>
  <c r="U68" i="7"/>
  <c r="T68" i="7"/>
  <c r="S68" i="7"/>
  <c r="R68" i="7"/>
  <c r="Q68" i="7"/>
  <c r="P68" i="7"/>
  <c r="O68" i="7"/>
  <c r="N68" i="7"/>
  <c r="M68" i="7"/>
  <c r="L68" i="7"/>
  <c r="V67" i="7"/>
  <c r="U67" i="7"/>
  <c r="T67" i="7"/>
  <c r="S67" i="7"/>
  <c r="R67" i="7"/>
  <c r="Q67" i="7"/>
  <c r="P67" i="7"/>
  <c r="O67" i="7"/>
  <c r="N67" i="7"/>
  <c r="M67" i="7"/>
  <c r="L67" i="7"/>
  <c r="V66" i="7"/>
  <c r="U66" i="7"/>
  <c r="T66" i="7"/>
  <c r="S66" i="7"/>
  <c r="R66" i="7"/>
  <c r="Q66" i="7"/>
  <c r="P66" i="7"/>
  <c r="O66" i="7"/>
  <c r="N66" i="7"/>
  <c r="M66" i="7"/>
  <c r="L66" i="7"/>
  <c r="V65" i="7"/>
  <c r="U65" i="7"/>
  <c r="T65" i="7"/>
  <c r="S65" i="7"/>
  <c r="R65" i="7"/>
  <c r="Q65" i="7"/>
  <c r="P65" i="7"/>
  <c r="O65" i="7"/>
  <c r="N65" i="7"/>
  <c r="M65" i="7"/>
  <c r="L65" i="7"/>
  <c r="V64" i="7"/>
  <c r="U64" i="7"/>
  <c r="T64" i="7"/>
  <c r="S64" i="7"/>
  <c r="R64" i="7"/>
  <c r="Q64" i="7"/>
  <c r="P64" i="7"/>
  <c r="O64" i="7"/>
  <c r="N64" i="7"/>
  <c r="M64" i="7"/>
  <c r="L64" i="7"/>
  <c r="V63" i="7"/>
  <c r="U63" i="7"/>
  <c r="T63" i="7"/>
  <c r="S63" i="7"/>
  <c r="R63" i="7"/>
  <c r="Q63" i="7"/>
  <c r="P63" i="7"/>
  <c r="O63" i="7"/>
  <c r="N63" i="7"/>
  <c r="M63" i="7"/>
  <c r="L63" i="7"/>
  <c r="V62" i="7"/>
  <c r="U62" i="7"/>
  <c r="T62" i="7"/>
  <c r="S62" i="7"/>
  <c r="R62" i="7"/>
  <c r="Q62" i="7"/>
  <c r="P62" i="7"/>
  <c r="O62" i="7"/>
  <c r="N62" i="7"/>
  <c r="M62" i="7"/>
  <c r="L62" i="7"/>
  <c r="V61" i="7"/>
  <c r="U61" i="7"/>
  <c r="T61" i="7"/>
  <c r="S61" i="7"/>
  <c r="R61" i="7"/>
  <c r="Q61" i="7"/>
  <c r="P61" i="7"/>
  <c r="O61" i="7"/>
  <c r="N61" i="7"/>
  <c r="M61" i="7"/>
  <c r="L61" i="7"/>
  <c r="V60" i="7"/>
  <c r="U60" i="7"/>
  <c r="T60" i="7"/>
  <c r="S60" i="7"/>
  <c r="R60" i="7"/>
  <c r="Q60" i="7"/>
  <c r="P60" i="7"/>
  <c r="O60" i="7"/>
  <c r="N60" i="7"/>
  <c r="M60" i="7"/>
  <c r="L60" i="7"/>
  <c r="V59" i="7"/>
  <c r="U59" i="7"/>
  <c r="T59" i="7"/>
  <c r="S59" i="7"/>
  <c r="R59" i="7"/>
  <c r="Q59" i="7"/>
  <c r="P59" i="7"/>
  <c r="O59" i="7"/>
  <c r="N59" i="7"/>
  <c r="M59" i="7"/>
  <c r="L59" i="7"/>
  <c r="V58" i="7"/>
  <c r="U58" i="7"/>
  <c r="T58" i="7"/>
  <c r="S58" i="7"/>
  <c r="R58" i="7"/>
  <c r="Q58" i="7"/>
  <c r="P58" i="7"/>
  <c r="O58" i="7"/>
  <c r="N58" i="7"/>
  <c r="M58" i="7"/>
  <c r="L58" i="7"/>
  <c r="V57" i="7"/>
  <c r="U57" i="7"/>
  <c r="T57" i="7"/>
  <c r="S57" i="7"/>
  <c r="R57" i="7"/>
  <c r="Q57" i="7"/>
  <c r="P57" i="7"/>
  <c r="O57" i="7"/>
  <c r="N57" i="7"/>
  <c r="M57" i="7"/>
  <c r="L57" i="7"/>
  <c r="V56" i="7"/>
  <c r="U56" i="7"/>
  <c r="T56" i="7"/>
  <c r="S56" i="7"/>
  <c r="R56" i="7"/>
  <c r="Q56" i="7"/>
  <c r="P56" i="7"/>
  <c r="O56" i="7"/>
  <c r="N56" i="7"/>
  <c r="M56" i="7"/>
  <c r="L56" i="7"/>
  <c r="V55" i="7"/>
  <c r="U55" i="7"/>
  <c r="T55" i="7"/>
  <c r="S55" i="7"/>
  <c r="R55" i="7"/>
  <c r="Q55" i="7"/>
  <c r="P55" i="7"/>
  <c r="O55" i="7"/>
  <c r="N55" i="7"/>
  <c r="M55" i="7"/>
  <c r="L55" i="7"/>
  <c r="V54" i="7"/>
  <c r="U54" i="7"/>
  <c r="T54" i="7"/>
  <c r="S54" i="7"/>
  <c r="R54" i="7"/>
  <c r="Q54" i="7"/>
  <c r="P54" i="7"/>
  <c r="O54" i="7"/>
  <c r="N54" i="7"/>
  <c r="M54" i="7"/>
  <c r="L54" i="7"/>
  <c r="V53" i="7"/>
  <c r="U53" i="7"/>
  <c r="T53" i="7"/>
  <c r="S53" i="7"/>
  <c r="R53" i="7"/>
  <c r="Q53" i="7"/>
  <c r="P53" i="7"/>
  <c r="O53" i="7"/>
  <c r="N53" i="7"/>
  <c r="M53" i="7"/>
  <c r="L53" i="7"/>
  <c r="V52" i="7"/>
  <c r="U52" i="7"/>
  <c r="T52" i="7"/>
  <c r="S52" i="7"/>
  <c r="R52" i="7"/>
  <c r="Q52" i="7"/>
  <c r="P52" i="7"/>
  <c r="O52" i="7"/>
  <c r="N52" i="7"/>
  <c r="M52" i="7"/>
  <c r="L52" i="7"/>
  <c r="V51" i="7"/>
  <c r="U51" i="7"/>
  <c r="T51" i="7"/>
  <c r="S51" i="7"/>
  <c r="R51" i="7"/>
  <c r="Q51" i="7"/>
  <c r="P51" i="7"/>
  <c r="O51" i="7"/>
  <c r="N51" i="7"/>
  <c r="M51" i="7"/>
  <c r="L51" i="7"/>
  <c r="V50" i="7"/>
  <c r="U50" i="7"/>
  <c r="T50" i="7"/>
  <c r="S50" i="7"/>
  <c r="R50" i="7"/>
  <c r="Q50" i="7"/>
  <c r="P50" i="7"/>
  <c r="O50" i="7"/>
  <c r="N50" i="7"/>
  <c r="M50" i="7"/>
  <c r="L50" i="7"/>
  <c r="V49" i="7"/>
  <c r="U49" i="7"/>
  <c r="T49" i="7"/>
  <c r="S49" i="7"/>
  <c r="R49" i="7"/>
  <c r="Q49" i="7"/>
  <c r="P49" i="7"/>
  <c r="O49" i="7"/>
  <c r="N49" i="7"/>
  <c r="M49" i="7"/>
  <c r="L49" i="7"/>
  <c r="V48" i="7"/>
  <c r="U48" i="7"/>
  <c r="T48" i="7"/>
  <c r="S48" i="7"/>
  <c r="R48" i="7"/>
  <c r="Q48" i="7"/>
  <c r="P48" i="7"/>
  <c r="O48" i="7"/>
  <c r="N48" i="7"/>
  <c r="M48" i="7"/>
  <c r="L48" i="7"/>
  <c r="V47" i="7"/>
  <c r="U47" i="7"/>
  <c r="T47" i="7"/>
  <c r="S47" i="7"/>
  <c r="R47" i="7"/>
  <c r="Q47" i="7"/>
  <c r="P47" i="7"/>
  <c r="O47" i="7"/>
  <c r="N47" i="7"/>
  <c r="M47" i="7"/>
  <c r="L47" i="7"/>
  <c r="V46" i="7"/>
  <c r="U46" i="7"/>
  <c r="T46" i="7"/>
  <c r="S46" i="7"/>
  <c r="R46" i="7"/>
  <c r="Q46" i="7"/>
  <c r="P46" i="7"/>
  <c r="O46" i="7"/>
  <c r="N46" i="7"/>
  <c r="M46" i="7"/>
  <c r="L46" i="7"/>
  <c r="V45" i="7"/>
  <c r="U45" i="7"/>
  <c r="T45" i="7"/>
  <c r="S45" i="7"/>
  <c r="R45" i="7"/>
  <c r="Q45" i="7"/>
  <c r="P45" i="7"/>
  <c r="O45" i="7"/>
  <c r="N45" i="7"/>
  <c r="M45" i="7"/>
  <c r="L45" i="7"/>
  <c r="V44" i="7"/>
  <c r="U44" i="7"/>
  <c r="T44" i="7"/>
  <c r="S44" i="7"/>
  <c r="R44" i="7"/>
  <c r="Q44" i="7"/>
  <c r="P44" i="7"/>
  <c r="O44" i="7"/>
  <c r="N44" i="7"/>
  <c r="M44" i="7"/>
  <c r="L44" i="7"/>
  <c r="V43" i="7"/>
  <c r="U43" i="7"/>
  <c r="T43" i="7"/>
  <c r="S43" i="7"/>
  <c r="R43" i="7"/>
  <c r="Q43" i="7"/>
  <c r="P43" i="7"/>
  <c r="O43" i="7"/>
  <c r="N43" i="7"/>
  <c r="M43" i="7"/>
  <c r="L43" i="7"/>
  <c r="V42" i="7"/>
  <c r="U42" i="7"/>
  <c r="T42" i="7"/>
  <c r="S42" i="7"/>
  <c r="R42" i="7"/>
  <c r="Q42" i="7"/>
  <c r="P42" i="7"/>
  <c r="O42" i="7"/>
  <c r="N42" i="7"/>
  <c r="M42" i="7"/>
  <c r="L42" i="7"/>
  <c r="V41" i="7"/>
  <c r="U41" i="7"/>
  <c r="T41" i="7"/>
  <c r="S41" i="7"/>
  <c r="R41" i="7"/>
  <c r="Q41" i="7"/>
  <c r="P41" i="7"/>
  <c r="O41" i="7"/>
  <c r="N41" i="7"/>
  <c r="M41" i="7"/>
  <c r="L41" i="7"/>
  <c r="V40" i="7"/>
  <c r="U40" i="7"/>
  <c r="T40" i="7"/>
  <c r="S40" i="7"/>
  <c r="R40" i="7"/>
  <c r="Q40" i="7"/>
  <c r="P40" i="7"/>
  <c r="O40" i="7"/>
  <c r="N40" i="7"/>
  <c r="M40" i="7"/>
  <c r="L40" i="7"/>
  <c r="V39" i="7"/>
  <c r="U39" i="7"/>
  <c r="T39" i="7"/>
  <c r="S39" i="7"/>
  <c r="R39" i="7"/>
  <c r="Q39" i="7"/>
  <c r="P39" i="7"/>
  <c r="O39" i="7"/>
  <c r="N39" i="7"/>
  <c r="M39" i="7"/>
  <c r="L39" i="7"/>
  <c r="V38" i="7"/>
  <c r="U38" i="7"/>
  <c r="T38" i="7"/>
  <c r="S38" i="7"/>
  <c r="R38" i="7"/>
  <c r="Q38" i="7"/>
  <c r="P38" i="7"/>
  <c r="O38" i="7"/>
  <c r="N38" i="7"/>
  <c r="M38" i="7"/>
  <c r="L38" i="7"/>
  <c r="V37" i="7"/>
  <c r="U37" i="7"/>
  <c r="T37" i="7"/>
  <c r="S37" i="7"/>
  <c r="R37" i="7"/>
  <c r="Q37" i="7"/>
  <c r="P37" i="7"/>
  <c r="O37" i="7"/>
  <c r="N37" i="7"/>
  <c r="M37" i="7"/>
  <c r="L37" i="7"/>
  <c r="V36" i="7"/>
  <c r="U36" i="7"/>
  <c r="T36" i="7"/>
  <c r="S36" i="7"/>
  <c r="R36" i="7"/>
  <c r="Q36" i="7"/>
  <c r="P36" i="7"/>
  <c r="O36" i="7"/>
  <c r="N36" i="7"/>
  <c r="M36" i="7"/>
  <c r="L36" i="7"/>
  <c r="V35" i="7"/>
  <c r="U35" i="7"/>
  <c r="T35" i="7"/>
  <c r="S35" i="7"/>
  <c r="R35" i="7"/>
  <c r="Q35" i="7"/>
  <c r="P35" i="7"/>
  <c r="O35" i="7"/>
  <c r="N35" i="7"/>
  <c r="M35" i="7"/>
  <c r="L35" i="7"/>
  <c r="V34" i="7"/>
  <c r="U34" i="7"/>
  <c r="T34" i="7"/>
  <c r="S34" i="7"/>
  <c r="R34" i="7"/>
  <c r="Q34" i="7"/>
  <c r="P34" i="7"/>
  <c r="O34" i="7"/>
  <c r="N34" i="7"/>
  <c r="M34" i="7"/>
  <c r="L34" i="7"/>
  <c r="V33" i="7"/>
  <c r="U33" i="7"/>
  <c r="T33" i="7"/>
  <c r="S33" i="7"/>
  <c r="R33" i="7"/>
  <c r="Q33" i="7"/>
  <c r="P33" i="7"/>
  <c r="O33" i="7"/>
  <c r="N33" i="7"/>
  <c r="M33" i="7"/>
  <c r="L33" i="7"/>
  <c r="V32" i="7"/>
  <c r="U32" i="7"/>
  <c r="T32" i="7"/>
  <c r="S32" i="7"/>
  <c r="R32" i="7"/>
  <c r="Q32" i="7"/>
  <c r="P32" i="7"/>
  <c r="O32" i="7"/>
  <c r="N32" i="7"/>
  <c r="M32" i="7"/>
  <c r="L32" i="7"/>
  <c r="V31" i="7"/>
  <c r="U31" i="7"/>
  <c r="T31" i="7"/>
  <c r="S31" i="7"/>
  <c r="R31" i="7"/>
  <c r="Q31" i="7"/>
  <c r="P31" i="7"/>
  <c r="O31" i="7"/>
  <c r="N31" i="7"/>
  <c r="M31" i="7"/>
  <c r="L31" i="7"/>
  <c r="V30" i="7"/>
  <c r="U30" i="7"/>
  <c r="T30" i="7"/>
  <c r="S30" i="7"/>
  <c r="R30" i="7"/>
  <c r="Q30" i="7"/>
  <c r="P30" i="7"/>
  <c r="O30" i="7"/>
  <c r="N30" i="7"/>
  <c r="M30" i="7"/>
  <c r="L30" i="7"/>
  <c r="V29" i="7"/>
  <c r="U29" i="7"/>
  <c r="T29" i="7"/>
  <c r="S29" i="7"/>
  <c r="R29" i="7"/>
  <c r="Q29" i="7"/>
  <c r="P29" i="7"/>
  <c r="O29" i="7"/>
  <c r="N29" i="7"/>
  <c r="M29" i="7"/>
  <c r="L29" i="7"/>
  <c r="V28" i="7"/>
  <c r="U28" i="7"/>
  <c r="T28" i="7"/>
  <c r="S28" i="7"/>
  <c r="R28" i="7"/>
  <c r="Q28" i="7"/>
  <c r="P28" i="7"/>
  <c r="O28" i="7"/>
  <c r="N28" i="7"/>
  <c r="M28" i="7"/>
  <c r="L28" i="7"/>
  <c r="V27" i="7"/>
  <c r="U27" i="7"/>
  <c r="T27" i="7"/>
  <c r="S27" i="7"/>
  <c r="R27" i="7"/>
  <c r="Q27" i="7"/>
  <c r="P27" i="7"/>
  <c r="O27" i="7"/>
  <c r="N27" i="7"/>
  <c r="M27" i="7"/>
  <c r="L27" i="7"/>
  <c r="V26" i="7"/>
  <c r="U26" i="7"/>
  <c r="T26" i="7"/>
  <c r="S26" i="7"/>
  <c r="R26" i="7"/>
  <c r="Q26" i="7"/>
  <c r="P26" i="7"/>
  <c r="O26" i="7"/>
  <c r="N26" i="7"/>
  <c r="M26" i="7"/>
  <c r="L26" i="7"/>
  <c r="V25" i="7"/>
  <c r="U25" i="7"/>
  <c r="T25" i="7"/>
  <c r="S25" i="7"/>
  <c r="R25" i="7"/>
  <c r="Q25" i="7"/>
  <c r="P25" i="7"/>
  <c r="O25" i="7"/>
  <c r="N25" i="7"/>
  <c r="M25" i="7"/>
  <c r="L25" i="7"/>
  <c r="V24" i="7"/>
  <c r="U24" i="7"/>
  <c r="T24" i="7"/>
  <c r="S24" i="7"/>
  <c r="R24" i="7"/>
  <c r="Q24" i="7"/>
  <c r="P24" i="7"/>
  <c r="O24" i="7"/>
  <c r="N24" i="7"/>
  <c r="M24" i="7"/>
  <c r="L24" i="7"/>
  <c r="V23" i="7"/>
  <c r="U23" i="7"/>
  <c r="T23" i="7"/>
  <c r="S23" i="7"/>
  <c r="R23" i="7"/>
  <c r="Q23" i="7"/>
  <c r="P23" i="7"/>
  <c r="O23" i="7"/>
  <c r="N23" i="7"/>
  <c r="M23" i="7"/>
  <c r="L23" i="7"/>
  <c r="V22" i="7"/>
  <c r="U22" i="7"/>
  <c r="T22" i="7"/>
  <c r="S22" i="7"/>
  <c r="R22" i="7"/>
  <c r="Q22" i="7"/>
  <c r="P22" i="7"/>
  <c r="O22" i="7"/>
  <c r="N22" i="7"/>
  <c r="M22" i="7"/>
  <c r="L22" i="7"/>
  <c r="V21" i="7"/>
  <c r="U21" i="7"/>
  <c r="T21" i="7"/>
  <c r="S21" i="7"/>
  <c r="R21" i="7"/>
  <c r="Q21" i="7"/>
  <c r="P21" i="7"/>
  <c r="O21" i="7"/>
  <c r="N21" i="7"/>
  <c r="M21" i="7"/>
  <c r="L21" i="7"/>
  <c r="V20" i="7"/>
  <c r="U20" i="7"/>
  <c r="T20" i="7"/>
  <c r="S20" i="7"/>
  <c r="R20" i="7"/>
  <c r="Q20" i="7"/>
  <c r="P20" i="7"/>
  <c r="O20" i="7"/>
  <c r="N20" i="7"/>
  <c r="M20" i="7"/>
  <c r="L20" i="7"/>
  <c r="V19" i="7"/>
  <c r="U19" i="7"/>
  <c r="T19" i="7"/>
  <c r="S19" i="7"/>
  <c r="R19" i="7"/>
  <c r="Q19" i="7"/>
  <c r="P19" i="7"/>
  <c r="O19" i="7"/>
  <c r="N19" i="7"/>
  <c r="M19" i="7"/>
  <c r="L19" i="7"/>
  <c r="V18" i="7"/>
  <c r="U18" i="7"/>
  <c r="T18" i="7"/>
  <c r="S18" i="7"/>
  <c r="R18" i="7"/>
  <c r="Q18" i="7"/>
  <c r="P18" i="7"/>
  <c r="O18" i="7"/>
  <c r="N18" i="7"/>
  <c r="M18" i="7"/>
  <c r="L18" i="7"/>
  <c r="V17" i="7"/>
  <c r="U17" i="7"/>
  <c r="T17" i="7"/>
  <c r="S17" i="7"/>
  <c r="R17" i="7"/>
  <c r="Q17" i="7"/>
  <c r="P17" i="7"/>
  <c r="O17" i="7"/>
  <c r="N17" i="7"/>
  <c r="M17" i="7"/>
  <c r="L17" i="7"/>
  <c r="V16" i="7"/>
  <c r="U16" i="7"/>
  <c r="T16" i="7"/>
  <c r="S16" i="7"/>
  <c r="R16" i="7"/>
  <c r="Q16" i="7"/>
  <c r="P16" i="7"/>
  <c r="O16" i="7"/>
  <c r="N16" i="7"/>
  <c r="M16" i="7"/>
  <c r="L16" i="7"/>
  <c r="V15" i="7"/>
  <c r="U15" i="7"/>
  <c r="T15" i="7"/>
  <c r="S15" i="7"/>
  <c r="R15" i="7"/>
  <c r="Q15" i="7"/>
  <c r="P15" i="7"/>
  <c r="O15" i="7"/>
  <c r="N15" i="7"/>
  <c r="M15" i="7"/>
  <c r="L15" i="7"/>
  <c r="V14" i="7"/>
  <c r="U14" i="7"/>
  <c r="T14" i="7"/>
  <c r="S14" i="7"/>
  <c r="R14" i="7"/>
  <c r="Q14" i="7"/>
  <c r="P14" i="7"/>
  <c r="O14" i="7"/>
  <c r="N14" i="7"/>
  <c r="M14" i="7"/>
  <c r="L14" i="7"/>
  <c r="V13" i="7"/>
  <c r="U13" i="7"/>
  <c r="T13" i="7"/>
  <c r="S13" i="7"/>
  <c r="R13" i="7"/>
  <c r="Q13" i="7"/>
  <c r="P13" i="7"/>
  <c r="O13" i="7"/>
  <c r="N13" i="7"/>
  <c r="M13" i="7"/>
  <c r="L13" i="7"/>
  <c r="V12" i="7"/>
  <c r="U12" i="7"/>
  <c r="T12" i="7"/>
  <c r="S12" i="7"/>
  <c r="R12" i="7"/>
  <c r="Q12" i="7"/>
  <c r="P12" i="7"/>
  <c r="O12" i="7"/>
  <c r="N12" i="7"/>
  <c r="M12" i="7"/>
  <c r="L12" i="7"/>
  <c r="V11" i="7"/>
  <c r="U11" i="7"/>
  <c r="T11" i="7"/>
  <c r="S11" i="7"/>
  <c r="R11" i="7"/>
  <c r="Q11" i="7"/>
  <c r="P11" i="7"/>
  <c r="O11" i="7"/>
  <c r="N11" i="7"/>
  <c r="M11" i="7"/>
  <c r="L11" i="7"/>
  <c r="V10" i="7"/>
  <c r="U10" i="7"/>
  <c r="T10" i="7"/>
  <c r="S10" i="7"/>
  <c r="R10" i="7"/>
  <c r="Q10" i="7"/>
  <c r="P10" i="7"/>
  <c r="O10" i="7"/>
  <c r="N10" i="7"/>
  <c r="M10" i="7"/>
  <c r="L10" i="7"/>
  <c r="V9" i="7"/>
  <c r="U9" i="7"/>
  <c r="T9" i="7"/>
  <c r="S9" i="7"/>
  <c r="R9" i="7"/>
  <c r="Q9" i="7"/>
  <c r="P9" i="7"/>
  <c r="O9" i="7"/>
  <c r="N9" i="7"/>
  <c r="M9" i="7"/>
  <c r="L9" i="7"/>
  <c r="V8" i="7"/>
  <c r="U8" i="7"/>
  <c r="T8" i="7"/>
  <c r="S8" i="7"/>
  <c r="R8" i="7"/>
  <c r="Q8" i="7"/>
  <c r="P8" i="7"/>
  <c r="O8" i="7"/>
  <c r="N8" i="7"/>
  <c r="M8" i="7"/>
  <c r="L8" i="7"/>
  <c r="V7" i="7"/>
  <c r="U7" i="7"/>
  <c r="T7" i="7"/>
  <c r="S7" i="7"/>
  <c r="R7" i="7"/>
  <c r="Q7" i="7"/>
  <c r="P7" i="7"/>
  <c r="O7" i="7"/>
  <c r="N7" i="7"/>
  <c r="M7" i="7"/>
  <c r="L7" i="7"/>
  <c r="H297" i="3"/>
  <c r="G297" i="3"/>
  <c r="F297" i="3"/>
  <c r="E297" i="3"/>
  <c r="H296" i="3"/>
  <c r="G296" i="3"/>
  <c r="F296" i="3"/>
  <c r="E296" i="3"/>
  <c r="H295" i="3"/>
  <c r="G295" i="3"/>
  <c r="F295" i="3"/>
  <c r="E295" i="3"/>
  <c r="H294" i="3"/>
  <c r="G294" i="3"/>
  <c r="F294" i="3"/>
  <c r="E294" i="3"/>
  <c r="H293" i="3"/>
  <c r="G293" i="3"/>
  <c r="F293" i="3"/>
  <c r="E293" i="3"/>
  <c r="H292" i="3"/>
  <c r="G292" i="3"/>
  <c r="F292" i="3"/>
  <c r="E292" i="3"/>
  <c r="H291" i="3"/>
  <c r="G291" i="3"/>
  <c r="F291" i="3"/>
  <c r="E291" i="3"/>
  <c r="H290" i="3"/>
  <c r="G290" i="3"/>
  <c r="F290" i="3"/>
  <c r="E290" i="3"/>
  <c r="H289" i="3"/>
  <c r="G289" i="3"/>
  <c r="F289" i="3"/>
  <c r="E289" i="3"/>
  <c r="H288" i="3"/>
  <c r="G288" i="3"/>
  <c r="F288" i="3"/>
  <c r="E288" i="3"/>
  <c r="H287" i="3"/>
  <c r="G287" i="3"/>
  <c r="F287" i="3"/>
  <c r="E287" i="3"/>
  <c r="H286" i="3"/>
  <c r="G286" i="3"/>
  <c r="F286" i="3"/>
  <c r="E286" i="3"/>
  <c r="H285" i="3"/>
  <c r="G285" i="3"/>
  <c r="F285" i="3"/>
  <c r="E285" i="3"/>
  <c r="H284" i="3"/>
  <c r="G284" i="3"/>
  <c r="F284" i="3"/>
  <c r="E284" i="3"/>
  <c r="H283" i="3"/>
  <c r="G283" i="3"/>
  <c r="F283" i="3"/>
  <c r="E283" i="3"/>
  <c r="H282" i="3"/>
  <c r="G282" i="3"/>
  <c r="F282" i="3"/>
  <c r="E282" i="3"/>
  <c r="H281" i="3"/>
  <c r="G281" i="3"/>
  <c r="F281" i="3"/>
  <c r="E281" i="3"/>
  <c r="H280" i="3"/>
  <c r="G280" i="3"/>
  <c r="F280" i="3"/>
  <c r="E280" i="3"/>
  <c r="H279" i="3"/>
  <c r="G279" i="3"/>
  <c r="F279" i="3"/>
  <c r="E279" i="3"/>
  <c r="H278" i="3"/>
  <c r="G278" i="3"/>
  <c r="F278" i="3"/>
  <c r="E278" i="3"/>
  <c r="H277" i="3"/>
  <c r="G277" i="3"/>
  <c r="F277" i="3"/>
  <c r="E277" i="3"/>
  <c r="H276" i="3"/>
  <c r="G276" i="3"/>
  <c r="F276" i="3"/>
  <c r="E276" i="3"/>
  <c r="H275" i="3"/>
  <c r="G275" i="3"/>
  <c r="F275" i="3"/>
  <c r="E275" i="3"/>
  <c r="H274" i="3"/>
  <c r="G274" i="3"/>
  <c r="F274" i="3"/>
  <c r="E274" i="3"/>
  <c r="H273" i="3"/>
  <c r="G273" i="3"/>
  <c r="F273" i="3"/>
  <c r="E273" i="3"/>
  <c r="H272" i="3"/>
  <c r="G272" i="3"/>
  <c r="F272" i="3"/>
  <c r="E272" i="3"/>
  <c r="H271" i="3"/>
  <c r="G271" i="3"/>
  <c r="F271" i="3"/>
  <c r="E271" i="3"/>
  <c r="H270" i="3"/>
  <c r="G270" i="3"/>
  <c r="F270" i="3"/>
  <c r="E270" i="3"/>
  <c r="H269" i="3"/>
  <c r="G269" i="3"/>
  <c r="F269" i="3"/>
  <c r="E269" i="3"/>
  <c r="H268" i="3"/>
  <c r="G268" i="3"/>
  <c r="F268" i="3"/>
  <c r="E268" i="3"/>
  <c r="H267" i="3"/>
  <c r="G267" i="3"/>
  <c r="F267" i="3"/>
  <c r="E267" i="3"/>
  <c r="H266" i="3"/>
  <c r="G266" i="3"/>
  <c r="F266" i="3"/>
  <c r="E266" i="3"/>
  <c r="H265" i="3"/>
  <c r="G265" i="3"/>
  <c r="F265" i="3"/>
  <c r="E265" i="3"/>
  <c r="H264" i="3"/>
  <c r="G264" i="3"/>
  <c r="F264" i="3"/>
  <c r="E264" i="3"/>
  <c r="H263" i="3"/>
  <c r="G263" i="3"/>
  <c r="F263" i="3"/>
  <c r="E263" i="3"/>
  <c r="H262" i="3"/>
  <c r="G262" i="3"/>
  <c r="F262" i="3"/>
  <c r="E262" i="3"/>
  <c r="H261" i="3"/>
  <c r="G261" i="3"/>
  <c r="F261" i="3"/>
  <c r="E261" i="3"/>
  <c r="H260" i="3"/>
  <c r="G260" i="3"/>
  <c r="F260" i="3"/>
  <c r="E260" i="3"/>
  <c r="H259" i="3"/>
  <c r="G259" i="3"/>
  <c r="F259" i="3"/>
  <c r="E259" i="3"/>
  <c r="H258" i="3"/>
  <c r="G258" i="3"/>
  <c r="F258" i="3"/>
  <c r="E258" i="3"/>
  <c r="H257" i="3"/>
  <c r="G257" i="3"/>
  <c r="F257" i="3"/>
  <c r="E257" i="3"/>
  <c r="H256" i="3"/>
  <c r="G256" i="3"/>
  <c r="F256" i="3"/>
  <c r="E256" i="3"/>
  <c r="H255" i="3"/>
  <c r="G255" i="3"/>
  <c r="F255" i="3"/>
  <c r="E255" i="3"/>
  <c r="H254" i="3"/>
  <c r="G254" i="3"/>
  <c r="F254" i="3"/>
  <c r="E254" i="3"/>
  <c r="H253" i="3"/>
  <c r="G253" i="3"/>
  <c r="F253" i="3"/>
  <c r="E253" i="3"/>
  <c r="H252" i="3"/>
  <c r="G252" i="3"/>
  <c r="F252" i="3"/>
  <c r="E252" i="3"/>
  <c r="H251" i="3"/>
  <c r="G251" i="3"/>
  <c r="F251" i="3"/>
  <c r="E251" i="3"/>
  <c r="H250" i="3"/>
  <c r="G250" i="3"/>
  <c r="F250" i="3"/>
  <c r="E250" i="3"/>
  <c r="H249" i="3"/>
  <c r="G249" i="3"/>
  <c r="F249" i="3"/>
  <c r="E249" i="3"/>
  <c r="H248" i="3"/>
  <c r="G248" i="3"/>
  <c r="F248" i="3"/>
  <c r="E248" i="3"/>
  <c r="H247" i="3"/>
  <c r="G247" i="3"/>
  <c r="F247" i="3"/>
  <c r="E247" i="3"/>
  <c r="H246" i="3"/>
  <c r="G246" i="3"/>
  <c r="F246" i="3"/>
  <c r="E246" i="3"/>
  <c r="H245" i="3"/>
  <c r="G245" i="3"/>
  <c r="F245" i="3"/>
  <c r="E245" i="3"/>
  <c r="H244" i="3"/>
  <c r="G244" i="3"/>
  <c r="F244" i="3"/>
  <c r="E244" i="3"/>
  <c r="H243" i="3"/>
  <c r="G243" i="3"/>
  <c r="F243" i="3"/>
  <c r="E243" i="3"/>
  <c r="H242" i="3"/>
  <c r="G242" i="3"/>
  <c r="F242" i="3"/>
  <c r="E242" i="3"/>
  <c r="H241" i="3"/>
  <c r="G241" i="3"/>
  <c r="F241" i="3"/>
  <c r="E241" i="3"/>
  <c r="H240" i="3"/>
  <c r="G240" i="3"/>
  <c r="F240" i="3"/>
  <c r="E240" i="3"/>
  <c r="H239" i="3"/>
  <c r="G239" i="3"/>
  <c r="F239" i="3"/>
  <c r="E239" i="3"/>
  <c r="H238" i="3"/>
  <c r="G238" i="3"/>
  <c r="F238" i="3"/>
  <c r="E238" i="3"/>
  <c r="H237" i="3"/>
  <c r="G237" i="3"/>
  <c r="F237" i="3"/>
  <c r="E237" i="3"/>
  <c r="H236" i="3"/>
  <c r="G236" i="3"/>
  <c r="F236" i="3"/>
  <c r="E236" i="3"/>
  <c r="H235" i="3"/>
  <c r="G235" i="3"/>
  <c r="F235" i="3"/>
  <c r="E235" i="3"/>
  <c r="H234" i="3"/>
  <c r="G234" i="3"/>
  <c r="F234" i="3"/>
  <c r="E234" i="3"/>
  <c r="H233" i="3"/>
  <c r="G233" i="3"/>
  <c r="F233" i="3"/>
  <c r="E233" i="3"/>
  <c r="H232" i="3"/>
  <c r="G232" i="3"/>
  <c r="F232" i="3"/>
  <c r="E232" i="3"/>
  <c r="H231" i="3"/>
  <c r="G231" i="3"/>
  <c r="F231" i="3"/>
  <c r="E231" i="3"/>
  <c r="H230" i="3"/>
  <c r="G230" i="3"/>
  <c r="F230" i="3"/>
  <c r="E230" i="3"/>
  <c r="H229" i="3"/>
  <c r="G229" i="3"/>
  <c r="F229" i="3"/>
  <c r="E229" i="3"/>
  <c r="H228" i="3"/>
  <c r="G228" i="3"/>
  <c r="F228" i="3"/>
  <c r="E228" i="3"/>
  <c r="H227" i="3"/>
  <c r="G227" i="3"/>
  <c r="F227" i="3"/>
  <c r="E227" i="3"/>
  <c r="H226" i="3"/>
  <c r="G226" i="3"/>
  <c r="F226" i="3"/>
  <c r="E226" i="3"/>
  <c r="H225" i="3"/>
  <c r="G225" i="3"/>
  <c r="F225" i="3"/>
  <c r="E225" i="3"/>
  <c r="H224" i="3"/>
  <c r="G224" i="3"/>
  <c r="F224" i="3"/>
  <c r="E224" i="3"/>
  <c r="H223" i="3"/>
  <c r="G223" i="3"/>
  <c r="F223" i="3"/>
  <c r="E223" i="3"/>
  <c r="H222" i="3"/>
  <c r="G222" i="3"/>
  <c r="F222" i="3"/>
  <c r="E222" i="3"/>
  <c r="H221" i="3"/>
  <c r="G221" i="3"/>
  <c r="F221" i="3"/>
  <c r="E221" i="3"/>
  <c r="H220" i="3"/>
  <c r="G220" i="3"/>
  <c r="F220" i="3"/>
  <c r="E220" i="3"/>
  <c r="H219" i="3"/>
  <c r="G219" i="3"/>
  <c r="F219" i="3"/>
  <c r="E219" i="3"/>
  <c r="H218" i="3"/>
  <c r="G218" i="3"/>
  <c r="F218" i="3"/>
  <c r="E218" i="3"/>
  <c r="H217" i="3"/>
  <c r="G217" i="3"/>
  <c r="F217" i="3"/>
  <c r="E217" i="3"/>
  <c r="H216" i="3"/>
  <c r="G216" i="3"/>
  <c r="F216" i="3"/>
  <c r="E216" i="3"/>
  <c r="H215" i="3"/>
  <c r="G215" i="3"/>
  <c r="F215" i="3"/>
  <c r="E215" i="3"/>
  <c r="H214" i="3"/>
  <c r="G214" i="3"/>
  <c r="F214" i="3"/>
  <c r="E214" i="3"/>
  <c r="H213" i="3"/>
  <c r="G213" i="3"/>
  <c r="F213" i="3"/>
  <c r="E213" i="3"/>
  <c r="H212" i="3"/>
  <c r="G212" i="3"/>
  <c r="F212" i="3"/>
  <c r="E212" i="3"/>
  <c r="H211" i="3"/>
  <c r="G211" i="3"/>
  <c r="F211" i="3"/>
  <c r="E211" i="3"/>
  <c r="H210" i="3"/>
  <c r="G210" i="3"/>
  <c r="F210" i="3"/>
  <c r="E210" i="3"/>
  <c r="H209" i="3"/>
  <c r="G209" i="3"/>
  <c r="F209" i="3"/>
  <c r="E209" i="3"/>
  <c r="H208" i="3"/>
  <c r="G208" i="3"/>
  <c r="F208" i="3"/>
  <c r="E208" i="3"/>
  <c r="H207" i="3"/>
  <c r="G207" i="3"/>
  <c r="F207" i="3"/>
  <c r="E207" i="3"/>
  <c r="H206" i="3"/>
  <c r="G206" i="3"/>
  <c r="F206" i="3"/>
  <c r="E206" i="3"/>
  <c r="H205" i="3"/>
  <c r="G205" i="3"/>
  <c r="F205" i="3"/>
  <c r="E205" i="3"/>
  <c r="H204" i="3"/>
  <c r="G204" i="3"/>
  <c r="F204" i="3"/>
  <c r="E204" i="3"/>
  <c r="H203" i="3"/>
  <c r="G203" i="3"/>
  <c r="E203" i="3"/>
  <c r="B203" i="3"/>
  <c r="F203" i="3" s="1"/>
  <c r="H202" i="3"/>
  <c r="G202" i="3"/>
  <c r="E202" i="3"/>
  <c r="B202" i="3"/>
  <c r="F202" i="3" s="1"/>
  <c r="H201" i="3"/>
  <c r="G201" i="3"/>
  <c r="E201" i="3"/>
  <c r="B201" i="3"/>
  <c r="F201" i="3" s="1"/>
  <c r="H200" i="3"/>
  <c r="G200" i="3"/>
  <c r="E200" i="3"/>
  <c r="B200" i="3"/>
  <c r="F200" i="3" s="1"/>
  <c r="H199" i="3"/>
  <c r="G199" i="3"/>
  <c r="E199" i="3"/>
  <c r="B199" i="3"/>
  <c r="F199" i="3" s="1"/>
  <c r="H198" i="3"/>
  <c r="G198" i="3"/>
  <c r="E198" i="3"/>
  <c r="B198" i="3"/>
  <c r="F198" i="3" s="1"/>
  <c r="H197" i="3"/>
  <c r="G197" i="3"/>
  <c r="E197" i="3"/>
  <c r="B197" i="3"/>
  <c r="F197" i="3" s="1"/>
  <c r="H196" i="3"/>
  <c r="G196" i="3"/>
  <c r="E196" i="3"/>
  <c r="B196" i="3"/>
  <c r="F196" i="3" s="1"/>
  <c r="H195" i="3"/>
  <c r="G195" i="3"/>
  <c r="E195" i="3"/>
  <c r="B195" i="3"/>
  <c r="F195" i="3" s="1"/>
  <c r="H194" i="3"/>
  <c r="G194" i="3"/>
  <c r="E194" i="3"/>
  <c r="B194" i="3"/>
  <c r="F194" i="3" s="1"/>
  <c r="H193" i="3"/>
  <c r="G193" i="3"/>
  <c r="E193" i="3"/>
  <c r="B193" i="3"/>
  <c r="F193" i="3" s="1"/>
  <c r="H192" i="3"/>
  <c r="G192" i="3"/>
  <c r="E192" i="3"/>
  <c r="B192" i="3"/>
  <c r="F192" i="3" s="1"/>
  <c r="H191" i="3"/>
  <c r="G191" i="3"/>
  <c r="E191" i="3"/>
  <c r="B191" i="3"/>
  <c r="F191" i="3" s="1"/>
  <c r="H190" i="3"/>
  <c r="G190" i="3"/>
  <c r="E190" i="3"/>
  <c r="B190" i="3"/>
  <c r="F190" i="3" s="1"/>
  <c r="H189" i="3"/>
  <c r="G189" i="3"/>
  <c r="E189" i="3"/>
  <c r="B189" i="3"/>
  <c r="F189" i="3" s="1"/>
  <c r="H188" i="3"/>
  <c r="G188" i="3"/>
  <c r="E188" i="3"/>
  <c r="B188" i="3"/>
  <c r="F188" i="3" s="1"/>
  <c r="H187" i="3"/>
  <c r="G187" i="3"/>
  <c r="E187" i="3"/>
  <c r="B187" i="3"/>
  <c r="F187" i="3" s="1"/>
  <c r="H186" i="3"/>
  <c r="G186" i="3"/>
  <c r="E186" i="3"/>
  <c r="B186" i="3"/>
  <c r="F186" i="3" s="1"/>
  <c r="H185" i="3"/>
  <c r="G185" i="3"/>
  <c r="E185" i="3"/>
  <c r="B185" i="3"/>
  <c r="F185" i="3" s="1"/>
  <c r="H184" i="3"/>
  <c r="G184" i="3"/>
  <c r="E184" i="3"/>
  <c r="B184" i="3"/>
  <c r="F184" i="3" s="1"/>
  <c r="H183" i="3"/>
  <c r="G183" i="3"/>
  <c r="E183" i="3"/>
  <c r="B183" i="3"/>
  <c r="F183" i="3" s="1"/>
  <c r="H182" i="3"/>
  <c r="G182" i="3"/>
  <c r="E182" i="3"/>
  <c r="B182" i="3"/>
  <c r="F182" i="3" s="1"/>
  <c r="H181" i="3"/>
  <c r="G181" i="3"/>
  <c r="E181" i="3"/>
  <c r="B181" i="3"/>
  <c r="F181" i="3" s="1"/>
  <c r="H180" i="3"/>
  <c r="G180" i="3"/>
  <c r="E180" i="3"/>
  <c r="B180" i="3"/>
  <c r="F180" i="3" s="1"/>
  <c r="H179" i="3"/>
  <c r="G179" i="3"/>
  <c r="E179" i="3"/>
  <c r="B179" i="3"/>
  <c r="F179" i="3" s="1"/>
  <c r="H178" i="3"/>
  <c r="G178" i="3"/>
  <c r="E178" i="3"/>
  <c r="B178" i="3"/>
  <c r="F178" i="3" s="1"/>
  <c r="H177" i="3"/>
  <c r="G177" i="3"/>
  <c r="E177" i="3"/>
  <c r="B177" i="3"/>
  <c r="F177" i="3" s="1"/>
  <c r="H176" i="3"/>
  <c r="G176" i="3"/>
  <c r="E176" i="3"/>
  <c r="B176" i="3"/>
  <c r="F176" i="3" s="1"/>
  <c r="H175" i="3"/>
  <c r="G175" i="3"/>
  <c r="E175" i="3"/>
  <c r="B175" i="3"/>
  <c r="F175" i="3" s="1"/>
  <c r="H174" i="3"/>
  <c r="G174" i="3"/>
  <c r="E174" i="3"/>
  <c r="B174" i="3"/>
  <c r="F174" i="3" s="1"/>
  <c r="H173" i="3"/>
  <c r="G173" i="3"/>
  <c r="E173" i="3"/>
  <c r="B173" i="3"/>
  <c r="F173" i="3" s="1"/>
  <c r="H172" i="3"/>
  <c r="G172" i="3"/>
  <c r="E172" i="3"/>
  <c r="B172" i="3"/>
  <c r="F172" i="3" s="1"/>
  <c r="H171" i="3"/>
  <c r="G171" i="3"/>
  <c r="E171" i="3"/>
  <c r="B171" i="3"/>
  <c r="F171" i="3" s="1"/>
  <c r="H170" i="3"/>
  <c r="G170" i="3"/>
  <c r="E170" i="3"/>
  <c r="B170" i="3"/>
  <c r="F170" i="3" s="1"/>
  <c r="H169" i="3"/>
  <c r="G169" i="3"/>
  <c r="E169" i="3"/>
  <c r="B169" i="3"/>
  <c r="F169" i="3" s="1"/>
  <c r="H168" i="3"/>
  <c r="G168" i="3"/>
  <c r="E168" i="3"/>
  <c r="B168" i="3"/>
  <c r="F168" i="3" s="1"/>
  <c r="H167" i="3"/>
  <c r="G167" i="3"/>
  <c r="E167" i="3"/>
  <c r="B167" i="3"/>
  <c r="F167" i="3" s="1"/>
  <c r="H166" i="3"/>
  <c r="G166" i="3"/>
  <c r="E166" i="3"/>
  <c r="B166" i="3"/>
  <c r="F166" i="3" s="1"/>
  <c r="H165" i="3"/>
  <c r="G165" i="3"/>
  <c r="E165" i="3"/>
  <c r="B165" i="3"/>
  <c r="F165" i="3" s="1"/>
  <c r="H164" i="3"/>
  <c r="G164" i="3"/>
  <c r="E164" i="3"/>
  <c r="B164" i="3"/>
  <c r="F164" i="3" s="1"/>
  <c r="H163" i="3"/>
  <c r="G163" i="3"/>
  <c r="E163" i="3"/>
  <c r="B163" i="3"/>
  <c r="F163" i="3" s="1"/>
  <c r="H162" i="3"/>
  <c r="G162" i="3"/>
  <c r="E162" i="3"/>
  <c r="B162" i="3"/>
  <c r="F162" i="3" s="1"/>
  <c r="H161" i="3"/>
  <c r="G161" i="3"/>
  <c r="E161" i="3"/>
  <c r="B161" i="3"/>
  <c r="F161" i="3" s="1"/>
  <c r="H160" i="3"/>
  <c r="G160" i="3"/>
  <c r="E160" i="3"/>
  <c r="B160" i="3"/>
  <c r="F160" i="3" s="1"/>
  <c r="H159" i="3"/>
  <c r="G159" i="3"/>
  <c r="E159" i="3"/>
  <c r="B159" i="3"/>
  <c r="F159" i="3" s="1"/>
  <c r="H158" i="3"/>
  <c r="G158" i="3"/>
  <c r="E158" i="3"/>
  <c r="B158" i="3"/>
  <c r="F158" i="3" s="1"/>
  <c r="H157" i="3"/>
  <c r="G157" i="3"/>
  <c r="E157" i="3"/>
  <c r="B157" i="3"/>
  <c r="F157" i="3" s="1"/>
  <c r="H156" i="3"/>
  <c r="G156" i="3"/>
  <c r="E156" i="3"/>
  <c r="B156" i="3"/>
  <c r="F156" i="3" s="1"/>
  <c r="H155" i="3"/>
  <c r="G155" i="3"/>
  <c r="E155" i="3"/>
  <c r="B155" i="3"/>
  <c r="F155" i="3" s="1"/>
  <c r="H154" i="3"/>
  <c r="G154" i="3"/>
  <c r="E154" i="3"/>
  <c r="B154" i="3"/>
  <c r="F154" i="3" s="1"/>
  <c r="H153" i="3"/>
  <c r="G153" i="3"/>
  <c r="E153" i="3"/>
  <c r="B153" i="3"/>
  <c r="F153" i="3" s="1"/>
  <c r="H152" i="3"/>
  <c r="G152" i="3"/>
  <c r="E152" i="3"/>
  <c r="B152" i="3"/>
  <c r="F152" i="3" s="1"/>
  <c r="H151" i="3"/>
  <c r="G151" i="3"/>
  <c r="E151" i="3"/>
  <c r="B151" i="3"/>
  <c r="F151" i="3" s="1"/>
  <c r="H150" i="3"/>
  <c r="G150" i="3"/>
  <c r="E150" i="3"/>
  <c r="B150" i="3"/>
  <c r="F150" i="3" s="1"/>
  <c r="H149" i="3"/>
  <c r="G149" i="3"/>
  <c r="E149" i="3"/>
  <c r="B149" i="3"/>
  <c r="F149" i="3" s="1"/>
  <c r="H148" i="3"/>
  <c r="G148" i="3"/>
  <c r="E148" i="3"/>
  <c r="B148" i="3"/>
  <c r="F148" i="3" s="1"/>
  <c r="H147" i="3"/>
  <c r="G147" i="3"/>
  <c r="E147" i="3"/>
  <c r="B147" i="3"/>
  <c r="F147" i="3" s="1"/>
  <c r="H146" i="3"/>
  <c r="G146" i="3"/>
  <c r="E146" i="3"/>
  <c r="B146" i="3"/>
  <c r="F146" i="3" s="1"/>
  <c r="H145" i="3"/>
  <c r="G145" i="3"/>
  <c r="E145" i="3"/>
  <c r="B145" i="3"/>
  <c r="F145" i="3" s="1"/>
  <c r="H144" i="3"/>
  <c r="G144" i="3"/>
  <c r="E144" i="3"/>
  <c r="B144" i="3"/>
  <c r="F144" i="3" s="1"/>
  <c r="H143" i="3"/>
  <c r="G143" i="3"/>
  <c r="E143" i="3"/>
  <c r="B143" i="3"/>
  <c r="F143" i="3" s="1"/>
  <c r="H142" i="3"/>
  <c r="G142" i="3"/>
  <c r="E142" i="3"/>
  <c r="B142" i="3"/>
  <c r="F142" i="3" s="1"/>
  <c r="H141" i="3"/>
  <c r="G141" i="3"/>
  <c r="E141" i="3"/>
  <c r="B141" i="3"/>
  <c r="F141" i="3" s="1"/>
  <c r="H140" i="3"/>
  <c r="G140" i="3"/>
  <c r="E140" i="3"/>
  <c r="B140" i="3"/>
  <c r="F140" i="3" s="1"/>
  <c r="H139" i="3"/>
  <c r="G139" i="3"/>
  <c r="E139" i="3"/>
  <c r="B139" i="3"/>
  <c r="F139" i="3" s="1"/>
  <c r="H138" i="3"/>
  <c r="G138" i="3"/>
  <c r="E138" i="3"/>
  <c r="B138" i="3"/>
  <c r="F138" i="3" s="1"/>
  <c r="H137" i="3"/>
  <c r="G137" i="3"/>
  <c r="E137" i="3"/>
  <c r="B137" i="3"/>
  <c r="F137" i="3" s="1"/>
  <c r="H136" i="3"/>
  <c r="G136" i="3"/>
  <c r="E136" i="3"/>
  <c r="B136" i="3"/>
  <c r="F136" i="3" s="1"/>
  <c r="H135" i="3"/>
  <c r="G135" i="3"/>
  <c r="E135" i="3"/>
  <c r="B135" i="3"/>
  <c r="F135" i="3" s="1"/>
  <c r="H134" i="3"/>
  <c r="G134" i="3"/>
  <c r="E134" i="3"/>
  <c r="B134" i="3"/>
  <c r="F134" i="3" s="1"/>
  <c r="H133" i="3"/>
  <c r="G133" i="3"/>
  <c r="E133" i="3"/>
  <c r="B133" i="3"/>
  <c r="F133" i="3" s="1"/>
  <c r="H132" i="3"/>
  <c r="G132" i="3"/>
  <c r="E132" i="3"/>
  <c r="B132" i="3"/>
  <c r="F132" i="3" s="1"/>
  <c r="H131" i="3"/>
  <c r="G131" i="3"/>
  <c r="E131" i="3"/>
  <c r="B131" i="3"/>
  <c r="F131" i="3" s="1"/>
  <c r="H130" i="3"/>
  <c r="G130" i="3"/>
  <c r="E130" i="3"/>
  <c r="B130" i="3"/>
  <c r="F130" i="3" s="1"/>
  <c r="H129" i="3"/>
  <c r="G129" i="3"/>
  <c r="E129" i="3"/>
  <c r="B129" i="3"/>
  <c r="F129" i="3" s="1"/>
  <c r="H128" i="3"/>
  <c r="G128" i="3"/>
  <c r="E128" i="3"/>
  <c r="B128" i="3"/>
  <c r="F128" i="3" s="1"/>
  <c r="H127" i="3"/>
  <c r="G127" i="3"/>
  <c r="E127" i="3"/>
  <c r="B127" i="3"/>
  <c r="F127" i="3" s="1"/>
  <c r="H126" i="3"/>
  <c r="G126" i="3"/>
  <c r="E126" i="3"/>
  <c r="B126" i="3"/>
  <c r="F126" i="3" s="1"/>
  <c r="H125" i="3"/>
  <c r="G125" i="3"/>
  <c r="E125" i="3"/>
  <c r="B125" i="3"/>
  <c r="F125" i="3" s="1"/>
  <c r="H124" i="3"/>
  <c r="G124" i="3"/>
  <c r="E124" i="3"/>
  <c r="B124" i="3"/>
  <c r="F124" i="3" s="1"/>
  <c r="H123" i="3"/>
  <c r="G123" i="3"/>
  <c r="E123" i="3"/>
  <c r="B123" i="3"/>
  <c r="F123" i="3" s="1"/>
  <c r="H122" i="3"/>
  <c r="G122" i="3"/>
  <c r="E122" i="3"/>
  <c r="B122" i="3"/>
  <c r="F122" i="3" s="1"/>
  <c r="H121" i="3"/>
  <c r="G121" i="3"/>
  <c r="E121" i="3"/>
  <c r="B121" i="3"/>
  <c r="F121" i="3" s="1"/>
  <c r="H120" i="3"/>
  <c r="G120" i="3"/>
  <c r="E120" i="3"/>
  <c r="B120" i="3"/>
  <c r="F120" i="3" s="1"/>
  <c r="H119" i="3"/>
  <c r="G119" i="3"/>
  <c r="E119" i="3"/>
  <c r="B119" i="3"/>
  <c r="F119" i="3" s="1"/>
  <c r="H118" i="3"/>
  <c r="G118" i="3"/>
  <c r="E118" i="3"/>
  <c r="B118" i="3"/>
  <c r="F118" i="3" s="1"/>
  <c r="H117" i="3"/>
  <c r="G117" i="3"/>
  <c r="E117" i="3"/>
  <c r="B117" i="3"/>
  <c r="F117" i="3" s="1"/>
  <c r="H116" i="3"/>
  <c r="G116" i="3"/>
  <c r="E116" i="3"/>
  <c r="B116" i="3"/>
  <c r="F116" i="3" s="1"/>
  <c r="H115" i="3"/>
  <c r="G115" i="3"/>
  <c r="E115" i="3"/>
  <c r="B115" i="3"/>
  <c r="F115" i="3" s="1"/>
  <c r="H114" i="3"/>
  <c r="G114" i="3"/>
  <c r="E114" i="3"/>
  <c r="B114" i="3"/>
  <c r="F114" i="3" s="1"/>
  <c r="H113" i="3"/>
  <c r="G113" i="3"/>
  <c r="E113" i="3"/>
  <c r="B113" i="3"/>
  <c r="F113" i="3" s="1"/>
  <c r="H112" i="3"/>
  <c r="G112" i="3"/>
  <c r="E112" i="3"/>
  <c r="B112" i="3"/>
  <c r="F112" i="3" s="1"/>
  <c r="H111" i="3"/>
  <c r="G111" i="3"/>
  <c r="E111" i="3"/>
  <c r="B111" i="3"/>
  <c r="F111" i="3" s="1"/>
  <c r="H110" i="3"/>
  <c r="G110" i="3"/>
  <c r="E110" i="3"/>
  <c r="B110" i="3"/>
  <c r="F110" i="3" s="1"/>
  <c r="H109" i="3"/>
  <c r="G109" i="3"/>
  <c r="E109" i="3"/>
  <c r="B109" i="3"/>
  <c r="F109" i="3" s="1"/>
  <c r="H108" i="3"/>
  <c r="G108" i="3"/>
  <c r="E108" i="3"/>
  <c r="B108" i="3"/>
  <c r="F108" i="3" s="1"/>
  <c r="H107" i="3"/>
  <c r="G107" i="3"/>
  <c r="E107" i="3"/>
  <c r="B107" i="3"/>
  <c r="F107" i="3" s="1"/>
  <c r="H106" i="3"/>
  <c r="G106" i="3"/>
  <c r="E106" i="3"/>
  <c r="B106" i="3"/>
  <c r="F106" i="3" s="1"/>
  <c r="H105" i="3"/>
  <c r="G105" i="3"/>
  <c r="E105" i="3"/>
  <c r="B105" i="3"/>
  <c r="F105" i="3" s="1"/>
  <c r="H104" i="3"/>
  <c r="G104" i="3"/>
  <c r="E104" i="3"/>
  <c r="B104" i="3"/>
  <c r="F104" i="3" s="1"/>
  <c r="H103" i="3"/>
  <c r="G103" i="3"/>
  <c r="E103" i="3"/>
  <c r="B103" i="3"/>
  <c r="F103" i="3" s="1"/>
  <c r="H102" i="3"/>
  <c r="G102" i="3"/>
  <c r="E102" i="3"/>
  <c r="B102" i="3"/>
  <c r="F102" i="3" s="1"/>
  <c r="H101" i="3"/>
  <c r="G101" i="3"/>
  <c r="E101" i="3"/>
  <c r="B101" i="3"/>
  <c r="F101" i="3" s="1"/>
  <c r="H100" i="3"/>
  <c r="G100" i="3"/>
  <c r="E100" i="3"/>
  <c r="B100" i="3"/>
  <c r="F100" i="3" s="1"/>
  <c r="H99" i="3"/>
  <c r="G99" i="3"/>
  <c r="E99" i="3"/>
  <c r="B99" i="3"/>
  <c r="F99" i="3" s="1"/>
  <c r="H98" i="3"/>
  <c r="G98" i="3"/>
  <c r="E98" i="3"/>
  <c r="B98" i="3"/>
  <c r="F98" i="3" s="1"/>
  <c r="H97" i="3"/>
  <c r="G97" i="3"/>
  <c r="E97" i="3"/>
  <c r="B97" i="3"/>
  <c r="F97" i="3" s="1"/>
  <c r="H96" i="3"/>
  <c r="G96" i="3"/>
  <c r="E96" i="3"/>
  <c r="B96" i="3"/>
  <c r="F96" i="3" s="1"/>
  <c r="H95" i="3"/>
  <c r="G95" i="3"/>
  <c r="E95" i="3"/>
  <c r="B95" i="3"/>
  <c r="F95" i="3" s="1"/>
  <c r="H94" i="3"/>
  <c r="G94" i="3"/>
  <c r="E94" i="3"/>
  <c r="B94" i="3"/>
  <c r="F94" i="3" s="1"/>
  <c r="H93" i="3"/>
  <c r="G93" i="3"/>
  <c r="E93" i="3"/>
  <c r="B93" i="3"/>
  <c r="F93" i="3" s="1"/>
  <c r="H92" i="3"/>
  <c r="G92" i="3"/>
  <c r="E92" i="3"/>
  <c r="B92" i="3"/>
  <c r="F92" i="3" s="1"/>
  <c r="H91" i="3"/>
  <c r="G91" i="3"/>
  <c r="E91" i="3"/>
  <c r="B91" i="3"/>
  <c r="F91" i="3" s="1"/>
  <c r="H90" i="3"/>
  <c r="G90" i="3"/>
  <c r="E90" i="3"/>
  <c r="B90" i="3"/>
  <c r="F90" i="3" s="1"/>
  <c r="H89" i="3"/>
  <c r="G89" i="3"/>
  <c r="E89" i="3"/>
  <c r="B89" i="3"/>
  <c r="F89" i="3" s="1"/>
  <c r="H88" i="3"/>
  <c r="G88" i="3"/>
  <c r="E88" i="3"/>
  <c r="B88" i="3"/>
  <c r="F88" i="3" s="1"/>
  <c r="H87" i="3"/>
  <c r="G87" i="3"/>
  <c r="E87" i="3"/>
  <c r="B87" i="3"/>
  <c r="F87" i="3" s="1"/>
  <c r="H86" i="3"/>
  <c r="G86" i="3"/>
  <c r="E86" i="3"/>
  <c r="B86" i="3"/>
  <c r="F86" i="3" s="1"/>
  <c r="H85" i="3"/>
  <c r="G85" i="3"/>
  <c r="E85" i="3"/>
  <c r="B85" i="3"/>
  <c r="F85" i="3" s="1"/>
  <c r="H84" i="3"/>
  <c r="G84" i="3"/>
  <c r="E84" i="3"/>
  <c r="B84" i="3"/>
  <c r="F84" i="3" s="1"/>
  <c r="H83" i="3"/>
  <c r="G83" i="3"/>
  <c r="E83" i="3"/>
  <c r="B83" i="3"/>
  <c r="F83" i="3" s="1"/>
  <c r="H82" i="3"/>
  <c r="G82" i="3"/>
  <c r="E82" i="3"/>
  <c r="B82" i="3"/>
  <c r="F82" i="3" s="1"/>
  <c r="H81" i="3"/>
  <c r="G81" i="3"/>
  <c r="E81" i="3"/>
  <c r="B81" i="3"/>
  <c r="F81" i="3" s="1"/>
  <c r="H80" i="3"/>
  <c r="G80" i="3"/>
  <c r="E80" i="3"/>
  <c r="B80" i="3"/>
  <c r="F80" i="3" s="1"/>
  <c r="H79" i="3"/>
  <c r="G79" i="3"/>
  <c r="E79" i="3"/>
  <c r="B79" i="3"/>
  <c r="F79" i="3" s="1"/>
  <c r="H78" i="3"/>
  <c r="G78" i="3"/>
  <c r="E78" i="3"/>
  <c r="B78" i="3"/>
  <c r="F78" i="3" s="1"/>
  <c r="H77" i="3"/>
  <c r="G77" i="3"/>
  <c r="E77" i="3"/>
  <c r="B77" i="3"/>
  <c r="F77" i="3" s="1"/>
  <c r="H76" i="3"/>
  <c r="G76" i="3"/>
  <c r="E76" i="3"/>
  <c r="B76" i="3"/>
  <c r="F76" i="3" s="1"/>
  <c r="H75" i="3"/>
  <c r="G75" i="3"/>
  <c r="E75" i="3"/>
  <c r="B75" i="3"/>
  <c r="F75" i="3" s="1"/>
  <c r="H74" i="3"/>
  <c r="G74" i="3"/>
  <c r="E74" i="3"/>
  <c r="B74" i="3"/>
  <c r="F74" i="3" s="1"/>
  <c r="H73" i="3"/>
  <c r="G73" i="3"/>
  <c r="E73" i="3"/>
  <c r="B73" i="3"/>
  <c r="F73" i="3" s="1"/>
  <c r="H72" i="3"/>
  <c r="G72" i="3"/>
  <c r="E72" i="3"/>
  <c r="B72" i="3"/>
  <c r="F72" i="3" s="1"/>
  <c r="H71" i="3"/>
  <c r="G71" i="3"/>
  <c r="E71" i="3"/>
  <c r="B71" i="3"/>
  <c r="F71" i="3" s="1"/>
  <c r="H70" i="3"/>
  <c r="G70" i="3"/>
  <c r="E70" i="3"/>
  <c r="B70" i="3"/>
  <c r="F70" i="3" s="1"/>
  <c r="H69" i="3"/>
  <c r="G69" i="3"/>
  <c r="E69" i="3"/>
  <c r="B69" i="3"/>
  <c r="F69" i="3" s="1"/>
  <c r="H68" i="3"/>
  <c r="G68" i="3"/>
  <c r="E68" i="3"/>
  <c r="B68" i="3"/>
  <c r="F68" i="3" s="1"/>
  <c r="H67" i="3"/>
  <c r="G67" i="3"/>
  <c r="E67" i="3"/>
  <c r="B67" i="3"/>
  <c r="F67" i="3" s="1"/>
  <c r="H66" i="3"/>
  <c r="G66" i="3"/>
  <c r="E66" i="3"/>
  <c r="B66" i="3"/>
  <c r="F66" i="3" s="1"/>
  <c r="H65" i="3"/>
  <c r="G65" i="3"/>
  <c r="E65" i="3"/>
  <c r="B65" i="3"/>
  <c r="F65" i="3" s="1"/>
  <c r="H64" i="3"/>
  <c r="G64" i="3"/>
  <c r="E64" i="3"/>
  <c r="B64" i="3"/>
  <c r="F64" i="3" s="1"/>
  <c r="H63" i="3"/>
  <c r="G63" i="3"/>
  <c r="E63" i="3"/>
  <c r="B63" i="3"/>
  <c r="F63" i="3" s="1"/>
  <c r="H62" i="3"/>
  <c r="G62" i="3"/>
  <c r="E62" i="3"/>
  <c r="B62" i="3"/>
  <c r="F62" i="3" s="1"/>
  <c r="H61" i="3"/>
  <c r="G61" i="3"/>
  <c r="E61" i="3"/>
  <c r="B61" i="3"/>
  <c r="F61" i="3" s="1"/>
  <c r="H60" i="3"/>
  <c r="G60" i="3"/>
  <c r="E60" i="3"/>
  <c r="B60" i="3"/>
  <c r="F60" i="3" s="1"/>
  <c r="H59" i="3"/>
  <c r="G59" i="3"/>
  <c r="E59" i="3"/>
  <c r="B59" i="3"/>
  <c r="F59" i="3" s="1"/>
  <c r="H58" i="3"/>
  <c r="G58" i="3"/>
  <c r="E58" i="3"/>
  <c r="B58" i="3"/>
  <c r="F58" i="3" s="1"/>
  <c r="H57" i="3"/>
  <c r="G57" i="3"/>
  <c r="E57" i="3"/>
  <c r="B57" i="3"/>
  <c r="F57" i="3" s="1"/>
  <c r="H56" i="3"/>
  <c r="G56" i="3"/>
  <c r="E56" i="3"/>
  <c r="B56" i="3"/>
  <c r="F56" i="3" s="1"/>
  <c r="H55" i="3"/>
  <c r="G55" i="3"/>
  <c r="E55" i="3"/>
  <c r="B55" i="3"/>
  <c r="F55" i="3" s="1"/>
  <c r="H54" i="3"/>
  <c r="G54" i="3"/>
  <c r="E54" i="3"/>
  <c r="B54" i="3"/>
  <c r="F54" i="3" s="1"/>
  <c r="H53" i="3"/>
  <c r="G53" i="3"/>
  <c r="E53" i="3"/>
  <c r="B53" i="3"/>
  <c r="F53" i="3" s="1"/>
  <c r="H52" i="3"/>
  <c r="G52" i="3"/>
  <c r="E52" i="3"/>
  <c r="B52" i="3"/>
  <c r="F52" i="3" s="1"/>
  <c r="H51" i="3"/>
  <c r="G51" i="3"/>
  <c r="E51" i="3"/>
  <c r="B51" i="3"/>
  <c r="F51" i="3" s="1"/>
  <c r="H50" i="3"/>
  <c r="G50" i="3"/>
  <c r="E50" i="3"/>
  <c r="B50" i="3"/>
  <c r="F50" i="3" s="1"/>
  <c r="H49" i="3"/>
  <c r="G49" i="3"/>
  <c r="E49" i="3"/>
  <c r="B49" i="3"/>
  <c r="F49" i="3" s="1"/>
  <c r="H48" i="3"/>
  <c r="G48" i="3"/>
  <c r="E48" i="3"/>
  <c r="B48" i="3"/>
  <c r="F48" i="3" s="1"/>
  <c r="H47" i="3"/>
  <c r="G47" i="3"/>
  <c r="E47" i="3"/>
  <c r="B47" i="3"/>
  <c r="F47" i="3" s="1"/>
  <c r="H46" i="3"/>
  <c r="G46" i="3"/>
  <c r="E46" i="3"/>
  <c r="B46" i="3"/>
  <c r="F46" i="3" s="1"/>
  <c r="H45" i="3"/>
  <c r="G45" i="3"/>
  <c r="E45" i="3"/>
  <c r="B45" i="3"/>
  <c r="F45" i="3" s="1"/>
  <c r="G44" i="3"/>
  <c r="E44" i="3"/>
  <c r="B44" i="3"/>
  <c r="F44" i="3" s="1"/>
  <c r="G43" i="3"/>
  <c r="E43" i="3"/>
  <c r="B43" i="3"/>
  <c r="F43" i="3" s="1"/>
  <c r="G42" i="3"/>
  <c r="E42" i="3"/>
  <c r="B42" i="3"/>
  <c r="F42" i="3" s="1"/>
  <c r="G41" i="3"/>
  <c r="E41" i="3"/>
  <c r="B41" i="3"/>
  <c r="F41" i="3" s="1"/>
  <c r="H40" i="3"/>
  <c r="G40" i="3"/>
  <c r="E40" i="3"/>
  <c r="B40" i="3"/>
  <c r="F40" i="3" s="1"/>
  <c r="H39" i="3"/>
  <c r="G39" i="3"/>
  <c r="E39" i="3"/>
  <c r="B39" i="3"/>
  <c r="F39" i="3" s="1"/>
  <c r="H38" i="3"/>
  <c r="G38" i="3"/>
  <c r="F38" i="3"/>
  <c r="E38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H20" i="3"/>
  <c r="G20" i="3"/>
  <c r="F20" i="3"/>
  <c r="E20" i="3"/>
  <c r="H19" i="3"/>
  <c r="G19" i="3"/>
  <c r="F19" i="3"/>
  <c r="E19" i="3"/>
  <c r="H18" i="3"/>
  <c r="F18" i="3"/>
  <c r="H17" i="3"/>
  <c r="G17" i="3"/>
  <c r="F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L200" i="2"/>
  <c r="H200" i="2"/>
  <c r="G200" i="2"/>
  <c r="F200" i="2"/>
  <c r="E200" i="2" a="1"/>
  <c r="E200" i="2"/>
  <c r="D200" i="2"/>
  <c r="L199" i="2"/>
  <c r="H199" i="2"/>
  <c r="G199" i="2"/>
  <c r="F199" i="2"/>
  <c r="E199" i="2" a="1"/>
  <c r="E199" i="2"/>
  <c r="D199" i="2"/>
  <c r="L198" i="2"/>
  <c r="H198" i="2"/>
  <c r="G198" i="2"/>
  <c r="F198" i="2"/>
  <c r="E198" i="2" a="1"/>
  <c r="E198" i="2"/>
  <c r="D198" i="2"/>
  <c r="L197" i="2"/>
  <c r="H197" i="2"/>
  <c r="G197" i="2"/>
  <c r="F197" i="2"/>
  <c r="E197" i="2" a="1"/>
  <c r="E197" i="2"/>
  <c r="D197" i="2"/>
  <c r="L196" i="2"/>
  <c r="H196" i="2"/>
  <c r="G196" i="2"/>
  <c r="F196" i="2"/>
  <c r="E196" i="2" a="1"/>
  <c r="E196" i="2"/>
  <c r="D196" i="2"/>
  <c r="L195" i="2"/>
  <c r="H195" i="2"/>
  <c r="G195" i="2"/>
  <c r="F195" i="2"/>
  <c r="E195" i="2" a="1"/>
  <c r="E195" i="2"/>
  <c r="D195" i="2"/>
  <c r="L194" i="2"/>
  <c r="H194" i="2"/>
  <c r="G194" i="2"/>
  <c r="F194" i="2"/>
  <c r="E194" i="2" a="1"/>
  <c r="E194" i="2"/>
  <c r="D194" i="2"/>
  <c r="L193" i="2"/>
  <c r="H193" i="2"/>
  <c r="G193" i="2"/>
  <c r="F193" i="2"/>
  <c r="E193" i="2" a="1"/>
  <c r="E193" i="2"/>
  <c r="D193" i="2"/>
  <c r="L192" i="2"/>
  <c r="H192" i="2"/>
  <c r="G192" i="2"/>
  <c r="F192" i="2"/>
  <c r="E192" i="2" a="1"/>
  <c r="E192" i="2"/>
  <c r="D192" i="2"/>
  <c r="L191" i="2"/>
  <c r="H191" i="2"/>
  <c r="G191" i="2"/>
  <c r="F191" i="2"/>
  <c r="E191" i="2" a="1"/>
  <c r="E191" i="2"/>
  <c r="D191" i="2"/>
  <c r="L190" i="2"/>
  <c r="H190" i="2"/>
  <c r="G190" i="2"/>
  <c r="F190" i="2"/>
  <c r="E190" i="2" a="1"/>
  <c r="E190" i="2"/>
  <c r="D190" i="2"/>
  <c r="L189" i="2"/>
  <c r="H189" i="2"/>
  <c r="G189" i="2"/>
  <c r="F189" i="2"/>
  <c r="E189" i="2" a="1"/>
  <c r="E189" i="2"/>
  <c r="D189" i="2"/>
  <c r="L188" i="2"/>
  <c r="H188" i="2"/>
  <c r="G188" i="2"/>
  <c r="F188" i="2"/>
  <c r="E188" i="2" a="1"/>
  <c r="E188" i="2"/>
  <c r="D188" i="2"/>
  <c r="L187" i="2"/>
  <c r="H187" i="2"/>
  <c r="G187" i="2"/>
  <c r="F187" i="2"/>
  <c r="E187" i="2" a="1"/>
  <c r="E187" i="2"/>
  <c r="D187" i="2"/>
  <c r="L186" i="2"/>
  <c r="H186" i="2"/>
  <c r="G186" i="2"/>
  <c r="F186" i="2"/>
  <c r="E186" i="2" a="1"/>
  <c r="E186" i="2"/>
  <c r="D186" i="2"/>
  <c r="L185" i="2"/>
  <c r="H185" i="2"/>
  <c r="G185" i="2"/>
  <c r="F185" i="2"/>
  <c r="E185" i="2" a="1"/>
  <c r="E185" i="2"/>
  <c r="D185" i="2"/>
  <c r="L184" i="2"/>
  <c r="H184" i="2"/>
  <c r="G184" i="2"/>
  <c r="F184" i="2"/>
  <c r="E184" i="2" a="1"/>
  <c r="E184" i="2"/>
  <c r="D184" i="2"/>
  <c r="L183" i="2"/>
  <c r="H183" i="2"/>
  <c r="G183" i="2"/>
  <c r="F183" i="2"/>
  <c r="E183" i="2" a="1"/>
  <c r="E183" i="2"/>
  <c r="D183" i="2"/>
  <c r="L182" i="2"/>
  <c r="H182" i="2"/>
  <c r="G182" i="2"/>
  <c r="F182" i="2"/>
  <c r="E182" i="2" a="1"/>
  <c r="E182" i="2"/>
  <c r="D182" i="2"/>
  <c r="L181" i="2"/>
  <c r="H181" i="2"/>
  <c r="G181" i="2"/>
  <c r="F181" i="2"/>
  <c r="E181" i="2" a="1"/>
  <c r="E181" i="2"/>
  <c r="D181" i="2"/>
  <c r="L180" i="2"/>
  <c r="H180" i="2"/>
  <c r="G180" i="2"/>
  <c r="F180" i="2"/>
  <c r="E180" i="2" a="1"/>
  <c r="E180" i="2"/>
  <c r="D180" i="2"/>
  <c r="L179" i="2"/>
  <c r="H179" i="2"/>
  <c r="G179" i="2"/>
  <c r="F179" i="2"/>
  <c r="E179" i="2" a="1"/>
  <c r="E179" i="2"/>
  <c r="D179" i="2"/>
  <c r="L178" i="2"/>
  <c r="H178" i="2"/>
  <c r="G178" i="2"/>
  <c r="F178" i="2"/>
  <c r="E178" i="2" a="1"/>
  <c r="E178" i="2"/>
  <c r="D178" i="2"/>
  <c r="L177" i="2"/>
  <c r="H177" i="2"/>
  <c r="G177" i="2"/>
  <c r="F177" i="2"/>
  <c r="E177" i="2" a="1"/>
  <c r="E177" i="2"/>
  <c r="D177" i="2"/>
  <c r="L176" i="2"/>
  <c r="H176" i="2"/>
  <c r="G176" i="2"/>
  <c r="F176" i="2"/>
  <c r="E176" i="2" a="1"/>
  <c r="E176" i="2"/>
  <c r="D176" i="2"/>
  <c r="L175" i="2"/>
  <c r="H175" i="2"/>
  <c r="G175" i="2"/>
  <c r="F175" i="2"/>
  <c r="E175" i="2" a="1"/>
  <c r="E175" i="2"/>
  <c r="D175" i="2"/>
  <c r="L174" i="2"/>
  <c r="H174" i="2"/>
  <c r="G174" i="2"/>
  <c r="F174" i="2"/>
  <c r="E174" i="2" a="1"/>
  <c r="E174" i="2"/>
  <c r="D174" i="2"/>
  <c r="L173" i="2"/>
  <c r="H173" i="2"/>
  <c r="G173" i="2"/>
  <c r="F173" i="2"/>
  <c r="E173" i="2" a="1"/>
  <c r="E173" i="2"/>
  <c r="D173" i="2"/>
  <c r="L172" i="2"/>
  <c r="H172" i="2"/>
  <c r="G172" i="2"/>
  <c r="F172" i="2"/>
  <c r="E172" i="2" a="1"/>
  <c r="E172" i="2"/>
  <c r="D172" i="2"/>
  <c r="L171" i="2"/>
  <c r="H171" i="2"/>
  <c r="G171" i="2"/>
  <c r="F171" i="2"/>
  <c r="E171" i="2" a="1"/>
  <c r="E171" i="2"/>
  <c r="D171" i="2"/>
  <c r="L170" i="2"/>
  <c r="H170" i="2"/>
  <c r="G170" i="2"/>
  <c r="F170" i="2"/>
  <c r="E170" i="2" a="1"/>
  <c r="E170" i="2"/>
  <c r="D170" i="2"/>
  <c r="L169" i="2"/>
  <c r="H169" i="2"/>
  <c r="G169" i="2"/>
  <c r="F169" i="2"/>
  <c r="E169" i="2" a="1"/>
  <c r="E169" i="2"/>
  <c r="D169" i="2"/>
  <c r="L168" i="2"/>
  <c r="H168" i="2"/>
  <c r="G168" i="2"/>
  <c r="F168" i="2"/>
  <c r="E168" i="2" a="1"/>
  <c r="E168" i="2"/>
  <c r="D168" i="2"/>
  <c r="L167" i="2"/>
  <c r="H167" i="2"/>
  <c r="G167" i="2"/>
  <c r="F167" i="2"/>
  <c r="E167" i="2" a="1"/>
  <c r="E167" i="2"/>
  <c r="D167" i="2"/>
  <c r="L166" i="2"/>
  <c r="H166" i="2"/>
  <c r="G166" i="2"/>
  <c r="F166" i="2"/>
  <c r="E166" i="2" a="1"/>
  <c r="E166" i="2"/>
  <c r="D166" i="2"/>
  <c r="L165" i="2"/>
  <c r="H165" i="2"/>
  <c r="G165" i="2"/>
  <c r="F165" i="2"/>
  <c r="E165" i="2" a="1"/>
  <c r="E165" i="2"/>
  <c r="D165" i="2"/>
  <c r="L164" i="2"/>
  <c r="H164" i="2"/>
  <c r="G164" i="2"/>
  <c r="F164" i="2"/>
  <c r="E164" i="2" a="1"/>
  <c r="E164" i="2"/>
  <c r="D164" i="2"/>
  <c r="L163" i="2"/>
  <c r="H163" i="2"/>
  <c r="G163" i="2"/>
  <c r="F163" i="2"/>
  <c r="E163" i="2" a="1"/>
  <c r="E163" i="2"/>
  <c r="D163" i="2"/>
  <c r="L162" i="2"/>
  <c r="H162" i="2"/>
  <c r="G162" i="2"/>
  <c r="F162" i="2"/>
  <c r="E162" i="2" a="1"/>
  <c r="E162" i="2"/>
  <c r="D162" i="2"/>
  <c r="L161" i="2"/>
  <c r="H161" i="2"/>
  <c r="G161" i="2"/>
  <c r="F161" i="2"/>
  <c r="E161" i="2" a="1"/>
  <c r="E161" i="2"/>
  <c r="D161" i="2"/>
  <c r="L160" i="2"/>
  <c r="H160" i="2"/>
  <c r="G160" i="2"/>
  <c r="F160" i="2"/>
  <c r="E160" i="2" a="1"/>
  <c r="E160" i="2"/>
  <c r="D160" i="2"/>
  <c r="L159" i="2"/>
  <c r="H159" i="2"/>
  <c r="G159" i="2"/>
  <c r="F159" i="2"/>
  <c r="E159" i="2" a="1"/>
  <c r="E159" i="2"/>
  <c r="D159" i="2"/>
  <c r="L158" i="2"/>
  <c r="H158" i="2"/>
  <c r="G158" i="2"/>
  <c r="F158" i="2"/>
  <c r="E158" i="2" a="1"/>
  <c r="E158" i="2"/>
  <c r="D158" i="2"/>
  <c r="L157" i="2"/>
  <c r="H157" i="2"/>
  <c r="G157" i="2"/>
  <c r="F157" i="2"/>
  <c r="E157" i="2" a="1"/>
  <c r="E157" i="2"/>
  <c r="D157" i="2"/>
  <c r="L156" i="2"/>
  <c r="H156" i="2"/>
  <c r="G156" i="2"/>
  <c r="F156" i="2"/>
  <c r="E156" i="2" a="1"/>
  <c r="E156" i="2"/>
  <c r="D156" i="2"/>
  <c r="L155" i="2"/>
  <c r="H155" i="2"/>
  <c r="G155" i="2"/>
  <c r="F155" i="2"/>
  <c r="E155" i="2" a="1"/>
  <c r="E155" i="2"/>
  <c r="D155" i="2"/>
  <c r="L154" i="2"/>
  <c r="H154" i="2"/>
  <c r="G154" i="2"/>
  <c r="F154" i="2"/>
  <c r="E154" i="2" a="1"/>
  <c r="E154" i="2"/>
  <c r="D154" i="2"/>
  <c r="L153" i="2"/>
  <c r="H153" i="2"/>
  <c r="G153" i="2"/>
  <c r="F153" i="2"/>
  <c r="E153" i="2" a="1"/>
  <c r="E153" i="2"/>
  <c r="D153" i="2"/>
  <c r="L152" i="2"/>
  <c r="H152" i="2"/>
  <c r="G152" i="2"/>
  <c r="F152" i="2"/>
  <c r="E152" i="2" a="1"/>
  <c r="E152" i="2"/>
  <c r="D152" i="2"/>
  <c r="L151" i="2"/>
  <c r="H151" i="2"/>
  <c r="G151" i="2"/>
  <c r="F151" i="2"/>
  <c r="E151" i="2" a="1"/>
  <c r="E151" i="2"/>
  <c r="D151" i="2"/>
  <c r="L150" i="2"/>
  <c r="H150" i="2"/>
  <c r="G150" i="2"/>
  <c r="F150" i="2"/>
  <c r="E150" i="2" a="1"/>
  <c r="E150" i="2"/>
  <c r="D150" i="2"/>
  <c r="L149" i="2"/>
  <c r="H149" i="2"/>
  <c r="G149" i="2"/>
  <c r="F149" i="2"/>
  <c r="E149" i="2" a="1"/>
  <c r="E149" i="2"/>
  <c r="D149" i="2"/>
  <c r="L148" i="2"/>
  <c r="H148" i="2"/>
  <c r="G148" i="2"/>
  <c r="F148" i="2"/>
  <c r="E148" i="2" a="1"/>
  <c r="E148" i="2"/>
  <c r="D148" i="2"/>
  <c r="L147" i="2"/>
  <c r="H147" i="2"/>
  <c r="G147" i="2"/>
  <c r="F147" i="2"/>
  <c r="E147" i="2" a="1"/>
  <c r="E147" i="2"/>
  <c r="D147" i="2"/>
  <c r="L146" i="2"/>
  <c r="H146" i="2"/>
  <c r="G146" i="2"/>
  <c r="F146" i="2"/>
  <c r="E146" i="2" a="1"/>
  <c r="E146" i="2"/>
  <c r="D146" i="2"/>
  <c r="L145" i="2"/>
  <c r="H145" i="2"/>
  <c r="G145" i="2"/>
  <c r="F145" i="2"/>
  <c r="E145" i="2" a="1"/>
  <c r="E145" i="2"/>
  <c r="D145" i="2"/>
  <c r="L144" i="2"/>
  <c r="H144" i="2"/>
  <c r="G144" i="2"/>
  <c r="F144" i="2"/>
  <c r="E144" i="2" a="1"/>
  <c r="E144" i="2"/>
  <c r="D144" i="2"/>
  <c r="L143" i="2"/>
  <c r="H143" i="2"/>
  <c r="G143" i="2"/>
  <c r="F143" i="2"/>
  <c r="E143" i="2" a="1"/>
  <c r="E143" i="2"/>
  <c r="D143" i="2"/>
  <c r="L142" i="2"/>
  <c r="H142" i="2"/>
  <c r="G142" i="2"/>
  <c r="F142" i="2"/>
  <c r="E142" i="2" a="1"/>
  <c r="E142" i="2"/>
  <c r="D142" i="2"/>
  <c r="L141" i="2"/>
  <c r="H141" i="2"/>
  <c r="G141" i="2"/>
  <c r="F141" i="2"/>
  <c r="E141" i="2" a="1"/>
  <c r="E141" i="2"/>
  <c r="D141" i="2"/>
  <c r="L140" i="2"/>
  <c r="H140" i="2"/>
  <c r="G140" i="2"/>
  <c r="F140" i="2"/>
  <c r="E140" i="2" a="1"/>
  <c r="E140" i="2"/>
  <c r="D140" i="2"/>
  <c r="L139" i="2"/>
  <c r="H139" i="2"/>
  <c r="G139" i="2"/>
  <c r="F139" i="2"/>
  <c r="E139" i="2" a="1"/>
  <c r="E139" i="2"/>
  <c r="D139" i="2"/>
  <c r="L138" i="2"/>
  <c r="H138" i="2"/>
  <c r="G138" i="2"/>
  <c r="F138" i="2"/>
  <c r="E138" i="2" a="1"/>
  <c r="E138" i="2"/>
  <c r="D138" i="2"/>
  <c r="L137" i="2"/>
  <c r="H137" i="2"/>
  <c r="G137" i="2"/>
  <c r="F137" i="2"/>
  <c r="E137" i="2" a="1"/>
  <c r="E137" i="2"/>
  <c r="D137" i="2"/>
  <c r="L136" i="2"/>
  <c r="H136" i="2"/>
  <c r="G136" i="2"/>
  <c r="F136" i="2"/>
  <c r="E136" i="2" a="1"/>
  <c r="E136" i="2"/>
  <c r="D136" i="2"/>
  <c r="L135" i="2"/>
  <c r="H135" i="2"/>
  <c r="G135" i="2"/>
  <c r="F135" i="2"/>
  <c r="E135" i="2" a="1"/>
  <c r="E135" i="2"/>
  <c r="D135" i="2"/>
  <c r="L134" i="2"/>
  <c r="H134" i="2"/>
  <c r="G134" i="2"/>
  <c r="F134" i="2"/>
  <c r="E134" i="2" a="1"/>
  <c r="E134" i="2"/>
  <c r="D134" i="2"/>
  <c r="L133" i="2"/>
  <c r="H133" i="2"/>
  <c r="G133" i="2"/>
  <c r="F133" i="2"/>
  <c r="E133" i="2" a="1"/>
  <c r="E133" i="2"/>
  <c r="D133" i="2"/>
  <c r="L132" i="2"/>
  <c r="H132" i="2"/>
  <c r="G132" i="2"/>
  <c r="F132" i="2"/>
  <c r="E132" i="2" a="1"/>
  <c r="E132" i="2"/>
  <c r="D132" i="2"/>
  <c r="L131" i="2"/>
  <c r="H131" i="2"/>
  <c r="G131" i="2"/>
  <c r="F131" i="2"/>
  <c r="E131" i="2" a="1"/>
  <c r="E131" i="2"/>
  <c r="D131" i="2"/>
  <c r="L130" i="2"/>
  <c r="H130" i="2"/>
  <c r="G130" i="2"/>
  <c r="F130" i="2"/>
  <c r="E130" i="2" a="1"/>
  <c r="E130" i="2"/>
  <c r="D130" i="2"/>
  <c r="L129" i="2"/>
  <c r="H129" i="2"/>
  <c r="G129" i="2"/>
  <c r="F129" i="2"/>
  <c r="E129" i="2" a="1"/>
  <c r="E129" i="2"/>
  <c r="D129" i="2"/>
  <c r="L128" i="2"/>
  <c r="H128" i="2"/>
  <c r="G128" i="2"/>
  <c r="F128" i="2"/>
  <c r="E128" i="2" a="1"/>
  <c r="E128" i="2"/>
  <c r="D128" i="2"/>
  <c r="L127" i="2"/>
  <c r="H127" i="2"/>
  <c r="G127" i="2"/>
  <c r="F127" i="2"/>
  <c r="E127" i="2" a="1"/>
  <c r="E127" i="2"/>
  <c r="D127" i="2"/>
  <c r="L126" i="2"/>
  <c r="H126" i="2"/>
  <c r="G126" i="2"/>
  <c r="F126" i="2"/>
  <c r="E126" i="2" a="1"/>
  <c r="E126" i="2"/>
  <c r="D126" i="2"/>
  <c r="H125" i="2"/>
  <c r="G125" i="2"/>
  <c r="F125" i="2"/>
  <c r="E125" i="2" a="1"/>
  <c r="E125" i="2"/>
  <c r="D125" i="2"/>
  <c r="H124" i="2"/>
  <c r="G124" i="2"/>
  <c r="F124" i="2"/>
  <c r="E124" i="2" a="1"/>
  <c r="E124" i="2"/>
  <c r="D124" i="2"/>
  <c r="H123" i="2"/>
  <c r="G123" i="2"/>
  <c r="F123" i="2"/>
  <c r="E123" i="2" a="1"/>
  <c r="E123" i="2"/>
  <c r="D123" i="2"/>
  <c r="H122" i="2"/>
  <c r="G122" i="2"/>
  <c r="F122" i="2"/>
  <c r="E122" i="2" a="1"/>
  <c r="E122" i="2"/>
  <c r="D122" i="2"/>
  <c r="H121" i="2"/>
  <c r="G121" i="2"/>
  <c r="F121" i="2"/>
  <c r="E121" i="2" a="1"/>
  <c r="E121" i="2"/>
  <c r="D121" i="2"/>
  <c r="H120" i="2"/>
  <c r="G120" i="2"/>
  <c r="F120" i="2"/>
  <c r="E120" i="2" a="1"/>
  <c r="E120" i="2"/>
  <c r="D120" i="2"/>
  <c r="H119" i="2"/>
  <c r="G119" i="2"/>
  <c r="F119" i="2"/>
  <c r="E119" i="2" a="1"/>
  <c r="E119" i="2"/>
  <c r="D119" i="2"/>
  <c r="H118" i="2"/>
  <c r="G118" i="2"/>
  <c r="F118" i="2"/>
  <c r="E118" i="2" a="1"/>
  <c r="E118" i="2"/>
  <c r="D118" i="2"/>
  <c r="H117" i="2"/>
  <c r="G117" i="2"/>
  <c r="F117" i="2"/>
  <c r="E117" i="2" a="1"/>
  <c r="E117" i="2"/>
  <c r="D117" i="2"/>
  <c r="H116" i="2"/>
  <c r="G116" i="2"/>
  <c r="F116" i="2"/>
  <c r="E116" i="2" a="1"/>
  <c r="E116" i="2"/>
  <c r="D116" i="2"/>
  <c r="H115" i="2"/>
  <c r="G115" i="2"/>
  <c r="F115" i="2"/>
  <c r="E115" i="2" a="1"/>
  <c r="E115" i="2"/>
  <c r="D115" i="2"/>
  <c r="H114" i="2"/>
  <c r="G114" i="2"/>
  <c r="F114" i="2"/>
  <c r="E114" i="2" a="1"/>
  <c r="E114" i="2"/>
  <c r="D114" i="2"/>
  <c r="H113" i="2"/>
  <c r="G113" i="2"/>
  <c r="F113" i="2"/>
  <c r="E113" i="2" a="1"/>
  <c r="E113" i="2"/>
  <c r="D113" i="2"/>
  <c r="H112" i="2"/>
  <c r="G112" i="2"/>
  <c r="F112" i="2"/>
  <c r="E112" i="2" a="1"/>
  <c r="E112" i="2"/>
  <c r="D112" i="2"/>
  <c r="H111" i="2"/>
  <c r="G111" i="2"/>
  <c r="F111" i="2"/>
  <c r="E111" i="2" a="1"/>
  <c r="E111" i="2"/>
  <c r="D111" i="2"/>
  <c r="H110" i="2"/>
  <c r="G110" i="2"/>
  <c r="F110" i="2"/>
  <c r="E110" i="2" a="1"/>
  <c r="E110" i="2"/>
  <c r="D110" i="2"/>
  <c r="H109" i="2"/>
  <c r="G109" i="2"/>
  <c r="F109" i="2"/>
  <c r="E109" i="2" a="1"/>
  <c r="E109" i="2"/>
  <c r="D109" i="2"/>
  <c r="H108" i="2"/>
  <c r="G108" i="2"/>
  <c r="F108" i="2"/>
  <c r="E108" i="2" a="1"/>
  <c r="E108" i="2"/>
  <c r="D108" i="2"/>
  <c r="H107" i="2"/>
  <c r="G107" i="2"/>
  <c r="F107" i="2"/>
  <c r="E107" i="2" a="1"/>
  <c r="E107" i="2"/>
  <c r="D107" i="2"/>
  <c r="H106" i="2"/>
  <c r="G106" i="2"/>
  <c r="F106" i="2"/>
  <c r="E106" i="2" a="1"/>
  <c r="E106" i="2"/>
  <c r="D106" i="2"/>
  <c r="H105" i="2"/>
  <c r="G105" i="2"/>
  <c r="F105" i="2"/>
  <c r="E105" i="2" a="1"/>
  <c r="E105" i="2"/>
  <c r="D105" i="2"/>
  <c r="H104" i="2"/>
  <c r="G104" i="2"/>
  <c r="F104" i="2"/>
  <c r="E104" i="2" a="1"/>
  <c r="E104" i="2"/>
  <c r="D104" i="2"/>
  <c r="H103" i="2"/>
  <c r="G103" i="2"/>
  <c r="F103" i="2"/>
  <c r="E103" i="2" a="1"/>
  <c r="E103" i="2"/>
  <c r="D103" i="2"/>
  <c r="H102" i="2"/>
  <c r="G102" i="2"/>
  <c r="F102" i="2"/>
  <c r="E102" i="2" a="1"/>
  <c r="E102" i="2"/>
  <c r="D102" i="2"/>
  <c r="H101" i="2"/>
  <c r="G101" i="2"/>
  <c r="F101" i="2"/>
  <c r="E101" i="2" a="1"/>
  <c r="E101" i="2"/>
  <c r="D101" i="2"/>
  <c r="H100" i="2"/>
  <c r="G100" i="2"/>
  <c r="F100" i="2"/>
  <c r="E100" i="2" a="1"/>
  <c r="E100" i="2"/>
  <c r="D100" i="2"/>
  <c r="H99" i="2"/>
  <c r="G99" i="2"/>
  <c r="F99" i="2"/>
  <c r="E99" i="2" a="1"/>
  <c r="E99" i="2"/>
  <c r="D99" i="2"/>
  <c r="H98" i="2"/>
  <c r="G98" i="2"/>
  <c r="F98" i="2"/>
  <c r="E98" i="2" a="1"/>
  <c r="E98" i="2"/>
  <c r="D98" i="2"/>
  <c r="H97" i="2"/>
  <c r="G97" i="2"/>
  <c r="F97" i="2"/>
  <c r="E97" i="2" a="1"/>
  <c r="E97" i="2"/>
  <c r="D97" i="2"/>
  <c r="H96" i="2"/>
  <c r="G96" i="2"/>
  <c r="F96" i="2"/>
  <c r="E96" i="2" a="1"/>
  <c r="E96" i="2"/>
  <c r="D96" i="2"/>
  <c r="H95" i="2"/>
  <c r="G95" i="2"/>
  <c r="F95" i="2"/>
  <c r="E95" i="2" a="1"/>
  <c r="E95" i="2"/>
  <c r="D95" i="2"/>
  <c r="H94" i="2"/>
  <c r="G94" i="2"/>
  <c r="F94" i="2"/>
  <c r="E94" i="2" a="1"/>
  <c r="E94" i="2"/>
  <c r="D94" i="2"/>
  <c r="H93" i="2"/>
  <c r="G93" i="2"/>
  <c r="F93" i="2"/>
  <c r="E93" i="2" a="1"/>
  <c r="E93" i="2"/>
  <c r="D93" i="2"/>
  <c r="H92" i="2"/>
  <c r="G92" i="2"/>
  <c r="F92" i="2"/>
  <c r="E92" i="2" a="1"/>
  <c r="E92" i="2"/>
  <c r="D92" i="2"/>
  <c r="H91" i="2"/>
  <c r="G91" i="2"/>
  <c r="F91" i="2"/>
  <c r="E91" i="2" a="1"/>
  <c r="E91" i="2"/>
  <c r="D91" i="2"/>
  <c r="H90" i="2"/>
  <c r="G90" i="2"/>
  <c r="F90" i="2"/>
  <c r="E90" i="2" a="1"/>
  <c r="E90" i="2"/>
  <c r="D90" i="2"/>
  <c r="H89" i="2"/>
  <c r="G89" i="2"/>
  <c r="F89" i="2"/>
  <c r="E89" i="2" a="1"/>
  <c r="E89" i="2"/>
  <c r="D89" i="2"/>
  <c r="H88" i="2"/>
  <c r="G88" i="2"/>
  <c r="F88" i="2"/>
  <c r="E88" i="2" a="1"/>
  <c r="E88" i="2"/>
  <c r="D88" i="2"/>
  <c r="H87" i="2"/>
  <c r="G87" i="2"/>
  <c r="F87" i="2"/>
  <c r="E87" i="2" a="1"/>
  <c r="E87" i="2"/>
  <c r="D87" i="2"/>
  <c r="H86" i="2"/>
  <c r="G86" i="2"/>
  <c r="F86" i="2"/>
  <c r="E86" i="2" a="1"/>
  <c r="E86" i="2"/>
  <c r="D86" i="2"/>
  <c r="H85" i="2"/>
  <c r="G85" i="2"/>
  <c r="F85" i="2"/>
  <c r="E85" i="2" a="1"/>
  <c r="E85" i="2"/>
  <c r="D85" i="2"/>
  <c r="H84" i="2"/>
  <c r="G84" i="2"/>
  <c r="F84" i="2"/>
  <c r="E84" i="2" a="1"/>
  <c r="E84" i="2"/>
  <c r="D84" i="2"/>
  <c r="H83" i="2"/>
  <c r="G83" i="2"/>
  <c r="F83" i="2"/>
  <c r="E83" i="2" a="1"/>
  <c r="E83" i="2"/>
  <c r="D83" i="2"/>
  <c r="H82" i="2"/>
  <c r="G82" i="2"/>
  <c r="F82" i="2"/>
  <c r="E82" i="2" a="1"/>
  <c r="E82" i="2"/>
  <c r="D82" i="2"/>
  <c r="H81" i="2"/>
  <c r="G81" i="2"/>
  <c r="F81" i="2"/>
  <c r="E81" i="2" a="1"/>
  <c r="E81" i="2"/>
  <c r="D81" i="2"/>
  <c r="H80" i="2"/>
  <c r="G80" i="2"/>
  <c r="F80" i="2"/>
  <c r="E80" i="2" a="1"/>
  <c r="E80" i="2"/>
  <c r="D80" i="2"/>
  <c r="H79" i="2"/>
  <c r="G79" i="2"/>
  <c r="F79" i="2"/>
  <c r="E79" i="2" a="1"/>
  <c r="E79" i="2"/>
  <c r="D79" i="2"/>
  <c r="H78" i="2"/>
  <c r="G78" i="2"/>
  <c r="F78" i="2"/>
  <c r="E78" i="2" a="1"/>
  <c r="E78" i="2"/>
  <c r="D78" i="2"/>
  <c r="H77" i="2"/>
  <c r="G77" i="2"/>
  <c r="F77" i="2"/>
  <c r="E77" i="2" a="1"/>
  <c r="E77" i="2"/>
  <c r="D77" i="2"/>
  <c r="H76" i="2"/>
  <c r="G76" i="2"/>
  <c r="F76" i="2"/>
  <c r="E76" i="2" a="1"/>
  <c r="E76" i="2"/>
  <c r="D76" i="2"/>
  <c r="H75" i="2"/>
  <c r="G75" i="2"/>
  <c r="F75" i="2"/>
  <c r="E75" i="2" a="1"/>
  <c r="E75" i="2"/>
  <c r="D75" i="2"/>
  <c r="H74" i="2"/>
  <c r="G74" i="2"/>
  <c r="F74" i="2"/>
  <c r="E74" i="2" a="1"/>
  <c r="E74" i="2"/>
  <c r="D74" i="2"/>
  <c r="H73" i="2"/>
  <c r="G73" i="2"/>
  <c r="F73" i="2"/>
  <c r="E73" i="2" a="1"/>
  <c r="E73" i="2"/>
  <c r="D73" i="2"/>
  <c r="H72" i="2"/>
  <c r="G72" i="2"/>
  <c r="F72" i="2"/>
  <c r="E72" i="2" a="1"/>
  <c r="E72" i="2"/>
  <c r="D72" i="2"/>
  <c r="H71" i="2"/>
  <c r="G71" i="2"/>
  <c r="F71" i="2"/>
  <c r="E71" i="2" a="1"/>
  <c r="E71" i="2"/>
  <c r="D71" i="2"/>
  <c r="H70" i="2"/>
  <c r="G70" i="2"/>
  <c r="F70" i="2"/>
  <c r="E70" i="2" a="1"/>
  <c r="E70" i="2"/>
  <c r="D70" i="2"/>
  <c r="H69" i="2"/>
  <c r="G69" i="2"/>
  <c r="F69" i="2"/>
  <c r="E69" i="2" a="1"/>
  <c r="E69" i="2"/>
  <c r="D69" i="2"/>
  <c r="H68" i="2"/>
  <c r="G68" i="2"/>
  <c r="F68" i="2"/>
  <c r="E68" i="2" a="1"/>
  <c r="E68" i="2"/>
  <c r="D68" i="2"/>
  <c r="H67" i="2"/>
  <c r="G67" i="2"/>
  <c r="F67" i="2"/>
  <c r="E67" i="2" a="1"/>
  <c r="E67" i="2"/>
  <c r="D67" i="2"/>
  <c r="H66" i="2"/>
  <c r="G66" i="2"/>
  <c r="F66" i="2"/>
  <c r="E66" i="2" a="1"/>
  <c r="E66" i="2"/>
  <c r="D66" i="2"/>
  <c r="H65" i="2"/>
  <c r="G65" i="2"/>
  <c r="F65" i="2"/>
  <c r="E65" i="2" a="1"/>
  <c r="E65" i="2"/>
  <c r="D65" i="2"/>
  <c r="H64" i="2"/>
  <c r="G64" i="2"/>
  <c r="F64" i="2"/>
  <c r="E64" i="2" a="1"/>
  <c r="E64" i="2"/>
  <c r="D64" i="2"/>
  <c r="H63" i="2"/>
  <c r="G63" i="2"/>
  <c r="F63" i="2"/>
  <c r="E63" i="2" a="1"/>
  <c r="E63" i="2"/>
  <c r="D63" i="2"/>
  <c r="H62" i="2"/>
  <c r="G62" i="2"/>
  <c r="F62" i="2"/>
  <c r="E62" i="2" a="1"/>
  <c r="E62" i="2"/>
  <c r="D62" i="2"/>
  <c r="H61" i="2"/>
  <c r="G61" i="2"/>
  <c r="F61" i="2"/>
  <c r="E61" i="2" a="1"/>
  <c r="E61" i="2"/>
  <c r="D61" i="2"/>
  <c r="H60" i="2"/>
  <c r="G60" i="2"/>
  <c r="F60" i="2"/>
  <c r="E60" i="2" a="1"/>
  <c r="E60" i="2"/>
  <c r="D60" i="2"/>
  <c r="H59" i="2"/>
  <c r="G59" i="2"/>
  <c r="F59" i="2"/>
  <c r="E59" i="2" a="1"/>
  <c r="E59" i="2"/>
  <c r="D59" i="2"/>
  <c r="H58" i="2"/>
  <c r="G58" i="2"/>
  <c r="F58" i="2"/>
  <c r="E58" i="2" a="1"/>
  <c r="E58" i="2"/>
  <c r="D58" i="2"/>
  <c r="H57" i="2"/>
  <c r="G57" i="2"/>
  <c r="F57" i="2"/>
  <c r="E57" i="2" a="1"/>
  <c r="E57" i="2"/>
  <c r="D57" i="2"/>
  <c r="H56" i="2"/>
  <c r="G56" i="2"/>
  <c r="F56" i="2"/>
  <c r="E56" i="2" a="1"/>
  <c r="E56" i="2"/>
  <c r="D56" i="2"/>
  <c r="H55" i="2"/>
  <c r="G55" i="2"/>
  <c r="F55" i="2"/>
  <c r="E55" i="2" a="1"/>
  <c r="E55" i="2"/>
  <c r="D55" i="2"/>
  <c r="H54" i="2"/>
  <c r="G54" i="2"/>
  <c r="F54" i="2"/>
  <c r="E54" i="2" a="1"/>
  <c r="E54" i="2"/>
  <c r="D54" i="2"/>
  <c r="H53" i="2"/>
  <c r="G53" i="2"/>
  <c r="F53" i="2"/>
  <c r="E53" i="2" a="1"/>
  <c r="E53" i="2"/>
  <c r="D53" i="2"/>
  <c r="H52" i="2"/>
  <c r="G52" i="2"/>
  <c r="F52" i="2"/>
  <c r="E52" i="2" a="1"/>
  <c r="E52" i="2"/>
  <c r="D52" i="2"/>
  <c r="H51" i="2"/>
  <c r="G51" i="2"/>
  <c r="F51" i="2"/>
  <c r="E51" i="2" a="1"/>
  <c r="E51" i="2"/>
  <c r="D51" i="2"/>
  <c r="H50" i="2"/>
  <c r="G50" i="2"/>
  <c r="F50" i="2"/>
  <c r="E50" i="2" a="1"/>
  <c r="E50" i="2"/>
  <c r="D50" i="2"/>
  <c r="H49" i="2"/>
  <c r="G49" i="2"/>
  <c r="F49" i="2"/>
  <c r="E49" i="2" a="1"/>
  <c r="E49" i="2"/>
  <c r="D49" i="2"/>
  <c r="H48" i="2"/>
  <c r="G48" i="2"/>
  <c r="F48" i="2"/>
  <c r="E48" i="2" a="1"/>
  <c r="E48" i="2"/>
  <c r="D48" i="2"/>
  <c r="H47" i="2"/>
  <c r="G47" i="2"/>
  <c r="F47" i="2"/>
  <c r="E47" i="2" a="1"/>
  <c r="E47" i="2"/>
  <c r="D47" i="2"/>
  <c r="H46" i="2"/>
  <c r="G46" i="2"/>
  <c r="F46" i="2"/>
  <c r="E46" i="2" a="1"/>
  <c r="E46" i="2"/>
  <c r="D46" i="2"/>
  <c r="H45" i="2"/>
  <c r="G45" i="2"/>
  <c r="F45" i="2"/>
  <c r="E45" i="2" a="1"/>
  <c r="E45" i="2"/>
  <c r="D45" i="2"/>
  <c r="H44" i="2"/>
  <c r="G44" i="2"/>
  <c r="F44" i="2"/>
  <c r="E44" i="2" a="1"/>
  <c r="E44" i="2"/>
  <c r="D44" i="2"/>
  <c r="H43" i="2"/>
  <c r="G43" i="2"/>
  <c r="F43" i="2"/>
  <c r="E43" i="2" a="1"/>
  <c r="E43" i="2"/>
  <c r="D43" i="2"/>
  <c r="H42" i="2"/>
  <c r="G42" i="2"/>
  <c r="F42" i="2"/>
  <c r="E42" i="2" a="1"/>
  <c r="E42" i="2"/>
  <c r="D42" i="2"/>
  <c r="H41" i="2"/>
  <c r="G41" i="2"/>
  <c r="F41" i="2"/>
  <c r="E41" i="2" a="1"/>
  <c r="E41" i="2"/>
  <c r="D41" i="2"/>
  <c r="H40" i="2"/>
  <c r="G40" i="2"/>
  <c r="F40" i="2"/>
  <c r="E40" i="2" a="1"/>
  <c r="E40" i="2"/>
  <c r="D40" i="2"/>
  <c r="H39" i="2"/>
  <c r="G39" i="2"/>
  <c r="F39" i="2"/>
  <c r="E39" i="2" a="1"/>
  <c r="E39" i="2"/>
  <c r="D39" i="2"/>
  <c r="H38" i="2"/>
  <c r="G38" i="2"/>
  <c r="F38" i="2"/>
  <c r="E38" i="2" a="1"/>
  <c r="E38" i="2"/>
  <c r="D38" i="2"/>
  <c r="H37" i="2"/>
  <c r="G37" i="2"/>
  <c r="F37" i="2"/>
  <c r="E37" i="2" a="1"/>
  <c r="E37" i="2"/>
  <c r="D37" i="2"/>
  <c r="H36" i="2"/>
  <c r="G36" i="2"/>
  <c r="F36" i="2"/>
  <c r="E36" i="2" a="1"/>
  <c r="E36" i="2"/>
  <c r="D36" i="2"/>
  <c r="H35" i="2"/>
  <c r="G35" i="2"/>
  <c r="F35" i="2"/>
  <c r="E35" i="2" a="1"/>
  <c r="E35" i="2"/>
  <c r="D35" i="2"/>
  <c r="H34" i="2"/>
  <c r="G34" i="2"/>
  <c r="F34" i="2"/>
  <c r="E34" i="2" a="1"/>
  <c r="E34" i="2"/>
  <c r="D34" i="2"/>
  <c r="H33" i="2"/>
  <c r="G33" i="2"/>
  <c r="F33" i="2"/>
  <c r="E33" i="2" a="1"/>
  <c r="E33" i="2"/>
  <c r="D33" i="2"/>
  <c r="H32" i="2"/>
  <c r="G32" i="2"/>
  <c r="F32" i="2"/>
  <c r="E32" i="2" a="1"/>
  <c r="E32" i="2"/>
  <c r="D32" i="2"/>
  <c r="H31" i="2"/>
  <c r="G31" i="2"/>
  <c r="F31" i="2"/>
  <c r="E31" i="2" a="1"/>
  <c r="E31" i="2"/>
  <c r="D31" i="2"/>
  <c r="H30" i="2"/>
  <c r="G30" i="2"/>
  <c r="F30" i="2"/>
  <c r="E30" i="2" a="1"/>
  <c r="E30" i="2"/>
  <c r="D30" i="2"/>
  <c r="H29" i="2"/>
  <c r="G29" i="2"/>
  <c r="F29" i="2"/>
  <c r="E29" i="2" a="1"/>
  <c r="E29" i="2"/>
  <c r="D29" i="2"/>
  <c r="H28" i="2"/>
  <c r="G28" i="2"/>
  <c r="F28" i="2"/>
  <c r="E28" i="2" a="1"/>
  <c r="E28" i="2"/>
  <c r="D28" i="2"/>
  <c r="H27" i="2"/>
  <c r="G27" i="2"/>
  <c r="F27" i="2"/>
  <c r="E27" i="2" a="1"/>
  <c r="E27" i="2"/>
  <c r="D27" i="2"/>
  <c r="H26" i="2"/>
  <c r="G26" i="2"/>
  <c r="F26" i="2"/>
  <c r="E26" i="2" a="1"/>
  <c r="E26" i="2"/>
  <c r="D26" i="2"/>
  <c r="H25" i="2"/>
  <c r="G25" i="2"/>
  <c r="F25" i="2"/>
  <c r="E25" i="2" a="1"/>
  <c r="E25" i="2"/>
  <c r="D25" i="2"/>
  <c r="H24" i="2"/>
  <c r="G24" i="2"/>
  <c r="F24" i="2"/>
  <c r="E24" i="2" a="1"/>
  <c r="E24" i="2"/>
  <c r="D24" i="2"/>
  <c r="H23" i="2"/>
  <c r="G23" i="2"/>
  <c r="F23" i="2"/>
  <c r="E23" i="2" a="1"/>
  <c r="E23" i="2"/>
  <c r="D23" i="2"/>
  <c r="H22" i="2"/>
  <c r="G22" i="2"/>
  <c r="F22" i="2"/>
  <c r="E22" i="2" a="1"/>
  <c r="E22" i="2"/>
  <c r="D22" i="2"/>
  <c r="H21" i="2"/>
  <c r="G21" i="2"/>
  <c r="F21" i="2"/>
  <c r="E21" i="2" a="1"/>
  <c r="E21" i="2"/>
  <c r="D21" i="2"/>
  <c r="H20" i="2"/>
  <c r="G20" i="2"/>
  <c r="F20" i="2"/>
  <c r="E20" i="2" a="1"/>
  <c r="E20" i="2"/>
  <c r="D20" i="2"/>
  <c r="H19" i="2"/>
  <c r="G19" i="2"/>
  <c r="F19" i="2"/>
  <c r="E19" i="2" a="1"/>
  <c r="E19" i="2"/>
  <c r="D19" i="2"/>
  <c r="H18" i="2"/>
  <c r="G18" i="2"/>
  <c r="F18" i="2"/>
  <c r="E18" i="2" a="1"/>
  <c r="E18" i="2"/>
  <c r="D18" i="2"/>
  <c r="H17" i="2"/>
  <c r="G17" i="2"/>
  <c r="F17" i="2"/>
  <c r="E17" i="2" a="1"/>
  <c r="E17" i="2"/>
  <c r="D17" i="2"/>
  <c r="H16" i="2"/>
  <c r="G16" i="2"/>
  <c r="F16" i="2"/>
  <c r="E16" i="2" a="1"/>
  <c r="E16" i="2"/>
  <c r="D16" i="2"/>
  <c r="H15" i="2"/>
  <c r="G15" i="2"/>
  <c r="F15" i="2"/>
  <c r="E15" i="2" a="1"/>
  <c r="E15" i="2"/>
  <c r="D15" i="2"/>
  <c r="H14" i="2"/>
  <c r="G14" i="2"/>
  <c r="F14" i="2"/>
  <c r="E14" i="2" a="1"/>
  <c r="E14" i="2"/>
  <c r="D14" i="2"/>
  <c r="H13" i="2"/>
  <c r="G13" i="2"/>
  <c r="F13" i="2"/>
  <c r="E13" i="2" a="1"/>
  <c r="E13" i="2"/>
  <c r="D13" i="2"/>
  <c r="H12" i="2"/>
  <c r="G12" i="2"/>
  <c r="F12" i="2"/>
  <c r="E12" i="2" a="1"/>
  <c r="E12" i="2"/>
  <c r="D12" i="2"/>
  <c r="H11" i="2"/>
  <c r="G11" i="2"/>
  <c r="F11" i="2"/>
  <c r="E11" i="2" a="1"/>
  <c r="E11" i="2"/>
  <c r="D11" i="2"/>
  <c r="H10" i="2"/>
  <c r="G10" i="2"/>
  <c r="F10" i="2"/>
  <c r="E10" i="2" a="1"/>
  <c r="E10" i="2"/>
  <c r="D10" i="2"/>
  <c r="H9" i="2"/>
  <c r="G9" i="2"/>
  <c r="F9" i="2"/>
  <c r="E9" i="2" a="1"/>
  <c r="E9" i="2"/>
  <c r="D9" i="2"/>
  <c r="H8" i="2"/>
  <c r="G8" i="2"/>
  <c r="F8" i="2"/>
  <c r="E8" i="2" a="1"/>
  <c r="E8" i="2"/>
  <c r="D8" i="2"/>
  <c r="H7" i="2"/>
  <c r="G7" i="2"/>
  <c r="F7" i="2"/>
  <c r="E7" i="2" a="1"/>
  <c r="E7" i="2"/>
  <c r="D7" i="2"/>
  <c r="H6" i="2"/>
  <c r="G6" i="2"/>
  <c r="F6" i="2"/>
  <c r="E6" i="2" a="1"/>
  <c r="E6" i="2"/>
  <c r="D6" i="2"/>
  <c r="H5" i="2"/>
  <c r="G5" i="2"/>
  <c r="F5" i="2"/>
  <c r="E5" i="2" a="1"/>
  <c r="E5" i="2"/>
  <c r="D5" i="2"/>
  <c r="ZZ4" i="2"/>
  <c r="ZY4" i="2"/>
  <c r="ZX4" i="2"/>
  <c r="ZW4" i="2"/>
  <c r="ZV4" i="2"/>
  <c r="ZU4" i="2"/>
  <c r="ZT4" i="2"/>
  <c r="ZS4" i="2"/>
  <c r="ZR4" i="2"/>
  <c r="ZQ4" i="2"/>
  <c r="ZP4" i="2"/>
  <c r="ZO4" i="2"/>
  <c r="ZN4" i="2"/>
  <c r="ZM4" i="2"/>
  <c r="ZL4" i="2"/>
  <c r="ZK4" i="2"/>
  <c r="ZJ4" i="2"/>
  <c r="ZI4" i="2"/>
  <c r="ZH4" i="2"/>
  <c r="ZG4" i="2"/>
  <c r="ZF4" i="2"/>
  <c r="ZE4" i="2"/>
  <c r="ZD4" i="2"/>
  <c r="ZC4" i="2"/>
  <c r="ZB4" i="2"/>
  <c r="ZA4" i="2"/>
  <c r="YZ4" i="2"/>
  <c r="YY4" i="2"/>
  <c r="YX4" i="2"/>
  <c r="YW4" i="2"/>
  <c r="YV4" i="2"/>
  <c r="YU4" i="2"/>
  <c r="YT4" i="2"/>
  <c r="YS4" i="2"/>
  <c r="YR4" i="2"/>
  <c r="YQ4" i="2"/>
  <c r="YP4" i="2"/>
  <c r="YO4" i="2"/>
  <c r="YN4" i="2"/>
  <c r="YM4" i="2"/>
  <c r="YL4" i="2"/>
  <c r="YK4" i="2"/>
  <c r="YJ4" i="2"/>
  <c r="YI4" i="2"/>
  <c r="YH4" i="2"/>
  <c r="YG4" i="2"/>
  <c r="YF4" i="2"/>
  <c r="YE4" i="2"/>
  <c r="YD4" i="2"/>
  <c r="YC4" i="2"/>
  <c r="YB4" i="2"/>
  <c r="YA4" i="2"/>
  <c r="XZ4" i="2"/>
  <c r="XY4" i="2"/>
  <c r="XX4" i="2"/>
  <c r="XW4" i="2"/>
  <c r="XV4" i="2"/>
  <c r="XU4" i="2"/>
  <c r="XT4" i="2"/>
  <c r="XS4" i="2"/>
  <c r="XR4" i="2"/>
  <c r="XQ4" i="2"/>
  <c r="XP4" i="2"/>
  <c r="XO4" i="2"/>
  <c r="XN4" i="2"/>
  <c r="XM4" i="2"/>
  <c r="XL4" i="2"/>
  <c r="XK4" i="2"/>
  <c r="XJ4" i="2"/>
  <c r="XI4" i="2"/>
  <c r="XH4" i="2"/>
  <c r="XG4" i="2"/>
  <c r="XF4" i="2"/>
  <c r="XE4" i="2"/>
  <c r="XD4" i="2"/>
  <c r="XC4" i="2"/>
  <c r="XB4" i="2"/>
  <c r="XA4" i="2"/>
  <c r="WZ4" i="2"/>
  <c r="WY4" i="2"/>
  <c r="WX4" i="2"/>
  <c r="WW4" i="2"/>
  <c r="WV4" i="2"/>
  <c r="WU4" i="2"/>
  <c r="WT4" i="2"/>
  <c r="WS4" i="2"/>
  <c r="WR4" i="2"/>
  <c r="WQ4" i="2"/>
  <c r="WP4" i="2"/>
  <c r="WO4" i="2"/>
  <c r="WN4" i="2"/>
  <c r="WM4" i="2"/>
  <c r="WL4" i="2"/>
  <c r="WK4" i="2"/>
  <c r="WJ4" i="2"/>
  <c r="WI4" i="2"/>
  <c r="WH4" i="2"/>
  <c r="WG4" i="2"/>
  <c r="WF4" i="2"/>
  <c r="WE4" i="2"/>
  <c r="WD4" i="2"/>
  <c r="WC4" i="2"/>
  <c r="WB4" i="2"/>
  <c r="WA4" i="2"/>
  <c r="VZ4" i="2"/>
  <c r="VY4" i="2"/>
  <c r="VX4" i="2"/>
  <c r="VW4" i="2"/>
  <c r="VV4" i="2"/>
  <c r="VU4" i="2"/>
  <c r="VT4" i="2"/>
  <c r="VS4" i="2"/>
  <c r="VR4" i="2"/>
  <c r="VQ4" i="2"/>
  <c r="VP4" i="2"/>
  <c r="VO4" i="2"/>
  <c r="VN4" i="2"/>
  <c r="VM4" i="2"/>
  <c r="VL4" i="2"/>
  <c r="VK4" i="2"/>
  <c r="VJ4" i="2"/>
  <c r="VI4" i="2"/>
  <c r="VH4" i="2"/>
  <c r="VG4" i="2"/>
  <c r="VF4" i="2"/>
  <c r="VE4" i="2"/>
  <c r="VD4" i="2"/>
  <c r="VC4" i="2"/>
  <c r="VB4" i="2"/>
  <c r="VA4" i="2"/>
  <c r="UZ4" i="2"/>
  <c r="UY4" i="2"/>
  <c r="UX4" i="2"/>
  <c r="UW4" i="2"/>
  <c r="UV4" i="2"/>
  <c r="UU4" i="2"/>
  <c r="UT4" i="2"/>
  <c r="US4" i="2"/>
  <c r="UR4" i="2"/>
  <c r="UQ4" i="2"/>
  <c r="UP4" i="2"/>
  <c r="UO4" i="2"/>
  <c r="UN4" i="2"/>
  <c r="UM4" i="2"/>
  <c r="UL4" i="2"/>
  <c r="UK4" i="2"/>
  <c r="UJ4" i="2"/>
  <c r="UI4" i="2"/>
  <c r="UH4" i="2"/>
  <c r="UG4" i="2"/>
  <c r="UF4" i="2"/>
  <c r="UE4" i="2"/>
  <c r="UD4" i="2"/>
  <c r="UC4" i="2"/>
  <c r="UB4" i="2"/>
  <c r="UA4" i="2"/>
  <c r="TZ4" i="2"/>
  <c r="TY4" i="2"/>
  <c r="TX4" i="2"/>
  <c r="TW4" i="2"/>
  <c r="TV4" i="2"/>
  <c r="TU4" i="2"/>
  <c r="TT4" i="2"/>
  <c r="TS4" i="2"/>
  <c r="TR4" i="2"/>
  <c r="TQ4" i="2"/>
  <c r="TP4" i="2"/>
  <c r="TO4" i="2"/>
  <c r="TN4" i="2"/>
  <c r="TM4" i="2"/>
  <c r="TL4" i="2"/>
  <c r="TK4" i="2"/>
  <c r="TJ4" i="2"/>
  <c r="TI4" i="2"/>
  <c r="TH4" i="2"/>
  <c r="TG4" i="2"/>
  <c r="TF4" i="2"/>
  <c r="TE4" i="2"/>
  <c r="TD4" i="2"/>
  <c r="TC4" i="2"/>
  <c r="TB4" i="2"/>
  <c r="TA4" i="2"/>
  <c r="SZ4" i="2"/>
  <c r="SY4" i="2"/>
  <c r="SX4" i="2"/>
  <c r="SW4" i="2"/>
  <c r="SV4" i="2"/>
  <c r="SU4" i="2"/>
  <c r="ST4" i="2"/>
  <c r="SS4" i="2"/>
  <c r="SR4" i="2"/>
  <c r="SQ4" i="2"/>
  <c r="SP4" i="2"/>
  <c r="SO4" i="2"/>
  <c r="SN4" i="2"/>
  <c r="SM4" i="2"/>
  <c r="SL4" i="2"/>
  <c r="SK4" i="2"/>
  <c r="SJ4" i="2"/>
  <c r="SI4" i="2"/>
  <c r="SH4" i="2"/>
  <c r="SG4" i="2"/>
  <c r="SF4" i="2"/>
  <c r="SE4" i="2"/>
  <c r="SD4" i="2"/>
  <c r="SC4" i="2"/>
  <c r="SB4" i="2"/>
  <c r="SA4" i="2"/>
  <c r="RZ4" i="2"/>
  <c r="RY4" i="2"/>
  <c r="RX4" i="2"/>
  <c r="RW4" i="2"/>
  <c r="RV4" i="2"/>
  <c r="RU4" i="2"/>
  <c r="RT4" i="2"/>
  <c r="RS4" i="2"/>
  <c r="RR4" i="2"/>
  <c r="RQ4" i="2"/>
  <c r="RP4" i="2"/>
  <c r="RO4" i="2"/>
  <c r="RN4" i="2"/>
  <c r="RM4" i="2"/>
  <c r="RL4" i="2"/>
  <c r="RK4" i="2"/>
  <c r="RJ4" i="2"/>
  <c r="RI4" i="2"/>
  <c r="RH4" i="2"/>
  <c r="RG4" i="2"/>
  <c r="RF4" i="2"/>
  <c r="RE4" i="2"/>
  <c r="RD4" i="2"/>
  <c r="RC4" i="2"/>
  <c r="RB4" i="2"/>
  <c r="RA4" i="2"/>
  <c r="QZ4" i="2"/>
  <c r="QY4" i="2"/>
  <c r="QX4" i="2"/>
  <c r="QW4" i="2"/>
  <c r="QV4" i="2"/>
  <c r="QU4" i="2"/>
  <c r="QT4" i="2"/>
  <c r="QS4" i="2"/>
  <c r="QR4" i="2"/>
  <c r="QQ4" i="2"/>
  <c r="QP4" i="2"/>
  <c r="QO4" i="2"/>
  <c r="QN4" i="2"/>
  <c r="QM4" i="2"/>
  <c r="QL4" i="2"/>
  <c r="QK4" i="2"/>
  <c r="QJ4" i="2"/>
  <c r="QI4" i="2"/>
  <c r="QH4" i="2"/>
  <c r="QG4" i="2"/>
  <c r="QF4" i="2"/>
  <c r="QE4" i="2"/>
  <c r="QD4" i="2"/>
  <c r="QC4" i="2"/>
  <c r="QB4" i="2"/>
  <c r="QA4" i="2"/>
  <c r="PZ4" i="2"/>
  <c r="PY4" i="2"/>
  <c r="PX4" i="2"/>
  <c r="PW4" i="2"/>
  <c r="PV4" i="2"/>
  <c r="PU4" i="2"/>
  <c r="PT4" i="2"/>
  <c r="PS4" i="2"/>
  <c r="PR4" i="2"/>
  <c r="PQ4" i="2"/>
  <c r="PP4" i="2"/>
  <c r="PO4" i="2"/>
  <c r="PN4" i="2"/>
  <c r="PM4" i="2"/>
  <c r="PL4" i="2"/>
  <c r="PK4" i="2"/>
  <c r="PJ4" i="2"/>
  <c r="PI4" i="2"/>
  <c r="PH4" i="2"/>
  <c r="PG4" i="2"/>
  <c r="PF4" i="2"/>
  <c r="PE4" i="2"/>
  <c r="PD4" i="2"/>
  <c r="PC4" i="2"/>
  <c r="PB4" i="2"/>
  <c r="PA4" i="2"/>
  <c r="OZ4" i="2"/>
  <c r="OY4" i="2"/>
  <c r="OX4" i="2"/>
  <c r="OW4" i="2"/>
  <c r="OV4" i="2"/>
  <c r="OU4" i="2"/>
  <c r="OT4" i="2"/>
  <c r="OS4" i="2"/>
  <c r="OR4" i="2"/>
  <c r="OQ4" i="2"/>
  <c r="OP4" i="2"/>
  <c r="OO4" i="2"/>
  <c r="ON4" i="2"/>
  <c r="OM4" i="2"/>
  <c r="OL4" i="2"/>
  <c r="OK4" i="2"/>
  <c r="OJ4" i="2"/>
  <c r="OI4" i="2"/>
  <c r="OH4" i="2"/>
  <c r="OG4" i="2"/>
  <c r="OF4" i="2"/>
  <c r="OE4" i="2"/>
  <c r="OD4" i="2"/>
  <c r="OC4" i="2"/>
  <c r="OB4" i="2"/>
  <c r="OA4" i="2"/>
  <c r="NZ4" i="2"/>
  <c r="NY4" i="2"/>
  <c r="NX4" i="2"/>
  <c r="NW4" i="2"/>
  <c r="NV4" i="2"/>
  <c r="NU4" i="2"/>
  <c r="NT4" i="2"/>
  <c r="NS4" i="2"/>
  <c r="NR4" i="2"/>
  <c r="NQ4" i="2"/>
  <c r="NP4" i="2"/>
  <c r="NO4" i="2"/>
  <c r="NN4" i="2"/>
  <c r="NM4" i="2"/>
  <c r="NL4" i="2"/>
  <c r="NK4" i="2"/>
  <c r="NJ4" i="2"/>
  <c r="NI4" i="2"/>
  <c r="NH4" i="2"/>
  <c r="NG4" i="2"/>
  <c r="NF4" i="2"/>
  <c r="NE4" i="2"/>
  <c r="ND4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U4" i="2"/>
  <c r="LT4" i="2"/>
  <c r="LS4" i="2"/>
  <c r="LR4" i="2"/>
  <c r="LQ4" i="2"/>
  <c r="LP4" i="2"/>
  <c r="LO4" i="2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A4" i="2"/>
  <c r="KZ4" i="2"/>
  <c r="KY4" i="2"/>
  <c r="KX4" i="2"/>
  <c r="KW4" i="2"/>
  <c r="KV4" i="2"/>
  <c r="KU4" i="2"/>
  <c r="KT4" i="2"/>
  <c r="KS4" i="2"/>
  <c r="KR4" i="2"/>
  <c r="KQ4" i="2"/>
  <c r="KP4" i="2"/>
  <c r="KO4" i="2"/>
  <c r="KN4" i="2"/>
  <c r="KM4" i="2"/>
  <c r="KL4" i="2"/>
  <c r="KK4" i="2"/>
  <c r="KJ4" i="2"/>
  <c r="KI4" i="2"/>
  <c r="KH4" i="2"/>
  <c r="KG4" i="2"/>
  <c r="KF4" i="2"/>
  <c r="KE4" i="2"/>
  <c r="KD4" i="2"/>
  <c r="KC4" i="2"/>
  <c r="KB4" i="2"/>
  <c r="KA4" i="2"/>
  <c r="JZ4" i="2"/>
  <c r="JY4" i="2"/>
  <c r="JX4" i="2"/>
  <c r="JW4" i="2"/>
  <c r="JV4" i="2"/>
  <c r="JU4" i="2"/>
  <c r="JT4" i="2"/>
  <c r="JS4" i="2"/>
  <c r="JR4" i="2"/>
  <c r="JQ4" i="2"/>
  <c r="JP4" i="2"/>
  <c r="JO4" i="2"/>
  <c r="JN4" i="2"/>
  <c r="JM4" i="2"/>
  <c r="JL4" i="2"/>
  <c r="JK4" i="2"/>
  <c r="JJ4" i="2"/>
  <c r="JI4" i="2"/>
  <c r="JH4" i="2"/>
  <c r="JG4" i="2"/>
  <c r="JF4" i="2"/>
  <c r="JE4" i="2"/>
  <c r="JD4" i="2"/>
  <c r="JC4" i="2"/>
  <c r="JB4" i="2"/>
  <c r="JA4" i="2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M4" i="2"/>
  <c r="IL4" i="2"/>
  <c r="IK4" i="2"/>
  <c r="IJ4" i="2"/>
  <c r="II4" i="2"/>
  <c r="IH4" i="2"/>
  <c r="IG4" i="2"/>
  <c r="IF4" i="2"/>
  <c r="IE4" i="2"/>
  <c r="ID4" i="2"/>
  <c r="IC4" i="2"/>
  <c r="IB4" i="2"/>
  <c r="IA4" i="2"/>
  <c r="HZ4" i="2"/>
  <c r="HY4" i="2"/>
  <c r="HX4" i="2"/>
  <c r="HW4" i="2"/>
  <c r="HV4" i="2"/>
  <c r="HU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HF4" i="2"/>
  <c r="HE4" i="2"/>
  <c r="HD4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L125" i="2" l="1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</calcChain>
</file>

<file path=xl/sharedStrings.xml><?xml version="1.0" encoding="utf-8"?>
<sst xmlns="http://schemas.openxmlformats.org/spreadsheetml/2006/main" count="4503" uniqueCount="1293">
  <si>
    <t>範囲</t>
  </si>
  <si>
    <t>入力・運用ルール</t>
  </si>
  <si>
    <t>A:C</t>
  </si>
  <si>
    <t>大項目・中項目・小項目（入力）</t>
  </si>
  <si>
    <t>D:H</t>
  </si>
  <si>
    <t>表示用階層・項番（数式。編集しない）</t>
  </si>
  <si>
    <t>I:I</t>
  </si>
  <si>
    <t>主担当チーム（選択式）</t>
  </si>
  <si>
    <t>J:J</t>
  </si>
  <si>
    <t>主担当者（自由入力）</t>
  </si>
  <si>
    <t>K:K</t>
  </si>
  <si>
    <t>PROEVER等のタスクURL</t>
  </si>
  <si>
    <t>L:L</t>
  </si>
  <si>
    <t>タイトル自動作成（数式。編集しない）</t>
  </si>
  <si>
    <t>M:N</t>
  </si>
  <si>
    <t>開始日・終了日</t>
  </si>
  <si>
    <t>O:O</t>
  </si>
  <si>
    <t>ステータス（準備中／進行中／完了）</t>
  </si>
  <si>
    <t>P:DN</t>
  </si>
  <si>
    <t>ガントチャート（2026/7/6～2026/10/16）</t>
  </si>
  <si>
    <t>注意</t>
  </si>
  <si>
    <t>未確定の担当者・工数は推測で入力していません。</t>
  </si>
  <si>
    <t>基準前提</t>
  </si>
  <si>
    <t>1販社先行検証・NiFi・検証環境・Salesforce→NiFi→Kudu（参照用TB）連携。Bronze→Silver→Gold、ADLS、Power BI、号口反映、2販社目は今回の基準スコープ外または後続対応。</t>
  </si>
  <si>
    <t>推奨閲覧シート</t>
  </si>
  <si>
    <t>WBS_閲覧用：主要項目と週次ガントを横幅を抑えて表示</t>
  </si>
  <si>
    <t>詳細確認シート</t>
  </si>
  <si>
    <t>WBS_タスク補足：作業内容・完了条件・根拠・備考を確認</t>
  </si>
  <si>
    <t>方針変更の根拠</t>
  </si>
  <si>
    <t>Salesforceデータ連携およびPower BIファイル形式に関する打ち合わせまとめ.md</t>
  </si>
  <si>
    <t>MTG決定事項</t>
  </si>
  <si>
    <t>まず1販社を対象に、SalesforceからNiFiを経由してKudu（参照用TB）へデータを連携し、参照可能な状態までを調査・準備・検証する。</t>
  </si>
  <si>
    <t>WBSの扱い</t>
  </si>
  <si>
    <t>現行タスクIDを維持し、1販社先行検証を通常作業、2販社目・号口反映を条件付き／後続作業として整理。</t>
  </si>
  <si>
    <t>工数の扱い</t>
  </si>
  <si>
    <t>基準工数53.5人日。1販社見積57.5人日から、号口リリース設計2人日・実施2人日を条件付きへ分離。第一リリース資料51.5人日はADF・ADLS・Cloudera加工・Power BIを含む別構成のため合算しない。</t>
  </si>
  <si>
    <t>未確定</t>
  </si>
  <si>
    <t>先行販社名、対象Object・Field、Kudu参照用TBのDB／テーブル名、Full／Incremental、検証完了条件、正式日程。</t>
  </si>
  <si>
    <t>Power BI</t>
  </si>
  <si>
    <t>PBIX→PBIP自動変換検証は一旦中止。Power BI関連はSalesforce先行検証の必須範囲外として別途確認。</t>
  </si>
  <si>
    <t>正式管理元</t>
  </si>
  <si>
    <t>WBS_テンプレ。WBS_閲覧用は確認用で、変更時は両シートの整合を確認する。</t>
  </si>
  <si>
    <t>更新日</t>
  </si>
  <si>
    <t>2026/08/17</t>
  </si>
  <si>
    <t>工数根拠資料1</t>
  </si>
  <si>
    <t>Salesforceデータ連携_お見積もり(1)／概算お見積り_初期開発_1販社</t>
  </si>
  <si>
    <t>工数根拠資料2</t>
  </si>
  <si>
    <t>Salesforceデータ連携_マネージ資料_3案 セレス案(1)／概算お見積り（第一リリース）</t>
  </si>
  <si>
    <t>基準工数</t>
  </si>
  <si>
    <t>53.5人日（先行検証・検証環境）</t>
  </si>
  <si>
    <t>条件付き工数</t>
  </si>
  <si>
    <t>4.0人日（号口リリース設計2.0＋実施2.0）</t>
  </si>
  <si>
    <t>仮作業期間</t>
  </si>
  <si>
    <t>2026/08/07～2026/10/07（Salesforceデータ調査SFD-01～05は8/7先行開始。その他の実行対象タスクは8/17開始基準）。正式納期は要件確定後に再確認。</t>
  </si>
  <si>
    <t>今回の作業スコープ</t>
  </si>
  <si>
    <t>Salesforce → NiFi → Kudu（参照用TB）へのデータ連携と確認</t>
  </si>
  <si>
    <t>今回スコープ外</t>
  </si>
  <si>
    <t>ADLS、Bronze、Silver、Gold、Power BI。WBS上は履歴確認のため残すが、実行対象には含めない。</t>
  </si>
  <si>
    <t>1.5か月の進め方</t>
  </si>
  <si>
    <t>必須作業を優先し、文書化・標準化・将来展開向け作業は暫定対応または後続へ回す。</t>
  </si>
  <si>
    <t>並行化</t>
  </si>
  <si>
    <t>要件／Salesforce調査、Security／NW、IF／Kuduテーブル設計、単体／Security-NW試験など、依存関係が許す範囲で並行する。</t>
  </si>
  <si>
    <t>目標完了</t>
  </si>
  <si>
    <t>2026/10/07（仮）。8/17開始基準へのリベース後の先行検証完了判定日。</t>
  </si>
  <si>
    <t>正式日程は担当体制・外部依存・対象データ確定後に再確認する。</t>
  </si>
  <si>
    <t>入力用</t>
  </si>
  <si>
    <t>表示用</t>
  </si>
  <si>
    <t>Sprint7</t>
  </si>
  <si>
    <t>Sprint8</t>
  </si>
  <si>
    <t>Sprint9</t>
  </si>
  <si>
    <t>夏休みーーーーーーーーーーーーーーーーーーーーーーーーーー＞</t>
  </si>
  <si>
    <t>Sprint10</t>
  </si>
  <si>
    <t>Sprint11</t>
  </si>
  <si>
    <t>Sprint12</t>
  </si>
  <si>
    <t>Sprint13</t>
  </si>
  <si>
    <t>Sprint14</t>
  </si>
  <si>
    <t>大項目</t>
  </si>
  <si>
    <t>中項目</t>
  </si>
  <si>
    <t>小項目</t>
  </si>
  <si>
    <t>プロジェクト</t>
  </si>
  <si>
    <t>タスク明細</t>
  </si>
  <si>
    <t>担当</t>
  </si>
  <si>
    <t>PROEVER情報</t>
  </si>
  <si>
    <t>スケジュール</t>
  </si>
  <si>
    <t>ステータス</t>
  </si>
  <si>
    <t>タイトル</t>
  </si>
  <si>
    <t>中項番</t>
  </si>
  <si>
    <t>小項番</t>
  </si>
  <si>
    <t>チーム</t>
  </si>
  <si>
    <t>担当者</t>
  </si>
  <si>
    <t>URL</t>
  </si>
  <si>
    <t>タイトル（自動作成）</t>
  </si>
  <si>
    <t>開始日</t>
  </si>
  <si>
    <t>終了日</t>
  </si>
  <si>
    <t>-</t>
  </si>
  <si>
    <t>Salesforceデータ連携（1販社先行検証）</t>
  </si>
  <si>
    <t>外部依存・着手条件</t>
  </si>
  <si>
    <t>Salesforce Sandbox環境の準備</t>
  </si>
  <si>
    <t>準備中</t>
  </si>
  <si>
    <t>TMCセキュリティ要件・個人情報取扱条件の提示</t>
  </si>
  <si>
    <t>Salesforceアカウント・認証情報の準備</t>
  </si>
  <si>
    <t>先行対象1販社・検証環境・Salesforce Orgの確定</t>
  </si>
  <si>
    <t>NiFi連携方式・Kudu参照用TB・先行検証範囲の確定</t>
  </si>
  <si>
    <t>1販社先行検証の着手判定</t>
  </si>
  <si>
    <t>プロジェクト管理</t>
  </si>
  <si>
    <t>WBS・スケジュール・進捗管理</t>
  </si>
  <si>
    <t>データ基盤</t>
  </si>
  <si>
    <t>飯塚亘</t>
  </si>
  <si>
    <t>課題・リスク管理</t>
  </si>
  <si>
    <t>Salesforce・基盤関係者調整</t>
  </si>
  <si>
    <t>設計・成果物レビュー管理</t>
  </si>
  <si>
    <t>試験・先行検証完了判定管理</t>
  </si>
  <si>
    <t>スコープ変更・後続展開課題管理</t>
  </si>
  <si>
    <t>要件定義</t>
  </si>
  <si>
    <t>1販社先行検証の目的・対象範囲の整理</t>
  </si>
  <si>
    <t>先行対象販社・Org・利用者の整理</t>
  </si>
  <si>
    <t>データ鮮度・更新頻度・保持期間の整理</t>
  </si>
  <si>
    <t>先行検証・号口反映・追加販社展開の境界整理</t>
  </si>
  <si>
    <t>1販社先行検証要件書の作成・レビュー</t>
  </si>
  <si>
    <t>Salesforceデータ調査</t>
  </si>
  <si>
    <t>対象Object・Fieldの洗い出し</t>
  </si>
  <si>
    <t>飯塚セレス</t>
  </si>
  <si>
    <t>進行中</t>
  </si>
  <si>
    <t>キー・参照関係の調査</t>
  </si>
  <si>
    <t>データ件数・増加量・更新特性の調査</t>
  </si>
  <si>
    <t>増分抽出候補項目の調査</t>
  </si>
  <si>
    <t>削除データ・個人情報・機密項目の調査</t>
  </si>
  <si>
    <t>Salesforce調査結果一覧の作成・レビュー</t>
  </si>
  <si>
    <t>全体・非機能設計</t>
  </si>
  <si>
    <t>Salesforce→NiFi→Kudu（参照用TB）のE2E構成・責務分界設計</t>
  </si>
  <si>
    <t>システム構成図の作成・レビュー</t>
  </si>
  <si>
    <t>先行検証で確認する共通化・販社固有観点の整理</t>
  </si>
  <si>
    <t>データ鮮度・処理時間目標の整理</t>
  </si>
  <si>
    <t>再実行・障害復旧・再取得方針の設計</t>
  </si>
  <si>
    <t>監視・通知・ログ・処理履歴方針の設計</t>
  </si>
  <si>
    <t>非機能・運用方針書の作成・レビュー</t>
  </si>
  <si>
    <t>セキュリティ設計</t>
  </si>
  <si>
    <t>Salesforce認証方式の設計</t>
  </si>
  <si>
    <t>連携基盤・保存先の認証認可設計</t>
  </si>
  <si>
    <t>Credential・Secret管理方式の設計</t>
  </si>
  <si>
    <t>暗号化・機密データアクセス権の設計</t>
  </si>
  <si>
    <t>監査ログ・アクセスログ方針の設計</t>
  </si>
  <si>
    <t>セキュリティ設計書の作成・レビュー</t>
  </si>
  <si>
    <t>ネットワーク設計</t>
  </si>
  <si>
    <t>既存通信経路・接続方式の調査</t>
  </si>
  <si>
    <t>インフラ</t>
  </si>
  <si>
    <t>渡部諭</t>
  </si>
  <si>
    <t>Public／Private接続方式の決定</t>
  </si>
  <si>
    <t>接続先・Port・Protocolの整理</t>
  </si>
  <si>
    <t>ネットワーク設定変更依頼内容の整理</t>
  </si>
  <si>
    <t>区間別疎通試験方法の設計</t>
  </si>
  <si>
    <t>ネットワーク・アプリ障害切り分け方式の設計</t>
  </si>
  <si>
    <t>ネットワーク接続設計書の作成・レビュー</t>
  </si>
  <si>
    <t>データ連携・IF設計</t>
  </si>
  <si>
    <t>Objectごとの取得方式・Load Typeの設計</t>
  </si>
  <si>
    <t>Salesforce API制約を考慮した取得方式の設計</t>
  </si>
  <si>
    <t>冪等性・重複排除方式の設計</t>
  </si>
  <si>
    <t>データマッピング設計</t>
  </si>
  <si>
    <t>データ変換ルールの設計</t>
  </si>
  <si>
    <t>インターフェース設計書の作成・レビュー</t>
  </si>
  <si>
    <t>データマッピング設計書の作成・レビュー</t>
  </si>
  <si>
    <t>データ保存・テーブル設計</t>
  </si>
  <si>
    <t>Salesforce項目とKudu参照用TB項目の対応設計</t>
  </si>
  <si>
    <t>販社識別子・レコードキーの設計</t>
  </si>
  <si>
    <t>Kudu参照用TB定義書の作成・レビュー</t>
  </si>
  <si>
    <t>Salesforce接続設定</t>
  </si>
  <si>
    <t>Salesforce接続Credential・権限設定</t>
  </si>
  <si>
    <t>王</t>
  </si>
  <si>
    <t>NiFi for Salesforce接続設定</t>
  </si>
  <si>
    <t>対象Objectアクセス・サンプル取得確認</t>
  </si>
  <si>
    <t>API接続・基本エラー動作確認</t>
  </si>
  <si>
    <t>データ取得・保存開発</t>
  </si>
  <si>
    <t>NiFi共通データ取得フローの設計・実装</t>
  </si>
  <si>
    <t>NiFi Kudu保存フローの設計・実装</t>
  </si>
  <si>
    <t>技術メタデータ付与処理の実装</t>
  </si>
  <si>
    <t>成功・失敗ステータス管理の実装</t>
  </si>
  <si>
    <t>Retry・再実行・重複防止処理の実装</t>
  </si>
  <si>
    <t>先行検証に必要な設定の外部化</t>
  </si>
  <si>
    <t>先行1販社のデータ取得・Kudu参照用TB保存設定</t>
  </si>
  <si>
    <t>2販社目のデータ取得・保存設定（先行検証後）</t>
  </si>
  <si>
    <t>単体試験</t>
  </si>
  <si>
    <t>単体テスト項目・期待値・合否基準の作成</t>
  </si>
  <si>
    <t>Salesforceデータ取得・再実行試験</t>
  </si>
  <si>
    <t>Kudu参照用TB保存・技術メタデータ試験</t>
  </si>
  <si>
    <t>データ変換・NULL・重複・境界ケース試験</t>
  </si>
  <si>
    <t>データ件数・キー・主要項目確認</t>
  </si>
  <si>
    <t>単体試験結果・Evidence・報告書の整理</t>
  </si>
  <si>
    <t>結合・E2E試験</t>
  </si>
  <si>
    <t>1販社先行検証のE2E試験シナリオ・期待値作成</t>
  </si>
  <si>
    <t>Salesforce元データ・Kudu参照用TBの件数値突合</t>
  </si>
  <si>
    <t>処理間のデータ追跡確認</t>
  </si>
  <si>
    <t>障害・再実行・正常復旧シナリオ試験</t>
  </si>
  <si>
    <t>E2E処理時間の確認</t>
  </si>
  <si>
    <t>結合試験結果・Evidence・報告書の整理</t>
  </si>
  <si>
    <t>セキュリティ・ネットワーク試験</t>
  </si>
  <si>
    <t>Salesforce接続権限の確認</t>
  </si>
  <si>
    <t>楊</t>
  </si>
  <si>
    <t>NiFi・Kudu参照用TBアクセス権限の確認</t>
  </si>
  <si>
    <t>Credential・Secret管理状態の確認</t>
  </si>
  <si>
    <t>システム間疎通確認</t>
  </si>
  <si>
    <t>不要権限・不要通信経路の確認</t>
  </si>
  <si>
    <t>セキュリティ・NW確認結果の整理</t>
  </si>
  <si>
    <t>先行検証運用・障害対応設計</t>
  </si>
  <si>
    <t>先行検証処理の正常性確認手順作成</t>
  </si>
  <si>
    <t>先行検証時の処理遅延・件数異常確認手順作成</t>
  </si>
  <si>
    <t>NiFi・Salesforce API障害時の検証対応手順作成</t>
  </si>
  <si>
    <t>先行検証データの再処理手順作成</t>
  </si>
  <si>
    <t>一次切り分け・エスカレーション手順作成</t>
  </si>
  <si>
    <t>先行検証運用・障害対応手順書の作成・レビュー</t>
  </si>
  <si>
    <t>号口反映・後続展開（条件付き）</t>
  </si>
  <si>
    <t>号口反映・後続展開の実施可否判定と計画作成</t>
  </si>
  <si>
    <t>号口反映時の切り戻し・Recovery手順作成</t>
  </si>
  <si>
    <t>号口環境Credential・Connection設定（条件付き）</t>
  </si>
  <si>
    <t>NiFi連携・Kudu参照用TB保存処理の号口反映（条件付き）</t>
  </si>
  <si>
    <t>号口環境での初回データ取得（条件付き）</t>
  </si>
  <si>
    <t>号口Kudu参照用TBの件数・主要項目確認（条件付き）</t>
  </si>
  <si>
    <t>定期実行スケジュールの有効化（条件付き）</t>
  </si>
  <si>
    <t>号口反映後の初期監視（条件付き）</t>
  </si>
  <si>
    <t>先行検証評価・後続展開判定</t>
  </si>
  <si>
    <t>先行検証完了・号口／追加販社展開判定</t>
  </si>
  <si>
    <t>条件付き作業</t>
  </si>
  <si>
    <t>Watermark項目・管理方式の設計</t>
  </si>
  <si>
    <t>Overlap・取得期間境界の設計</t>
  </si>
  <si>
    <t>Initial Full Load処理の実装</t>
  </si>
  <si>
    <t>Incremental Load処理の実装</t>
  </si>
  <si>
    <t>Watermark正常・異常時制御の実装</t>
  </si>
  <si>
    <t>増分データ反映試験</t>
  </si>
  <si>
    <t>削除データ取得・反映方式の設計</t>
  </si>
  <si>
    <t>削除データ取得処理の実装</t>
  </si>
  <si>
    <t>削除データ反映試験</t>
  </si>
  <si>
    <t>Private接続追加設計</t>
  </si>
  <si>
    <t>Firewall・NSG等の追加設定確認</t>
  </si>
  <si>
    <t>今回スコープ外：データ加工基盤</t>
  </si>
  <si>
    <t>ADLS Landing／Raw（今回スコープ外）</t>
  </si>
  <si>
    <t>Bronze構築（今回スコープ外）</t>
  </si>
  <si>
    <t>Silver構築（今回スコープ外）</t>
  </si>
  <si>
    <t>Gold構築（今回スコープ外）</t>
  </si>
  <si>
    <t>今回スコープ外：Power BI</t>
  </si>
  <si>
    <t>Power BI接続（今回スコープ外）</t>
  </si>
  <si>
    <t>Semantic Model・KPI（今回スコープ外）</t>
  </si>
  <si>
    <t>Power BIレポート作成（今回スコープ外）</t>
  </si>
  <si>
    <t>Power BI本番反映（今回スコープ外）</t>
  </si>
  <si>
    <t>将来対応</t>
  </si>
  <si>
    <t>CDCへの拡張方針整理</t>
  </si>
  <si>
    <t>Streamingへの拡張方針整理</t>
  </si>
  <si>
    <t>先行検証結果を基にした追加販社展開方式の改善・標準化</t>
  </si>
  <si>
    <t>先行検証の課題・改善事項を後続展開へ引継ぎ</t>
  </si>
  <si>
    <t>Kuduバージョン</t>
  </si>
  <si>
    <t>※タスクの項番はDX道場チーム資料準拠</t>
  </si>
  <si>
    <t>夏休みーー</t>
  </si>
  <si>
    <t>ーーー</t>
  </si>
  <si>
    <t>ーー＞</t>
  </si>
  <si>
    <t>項番</t>
  </si>
  <si>
    <t>PROEVER URL</t>
  </si>
  <si>
    <t>月</t>
  </si>
  <si>
    <t>火</t>
  </si>
  <si>
    <t>水</t>
  </si>
  <si>
    <t>木</t>
  </si>
  <si>
    <t>金</t>
  </si>
  <si>
    <t>土</t>
  </si>
  <si>
    <t>日</t>
  </si>
  <si>
    <t>Dataviz</t>
  </si>
  <si>
    <t>PowerBI関連</t>
  </si>
  <si>
    <t>DX道場</t>
  </si>
  <si>
    <t>dataviz関連カンレン</t>
  </si>
  <si>
    <t>PowerBI帳票仕様変更対応</t>
  </si>
  <si>
    <t>NEO帳票仕様変更対応(仕様変更と全国展開対応)</t>
  </si>
  <si>
    <t>問合せ</t>
  </si>
  <si>
    <t>顧客問合せ対応コキャクトイアワタイオウ</t>
  </si>
  <si>
    <t>dataviz開発（既存機能）</t>
  </si>
  <si>
    <t>残った帳票の開発（SMB空き枠カレンダー、新車受注分析、長崎_経営ダッシュボード 、マスタメンテナンス機能の一部）ノコチョウヒョウカイハツイチブ</t>
  </si>
  <si>
    <t>dataviz開発（マージ対応）</t>
  </si>
  <si>
    <t>新車受注分析</t>
  </si>
  <si>
    <t>中古車受注分析（マスタ画面含め）ガメンフク</t>
  </si>
  <si>
    <t>中古車仕入・在庫情報</t>
  </si>
  <si>
    <t>市場処置の実施状況と部品管理見える化</t>
  </si>
  <si>
    <t>NEO 契約№変更対応の帳票改修</t>
  </si>
  <si>
    <t>ストール充足率の見える化</t>
  </si>
  <si>
    <t>A</t>
  </si>
  <si>
    <t>事前準備</t>
  </si>
  <si>
    <t>Dataviz構成図整理</t>
  </si>
  <si>
    <t>Schiffer</t>
  </si>
  <si>
    <t>【DATA VIZ】コンポーネント図作成 | PROEVER</t>
  </si>
  <si>
    <t>B</t>
  </si>
  <si>
    <t>WBS作成</t>
  </si>
  <si>
    <t>木村</t>
  </si>
  <si>
    <t>【Data Viz】WBS詳細の作成 | PROEVER</t>
  </si>
  <si>
    <t>権限設計</t>
  </si>
  <si>
    <t>各販社のユーザー情報収集</t>
  </si>
  <si>
    <t>Ranger権限設定のデモのスクリプト作成とインフラチームへの説明セツメイ</t>
  </si>
  <si>
    <t>C</t>
  </si>
  <si>
    <t>Ranger権限設定のレビュー（Clouderaに連携）</t>
  </si>
  <si>
    <t>各販社ユーザー向けRangeロール作成（検証環境）ケンショウカンキョウ</t>
  </si>
  <si>
    <t>各販社ユーザー向けユーザ権限付与（検証環境）ケンゲンフヨ</t>
  </si>
  <si>
    <t>Dataviz関連ユーザ権限設計レビュー（設計は６月にやった）カンレンケンゲンセッケイセッケイガツ</t>
  </si>
  <si>
    <t>Dataviz関連ユーザ権限設計検証カンレンケンゲンセッケイケンショウ</t>
  </si>
  <si>
    <t>D</t>
  </si>
  <si>
    <t>認証方式変更</t>
  </si>
  <si>
    <t>GAC申請</t>
  </si>
  <si>
    <r>
      <rPr>
        <sz val="11"/>
        <color rgb="FF000000"/>
        <rFont val="Yu Gothic UI"/>
      </rPr>
      <t xml:space="preserve">ATSC／GAC CDP導入（検証環境）
</t>
    </r>
    <r>
      <rPr>
        <sz val="11"/>
        <color rgb="FFFF0000"/>
        <rFont val="Meiryo UI"/>
      </rPr>
      <t>※望ましいのは7月末前に完了、できない場合、</t>
    </r>
    <r>
      <rPr>
        <sz val="11"/>
        <color rgb="FFFF0000"/>
        <rFont val="Noto Sans JP"/>
      </rPr>
      <t>8/7前</t>
    </r>
    <r>
      <rPr>
        <sz val="11"/>
        <color rgb="FFFF0000"/>
        <rFont val="Meiryo UI"/>
      </rPr>
      <t>に完了必須</t>
    </r>
  </si>
  <si>
    <t>ATSC／GAC  Web導入（検証環境）ドウニュウ</t>
  </si>
  <si>
    <t>中間テーブル</t>
  </si>
  <si>
    <t>JOB環境の申込カンキョウモウシコミ</t>
  </si>
  <si>
    <t>JOB環境の構築コウチク</t>
  </si>
  <si>
    <t>中間テーブル更新のJOB作成コウシンサクセイ</t>
  </si>
  <si>
    <t>テスト</t>
  </si>
  <si>
    <t>詳細設計書改修</t>
  </si>
  <si>
    <t>資料整備</t>
  </si>
  <si>
    <t>マニュアル改修</t>
  </si>
  <si>
    <t>受入テスト対応</t>
  </si>
  <si>
    <t>受入テスト</t>
  </si>
  <si>
    <t>ユーザーアクセス権限の本番データ移行</t>
  </si>
  <si>
    <t>本番リリース</t>
  </si>
  <si>
    <t>本番情報設定（役割グループ、Ranger、Job）ホンバンジョウホウセッテイヤクワリ</t>
  </si>
  <si>
    <t>リリース準備と実施</t>
  </si>
  <si>
    <t>祝日名</t>
  </si>
  <si>
    <t>日付</t>
  </si>
  <si>
    <t>曜日</t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</si>
  <si>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</si>
  <si>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</si>
  <si>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</si>
  <si>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</si>
  <si>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</si>
  <si>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</si>
  <si>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</si>
  <si>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</si>
  <si>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</si>
  <si>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憲法記念日振替休日</t>
  </si>
  <si>
    <t>海の日</t>
  </si>
  <si>
    <t>山の日</t>
  </si>
  <si>
    <t>敬老の日</t>
  </si>
  <si>
    <t>国民の休日</t>
  </si>
  <si>
    <t>秋分の日</t>
  </si>
  <si>
    <t>スポーツの日</t>
  </si>
  <si>
    <t>文化の日</t>
  </si>
  <si>
    <t>勤労感謝の日</t>
  </si>
  <si>
    <t>夏休み</t>
  </si>
  <si>
    <t>Salesforceデータ連携（1販社先行検証） WBSタスク補足情報</t>
  </si>
  <si>
    <t>基準前提：1販社先行検証・NiFi・検証環境・Salesforce→NiFi→Kudu（参照用TB）連携。基準工数は53.5人日。Salesforceデータ調査（SFD-01～05）は2026/08/07から先行開始し、その他の実行対象タスクは2026/08/17を基準にリベース。必須作業を優先、暫定省略可は簡略化・後続化、並行可能な作業は同時進行し、先行検証完了判定は2026/10/07（仮）とします。</t>
  </si>
  <si>
    <t>外部依存</t>
  </si>
  <si>
    <t>条件付き</t>
  </si>
  <si>
    <t>対象範囲確認</t>
  </si>
  <si>
    <t>マイルストーン</t>
  </si>
  <si>
    <t>通常作業</t>
  </si>
  <si>
    <t>ID</t>
  </si>
  <si>
    <t>区分</t>
  </si>
  <si>
    <t>主な作業内容</t>
  </si>
  <si>
    <t>完了条件</t>
  </si>
  <si>
    <t>工数区分</t>
  </si>
  <si>
    <t>根拠資料</t>
  </si>
  <si>
    <t>備考</t>
  </si>
  <si>
    <t>WBS行</t>
  </si>
  <si>
    <t>1.5か月実行区分</t>
  </si>
  <si>
    <t>並行可否</t>
  </si>
  <si>
    <t>短縮・暫定対応方針</t>
  </si>
  <si>
    <t>EXT-01</t>
  </si>
  <si>
    <t>調査・接続・試験で利用するSandboxを準備する</t>
  </si>
  <si>
    <t>対象Orgへ接続でき、必要なObjectを参照できる</t>
  </si>
  <si>
    <t>見積外・外部依存</t>
  </si>
  <si>
    <t>精緻化見積</t>
  </si>
  <si>
    <t>利用者・Salesforce側作業</t>
  </si>
  <si>
    <t>絶対に必要</t>
  </si>
  <si>
    <t>前提待ち</t>
  </si>
  <si>
    <t>後続作業の着手条件。遅延すると全体スケジュールへ直結するため優先</t>
  </si>
  <si>
    <t>EXT-02</t>
  </si>
  <si>
    <t>認証、権限、暗号化、個人情報に関する条件を提示する</t>
  </si>
  <si>
    <t>設計に必要な条件が文書で提示されている</t>
  </si>
  <si>
    <t>TMC側作業</t>
  </si>
  <si>
    <t>EXT-03</t>
  </si>
  <si>
    <t>接続ユーザー、Connected App等の認証情報を準備する</t>
  </si>
  <si>
    <t>検証環境で認証に利用できる</t>
  </si>
  <si>
    <t>両資料</t>
  </si>
  <si>
    <t>秘密情報の受渡方法も確認</t>
  </si>
  <si>
    <t>EXT-04</t>
  </si>
  <si>
    <t>先行対象となる1販社、検証環境、接続先Salesforce Orgを確定する</t>
  </si>
  <si>
    <t>先行販社・検証環境・Orgの対応表が完成している</t>
  </si>
  <si>
    <t>要件定義10人日枠</t>
  </si>
  <si>
    <t>先行販社名は未確定。号口・追加販社は先行検証後に判断</t>
  </si>
  <si>
    <t>EXT-05</t>
  </si>
  <si>
    <t>NiFiを用いたSalesforce→Kudu（参照用TB）連携の保存先、対象項目、検証範囲を決定する</t>
  </si>
  <si>
    <t>NiFi利用、Kudu参照用TB、先行検証範囲が承認されている</t>
  </si>
  <si>
    <t>要件定義10人日／基本設計7人日内で配賦</t>
  </si>
  <si>
    <t>MTG議事録／両資料</t>
  </si>
  <si>
    <t>今回の連携先はKudu（参照用TB）。Bronze／Silver／Goldは対象外</t>
  </si>
  <si>
    <t>EXT-06</t>
  </si>
  <si>
    <t>対象、権限、接続条件、保存先、検証完了条件を確認して先行検証の着手可否を判定する</t>
  </si>
  <si>
    <t>先行検証の着手条件が満たされ、判定結果が記録されている</t>
  </si>
  <si>
    <t>PM・PL10人日枠</t>
  </si>
  <si>
    <t>マイルストーンM1：先行検証着手判定</t>
  </si>
  <si>
    <t>PM-01</t>
  </si>
  <si>
    <t>通常</t>
  </si>
  <si>
    <t>WBS更新、予定・実績管理、遅延確認を行う</t>
  </si>
  <si>
    <t>WBSと進捗情報が最新状態になっている</t>
  </si>
  <si>
    <t>継続タスク</t>
  </si>
  <si>
    <t>並行可</t>
  </si>
  <si>
    <t>先行検証の成立・進行管理に必要</t>
  </si>
  <si>
    <t>PM-02</t>
  </si>
  <si>
    <t>課題、リスク、対応期限、担当を管理する</t>
  </si>
  <si>
    <t>未解決事項と対応状況が確認できる</t>
  </si>
  <si>
    <t>PM-03</t>
  </si>
  <si>
    <t>Salesforce、NiFi、インフラ、利用者との調整を行う</t>
  </si>
  <si>
    <t>必要な依頼・回答・判断が記録されている</t>
  </si>
  <si>
    <t>Salesforce窓口対応を統合</t>
  </si>
  <si>
    <t>PM-04</t>
  </si>
  <si>
    <t>設計書、試験書、手順書のレビューを管理する</t>
  </si>
  <si>
    <t>指摘対応とレビュー結果が記録されている</t>
  </si>
  <si>
    <t>PM-05</t>
  </si>
  <si>
    <t>単体・E2E試験の完了と先行検証の完了可否を管理する</t>
  </si>
  <si>
    <t>試験結果と先行検証完了判定が記録されている</t>
  </si>
  <si>
    <t>号口・追加販社のGo／No-Go判断を含む</t>
  </si>
  <si>
    <t>一部並行可</t>
  </si>
  <si>
    <t>PM-06</t>
  </si>
  <si>
    <t>追加要件、対象外、号口反映、2販社目、追加販社展開の課題を管理する</t>
  </si>
  <si>
    <t>変更内容と後続展開事項が整理されている</t>
  </si>
  <si>
    <t>セレス案</t>
  </si>
  <si>
    <t>暫定対応なら省略可</t>
  </si>
  <si>
    <t>1.5か月を優先する場合は簡略化または後続化を検討</t>
  </si>
  <si>
    <t>REQ-01</t>
  </si>
  <si>
    <t>1販社の先行検証で確認する目的、対象データ、対象外を整理する</t>
  </si>
  <si>
    <t>先行検証の目的、対象・対象外、成果物が明確になっている</t>
  </si>
  <si>
    <t>MTG議事録／セレス案</t>
  </si>
  <si>
    <t>対象データ・接続条件を確定するため必須。設計・接続作業へ直結</t>
  </si>
  <si>
    <t>REQ-02</t>
  </si>
  <si>
    <t>先行対象1販社、Salesforce Org、データ利用者・確認者を整理する</t>
  </si>
  <si>
    <t>先行販社・Org・利用者・確認者が一覧化されている</t>
  </si>
  <si>
    <t>REQ-03</t>
  </si>
  <si>
    <t>連携頻度、反映時刻、保持期間を整理する</t>
  </si>
  <si>
    <t>数値目標または判断基準が決定している</t>
  </si>
  <si>
    <t>REQ-04</t>
  </si>
  <si>
    <t>先行検証で実施する範囲と、号口反映・2販社目・追加販社へ回す範囲を整理する</t>
  </si>
  <si>
    <t>先行検証と後続展開の境界が関係者間で合意されている</t>
  </si>
  <si>
    <t>REQ-05</t>
  </si>
  <si>
    <t>先行検証の目的、対象、連携条件、完了条件を要件書としてまとめる</t>
  </si>
  <si>
    <t>1販社先行検証要件書のレビューが完了している</t>
  </si>
  <si>
    <t>文書作成を含む</t>
  </si>
  <si>
    <t>正式文書・報告書は簡易版／既存一覧／Evidenceで暫定代替し、必要に応じ後で整備</t>
  </si>
  <si>
    <t>SFD-01</t>
  </si>
  <si>
    <t>Standard／Custom Objectと対象Fieldを整理する</t>
  </si>
  <si>
    <t>Object・Field一覧が完成している</t>
  </si>
  <si>
    <t>対象数確定後に再分割可能</t>
  </si>
  <si>
    <t>SFD-02</t>
  </si>
  <si>
    <t>Salesforce ID、業務キー、参照関係を確認する</t>
  </si>
  <si>
    <t>キー・参照関係一覧が完成している</t>
  </si>
  <si>
    <t>SFD-03</t>
  </si>
  <si>
    <t>件数、日次増加量、更新頻度を確認する</t>
  </si>
  <si>
    <t>データ量・更新特性が整理されている</t>
  </si>
  <si>
    <t>API設計の前提</t>
  </si>
  <si>
    <t>SFD-04</t>
  </si>
  <si>
    <t>SystemModstamp等の利用可否を確認する</t>
  </si>
  <si>
    <t>Objectごとの候補項目と利用可否が整理されている</t>
  </si>
  <si>
    <t>実装採否は条件付き</t>
  </si>
  <si>
    <t>SFD-05</t>
  </si>
  <si>
    <t>削除連携要否と機密項目を確認する</t>
  </si>
  <si>
    <t>削除要否と機密項目一覧が整理されている</t>
  </si>
  <si>
    <t>削除実装は条件付き</t>
  </si>
  <si>
    <t>SFD-06</t>
  </si>
  <si>
    <t>調査結果をObject／Field一覧として文書化する</t>
  </si>
  <si>
    <t>調査結果のレビューが完了している</t>
  </si>
  <si>
    <t>ARC-01</t>
  </si>
  <si>
    <t>Salesforce、NiFi、Kudu（参照用TB）間のデータ流れと各担当の責務を設計する</t>
  </si>
  <si>
    <t>Salesforce→NiFi→Kudu（参照用TB）のE2E構成と責務分界が定義されている</t>
  </si>
  <si>
    <t>基本設計7人日枠</t>
  </si>
  <si>
    <t>今回の基準経路。Bronze→Silver→Goldは含めない</t>
  </si>
  <si>
    <t>ARC-02</t>
  </si>
  <si>
    <t>接続関係、環境、通信経路を図示する</t>
  </si>
  <si>
    <t>構成図のレビューが完了している</t>
  </si>
  <si>
    <t>ARC-03</t>
  </si>
  <si>
    <t>1販社で確認する共通化候補、販社固有設定、追加販社で変更が必要な観点を事前整理する</t>
  </si>
  <si>
    <t>先行検証で確認する共通化・固有観点のチェックリストが完成している</t>
  </si>
  <si>
    <t>最終的な標準化は先行検証後にFUT-03で整理</t>
  </si>
  <si>
    <t>複数販社・標準化向けの作業は最小限に留め、1販社で動くことを優先</t>
  </si>
  <si>
    <t>ARC-04</t>
  </si>
  <si>
    <t>反映期限、バッチ処理時間の目標を設定する</t>
  </si>
  <si>
    <t>テストで確認可能な目標が定義されている</t>
  </si>
  <si>
    <t>厳密なSLA・性能目標が未確定なら、実測値の記録までに留めて後続化可能</t>
  </si>
  <si>
    <t>ARC-05</t>
  </si>
  <si>
    <t>Retry、再取得、再加工、Recovery Pointを整理する</t>
  </si>
  <si>
    <t>障害時の処理方法と責任分界が定義されている</t>
  </si>
  <si>
    <t>ARC-06</t>
  </si>
  <si>
    <t>監視対象、通知、ログ、実行履歴を整理する</t>
  </si>
  <si>
    <t>運用で確認する項目と保存情報が定義されている</t>
  </si>
  <si>
    <t>最低限のログ・確認方法を残し、正式設計は後続化可能</t>
  </si>
  <si>
    <t>ARC-07</t>
  </si>
  <si>
    <t>非機能・障害復旧・監視方針を文書化する</t>
  </si>
  <si>
    <t>方針書のレビューが完了している</t>
  </si>
  <si>
    <t>SEC-01</t>
  </si>
  <si>
    <t>接続ユーザー、Connected App、認証方式を決定する</t>
  </si>
  <si>
    <t>採用する認証方式が定義されている</t>
  </si>
  <si>
    <t>セキュリティ・NW9.5人日枠</t>
  </si>
  <si>
    <t>Salesforce→NiFi→Kuduの安全な接続と疎通に必要な最小項目</t>
  </si>
  <si>
    <t>SEC-02</t>
  </si>
  <si>
    <t>NiFiと保存先の認証・権限を整理する</t>
  </si>
  <si>
    <t>必要な権限と認証方法が定義されている</t>
  </si>
  <si>
    <t>保存先確定後に具体化</t>
  </si>
  <si>
    <t>SEC-03</t>
  </si>
  <si>
    <t>秘密情報の保管・参照方法を設計する</t>
  </si>
  <si>
    <t>コード等へ直接保持しない方式が定義されている</t>
  </si>
  <si>
    <t>特定製品は未確定</t>
  </si>
  <si>
    <t>SEC-04</t>
  </si>
  <si>
    <t>通信・保存時暗号化とアクセス範囲を決める</t>
  </si>
  <si>
    <t>暗号化・アクセス条件が定義されている</t>
  </si>
  <si>
    <t>SEC-05</t>
  </si>
  <si>
    <t>記録するログ、保存期間、確認主体を整理する</t>
  </si>
  <si>
    <t>ログ取得方針が定義されている</t>
  </si>
  <si>
    <t>SEC-06</t>
  </si>
  <si>
    <t>認証、権限、Secret、暗号化を文書化する</t>
  </si>
  <si>
    <t>設計書のレビューが完了している</t>
  </si>
  <si>
    <t>NW-01</t>
  </si>
  <si>
    <t>SalesforceからNiFi・保存先までの経路を確認する</t>
  </si>
  <si>
    <t>現行経路が図または一覧で確認できる</t>
  </si>
  <si>
    <t>NW-02</t>
  </si>
  <si>
    <t>通信方式とセキュリティ条件を確認する</t>
  </si>
  <si>
    <t>採用する接続方式が決定している</t>
  </si>
  <si>
    <t>NW-03</t>
  </si>
  <si>
    <t>通信要件を区間別に整理する</t>
  </si>
  <si>
    <t>通信要件一覧が完成している</t>
  </si>
  <si>
    <t>NW-04</t>
  </si>
  <si>
    <t>IP許可、Firewall等の依頼内容を作成する</t>
  </si>
  <si>
    <t>依頼に必要な情報が整理されている</t>
  </si>
  <si>
    <t>実際の設定変更主体は未確定</t>
  </si>
  <si>
    <t>NW-05</t>
  </si>
  <si>
    <t>接続区間ごとの試験方法と期待結果を定義する</t>
  </si>
  <si>
    <t>疎通試験手順が作成されている</t>
  </si>
  <si>
    <t>NW-06</t>
  </si>
  <si>
    <t>障害時の確認順序と担当範囲を整理する</t>
  </si>
  <si>
    <t>一次切り分け方法が定義されている</t>
  </si>
  <si>
    <t>NW-07</t>
  </si>
  <si>
    <t>通信経路・要件・試験方法を文書化する</t>
  </si>
  <si>
    <t>IF-01</t>
  </si>
  <si>
    <t>全件・差分等の取得方式をObject単位で決める</t>
  </si>
  <si>
    <t>Object別取得方式一覧が完成している</t>
  </si>
  <si>
    <t>基本設計7人日／データソース詳細設計3人日内で配賦</t>
  </si>
  <si>
    <t>Kudu参照用TBへ正しく格納するための最小設計</t>
  </si>
  <si>
    <t>IF-02</t>
  </si>
  <si>
    <t>API上限、ページング、取得量を考慮する</t>
  </si>
  <si>
    <t>API制約を満たす取得方法が定義されている</t>
  </si>
  <si>
    <t>IF-03</t>
  </si>
  <si>
    <t>再実行時の重複防止ルールを決める</t>
  </si>
  <si>
    <t>重複判定キーと処理方法が定義されている</t>
  </si>
  <si>
    <t>IF-04</t>
  </si>
  <si>
    <t>Salesforce項目と保存先項目を対応付ける</t>
  </si>
  <si>
    <t>マッピング表が完成している</t>
  </si>
  <si>
    <t>データソース13人日枠</t>
  </si>
  <si>
    <t>IF-05</t>
  </si>
  <si>
    <t>型変換、NULL、コード、名称等のルールを決める</t>
  </si>
  <si>
    <t>変換ルールが文書化されている</t>
  </si>
  <si>
    <t>参照用TBへの連携では変換を最小化し、必要な型・項目補正だけ実施</t>
  </si>
  <si>
    <t>IF-06</t>
  </si>
  <si>
    <t>取得方式、API、エラー、再実行を文書化する</t>
  </si>
  <si>
    <t>IF-07</t>
  </si>
  <si>
    <t>マッピングと変換ルールを成果物化する</t>
  </si>
  <si>
    <t>DAT-01</t>
  </si>
  <si>
    <t>Salesforceの対象FieldとKudu参照用TBの列を対応付ける</t>
  </si>
  <si>
    <t>Salesforce FieldとKudu列の対応が一覧化されている</t>
  </si>
  <si>
    <t>DAT-02</t>
  </si>
  <si>
    <t>先行1販社のレコード識別に必要なキーと、将来の販社追加に備えた販社識別子を設計する</t>
  </si>
  <si>
    <t>レコードキーと販社識別方法が定義されている</t>
  </si>
  <si>
    <t>1販社先行。追加販社で変更できる設計とする</t>
  </si>
  <si>
    <t>DAT-03</t>
  </si>
  <si>
    <t>Kudu参照用TBのDB／テーブル名、列、型、キー、NULL方針を整理する</t>
  </si>
  <si>
    <t>参照用TBの定義が実装に利用できる状態になっている</t>
  </si>
  <si>
    <t>CON-01</t>
  </si>
  <si>
    <t>先行対象販社の検証環境でSalesforce接続Credentialと最小権限を設定する</t>
  </si>
  <si>
    <t>先行対象Orgへ認証でき、対象Objectを参照できる</t>
  </si>
  <si>
    <t>先行対象販社・検証環境で実施</t>
  </si>
  <si>
    <t>実接続・サンプル取得を成立させるため必須</t>
  </si>
  <si>
    <t>CON-02</t>
  </si>
  <si>
    <t>NiFiからSalesforceへ接続する設定を行う</t>
  </si>
  <si>
    <t>NiFiから接続できる</t>
  </si>
  <si>
    <t>NiFi基準</t>
  </si>
  <si>
    <t>CON-03</t>
  </si>
  <si>
    <t>対象Objectからサンプルデータを取得する</t>
  </si>
  <si>
    <t>サンプルデータを取得できる</t>
  </si>
  <si>
    <t>CON-04</t>
  </si>
  <si>
    <t>正常接続と基本的な接続エラーを確認する</t>
  </si>
  <si>
    <t>正常時・異常時の結果が記録されている</t>
  </si>
  <si>
    <t>M3に対応</t>
  </si>
  <si>
    <t>DEV-01</t>
  </si>
  <si>
    <t>複数Objectで共通利用する取得処理を実装する</t>
  </si>
  <si>
    <t>設定値によって対象Objectを変更できる</t>
  </si>
  <si>
    <t>Salesforce→NiFi→Kuduのデータ連携を成立させるコア実装</t>
  </si>
  <si>
    <t>DEV-02</t>
  </si>
  <si>
    <t>Salesforceから取得したデータをKudu（参照用TB）へ保存するNiFi処理を設計・実装する</t>
  </si>
  <si>
    <t>対象データがKudu参照用TBへ保存できる</t>
  </si>
  <si>
    <t>DEV-03</t>
  </si>
  <si>
    <t>実行日時、販社、処理ID等を付与する</t>
  </si>
  <si>
    <t>必要な技術情報が保存される</t>
  </si>
  <si>
    <t>参照・検証に必要な最小範囲に限定し、網羅的な対応は後続化可能</t>
  </si>
  <si>
    <t>DEV-04</t>
  </si>
  <si>
    <t>実行結果とエラー情報を記録する</t>
  </si>
  <si>
    <t>処理結果を追跡できる</t>
  </si>
  <si>
    <t>DEV-05</t>
  </si>
  <si>
    <t>失敗時再実行と重複防止を実装する</t>
  </si>
  <si>
    <t>再実行後も重複が発生しない</t>
  </si>
  <si>
    <t>DEV-06</t>
  </si>
  <si>
    <t>接続先、Object、Field、保存先など、先行検証で変更が想定される設定を外部化する</t>
  </si>
  <si>
    <t>先行販社の設定変更をコード改修なし、または最小変更で行える</t>
  </si>
  <si>
    <t>複数販社向けの最終標準化ではなく、先行検証に必要な範囲</t>
  </si>
  <si>
    <t>DEV-07</t>
  </si>
  <si>
    <t>先行対象1販社向けにSalesforceデータ取得とKudu参照用TB保存の設定を作成する</t>
  </si>
  <si>
    <t>先行1販社の対象データをNiFiで取得し、Kudu参照用TBへ保存・参照できる</t>
  </si>
  <si>
    <t>MTG議事録／精緻化見積</t>
  </si>
  <si>
    <t>先行販社名・対象Objectは未確定</t>
  </si>
  <si>
    <t>DEV-08</t>
  </si>
  <si>
    <t>先行1販社の検証結果と後続展開の承認後に、2販社目向け設定を展開する</t>
  </si>
  <si>
    <t>実施承認後、2販社目の対象データを取得・保存できる</t>
  </si>
  <si>
    <t>先行検証後に再見積</t>
  </si>
  <si>
    <t>既存2販社見積／MTG議事録</t>
  </si>
  <si>
    <t>実施条件：先行検証完了・2販社目展開のGo判断</t>
  </si>
  <si>
    <t>今回スコープ外・後続</t>
  </si>
  <si>
    <t>対象外</t>
  </si>
  <si>
    <t>2販社目は先行検証後。今回の1.5か月計画には含めない</t>
  </si>
  <si>
    <t>UT-01</t>
  </si>
  <si>
    <t>取得・保存・エラー処理の試験内容を作成する</t>
  </si>
  <si>
    <t>単体テスト仕様書が完成している</t>
  </si>
  <si>
    <t>取得・保存・権限・データ一致を確認するための最低限の試験</t>
  </si>
  <si>
    <t>UT-02</t>
  </si>
  <si>
    <t>Object取得、Retry、重複防止を確認する</t>
  </si>
  <si>
    <t>期待値どおりに取得・再実行できる</t>
  </si>
  <si>
    <t>データソース単体テスト2人日枠</t>
  </si>
  <si>
    <t>先行対象1販社で実施</t>
  </si>
  <si>
    <t>UT-03</t>
  </si>
  <si>
    <t>Kudu参照用TBへの保存、件数、必要な技術情報を確認する</t>
  </si>
  <si>
    <t>Kudu保存結果が設計と一致している</t>
  </si>
  <si>
    <t>UT-04</t>
  </si>
  <si>
    <t>変換ルールと異常データを確認する</t>
  </si>
  <si>
    <t>期待する変換結果になっている</t>
  </si>
  <si>
    <t>変換実装範囲に応じる</t>
  </si>
  <si>
    <t>UT-05</t>
  </si>
  <si>
    <t>先行販社のSalesforce元データとKudu参照用TBの件数・キー・主要項目を確認する</t>
  </si>
  <si>
    <t>SalesforceとKudu参照用TBの件数・キー・主要値が一致している</t>
  </si>
  <si>
    <t>UT-06</t>
  </si>
  <si>
    <t>試験結果と証跡をまとめる</t>
  </si>
  <si>
    <t>単体試験報告書が完成している</t>
  </si>
  <si>
    <t>M5に対応</t>
  </si>
  <si>
    <t>IT-01</t>
  </si>
  <si>
    <t>Salesforce→NiFi→Kudu（参照用TB）の連携全体を確認する試験を設計する</t>
  </si>
  <si>
    <t>1販社先行検証のE2E試験設計が完成している</t>
  </si>
  <si>
    <t>結合テスト4人日枠</t>
  </si>
  <si>
    <t>IT-02</t>
  </si>
  <si>
    <t>先行販社のSalesforce元データとKudu参照用TBを比較する</t>
  </si>
  <si>
    <t>対象件数・キー・主要値が一致している</t>
  </si>
  <si>
    <t>IT-03</t>
  </si>
  <si>
    <t>Salesforce取得からNiFi処理、Kudu参照用TB保存まで対象レコードを追跡する</t>
  </si>
  <si>
    <t>対象レコードのSalesforce→NiFi→Kudu経路を確認できる</t>
  </si>
  <si>
    <t>IT-04</t>
  </si>
  <si>
    <t>途中失敗後の復旧動作を確認する</t>
  </si>
  <si>
    <t>欠落・重複なく復旧できる</t>
  </si>
  <si>
    <t>IT-05</t>
  </si>
  <si>
    <t>取得開始から保存完了までの時間を確認する</t>
  </si>
  <si>
    <t>目標または許容時間内で完了する</t>
  </si>
  <si>
    <t>IT-06</t>
  </si>
  <si>
    <t>結合試験結果を成果物化する</t>
  </si>
  <si>
    <t>結合試験報告書が完成している</t>
  </si>
  <si>
    <t>M6に対応</t>
  </si>
  <si>
    <t>ST-01</t>
  </si>
  <si>
    <t>接続ユーザーの権限範囲を確認する</t>
  </si>
  <si>
    <t>必要なObjectのみ参照できる</t>
  </si>
  <si>
    <t>セキュリティ・NW単体1.5人日枠</t>
  </si>
  <si>
    <t>ST-02</t>
  </si>
  <si>
    <t>NiFiからKudu参照用TBへ必要な権限でアクセスできることを確認する</t>
  </si>
  <si>
    <t>必要な権限のみでKudu参照用TBへアクセスできる</t>
  </si>
  <si>
    <t>ST-03</t>
  </si>
  <si>
    <t>秘密情報の保存・参照状態を確認する</t>
  </si>
  <si>
    <t>設計どおり安全に管理されている</t>
  </si>
  <si>
    <t>ST-04</t>
  </si>
  <si>
    <t>先行販社のSalesforceからNiFi、Kudu参照用TBまでの疎通を確認する</t>
  </si>
  <si>
    <t>Salesforce→NiFi→Kuduの全区間で疎通できる</t>
  </si>
  <si>
    <t>ST-05</t>
  </si>
  <si>
    <t>必要以上の権限・経路がないか確認する</t>
  </si>
  <si>
    <t>不要設定がない、または是正済み</t>
  </si>
  <si>
    <t>ST-06</t>
  </si>
  <si>
    <t>試験結果と指摘事項をまとめる</t>
  </si>
  <si>
    <t>確認結果がレビューされている</t>
  </si>
  <si>
    <t>OPS-01</t>
  </si>
  <si>
    <t>先行検証の実行結果、件数、ログを確認する方法を整理する</t>
  </si>
  <si>
    <t>先行検証の正常時確認手順が作成されている</t>
  </si>
  <si>
    <t>既存見積内に内包（追加計上なし）</t>
  </si>
  <si>
    <t>精緻化見積への明記弱</t>
  </si>
  <si>
    <t>後続／必要時</t>
  </si>
  <si>
    <t>正式運用設計は後続化し、先行検証では最低限の再実行・確認手順で代替可能</t>
  </si>
  <si>
    <t>OPS-02</t>
  </si>
  <si>
    <t>先行検証で遅延・件数差異を検知する方法を整理する</t>
  </si>
  <si>
    <t>判断基準と対応方法が定義されている</t>
  </si>
  <si>
    <t>OPS-03</t>
  </si>
  <si>
    <t>取得失敗・APIエラー時の対応を整理する</t>
  </si>
  <si>
    <t>エラー別対応手順が作成されている</t>
  </si>
  <si>
    <t>OPS-04</t>
  </si>
  <si>
    <t>保存済みデータから再処理する方法を整理する</t>
  </si>
  <si>
    <t>再処理手順が作成されている</t>
  </si>
  <si>
    <t>OPS-05</t>
  </si>
  <si>
    <t>担当範囲、連絡先、引継ぎ方法を整理する</t>
  </si>
  <si>
    <t>障害連絡・切り分け手順が作成されている</t>
  </si>
  <si>
    <t>OPS-06</t>
  </si>
  <si>
    <t>運用手順を成果物としてまとめる</t>
  </si>
  <si>
    <t>先行検証用の手順書レビューが完了している</t>
  </si>
  <si>
    <t>先行検証完了判定の確認資料</t>
  </si>
  <si>
    <t>REL-01</t>
  </si>
  <si>
    <t>先行検証結果を基に、号口反映・後続展開の実施可否、作業順、担当、確認方法を整理する</t>
  </si>
  <si>
    <t>実施可否と後続計画が承認されている</t>
  </si>
  <si>
    <t>リリース4人日枠（条件付き・基準53.5人日には含めない）</t>
  </si>
  <si>
    <t>実施条件：1販社先行検証完了・関係者のGo判断</t>
  </si>
  <si>
    <t>号口対応は先行検証完了後に判断し、今回の仮納期から切り離す</t>
  </si>
  <si>
    <t>REL-02</t>
  </si>
  <si>
    <t>号口反映を行う場合の切り戻し条件と復旧手順を整理する</t>
  </si>
  <si>
    <t>号口反映時の切り戻し条件・手順が定義されている</t>
  </si>
  <si>
    <t>REL-03</t>
  </si>
  <si>
    <t>実施承認後、先行販社の号口接続CredentialとConnectionを設定する</t>
  </si>
  <si>
    <t>号口環境へ接続できる</t>
  </si>
  <si>
    <t>REL-04</t>
  </si>
  <si>
    <t>実施承認後、検証済みNiFiフローとKudu参照用TB保存設定を号口へ反映する</t>
  </si>
  <si>
    <t>対象資材の号口反映が完了している</t>
  </si>
  <si>
    <t>REL-05</t>
  </si>
  <si>
    <t>実施承認後、号口環境で初回データを取得・保存する</t>
  </si>
  <si>
    <t>号口の初回処理が正常完了している</t>
  </si>
  <si>
    <t>REL-06</t>
  </si>
  <si>
    <t>実施承認後、Salesforceと号口Kudu参照用TBのデータを確認する</t>
  </si>
  <si>
    <t>号口データの件数・主要値が一致している</t>
  </si>
  <si>
    <t>REL-07</t>
  </si>
  <si>
    <t>実施承認後、号口の定期処理を開始する</t>
  </si>
  <si>
    <t>次回実行予定が設定されている</t>
  </si>
  <si>
    <t>REL-08</t>
  </si>
  <si>
    <t>実施承認後、号口の初回・定期処理の正常性を確認する</t>
  </si>
  <si>
    <t>所定の初期監視が完了している</t>
  </si>
  <si>
    <t>REL-09</t>
  </si>
  <si>
    <t>1販社の検証結果、課題、残対応、号口反映・2販社目・追加販社展開の可否をまとめる</t>
  </si>
  <si>
    <t>先行検証完了と後続展開のGo／No-Go判定結果が記録されている</t>
  </si>
  <si>
    <t>先行検証の最終マイルストーン。日付は仮</t>
  </si>
  <si>
    <t>1.5か月の完了判定として必須。後続対応のGo／No-Goをここで判断</t>
  </si>
  <si>
    <t>OPT-01</t>
  </si>
  <si>
    <t>差分連携を採用する場合に、Watermark項目と管理方式を設計する</t>
  </si>
  <si>
    <t>Watermark項目と更新方式が定義されている</t>
  </si>
  <si>
    <t>条件確定後</t>
  </si>
  <si>
    <t>採用条件：差分連携を採用</t>
  </si>
  <si>
    <t>必要と判定された場合のみ実施。未確定の間はスケジュールへ入れない</t>
  </si>
  <si>
    <t>OPT-02</t>
  </si>
  <si>
    <t>差分取得の取りこぼしを防ぐ取得期間境界を設計する</t>
  </si>
  <si>
    <t>取得期間条件が定義されている</t>
  </si>
  <si>
    <t>OPT-03</t>
  </si>
  <si>
    <t>初回全件取得処理を実装する</t>
  </si>
  <si>
    <t>全件取得が正常完了する</t>
  </si>
  <si>
    <t>採用条件：初回全件取得を行う</t>
  </si>
  <si>
    <t>OPT-04</t>
  </si>
  <si>
    <t>更新分のみを取得する処理を実装する</t>
  </si>
  <si>
    <t>更新分だけを取得できる</t>
  </si>
  <si>
    <t>OPT-05</t>
  </si>
  <si>
    <t>成功時更新・失敗時維持の制御を実装する</t>
  </si>
  <si>
    <t>成功時のみWatermarkが更新される</t>
  </si>
  <si>
    <t>採用条件：Watermark方式を採用</t>
  </si>
  <si>
    <t>OPT-06</t>
  </si>
  <si>
    <t>増分データの取得・保存結果を確認する</t>
  </si>
  <si>
    <t>増分データが保存先へ反映される</t>
  </si>
  <si>
    <t>OPT-07</t>
  </si>
  <si>
    <t>削除データの取得・保存・反映方法を設計する</t>
  </si>
  <si>
    <t>削除データの取得・反映方式が定義されている</t>
  </si>
  <si>
    <t>採用条件：削除データを対象とする</t>
  </si>
  <si>
    <t>OPT-08</t>
  </si>
  <si>
    <t>削除データ取得処理を実装する</t>
  </si>
  <si>
    <t>削除データを取得できる</t>
  </si>
  <si>
    <t>OPT-09</t>
  </si>
  <si>
    <t>削除データの保存・反映結果を確認する</t>
  </si>
  <si>
    <t>削除結果が保存先へ反映される</t>
  </si>
  <si>
    <t>OPT-10</t>
  </si>
  <si>
    <t>Private Endpoint等の追加接続を設計する</t>
  </si>
  <si>
    <t>追加接続設計が完成している</t>
  </si>
  <si>
    <t>採用条件：新規Private接続が必要</t>
  </si>
  <si>
    <t>OPT-11</t>
  </si>
  <si>
    <t>追加設定の反映と疎通を確認する</t>
  </si>
  <si>
    <t>設定反映と疎通確認が完了している</t>
  </si>
  <si>
    <t>採用条件：既存設定変更が必要</t>
  </si>
  <si>
    <t>SCP-01</t>
  </si>
  <si>
    <t>スコープ外</t>
  </si>
  <si>
    <t>NiFi保存先としてADLSを構築するか確認する</t>
  </si>
  <si>
    <t>対象範囲への採否と見積上の扱いが決定している</t>
  </si>
  <si>
    <t>統合再見積対象</t>
  </si>
  <si>
    <t>今回の連携先はKudu参照用TBのため、ADLS Landing／Rawは実施しない</t>
  </si>
  <si>
    <t>今回のSalesforce→Kudu（参照用TB）連携には含めない</t>
  </si>
  <si>
    <t>SCP-02</t>
  </si>
  <si>
    <t>ClouderaでObject別Bronzeを構築するか確認する</t>
  </si>
  <si>
    <t>Bronze構築は今回の作業スコープ外</t>
  </si>
  <si>
    <t>SCP-03</t>
  </si>
  <si>
    <t>標準化・最新化・結合処理を構築するか確認する</t>
  </si>
  <si>
    <t>Silver構築は今回の作業スコープ外</t>
  </si>
  <si>
    <t>SCP-04</t>
  </si>
  <si>
    <t>分析用データ・KPIモデルを構築するか確認する</t>
  </si>
  <si>
    <t>Gold構築は今回の作業スコープ外</t>
  </si>
  <si>
    <t>SCP-05</t>
  </si>
  <si>
    <t>Power BIからCloudera等へ接続するか確認する</t>
  </si>
  <si>
    <t>追加見積対象</t>
  </si>
  <si>
    <t>Power BIはSalesforce→Kudu先行検証の対象外</t>
  </si>
  <si>
    <t>SCP-06</t>
  </si>
  <si>
    <t>データモデル・Measureを構築するか確認する</t>
  </si>
  <si>
    <t>Semantic Model・KPIは今回の作業スコープ外</t>
  </si>
  <si>
    <t>SCP-07</t>
  </si>
  <si>
    <t>Salesforce先行検証とは別に、レポート作成を対象範囲へ含むか確認する</t>
  </si>
  <si>
    <t>Power BIレポートは今回の作業スコープ外</t>
  </si>
  <si>
    <t>SCP-08</t>
  </si>
  <si>
    <t>本番ワークスペースへの反映を含むか確認する</t>
  </si>
  <si>
    <t>Power BI本番反映は今回の作業スコープ外</t>
  </si>
  <si>
    <t>FUT-01</t>
  </si>
  <si>
    <t>将来のCDC対応に向けた拡張方針を整理する</t>
  </si>
  <si>
    <t>方針と前提条件が整理されている</t>
  </si>
  <si>
    <t>方針整理のみ。実装しない</t>
  </si>
  <si>
    <t>将来展開向け。先行検証後に整理しても支障が少ない</t>
  </si>
  <si>
    <t>FUT-02</t>
  </si>
  <si>
    <t>将来のStreaming対応に向けた拡張方針を整理する</t>
  </si>
  <si>
    <t>FUT-03</t>
  </si>
  <si>
    <t>先行1販社の結果を基に、共通化範囲、販社固有設定、追加販社の展開方式を改善する</t>
  </si>
  <si>
    <t>追加販社向けの改善事項と標準化案が整理されている</t>
  </si>
  <si>
    <t>先行検証結果を受けて後続で実施</t>
  </si>
  <si>
    <t>FUT-04</t>
  </si>
  <si>
    <t>1販社先行検証で確認した残課題、改善事項、追加販社への注意点を引き継ぐ</t>
  </si>
  <si>
    <t>後続展開で対応する事項が一覧化されている</t>
  </si>
  <si>
    <t>先行検証完了時に整理</t>
  </si>
  <si>
    <t>1販社先行検証 工数再算定結果</t>
  </si>
  <si>
    <t>基準工数53.5人日は1販社見積57.5人日から号口リリース4人日を条件付きへ分離した参考値です。今回の作業範囲はSalesforce→NiFi→Kudu（参照用TB）。Bronze／Silver／Gold等は含めません。1.5か月達成のため、WBS上では必須・暫定省略可・並行可を明示しています。</t>
  </si>
  <si>
    <t>元見積合計</t>
  </si>
  <si>
    <t>列 1</t>
  </si>
  <si>
    <t>先行検証基準</t>
  </si>
  <si>
    <t>列 2</t>
  </si>
  <si>
    <t>列 3</t>
  </si>
  <si>
    <t>作業L/T</t>
  </si>
  <si>
    <t>列 4</t>
  </si>
  <si>
    <t>約1.5か月</t>
  </si>
  <si>
    <t>1販社・検証＋号口</t>
  </si>
  <si>
    <t>1販社・検証環境</t>
  </si>
  <si>
    <t>号口リリース</t>
  </si>
  <si>
    <t>要件確定後</t>
  </si>
  <si>
    <t>見積カテゴリ</t>
  </si>
  <si>
    <t>元見積工数</t>
  </si>
  <si>
    <t>WBS対応工程</t>
  </si>
  <si>
    <t>扱い</t>
  </si>
  <si>
    <t>差分理由</t>
  </si>
  <si>
    <t>根拠</t>
  </si>
  <si>
    <t>外部依存・要件定義・Salesforceデータ調査</t>
  </si>
  <si>
    <t>基準に含む</t>
  </si>
  <si>
    <t>1販社見積をそのまま採用</t>
  </si>
  <si>
    <t>1販社見積</t>
  </si>
  <si>
    <t>基本設計</t>
  </si>
  <si>
    <t>全体・非機能設計／IF設計／Kudu参照用TB設計</t>
  </si>
  <si>
    <t>NiFi・CDP向けに読み替え</t>
  </si>
  <si>
    <t>1販社見積＋第一リリース作業一覧</t>
  </si>
  <si>
    <t>セキュリティ・ネットワーク</t>
  </si>
  <si>
    <t>関係者調整／Security／NW／接続／試験</t>
  </si>
  <si>
    <t>検証環境でも必要</t>
  </si>
  <si>
    <t>データソース</t>
  </si>
  <si>
    <t>NiFi詳細設計／Salesforce取得／Kudu保存／単体試験</t>
  </si>
  <si>
    <t>NiFi取得・Kudu参照用TB保存を対象</t>
  </si>
  <si>
    <t>結合テスト</t>
  </si>
  <si>
    <t>Salesforce→NiFi→Kudu（参照用TB）のE2E試験</t>
  </si>
  <si>
    <t>1販社のSalesforce→NiFi→Kudu（参照用TB）を確認</t>
  </si>
  <si>
    <t>リリース対応</t>
  </si>
  <si>
    <t>プロジェクト管理／先行検証完了判定</t>
  </si>
  <si>
    <t>1.5か月の進行・調整・レビューを含む</t>
  </si>
  <si>
    <t>合計</t>
  </si>
  <si>
    <t>注意点</t>
  </si>
  <si>
    <t>内容</t>
  </si>
  <si>
    <t>第一リリース資料51.5人日</t>
  </si>
  <si>
    <t>ADF・ADLS・Bronze・Silver・Gold・Power BIまで含む一方、NiFi構成とは異なるため、総工数としては採用・合算しない。作業漏れ確認とWBS分解の参考に使用する。</t>
  </si>
  <si>
    <t>運用・障害対応</t>
  </si>
  <si>
    <t>1販社見積には独立した工数行がないため、基本設計・データソース詳細設計・結合試験・PM/PL内に含め、追加計上しない。</t>
  </si>
  <si>
    <t>Full／Incremental、Watermark、削除データ、Private接続、号口反映は採用条件が確定した時点で再見積する。</t>
  </si>
  <si>
    <t>Salesforce Sandbox準備、TMCセキュリティ要件提示など、利用者・関係者側作業は53.5人日に含めない。</t>
  </si>
  <si>
    <t>正式日程</t>
  </si>
  <si>
    <t>見積記載の作業L/T約1.5か月を基に仮日程を設定した。正式な開始日・納期は要件確定後に再確認する。</t>
  </si>
  <si>
    <t>Salesforceデータ連携（1販社先行検証） WBS閲覧用</t>
  </si>
  <si>
    <t>基準前提：1販社先行検証・NiFi・検証環境・Salesforce→NiFi→Kudu（参照用TB）連携。Salesforceデータ調査（SFD-01～05）は2026/08/07から先行開始し、その他の実行対象タスクは2026/08/17を基準にリベース。必須作業を優先し、暫定省略可の作業は簡略化・後続化、依存関係が許す作業は並行実施します。先行検証完了判定は2026/10/07（仮）。</t>
  </si>
  <si>
    <t>総タスク 121件</t>
  </si>
  <si>
    <t>仮完了 2026/10/7</t>
  </si>
  <si>
    <t>絶対に必要 61件</t>
  </si>
  <si>
    <t>暫定省略可 51件</t>
  </si>
  <si>
    <t>スコープ外・後続 9件</t>
  </si>
  <si>
    <t>並行可能 77件</t>
  </si>
  <si>
    <t>基準工数 53.5人日</t>
  </si>
  <si>
    <t>タスク一覧</t>
  </si>
  <si>
    <t>週次ガント（各列は週初日）</t>
  </si>
  <si>
    <t>No.</t>
  </si>
  <si>
    <t>【絶対に必要｜前提待ち】 利用者・Salesforce側作業</t>
  </si>
  <si>
    <t>【絶対に必要｜前提待ち】 TMC側作業</t>
  </si>
  <si>
    <t>【絶対に必要｜前提待ち】 秘密情報の受渡方法も確認</t>
  </si>
  <si>
    <t>【絶対に必要｜前提待ち】 先行販社名は未確定。号口・追加販社は先行検証後に判断</t>
  </si>
  <si>
    <t>【絶対に必要｜前提待ち】 今回の連携先はKudu（参照用TB）。Bronze／Silver／Goldは対象外</t>
  </si>
  <si>
    <t>【絶対に必要｜前提待ち】 マイルストーンM1：先行検証着手判定</t>
  </si>
  <si>
    <t>【絶対に必要｜並行可】 継続タスク</t>
  </si>
  <si>
    <t>【絶対に必要｜並行可】 Salesforce窓口対応を統合</t>
  </si>
  <si>
    <t>【絶対に必要｜一部並行可】 号口・追加販社のGo／No-Go判断を含む</t>
  </si>
  <si>
    <t>【暫定対応なら省略可｜並行可】 継続タスク</t>
  </si>
  <si>
    <t>【絶対に必要｜並行可】</t>
  </si>
  <si>
    <t>【暫定対応なら省略可｜並行可】</t>
  </si>
  <si>
    <t>【暫定対応なら省略可｜並行可】 文書作成を含む</t>
  </si>
  <si>
    <t>【絶対に必要｜並行可】 対象数確定後に再分割可能</t>
  </si>
  <si>
    <t>【絶対に必要｜並行可】 API設計の前提</t>
  </si>
  <si>
    <t>【絶対に必要｜並行可】 実装採否は条件付き</t>
  </si>
  <si>
    <t>【絶対に必要｜並行可】 削除実装は条件付き</t>
  </si>
  <si>
    <t>【絶対に必要｜並行可】 今回の基準経路はSalesforce→NiFi→Kudu（参照用TB）</t>
  </si>
  <si>
    <t>【暫定対応なら省略可｜並行可】 最終的な標準化は先行検証後にFUT-03で整理</t>
  </si>
  <si>
    <t>【絶対に必要｜並行可】 保存先確定後に具体化</t>
  </si>
  <si>
    <t>【絶対に必要｜並行可】 特定製品は未確定</t>
  </si>
  <si>
    <t>【絶対に必要｜並行可】 実際の設定変更主体は未確定</t>
  </si>
  <si>
    <t>【暫定対応なら省略可｜並行可】 1販社先行。追加販社で変更できる設計とする</t>
  </si>
  <si>
    <t>【絶対に必要｜一部並行可】 先行対象販社・検証環境で実施</t>
  </si>
  <si>
    <t>【絶対に必要｜一部並行可】 NiFi基準</t>
  </si>
  <si>
    <t>【絶対に必要｜一部並行可】</t>
  </si>
  <si>
    <t>【絶対に必要｜一部並行可】 M3に対応</t>
  </si>
  <si>
    <t>【絶対に必要｜一部並行可】 保存先確定後に具体化</t>
  </si>
  <si>
    <t>【暫定対応なら省略可｜並行可】 複数販社向けの最終標準化ではなく、先行検証に必要な範囲</t>
  </si>
  <si>
    <t>【絶対に必要｜一部並行可】 先行販社名・対象Objectは未確定</t>
  </si>
  <si>
    <t>【今回スコープ外・後続｜対象外】 実施条件：先行検証完了・2販社目展開のGo判断</t>
  </si>
  <si>
    <t>【絶対に必要｜並行可】 先行対象1販社で実施</t>
  </si>
  <si>
    <t>【暫定対応なら省略可｜並行可】 変換実装範囲に応じる</t>
  </si>
  <si>
    <t>【暫定対応なら省略可｜並行可】 M5に対応</t>
  </si>
  <si>
    <t>【絶対に必要｜一部並行可】 先行対象1販社で実施</t>
  </si>
  <si>
    <t>【暫定対応なら省略可｜並行可】 M6に対応</t>
  </si>
  <si>
    <t>【暫定対応なら省略可｜後続／必要時】 精緻化見積への明記弱</t>
  </si>
  <si>
    <t>【暫定対応なら省略可｜後続／必要時】</t>
  </si>
  <si>
    <t>【暫定対応なら省略可｜後続／必要時】 先行検証完了判定の確認資料</t>
  </si>
  <si>
    <t>【暫定対応なら省略可｜後続／必要時】 実施条件：1販社先行検証完了・関係者のGo判断</t>
  </si>
  <si>
    <t>【絶対に必要｜一部並行可】 先行検証の最終マイルストーン。日付は仮</t>
  </si>
  <si>
    <t>【暫定対応なら省略可｜後続／必要時】 採用条件：差分連携を採用</t>
  </si>
  <si>
    <t>【暫定対応なら省略可｜後続／必要時】 採用条件：初回全件取得を行う</t>
  </si>
  <si>
    <t>【暫定対応なら省略可｜後続／必要時】 採用条件：Watermark方式を採用</t>
  </si>
  <si>
    <t>【暫定対応なら省略可｜後続／必要時】 採用条件：削除データを対象とする</t>
  </si>
  <si>
    <t>【暫定対応なら省略可｜後続／必要時】 採用条件：新規Private接続が必要</t>
  </si>
  <si>
    <t>【暫定対応なら省略可｜後続／必要時】 採用条件：既存設定変更が必要</t>
  </si>
  <si>
    <t>【今回スコープ外・後続｜対象外】 基準WBSでは未採用</t>
  </si>
  <si>
    <t>【今回スコープ外・後続｜対象外】 1販社先行検証の必須範囲外。PBIP運用ヒアリングとは別途管理</t>
  </si>
  <si>
    <t>【暫定対応なら省略可｜後続／必要時】 方針整理のみ。実装しない</t>
  </si>
  <si>
    <t>【暫定対応なら省略可｜後続／必要時】 先行検証結果を受けて後続で実施</t>
  </si>
  <si>
    <t>【暫定対応なら省略可｜後続／必要時】 先行検証完了時に整理</t>
  </si>
  <si>
    <t>Salesforceデータ連携 WBS方針変更記録</t>
  </si>
  <si>
    <t>1販社先行検証方針をWBSへ反映した記録です。方針で確定していない工数・正式日程・号口実施可否は未確定として扱います。</t>
  </si>
  <si>
    <t>項目</t>
  </si>
  <si>
    <t>MTG方針</t>
  </si>
  <si>
    <t>まず1販社を対象にSalesforce→NiFi→Kudu（参照用TB）のデータ連携を調査・準備・検証する。</t>
  </si>
  <si>
    <t>WBS基準</t>
  </si>
  <si>
    <t>2販社・検証＋号口から、1販社先行検証・検証環境中心へ変更。</t>
  </si>
  <si>
    <t>後続作業</t>
  </si>
  <si>
    <t>2販社目・号口反映・追加販社展開は、先行検証完了後のGo判断を開始条件とする。</t>
  </si>
  <si>
    <t>工数</t>
  </si>
  <si>
    <t>既存69人日は2販社見積の参考値。1販社先行検証は対象範囲確定後に再見積する。</t>
  </si>
  <si>
    <t>2026/08/05</t>
  </si>
  <si>
    <t>変更対象</t>
  </si>
  <si>
    <t>変更前</t>
  </si>
  <si>
    <t>変更後</t>
  </si>
  <si>
    <t>理由</t>
  </si>
  <si>
    <t>関連タスク</t>
  </si>
  <si>
    <t>日程の扱い</t>
  </si>
  <si>
    <t>基準対象</t>
  </si>
  <si>
    <t>2販社</t>
  </si>
  <si>
    <t>1販社先行検証</t>
  </si>
  <si>
    <t>EXT-04、REQ-02、DEV-07</t>
  </si>
  <si>
    <t>既存日程は仮</t>
  </si>
  <si>
    <t>要再見積</t>
  </si>
  <si>
    <t>先行販社名は未確定</t>
  </si>
  <si>
    <t>連携経路</t>
  </si>
  <si>
    <t>NiFi基準だが保存先未確定</t>
  </si>
  <si>
    <t>Salesforce→NiFi→Kudu（参照用TB）</t>
  </si>
  <si>
    <t>Salesforce→NiFi→Kudu先行検証へ具体化</t>
  </si>
  <si>
    <t>EXT-05、ARC-01、DEV-02</t>
  </si>
  <si>
    <t>Kudu参照用TBの具体的DB／テーブル名は未確定</t>
  </si>
  <si>
    <t>2販社目</t>
  </si>
  <si>
    <t>先行検証後の条件付き</t>
  </si>
  <si>
    <t>先行検証結果から展開判断</t>
  </si>
  <si>
    <t>日程未設定</t>
  </si>
  <si>
    <t>Go判断後に開始</t>
  </si>
  <si>
    <t>号口反映</t>
  </si>
  <si>
    <t>議事録では号口実施が未確定</t>
  </si>
  <si>
    <t>REL-01～REL-08</t>
  </si>
  <si>
    <t>関係者承認が開始条件</t>
  </si>
  <si>
    <t>完了判定</t>
  </si>
  <si>
    <t>第一リリース完了判定</t>
  </si>
  <si>
    <t>先行検証完了・後続展開判定</t>
  </si>
  <si>
    <t>今回の目的に合わせる</t>
  </si>
  <si>
    <t>2026/10/16は仮</t>
  </si>
  <si>
    <t>Go／No-Goを記録</t>
  </si>
  <si>
    <t>別ワークストリームとして継続確認</t>
  </si>
  <si>
    <t>PBIX→PBIP変換検証は一旦中止</t>
  </si>
  <si>
    <t>SCP-05～SCP-08</t>
  </si>
  <si>
    <t>未設定</t>
  </si>
  <si>
    <t>先行検証の必須範囲外</t>
  </si>
  <si>
    <t>未確定事項</t>
  </si>
  <si>
    <t>WBS修正後も確認が必要な内容</t>
  </si>
  <si>
    <t>先行販社</t>
  </si>
  <si>
    <t>具体的な販社名・Salesforce Org</t>
  </si>
  <si>
    <t>対象データ</t>
  </si>
  <si>
    <t>Object、Field、データ量、更新特性</t>
  </si>
  <si>
    <t>Kudu参照用TB</t>
  </si>
  <si>
    <t>DB・テーブル名、列、型、キー等</t>
  </si>
  <si>
    <t>取得方式</t>
  </si>
  <si>
    <t>全件・差分・Watermark・削除データ</t>
  </si>
  <si>
    <t>検証完了条件</t>
  </si>
  <si>
    <t>件数、主要項目、処理時間、Evidence、承認者</t>
  </si>
  <si>
    <t>開始日、完了希望日、外部依存期限</t>
  </si>
  <si>
    <t>先行検証工数</t>
  </si>
  <si>
    <t>既存69人日とは別に再見積</t>
  </si>
  <si>
    <t>後続展開</t>
  </si>
  <si>
    <t>号口反映、2販社目、追加販社の実施可否・開始時期</t>
  </si>
  <si>
    <t>工数再算定</t>
  </si>
  <si>
    <t>対象</t>
  </si>
  <si>
    <t>日程</t>
  </si>
  <si>
    <t>53.5人日</t>
  </si>
  <si>
    <t>1販社見積57.5－号口リリース4</t>
  </si>
  <si>
    <t>先行1販社・検証環境</t>
  </si>
  <si>
    <t>2026/8/3～9/18（仮）</t>
  </si>
  <si>
    <t>号口4人日</t>
  </si>
  <si>
    <t>正式納期は要件確定後</t>
  </si>
  <si>
    <t>リリース</t>
  </si>
  <si>
    <t>条件付き4.0人日</t>
  </si>
  <si>
    <t>見積の設計2＋実施2</t>
  </si>
  <si>
    <t>REL-01～08</t>
  </si>
  <si>
    <t>Go判断後に再計上</t>
  </si>
  <si>
    <t>先行検証基準外</t>
  </si>
  <si>
    <t>第一リリース51.5</t>
  </si>
  <si>
    <t>参考対象</t>
  </si>
  <si>
    <t>作業分解・漏れ確認に限定</t>
  </si>
  <si>
    <t>ADF/ADLS/加工/PBIを含む別構成</t>
  </si>
  <si>
    <t>全WBS</t>
  </si>
  <si>
    <t>合算しない</t>
  </si>
  <si>
    <t>各対象範囲で判断</t>
  </si>
  <si>
    <t>総工数として採用しない</t>
  </si>
  <si>
    <t>WBS日程</t>
  </si>
  <si>
    <t>～2026/10/16</t>
  </si>
  <si>
    <t>～2026/9/18</t>
  </si>
  <si>
    <t>見積L/T約1.5か月</t>
  </si>
  <si>
    <t>通常作業・検証完了</t>
  </si>
  <si>
    <t>仮計画</t>
  </si>
  <si>
    <t>条件付き作業は未設定</t>
  </si>
  <si>
    <t>担当体制で再確認</t>
  </si>
  <si>
    <t>1.5か月逆算見直し</t>
  </si>
  <si>
    <t>日程への効果</t>
  </si>
  <si>
    <t>工数への扱い</t>
  </si>
  <si>
    <t>連携スコープ</t>
  </si>
  <si>
    <t>Salesforce→NiFi→CDP</t>
  </si>
  <si>
    <t>実作業スコープを明確化</t>
  </si>
  <si>
    <t>ARC/DAT/DEV/UT/IT/ST</t>
  </si>
  <si>
    <t>不要な加工工程を計画から除外</t>
  </si>
  <si>
    <t>53.5人日内で優先順位付け</t>
  </si>
  <si>
    <t>Kuduの具体的DB/TB名は未確定</t>
  </si>
  <si>
    <t>データ加工</t>
  </si>
  <si>
    <t>Bronze→Silver→Goldは今回スコープ外</t>
  </si>
  <si>
    <t>先行検証では参照用TBまで</t>
  </si>
  <si>
    <t>SCP-02～04</t>
  </si>
  <si>
    <t>実行スケジュールに含めない</t>
  </si>
  <si>
    <t>加算しない</t>
  </si>
  <si>
    <t>後続案件で必要なら再計画</t>
  </si>
  <si>
    <t>WBS優先度</t>
  </si>
  <si>
    <t>タスク種別のみ</t>
  </si>
  <si>
    <t>必須／暫定省略可／スコープ外・後続を追加</t>
  </si>
  <si>
    <t>1.5か月から逆算して取捨選択するため</t>
  </si>
  <si>
    <t>WBS_タスク補足 P:R</t>
  </si>
  <si>
    <t>任意作業をガントから外す</t>
  </si>
  <si>
    <t>見積総額の再断定はしない</t>
  </si>
  <si>
    <t>担当・要件確定後に再調整</t>
  </si>
  <si>
    <t>並行実施</t>
  </si>
  <si>
    <t>明示なし</t>
  </si>
  <si>
    <t>並行可否を明示</t>
  </si>
  <si>
    <t>要件・Security/NW・IF設計・試験を並行し期間を守るため</t>
  </si>
  <si>
    <t>WBS_タスク補足 Q列</t>
  </si>
  <si>
    <t>クリティカルパスを圧縮</t>
  </si>
  <si>
    <t>追加工数ではなく進め方の工夫</t>
  </si>
  <si>
    <t>同一担当者の場合は実際の並行性を再確認</t>
  </si>
  <si>
    <t>1販社先行検証 WBS工数配賦</t>
  </si>
  <si>
    <t>工数は見積書の行単位で配賦しています。WBS小項目ごとの細かな割当は、担当者・対象Object数・実装方式の確定後に行います。</t>
  </si>
  <si>
    <t>見積タスク</t>
  </si>
  <si>
    <t>元工数</t>
  </si>
  <si>
    <t>関連WBS ID</t>
  </si>
  <si>
    <t>配賦先・対象作業</t>
  </si>
  <si>
    <t>補足</t>
  </si>
  <si>
    <t>調査</t>
  </si>
  <si>
    <t>EXT-04～05、REQ-01～04、SFD-01～05、NW-01、CON-03</t>
  </si>
  <si>
    <t>接続要件、対象データ、通信経路、サンプル取得の調査</t>
  </si>
  <si>
    <t>複数WBSへ横断配賦</t>
  </si>
  <si>
    <t>定義書作成</t>
  </si>
  <si>
    <t>EXT-06、REQ-05、SFD-06</t>
  </si>
  <si>
    <t>目的、対象、連携概要、認証、API制約の文書化・レビュー</t>
  </si>
  <si>
    <t>要件定義成果物</t>
  </si>
  <si>
    <t>構成図作成</t>
  </si>
  <si>
    <t>ARC-01～02</t>
  </si>
  <si>
    <t>Salesforce→NiFi→Kudu（参照用TB）構成と責務分界</t>
  </si>
  <si>
    <t>ADF等は対象外</t>
  </si>
  <si>
    <t>設計書作成</t>
  </si>
  <si>
    <t>ARC-03～07、IF-01～07、DAT-01～03</t>
  </si>
  <si>
    <t>IF、マッピング、非機能、保存設計の文書化</t>
  </si>
  <si>
    <t>第一リリース作業一覧を分解参考に使用</t>
  </si>
  <si>
    <t>Security/NW</t>
  </si>
  <si>
    <t>窓口・調整</t>
  </si>
  <si>
    <t>Salesforce・基盤・インフラ関係者との調整</t>
  </si>
  <si>
    <t>PM/PLとは別に元見積へ計上済み</t>
  </si>
  <si>
    <t>詳細設計</t>
  </si>
  <si>
    <t>SEC-01～06、NW-01～07</t>
  </si>
  <si>
    <t>認証認可、IP、通信経路、Secret、ログの設計</t>
  </si>
  <si>
    <t>検証環境向け</t>
  </si>
  <si>
    <t>実装</t>
  </si>
  <si>
    <t>CON-01～04、NW-04</t>
  </si>
  <si>
    <t>Credential、接続、必要な設定反映</t>
  </si>
  <si>
    <t>Sandbox準備自体は外部依存</t>
  </si>
  <si>
    <t>単体テスト</t>
  </si>
  <si>
    <t>ST-01～06</t>
  </si>
  <si>
    <t>権限、Secret、疎通、不要経路の確認</t>
  </si>
  <si>
    <t>Evidenceを含む</t>
  </si>
  <si>
    <t>IF-01～07、DAT-01～03、DEV-01～02、UT-01</t>
  </si>
  <si>
    <t>API、変換、Recovery、保存、単体試験設計</t>
  </si>
  <si>
    <t>基本設計との重複は成果物単位で管理</t>
  </si>
  <si>
    <t>NiFiデータ取得</t>
  </si>
  <si>
    <t>DEV-01、DEV-03～07</t>
  </si>
  <si>
    <t>NiFiでSalesforceデータを取得する処理</t>
  </si>
  <si>
    <t>先行1販社</t>
  </si>
  <si>
    <t>NiFiデータ保存</t>
  </si>
  <si>
    <t>DEV-02～07</t>
  </si>
  <si>
    <t>取得データをKudu（参照用TB）へ保存する処理</t>
  </si>
  <si>
    <t>Kudu参照用TB確定後に具体化</t>
  </si>
  <si>
    <t>UT-02～06</t>
  </si>
  <si>
    <t>取得、保存、変換、件数、再実行の試験</t>
  </si>
  <si>
    <t>テスト設計</t>
  </si>
  <si>
    <t>E2E、整合性、Recoveryの試験設計</t>
  </si>
  <si>
    <t>テスト実施</t>
  </si>
  <si>
    <t>IT-02～06</t>
  </si>
  <si>
    <t>件数・値突合、追跡、復旧、処理時間、報告</t>
  </si>
  <si>
    <t>設計</t>
  </si>
  <si>
    <t>REL-01～02</t>
  </si>
  <si>
    <t>号口移行・切り戻し設計</t>
  </si>
  <si>
    <t>先行検証完了後のGo判断で再計上</t>
  </si>
  <si>
    <t>実施</t>
  </si>
  <si>
    <t>REL-03～08</t>
  </si>
  <si>
    <t>号口設定・反映・初回取得・初期監視</t>
  </si>
  <si>
    <t>PM</t>
  </si>
  <si>
    <t>PM-01～06、REL-09</t>
  </si>
  <si>
    <t>進行、課題、調整、判定、スコープ管理</t>
  </si>
  <si>
    <t>PLと合わせて10人日</t>
  </si>
  <si>
    <t>PL</t>
  </si>
  <si>
    <t>PM-01～06、REL-09、FUT-04</t>
  </si>
  <si>
    <t>技術判断、成果物レビュー、検証完了判定</t>
  </si>
  <si>
    <t>PMと合わせて10人日</t>
  </si>
  <si>
    <t>条件付き4.0人日は除外</t>
  </si>
  <si>
    <t>第一リリース作業一覧と1販社先行検証WBSの突合</t>
  </si>
  <si>
    <t>第一リリース資料51.5人日はADF・ADLS・Bronze・Silver・Gold・Power BIまで含む別構成です。今回のWBSはSalesforce→NiFi→Kudu（参照用TB）のみを実行スコープとし、その他は総工数へ合算しません。</t>
  </si>
  <si>
    <t>カテゴリ</t>
  </si>
  <si>
    <t>タスク</t>
  </si>
  <si>
    <t>資料工数</t>
  </si>
  <si>
    <t>WBSでの扱い</t>
  </si>
  <si>
    <t>関連WBS</t>
  </si>
  <si>
    <t>判断</t>
  </si>
  <si>
    <t>対象範囲・利用要件整理</t>
  </si>
  <si>
    <t>Power BI要件を除き採用</t>
  </si>
  <si>
    <t>REQ-01～05</t>
  </si>
  <si>
    <t>一部採用</t>
  </si>
  <si>
    <t>先行検証の目的・範囲・鮮度は必要。Power BI指標は別ワークストリーム</t>
  </si>
  <si>
    <t>53.5人日に内包</t>
  </si>
  <si>
    <t>採用</t>
  </si>
  <si>
    <t>SFD-01～06</t>
  </si>
  <si>
    <t>Object・Field・件数・更新特性はNiFi設計の前提</t>
  </si>
  <si>
    <t>全体設計</t>
  </si>
  <si>
    <t>グランドデザイン</t>
  </si>
  <si>
    <t>Kudu参照用TB向けに読み替え</t>
  </si>
  <si>
    <t>ARC-01～03</t>
  </si>
  <si>
    <t>ADF・ADLS・Power BIレイヤーは対象外。Salesforce→NiFi→KuduのE2E構成のみ必要</t>
  </si>
  <si>
    <t>非機能・運用方針</t>
  </si>
  <si>
    <t>ARC-04～07、OPS-01～06</t>
  </si>
  <si>
    <t>採用・内包</t>
  </si>
  <si>
    <t>Retry、Recovery、監視、履歴は先行検証でも必要</t>
  </si>
  <si>
    <t>追加計上しない</t>
  </si>
  <si>
    <t>セキュリティ</t>
  </si>
  <si>
    <t>認証・認可設計</t>
  </si>
  <si>
    <t>NiFi・Kudu向けに読み替え</t>
  </si>
  <si>
    <t>SEC-01～06</t>
  </si>
  <si>
    <t>Azure固有方式は除外し、Salesforce・NiFi・Kuduを対象</t>
  </si>
  <si>
    <t>9.5人日枠に内包</t>
  </si>
  <si>
    <t>ネットワーク</t>
  </si>
  <si>
    <t>接続・通信設計</t>
  </si>
  <si>
    <t>Salesforce→NiFi→Kuduの関連経路だけ採用</t>
  </si>
  <si>
    <t>NW-01～07</t>
  </si>
  <si>
    <t>ADF・ADLS・Power BI区間は対象外</t>
  </si>
  <si>
    <t>IF設計</t>
  </si>
  <si>
    <t>データ連携方式設計</t>
  </si>
  <si>
    <t>基本方式は採用、増分・削除は条件付き</t>
  </si>
  <si>
    <t>IF-01～07、OPT-01～09</t>
  </si>
  <si>
    <t>Full/Incremental等は対象データ確定後に採否判断</t>
  </si>
  <si>
    <t>基本設計に内包／条件確定後再見積</t>
  </si>
  <si>
    <t>格納設計</t>
  </si>
  <si>
    <t>ADLSデータ配置設計</t>
  </si>
  <si>
    <t>Kudu参照用TB設計へ読み替え</t>
  </si>
  <si>
    <t>DAT-01～03、SCP-01</t>
  </si>
  <si>
    <t>ADLSは対象外。Kuduの列・型・キー・保存方式のみ整理</t>
  </si>
  <si>
    <t>データ設計</t>
  </si>
  <si>
    <t>CDPデータモデル設計</t>
  </si>
  <si>
    <t>Kudu参照用TBの列・Key設計のみ採用</t>
  </si>
  <si>
    <t>DAT-01～03、SCP-02～04</t>
  </si>
  <si>
    <t>Bronze／Silver／Goldは今回の作業スコープ外</t>
  </si>
  <si>
    <t>データ収集</t>
  </si>
  <si>
    <t>Salesforce接続</t>
  </si>
  <si>
    <t>NiFi接続として採用</t>
  </si>
  <si>
    <t>CON-01～04</t>
  </si>
  <si>
    <t>ADF ConnectionではなくNiFi接続を実施</t>
  </si>
  <si>
    <t>ADF共通Pipeline</t>
  </si>
  <si>
    <t>NiFi共通取得・保存フローへ置換</t>
  </si>
  <si>
    <t>DEV-01～07</t>
  </si>
  <si>
    <t>置換採用</t>
  </si>
  <si>
    <t>製品は異なるが、共通処理・Parameter化の考え方は利用</t>
  </si>
  <si>
    <t>13人日枠に内包</t>
  </si>
  <si>
    <t>増分取得実装</t>
  </si>
  <si>
    <t>OPT-01～06</t>
  </si>
  <si>
    <t>差分要件が確定していない</t>
  </si>
  <si>
    <t>採用時に再見積</t>
  </si>
  <si>
    <t>データ格納</t>
  </si>
  <si>
    <t>ADLS Landing/Raw</t>
  </si>
  <si>
    <t>基準外</t>
  </si>
  <si>
    <t>ADLS Landing／Rawは実施しない</t>
  </si>
  <si>
    <t>基準工数に加算しない</t>
  </si>
  <si>
    <t>Bronze構築</t>
  </si>
  <si>
    <t>Bronze構築は実施しない</t>
  </si>
  <si>
    <t>Silver構築</t>
  </si>
  <si>
    <t>Silver構築は実施しない</t>
  </si>
  <si>
    <t>Gold構築</t>
  </si>
  <si>
    <t>Gold構築は実施しない</t>
  </si>
  <si>
    <t>可視化</t>
  </si>
  <si>
    <t>SCP-05～08</t>
  </si>
  <si>
    <t>Power BIは今回の先行検証対象外</t>
  </si>
  <si>
    <t>NiFi・Kudu範囲へ読み替え</t>
  </si>
  <si>
    <t>UT-01～06、ST-01～06</t>
  </si>
  <si>
    <t>取得・Kudu保存・主要データ確認を対象</t>
  </si>
  <si>
    <t>見積のデータソース2＋Security/NW1.5に対応</t>
  </si>
  <si>
    <t>Salesforce→NiFi→Kuduへ読み替え</t>
  </si>
  <si>
    <t>IT-01～06</t>
  </si>
  <si>
    <t>先行1販社のSalesforce→NiFi→Kuduの整合を確認</t>
  </si>
  <si>
    <t>結合テスト4人日内</t>
  </si>
  <si>
    <t>Security/NW試験</t>
  </si>
  <si>
    <t>Security/NW1.5人日内</t>
  </si>
  <si>
    <t>運用</t>
  </si>
  <si>
    <t>運用・障害対応設計</t>
  </si>
  <si>
    <t>採用するが追加計上しない</t>
  </si>
  <si>
    <t>OPS-01～06</t>
  </si>
  <si>
    <t>内包</t>
  </si>
  <si>
    <t>1販社見積の基本設計・詳細設計・結合試験で吸収</t>
  </si>
  <si>
    <t>本番移行</t>
  </si>
  <si>
    <t>今回の議事録では号口実施が未確定</t>
  </si>
  <si>
    <t>別途4人日を条件付き</t>
  </si>
  <si>
    <t>PM/PL</t>
  </si>
  <si>
    <t>1販社見積ではPM5＋PL5を基準とする</t>
  </si>
  <si>
    <t>10人日を採用</t>
  </si>
  <si>
    <t>Salesforceデータ連携 1販社先行検証 — 1.5か月実行方針（8/17リベース）</t>
  </si>
  <si>
    <t>当初の約1.5か月期待値を基準にしたWBSを実開始状況へ合わせてリベースします。Salesforceデータ調査（SFD-01～05）は2026/08/07から先行開始、その他の実行対象タスクは2026/08/17開始基準、先行検証完了判定は2026/10/07（仮）です。Salesforce→NiFi→Kudu（参照用TB）への連携成立を最優先とし、Bronze→Silver→Gold、ADLS、Power BIは今回の作業スコープ外です。</t>
  </si>
  <si>
    <t>暫定省略可</t>
  </si>
  <si>
    <t>並行可能</t>
  </si>
  <si>
    <t>1.5か月の基準作業</t>
  </si>
  <si>
    <t>簡略化・後続化候補</t>
  </si>
  <si>
    <t>今回の実行計画から除外</t>
  </si>
  <si>
    <t>並行可＋一部並行可</t>
  </si>
  <si>
    <t>優先順</t>
  </si>
  <si>
    <t>工程</t>
  </si>
  <si>
    <t>主な内容</t>
  </si>
  <si>
    <t>並行できる内容</t>
  </si>
  <si>
    <t>目安期間</t>
  </si>
  <si>
    <t>遅延時の対応</t>
  </si>
  <si>
    <t>関連ID例</t>
  </si>
  <si>
    <t>着手条件・対象確定</t>
  </si>
  <si>
    <t>先行販社、Org、認証、対象Object／Field、Kudu参照用TBを確定</t>
  </si>
  <si>
    <t>要件整理とSalesforceデータ調査を並行</t>
  </si>
  <si>
    <t>接続・設計へ着手できる</t>
  </si>
  <si>
    <t>8月中～下旬（SFD調査は8/7先行開始）</t>
  </si>
  <si>
    <t>必須項目以外の文書化を後続化</t>
  </si>
  <si>
    <t>EXT、REQ、SFD</t>
  </si>
  <si>
    <t>接続・設計</t>
  </si>
  <si>
    <t>Salesforce→NiFi→Kuduの構成、Security／NW、IF、Kuduテーブルを設計</t>
  </si>
  <si>
    <t>Security／NW／IF／Kudu設計を並行</t>
  </si>
  <si>
    <t>サンプル取得と保存設計が成立</t>
  </si>
  <si>
    <t>8月下旬～9月中旬</t>
  </si>
  <si>
    <t>標準化・詳細運用設計を簡略化</t>
  </si>
  <si>
    <t>ARC、SEC、NW、IF、DAT、CON</t>
  </si>
  <si>
    <t>NiFi実装</t>
  </si>
  <si>
    <t>Salesforce取得、Kudu保存、エラー・再実行の最小機能を実装</t>
  </si>
  <si>
    <t>取得・保存処理は担当分離できる場合に一部並行</t>
  </si>
  <si>
    <t>対象データをKudu参照用TBへ保存できる</t>
  </si>
  <si>
    <t>9月上～中旬</t>
  </si>
  <si>
    <t>外部化・追加メタデータは最小化</t>
  </si>
  <si>
    <t>試験</t>
  </si>
  <si>
    <t>取得・保存・データ一致・権限・疎通・再実行を確認</t>
  </si>
  <si>
    <t>単体試験とSecurity／NW試験を並行</t>
  </si>
  <si>
    <t>SalesforceとKuduの主要データが一致</t>
  </si>
  <si>
    <t>9月中旬～10月上旬</t>
  </si>
  <si>
    <t>網羅的境界試験・正式報告書を簡略化</t>
  </si>
  <si>
    <t>UT、ST、IT</t>
  </si>
  <si>
    <t>Evidence、残課題、号口／2販社目のGo／No-Goを整理</t>
  </si>
  <si>
    <t>残課題整理は試験終盤から並行</t>
  </si>
  <si>
    <t>先行検証完了判定が記録される</t>
  </si>
  <si>
    <t>10月7日</t>
  </si>
  <si>
    <t>後続作業を明示して切り離す</t>
  </si>
  <si>
    <t>A. 絶対に必要な項目 — 1.5か月で連携成立させるため削れない作業</t>
  </si>
  <si>
    <t>理由・短縮方針</t>
  </si>
  <si>
    <t>B. 暫定対応であれば省略・簡略化できる項目 — 仮納期優先時の調整候補</t>
  </si>
  <si>
    <t>暫定対応</t>
  </si>
  <si>
    <t>C. 並行できる項目 — 1.5か月に収めるため同時進行する作業</t>
  </si>
  <si>
    <t>実行区分</t>
  </si>
  <si>
    <t>今回スコープ外・後続 — 1.5か月の実行計画には含めない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</si>
</sst>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"/>
    <numFmt numFmtId="177" formatCode="yyyy\-mm\-dd"/>
    <numFmt numFmtId="178" formatCode="0.0&quot;人日&quot;"/>
    <numFmt numFmtId="179" formatCode="&quot;週初 &quot;m/d"/>
    <numFmt numFmtId="180" formatCode=";;;"/>
  </numFmts>
  <fonts count="48">
    <font>
      <sz val="11"/>
      <color theme="1"/>
      <name val="Calibri"/>
    </font>
    <font>
      <sz val="11"/>
      <color theme="1"/>
      <name val="Yu Gothic UI"/>
    </font>
    <font>
      <b/>
      <sz val="10"/>
      <color rgb="FFFFFFFF"/>
      <name val="Aptos"/>
    </font>
    <font>
      <b/>
      <sz val="10"/>
      <color rgb="FF1F1F1F"/>
      <name val="Aptos"/>
    </font>
    <font>
      <sz val="10"/>
      <color theme="1"/>
      <name val="Aptos"/>
    </font>
    <font>
      <sz val="9"/>
      <color theme="1"/>
      <name val="Aptos"/>
    </font>
    <font>
      <sz val="9"/>
      <color rgb="FF002060"/>
      <name val="Yu Gothic UI"/>
    </font>
    <font>
      <b/>
      <sz val="11"/>
      <color theme="1"/>
      <name val="Yu Gothic UI"/>
    </font>
    <font>
      <b/>
      <sz val="11"/>
      <color rgb="FFC55A11"/>
      <name val="Yu Gothic UI"/>
    </font>
    <font>
      <b/>
      <sz val="11"/>
      <color rgb="FF1F4E78"/>
      <name val="游ゴシック"/>
    </font>
    <font>
      <sz val="11"/>
      <color theme="1"/>
      <name val="游ゴシック"/>
    </font>
    <font>
      <b/>
      <sz val="11"/>
      <color rgb="FFC00000"/>
      <name val="Yu Gothic UI"/>
    </font>
    <font>
      <b/>
      <sz val="11"/>
      <color rgb="FF385723"/>
      <name val="游ゴシック"/>
    </font>
    <font>
      <sz val="8"/>
      <color rgb="FF000000"/>
      <name val="Yu Gothic UI"/>
    </font>
    <font>
      <sz val="9"/>
      <color rgb="FF002060"/>
      <name val="Aptos"/>
    </font>
    <font>
      <b/>
      <sz val="9"/>
      <color rgb="FFFFFFFF"/>
      <name val="Aptos"/>
    </font>
    <font>
      <b/>
      <sz val="8"/>
      <color rgb="FF1F1F1F"/>
      <name val="Aptos"/>
    </font>
    <font>
      <b/>
      <sz val="9"/>
      <color rgb="FF1F1F1F"/>
      <name val="Aptos"/>
    </font>
    <font>
      <sz val="11"/>
      <color rgb="FF000000"/>
      <name val="Yu Gothic UI"/>
    </font>
    <font>
      <sz val="11"/>
      <color theme="10"/>
      <name val="游ゴシック"/>
    </font>
    <font>
      <b/>
      <sz val="9"/>
      <color rgb="FF9C5700"/>
      <name val="Aptos"/>
    </font>
    <font>
      <sz val="9"/>
      <color rgb="FF1F1F1F"/>
      <name val="Aptos"/>
    </font>
    <font>
      <i/>
      <sz val="9"/>
      <color theme="1"/>
      <name val="Aptos"/>
    </font>
    <font>
      <b/>
      <sz val="11"/>
      <color rgb="FFFFFFFF"/>
      <name val="游ゴシック"/>
    </font>
    <font>
      <sz val="11"/>
      <color rgb="FF385723"/>
      <name val="游ゴシック"/>
    </font>
    <font>
      <sz val="11"/>
      <color rgb="FF7F6000"/>
      <name val="游ゴシック"/>
    </font>
    <font>
      <sz val="11"/>
      <color rgb="FF595959"/>
      <name val="游ゴシック"/>
    </font>
    <font>
      <b/>
      <sz val="16"/>
      <color rgb="FFFFFFFF"/>
      <name val="Aptos"/>
    </font>
    <font>
      <b/>
      <sz val="10"/>
      <color rgb="FF1F4E78"/>
      <name val="Aptos"/>
    </font>
    <font>
      <b/>
      <sz val="10"/>
      <color rgb="FF385723"/>
      <name val="Aptos"/>
    </font>
    <font>
      <b/>
      <sz val="10"/>
      <color rgb="FF9C5700"/>
      <name val="Aptos"/>
    </font>
    <font>
      <b/>
      <sz val="10"/>
      <color rgb="FF404040"/>
      <name val="Aptos"/>
    </font>
    <font>
      <b/>
      <sz val="11"/>
      <color rgb="FF1F4E78"/>
      <name val="Aptos"/>
    </font>
    <font>
      <b/>
      <sz val="11"/>
      <color rgb="FF385723"/>
      <name val="Aptos"/>
    </font>
    <font>
      <b/>
      <sz val="11"/>
      <color rgb="FF7F6000"/>
      <name val="Aptos"/>
    </font>
    <font>
      <b/>
      <sz val="11"/>
      <color rgb="FF595959"/>
      <name val="Aptos"/>
    </font>
    <font>
      <b/>
      <sz val="9"/>
      <color rgb="FF274E13"/>
      <name val="Aptos"/>
    </font>
    <font>
      <b/>
      <sz val="11"/>
      <color rgb="FF9C5700"/>
      <name val="游ゴシック"/>
    </font>
    <font>
      <i/>
      <sz val="10"/>
      <color rgb="FF1F1F1F"/>
      <name val="Aptos"/>
    </font>
    <font>
      <b/>
      <sz val="11"/>
      <color rgb="FF9C5700"/>
      <name val="Aptos"/>
    </font>
    <font>
      <sz val="9"/>
      <color rgb="FF385723"/>
      <name val="Aptos"/>
    </font>
    <font>
      <sz val="9"/>
      <color rgb="FF7F6000"/>
      <name val="Aptos"/>
    </font>
    <font>
      <sz val="11"/>
      <color theme="1"/>
      <name val="Calibri"/>
    </font>
    <font>
      <b/>
      <sz val="11"/>
      <color rgb="FF7F6000"/>
      <name val="游ゴシック"/>
    </font>
    <font>
      <b/>
      <sz val="11"/>
      <color rgb="FF595959"/>
      <name val="游ゴシック"/>
    </font>
    <font>
      <sz val="9"/>
      <color rgb="FF595959"/>
      <name val="Aptos"/>
    </font>
    <font>
      <sz val="11"/>
      <color rgb="FFFF0000"/>
      <name val="Meiryo UI"/>
    </font>
    <font>
      <sz val="11"/>
      <color rgb="FFFF0000"/>
      <name val="Noto Sans JP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6DCE4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FFF7F9FC"/>
      </patternFill>
    </fill>
    <fill>
      <patternFill patternType="solid">
        <fgColor rgb="FFF3F6FA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DEDED"/>
      </patternFill>
    </fill>
    <fill>
      <patternFill patternType="solid">
        <fgColor rgb="FFD9EAD3"/>
      </patternFill>
    </fill>
    <fill>
      <patternFill patternType="solid">
        <fgColor rgb="FFED7D31"/>
      </patternFill>
    </fill>
    <fill>
      <patternFill patternType="solid">
        <fgColor rgb="FFF4B183"/>
      </patternFill>
    </fill>
  </fills>
  <borders count="52">
    <border>
      <left/>
      <right/>
      <top/>
      <bottom/>
      <diagonal/>
    </border>
    <border>
      <left/>
      <right/>
      <top/>
      <bottom style="thin">
        <color rgb="FFD2D2D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 tint="0.49995422223578601"/>
      </left>
      <right style="thin">
        <color theme="1" tint="0.49995422223578601"/>
      </right>
      <top style="thin">
        <color theme="1" tint="0.49995422223578601"/>
      </top>
      <bottom style="thin">
        <color theme="1" tint="0.49995422223578601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1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56" fontId="1" fillId="0" borderId="1" xfId="0" applyNumberFormat="1" applyFont="1" applyBorder="1"/>
    <xf numFmtId="0" fontId="4" fillId="0" borderId="0" xfId="0" applyFont="1" applyAlignment="1">
      <alignment vertical="center" wrapText="1"/>
    </xf>
    <xf numFmtId="176" fontId="2" fillId="2" borderId="0" xfId="0" applyNumberFormat="1" applyFont="1" applyFill="1" applyAlignment="1">
      <alignment horizontal="center" vertical="center"/>
    </xf>
    <xf numFmtId="0" fontId="5" fillId="0" borderId="0" xfId="0" applyFont="1"/>
    <xf numFmtId="176" fontId="1" fillId="0" borderId="0" xfId="0" applyNumberFormat="1" applyFont="1"/>
    <xf numFmtId="0" fontId="6" fillId="0" borderId="0" xfId="0" applyFont="1"/>
    <xf numFmtId="0" fontId="7" fillId="4" borderId="2" xfId="0" applyFont="1" applyFill="1" applyBorder="1"/>
    <xf numFmtId="0" fontId="7" fillId="4" borderId="3" xfId="0" applyFont="1" applyFill="1" applyBorder="1"/>
    <xf numFmtId="0" fontId="7" fillId="4" borderId="4" xfId="0" applyFont="1" applyFill="1" applyBorder="1"/>
    <xf numFmtId="0" fontId="1" fillId="4" borderId="3" xfId="0" applyFont="1" applyFill="1" applyBorder="1"/>
    <xf numFmtId="0" fontId="8" fillId="4" borderId="3" xfId="0" applyFont="1" applyFill="1" applyBorder="1"/>
    <xf numFmtId="0" fontId="8" fillId="4" borderId="4" xfId="0" applyFont="1" applyFill="1" applyBorder="1"/>
    <xf numFmtId="0" fontId="9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 applyAlignment="1">
      <alignment wrapText="1"/>
    </xf>
    <xf numFmtId="0" fontId="7" fillId="0" borderId="7" xfId="0" applyFont="1" applyBorder="1"/>
    <xf numFmtId="176" fontId="7" fillId="0" borderId="6" xfId="0" applyNumberFormat="1" applyFont="1" applyBorder="1"/>
    <xf numFmtId="176" fontId="7" fillId="0" borderId="7" xfId="0" applyNumberFormat="1" applyFont="1" applyBorder="1"/>
    <xf numFmtId="176" fontId="1" fillId="0" borderId="8" xfId="0" applyNumberFormat="1" applyFont="1" applyBorder="1" applyAlignment="1">
      <alignment horizontal="center"/>
    </xf>
    <xf numFmtId="176" fontId="1" fillId="0" borderId="9" xfId="0" applyNumberFormat="1" applyFont="1" applyBorder="1" applyAlignment="1">
      <alignment horizontal="center"/>
    </xf>
    <xf numFmtId="176" fontId="11" fillId="0" borderId="9" xfId="0" applyNumberFormat="1" applyFont="1" applyBorder="1" applyAlignment="1">
      <alignment horizontal="center"/>
    </xf>
    <xf numFmtId="56" fontId="1" fillId="0" borderId="0" xfId="0" applyNumberFormat="1" applyFont="1"/>
    <xf numFmtId="176" fontId="1" fillId="0" borderId="10" xfId="0" applyNumberFormat="1" applyFont="1" applyBorder="1" applyAlignment="1">
      <alignment horizontal="center"/>
    </xf>
    <xf numFmtId="176" fontId="1" fillId="5" borderId="8" xfId="0" applyNumberFormat="1" applyFont="1" applyFill="1" applyBorder="1" applyAlignment="1">
      <alignment horizontal="center"/>
    </xf>
    <xf numFmtId="176" fontId="1" fillId="6" borderId="9" xfId="0" applyNumberFormat="1" applyFont="1" applyFill="1" applyBorder="1" applyAlignment="1">
      <alignment horizontal="center"/>
    </xf>
    <xf numFmtId="176" fontId="1" fillId="5" borderId="9" xfId="0" applyNumberFormat="1" applyFont="1" applyFill="1" applyBorder="1" applyAlignment="1">
      <alignment horizontal="center"/>
    </xf>
    <xf numFmtId="0" fontId="12" fillId="7" borderId="0" xfId="0" applyFont="1" applyFill="1" applyAlignment="1">
      <alignment wrapText="1"/>
    </xf>
    <xf numFmtId="176" fontId="1" fillId="0" borderId="11" xfId="0" applyNumberFormat="1" applyFont="1" applyBorder="1" applyAlignment="1">
      <alignment horizontal="center"/>
    </xf>
    <xf numFmtId="0" fontId="13" fillId="0" borderId="0" xfId="0" applyFont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wrapText="1"/>
    </xf>
    <xf numFmtId="0" fontId="1" fillId="0" borderId="16" xfId="0" applyFont="1" applyBorder="1"/>
    <xf numFmtId="0" fontId="1" fillId="0" borderId="15" xfId="0" applyFont="1" applyBorder="1"/>
    <xf numFmtId="176" fontId="1" fillId="0" borderId="14" xfId="0" applyNumberFormat="1" applyFont="1" applyBorder="1"/>
    <xf numFmtId="176" fontId="1" fillId="0" borderId="16" xfId="0" applyNumberFormat="1" applyFont="1" applyBorder="1"/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8" xfId="0" applyFont="1" applyBorder="1" applyAlignment="1">
      <alignment horizontal="right" vertical="top"/>
    </xf>
    <xf numFmtId="0" fontId="1" fillId="0" borderId="19" xfId="0" applyFont="1" applyBorder="1"/>
    <xf numFmtId="0" fontId="1" fillId="0" borderId="11" xfId="0" applyFont="1" applyBorder="1" applyAlignment="1">
      <alignment wrapText="1"/>
    </xf>
    <xf numFmtId="0" fontId="1" fillId="0" borderId="8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1" fillId="0" borderId="9" xfId="0" applyFont="1" applyBorder="1"/>
    <xf numFmtId="0" fontId="14" fillId="0" borderId="0" xfId="0" applyFont="1"/>
    <xf numFmtId="0" fontId="1" fillId="5" borderId="8" xfId="0" applyFont="1" applyFill="1" applyBorder="1"/>
    <xf numFmtId="176" fontId="5" fillId="0" borderId="0" xfId="0" applyNumberFormat="1" applyFont="1"/>
    <xf numFmtId="0" fontId="15" fillId="8" borderId="0" xfId="0" applyFont="1" applyFill="1" applyAlignment="1">
      <alignment horizontal="center" vertical="center"/>
    </xf>
    <xf numFmtId="0" fontId="1" fillId="6" borderId="9" xfId="0" applyFont="1" applyFill="1" applyBorder="1"/>
    <xf numFmtId="0" fontId="1" fillId="5" borderId="9" xfId="0" applyFont="1" applyFill="1" applyBorder="1"/>
    <xf numFmtId="0" fontId="1" fillId="0" borderId="20" xfId="0" applyFont="1" applyBorder="1" applyAlignment="1">
      <alignment horizontal="right" vertical="top"/>
    </xf>
    <xf numFmtId="0" fontId="1" fillId="0" borderId="21" xfId="0" applyFont="1" applyBorder="1" applyAlignment="1">
      <alignment wrapText="1"/>
    </xf>
    <xf numFmtId="0" fontId="1" fillId="0" borderId="20" xfId="0" applyFont="1" applyBorder="1"/>
    <xf numFmtId="0" fontId="1" fillId="0" borderId="22" xfId="0" applyFont="1" applyBorder="1"/>
    <xf numFmtId="0" fontId="1" fillId="0" borderId="21" xfId="0" applyFont="1" applyBorder="1"/>
    <xf numFmtId="176" fontId="1" fillId="0" borderId="20" xfId="0" applyNumberFormat="1" applyFont="1" applyBorder="1" applyAlignment="1">
      <alignment horizontal="center"/>
    </xf>
    <xf numFmtId="176" fontId="1" fillId="0" borderId="22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/>
    <xf numFmtId="0" fontId="1" fillId="5" borderId="20" xfId="0" applyFont="1" applyFill="1" applyBorder="1"/>
    <xf numFmtId="0" fontId="1" fillId="6" borderId="23" xfId="0" applyFont="1" applyFill="1" applyBorder="1"/>
    <xf numFmtId="0" fontId="1" fillId="5" borderId="23" xfId="0" applyFont="1" applyFill="1" applyBorder="1"/>
    <xf numFmtId="0" fontId="1" fillId="0" borderId="18" xfId="0" applyFont="1" applyBorder="1" applyAlignment="1">
      <alignment wrapText="1"/>
    </xf>
    <xf numFmtId="0" fontId="1" fillId="0" borderId="24" xfId="0" applyFont="1" applyBorder="1" applyAlignment="1">
      <alignment horizontal="right" vertical="top"/>
    </xf>
    <xf numFmtId="0" fontId="1" fillId="0" borderId="25" xfId="0" applyFont="1" applyBorder="1"/>
    <xf numFmtId="0" fontId="1" fillId="0" borderId="26" xfId="0" applyFont="1" applyBorder="1" applyAlignment="1">
      <alignment wrapText="1"/>
    </xf>
    <xf numFmtId="0" fontId="1" fillId="0" borderId="24" xfId="0" applyFont="1" applyBorder="1"/>
    <xf numFmtId="0" fontId="1" fillId="0" borderId="27" xfId="0" applyFont="1" applyBorder="1"/>
    <xf numFmtId="0" fontId="1" fillId="0" borderId="26" xfId="0" applyFont="1" applyBorder="1"/>
    <xf numFmtId="176" fontId="1" fillId="0" borderId="24" xfId="0" applyNumberFormat="1" applyFont="1" applyBorder="1" applyAlignment="1">
      <alignment horizontal="center"/>
    </xf>
    <xf numFmtId="176" fontId="1" fillId="0" borderId="27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/>
    <xf numFmtId="0" fontId="1" fillId="5" borderId="24" xfId="0" applyFont="1" applyFill="1" applyBorder="1"/>
    <xf numFmtId="0" fontId="1" fillId="6" borderId="28" xfId="0" applyFont="1" applyFill="1" applyBorder="1"/>
    <xf numFmtId="0" fontId="1" fillId="5" borderId="28" xfId="0" applyFont="1" applyFill="1" applyBorder="1"/>
    <xf numFmtId="0" fontId="1" fillId="0" borderId="29" xfId="0" applyFont="1" applyBorder="1" applyAlignment="1">
      <alignment horizontal="right" vertical="top"/>
    </xf>
    <xf numFmtId="0" fontId="1" fillId="0" borderId="30" xfId="0" applyFont="1" applyBorder="1"/>
    <xf numFmtId="0" fontId="1" fillId="0" borderId="31" xfId="0" applyFont="1" applyBorder="1" applyAlignment="1">
      <alignment wrapText="1"/>
    </xf>
    <xf numFmtId="0" fontId="1" fillId="0" borderId="29" xfId="0" applyFont="1" applyBorder="1"/>
    <xf numFmtId="0" fontId="1" fillId="0" borderId="32" xfId="0" applyFont="1" applyBorder="1"/>
    <xf numFmtId="0" fontId="1" fillId="0" borderId="31" xfId="0" applyFont="1" applyBorder="1"/>
    <xf numFmtId="176" fontId="1" fillId="0" borderId="29" xfId="0" applyNumberFormat="1" applyFont="1" applyBorder="1" applyAlignment="1">
      <alignment horizontal="center"/>
    </xf>
    <xf numFmtId="176" fontId="1" fillId="0" borderId="32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3" xfId="0" applyFont="1" applyBorder="1"/>
    <xf numFmtId="0" fontId="1" fillId="5" borderId="29" xfId="0" applyFont="1" applyFill="1" applyBorder="1"/>
    <xf numFmtId="0" fontId="1" fillId="6" borderId="33" xfId="0" applyFont="1" applyFill="1" applyBorder="1"/>
    <xf numFmtId="0" fontId="1" fillId="5" borderId="33" xfId="0" applyFont="1" applyFill="1" applyBorder="1"/>
    <xf numFmtId="0" fontId="15" fillId="9" borderId="0" xfId="0" applyFont="1" applyFill="1" applyAlignment="1">
      <alignment horizontal="center" vertical="center" wrapText="1"/>
    </xf>
    <xf numFmtId="0" fontId="15" fillId="9" borderId="34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176" fontId="15" fillId="9" borderId="5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right" vertical="top"/>
    </xf>
    <xf numFmtId="176" fontId="15" fillId="9" borderId="7" xfId="0" applyNumberFormat="1" applyFont="1" applyFill="1" applyBorder="1" applyAlignment="1">
      <alignment horizontal="center" vertical="center" wrapText="1"/>
    </xf>
    <xf numFmtId="176" fontId="16" fillId="10" borderId="0" xfId="0" applyNumberFormat="1" applyFont="1" applyFill="1" applyAlignment="1">
      <alignment horizontal="center" vertical="center"/>
    </xf>
    <xf numFmtId="0" fontId="1" fillId="0" borderId="35" xfId="0" applyFont="1" applyBorder="1" applyAlignment="1">
      <alignment wrapText="1"/>
    </xf>
    <xf numFmtId="0" fontId="1" fillId="0" borderId="36" xfId="0" applyFont="1" applyBorder="1"/>
    <xf numFmtId="0" fontId="1" fillId="0" borderId="35" xfId="0" applyFont="1" applyBorder="1"/>
    <xf numFmtId="176" fontId="1" fillId="0" borderId="19" xfId="0" applyNumberFormat="1" applyFont="1" applyBorder="1" applyAlignment="1">
      <alignment horizontal="center"/>
    </xf>
    <xf numFmtId="176" fontId="1" fillId="0" borderId="36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7" xfId="0" applyFont="1" applyBorder="1"/>
    <xf numFmtId="0" fontId="1" fillId="5" borderId="19" xfId="0" applyFont="1" applyFill="1" applyBorder="1"/>
    <xf numFmtId="0" fontId="1" fillId="6" borderId="37" xfId="0" applyFont="1" applyFill="1" applyBorder="1"/>
    <xf numFmtId="0" fontId="1" fillId="5" borderId="37" xfId="0" applyFont="1" applyFill="1" applyBorder="1"/>
    <xf numFmtId="0" fontId="1" fillId="0" borderId="25" xfId="0" applyFont="1" applyBorder="1" applyAlignment="1">
      <alignment horizontal="right" vertical="top"/>
    </xf>
    <xf numFmtId="0" fontId="1" fillId="0" borderId="7" xfId="0" applyFont="1" applyBorder="1" applyAlignment="1">
      <alignment wrapText="1"/>
    </xf>
    <xf numFmtId="0" fontId="1" fillId="0" borderId="38" xfId="0" applyFont="1" applyBorder="1"/>
    <xf numFmtId="0" fontId="1" fillId="0" borderId="7" xfId="0" applyFont="1" applyBorder="1"/>
    <xf numFmtId="176" fontId="1" fillId="0" borderId="25" xfId="0" applyNumberFormat="1" applyFont="1" applyBorder="1" applyAlignment="1">
      <alignment horizontal="center"/>
    </xf>
    <xf numFmtId="176" fontId="1" fillId="0" borderId="38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9" xfId="0" applyFont="1" applyBorder="1"/>
    <xf numFmtId="0" fontId="1" fillId="5" borderId="25" xfId="0" applyFont="1" applyFill="1" applyBorder="1"/>
    <xf numFmtId="0" fontId="1" fillId="6" borderId="39" xfId="0" applyFont="1" applyFill="1" applyBorder="1"/>
    <xf numFmtId="0" fontId="1" fillId="5" borderId="39" xfId="0" applyFont="1" applyFill="1" applyBorder="1"/>
    <xf numFmtId="0" fontId="1" fillId="0" borderId="40" xfId="0" applyFont="1" applyBorder="1" applyAlignment="1">
      <alignment horizontal="right" vertical="top"/>
    </xf>
    <xf numFmtId="0" fontId="1" fillId="0" borderId="41" xfId="0" applyFont="1" applyBorder="1" applyAlignment="1">
      <alignment wrapText="1"/>
    </xf>
    <xf numFmtId="0" fontId="1" fillId="0" borderId="40" xfId="0" applyFont="1" applyBorder="1"/>
    <xf numFmtId="0" fontId="1" fillId="0" borderId="42" xfId="0" applyFont="1" applyBorder="1"/>
    <xf numFmtId="0" fontId="1" fillId="0" borderId="41" xfId="0" applyFont="1" applyBorder="1"/>
    <xf numFmtId="176" fontId="1" fillId="0" borderId="40" xfId="0" applyNumberFormat="1" applyFont="1" applyBorder="1" applyAlignment="1">
      <alignment horizontal="center"/>
    </xf>
    <xf numFmtId="176" fontId="1" fillId="0" borderId="42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3" xfId="0" applyFont="1" applyBorder="1"/>
    <xf numFmtId="0" fontId="1" fillId="5" borderId="40" xfId="0" applyFont="1" applyFill="1" applyBorder="1"/>
    <xf numFmtId="0" fontId="1" fillId="6" borderId="43" xfId="0" applyFont="1" applyFill="1" applyBorder="1"/>
    <xf numFmtId="0" fontId="1" fillId="5" borderId="43" xfId="0" applyFont="1" applyFill="1" applyBorder="1"/>
    <xf numFmtId="0" fontId="17" fillId="10" borderId="0" xfId="0" applyFont="1" applyFill="1" applyAlignment="1">
      <alignment horizontal="center" vertical="center" wrapText="1"/>
    </xf>
    <xf numFmtId="0" fontId="17" fillId="10" borderId="44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16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176" fontId="17" fillId="10" borderId="13" xfId="0" applyNumberFormat="1" applyFont="1" applyFill="1" applyBorder="1" applyAlignment="1">
      <alignment horizontal="center" vertical="center" wrapText="1"/>
    </xf>
    <xf numFmtId="176" fontId="17" fillId="10" borderId="16" xfId="0" applyNumberFormat="1" applyFont="1" applyFill="1" applyBorder="1" applyAlignment="1">
      <alignment horizontal="center" vertical="center" wrapText="1"/>
    </xf>
    <xf numFmtId="0" fontId="16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26" xfId="0" applyFont="1" applyBorder="1"/>
    <xf numFmtId="0" fontId="19" fillId="0" borderId="31" xfId="0" applyFont="1" applyBorder="1"/>
    <xf numFmtId="0" fontId="17" fillId="12" borderId="0" xfId="0" applyFont="1" applyFill="1" applyAlignment="1">
      <alignment vertical="center" wrapText="1"/>
    </xf>
    <xf numFmtId="0" fontId="17" fillId="12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vertical="center" wrapText="1"/>
    </xf>
    <xf numFmtId="0" fontId="17" fillId="14" borderId="0" xfId="0" applyFont="1" applyFill="1" applyAlignment="1">
      <alignment vertical="center" wrapText="1"/>
    </xf>
    <xf numFmtId="176" fontId="17" fillId="12" borderId="0" xfId="0" applyNumberFormat="1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5" fillId="5" borderId="0" xfId="0" applyFont="1" applyFill="1"/>
    <xf numFmtId="0" fontId="5" fillId="6" borderId="0" xfId="0" applyFont="1" applyFill="1"/>
    <xf numFmtId="0" fontId="18" fillId="0" borderId="40" xfId="0" applyFont="1" applyBorder="1"/>
    <xf numFmtId="0" fontId="11" fillId="0" borderId="42" xfId="0" applyFont="1" applyBorder="1"/>
    <xf numFmtId="0" fontId="18" fillId="0" borderId="29" xfId="0" applyFont="1" applyBorder="1"/>
    <xf numFmtId="0" fontId="21" fillId="12" borderId="0" xfId="0" applyFont="1" applyFill="1" applyAlignment="1">
      <alignment vertical="center" wrapText="1"/>
    </xf>
    <xf numFmtId="0" fontId="21" fillId="12" borderId="0" xfId="0" applyFont="1" applyFill="1" applyAlignment="1">
      <alignment horizontal="center" vertical="center" wrapText="1"/>
    </xf>
    <xf numFmtId="0" fontId="21" fillId="13" borderId="0" xfId="0" applyFont="1" applyFill="1" applyAlignment="1">
      <alignment vertical="center" wrapText="1"/>
    </xf>
    <xf numFmtId="0" fontId="21" fillId="14" borderId="0" xfId="0" applyFont="1" applyFill="1" applyAlignment="1">
      <alignment vertical="center" wrapText="1"/>
    </xf>
    <xf numFmtId="176" fontId="21" fillId="12" borderId="0" xfId="0" applyNumberFormat="1" applyFont="1" applyFill="1" applyAlignment="1">
      <alignment horizontal="center" vertical="center"/>
    </xf>
    <xf numFmtId="0" fontId="18" fillId="0" borderId="8" xfId="0" applyFont="1" applyBorder="1"/>
    <xf numFmtId="0" fontId="11" fillId="0" borderId="10" xfId="0" applyFont="1" applyBorder="1"/>
    <xf numFmtId="0" fontId="1" fillId="0" borderId="47" xfId="0" applyFont="1" applyBorder="1"/>
    <xf numFmtId="0" fontId="1" fillId="0" borderId="48" xfId="0" applyFont="1" applyBorder="1"/>
    <xf numFmtId="0" fontId="1" fillId="0" borderId="4" xfId="0" applyFont="1" applyBorder="1"/>
    <xf numFmtId="176" fontId="1" fillId="0" borderId="47" xfId="0" applyNumberFormat="1" applyFont="1" applyBorder="1" applyAlignment="1">
      <alignment horizontal="center"/>
    </xf>
    <xf numFmtId="176" fontId="1" fillId="0" borderId="48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9" xfId="0" applyFont="1" applyBorder="1"/>
    <xf numFmtId="0" fontId="1" fillId="5" borderId="47" xfId="0" applyFont="1" applyFill="1" applyBorder="1"/>
    <xf numFmtId="0" fontId="1" fillId="6" borderId="49" xfId="0" applyFont="1" applyFill="1" applyBorder="1"/>
    <xf numFmtId="0" fontId="1" fillId="5" borderId="49" xfId="0" applyFont="1" applyFill="1" applyBorder="1"/>
    <xf numFmtId="0" fontId="1" fillId="0" borderId="50" xfId="0" applyFont="1" applyBorder="1"/>
    <xf numFmtId="0" fontId="1" fillId="0" borderId="0" xfId="0" applyFont="1" applyAlignment="1">
      <alignment horizontal="right" vertical="top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7" fillId="7" borderId="0" xfId="0" applyFont="1" applyFill="1" applyAlignment="1">
      <alignment vertical="center" wrapText="1"/>
    </xf>
    <xf numFmtId="0" fontId="17" fillId="7" borderId="0" xfId="0" applyFont="1" applyFill="1" applyAlignment="1">
      <alignment horizontal="center" vertical="center" wrapText="1"/>
    </xf>
    <xf numFmtId="176" fontId="17" fillId="7" borderId="0" xfId="0" applyNumberFormat="1" applyFont="1" applyFill="1" applyAlignment="1">
      <alignment horizontal="center" vertical="center"/>
    </xf>
    <xf numFmtId="0" fontId="17" fillId="15" borderId="0" xfId="0" applyFont="1" applyFill="1" applyAlignment="1">
      <alignment vertical="center" wrapText="1"/>
    </xf>
    <xf numFmtId="0" fontId="17" fillId="15" borderId="0" xfId="0" applyFont="1" applyFill="1" applyAlignment="1">
      <alignment horizontal="center" vertical="center" wrapText="1"/>
    </xf>
    <xf numFmtId="176" fontId="17" fillId="15" borderId="0" xfId="0" applyNumberFormat="1" applyFont="1" applyFill="1" applyAlignment="1">
      <alignment horizontal="center" vertical="center"/>
    </xf>
    <xf numFmtId="0" fontId="21" fillId="16" borderId="0" xfId="0" applyFont="1" applyFill="1" applyAlignment="1">
      <alignment vertical="center" wrapText="1"/>
    </xf>
    <xf numFmtId="0" fontId="21" fillId="13" borderId="0" xfId="0" applyFont="1" applyFill="1" applyAlignment="1">
      <alignment horizontal="center" vertical="center" wrapText="1"/>
    </xf>
    <xf numFmtId="176" fontId="21" fillId="16" borderId="0" xfId="0" applyNumberFormat="1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177" fontId="5" fillId="0" borderId="0" xfId="0" applyNumberFormat="1" applyFont="1" applyAlignment="1">
      <alignment horizontal="center" vertical="center" wrapText="1"/>
    </xf>
    <xf numFmtId="0" fontId="24" fillId="7" borderId="0" xfId="0" applyFont="1" applyFill="1" applyAlignment="1">
      <alignment vertical="center" wrapText="1"/>
    </xf>
    <xf numFmtId="0" fontId="25" fillId="17" borderId="0" xfId="0" applyFont="1" applyFill="1" applyAlignment="1">
      <alignment vertical="center" wrapText="1"/>
    </xf>
    <xf numFmtId="0" fontId="26" fillId="18" borderId="0" xfId="0" applyFont="1" applyFill="1" applyAlignment="1">
      <alignment vertical="center" wrapText="1"/>
    </xf>
    <xf numFmtId="0" fontId="32" fillId="3" borderId="0" xfId="0" applyFont="1" applyFill="1" applyAlignment="1">
      <alignment horizontal="center" vertical="center" wrapText="1"/>
    </xf>
    <xf numFmtId="0" fontId="33" fillId="7" borderId="0" xfId="0" applyFont="1" applyFill="1" applyAlignment="1">
      <alignment horizontal="center" vertical="center" wrapText="1"/>
    </xf>
    <xf numFmtId="0" fontId="34" fillId="17" borderId="0" xfId="0" applyFont="1" applyFill="1" applyAlignment="1">
      <alignment horizontal="center" vertical="center" wrapText="1"/>
    </xf>
    <xf numFmtId="0" fontId="35" fillId="18" borderId="0" xfId="0" applyFont="1" applyFill="1" applyAlignment="1">
      <alignment horizontal="center" vertical="center" wrapText="1"/>
    </xf>
    <xf numFmtId="178" fontId="33" fillId="7" borderId="0" xfId="0" applyNumberFormat="1" applyFont="1" applyFill="1" applyAlignment="1">
      <alignment horizontal="center" vertical="center" wrapText="1"/>
    </xf>
    <xf numFmtId="178" fontId="34" fillId="17" borderId="0" xfId="0" applyNumberFormat="1" applyFont="1" applyFill="1" applyAlignment="1">
      <alignment horizontal="center" vertical="center" wrapText="1"/>
    </xf>
    <xf numFmtId="178" fontId="35" fillId="18" borderId="0" xfId="0" applyNumberFormat="1" applyFont="1" applyFill="1" applyAlignment="1">
      <alignment horizontal="center" vertical="center" wrapText="1"/>
    </xf>
    <xf numFmtId="178" fontId="5" fillId="0" borderId="0" xfId="0" applyNumberFormat="1" applyFont="1" applyAlignment="1">
      <alignment horizontal="right" vertical="center" wrapText="1"/>
    </xf>
    <xf numFmtId="178" fontId="5" fillId="0" borderId="0" xfId="0" applyNumberFormat="1" applyFont="1" applyAlignment="1">
      <alignment horizontal="center" vertical="center" wrapText="1"/>
    </xf>
    <xf numFmtId="178" fontId="15" fillId="9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178" fontId="21" fillId="0" borderId="0" xfId="0" applyNumberFormat="1" applyFont="1" applyAlignment="1">
      <alignment vertical="center" wrapText="1"/>
    </xf>
    <xf numFmtId="178" fontId="21" fillId="0" borderId="0" xfId="0" applyNumberFormat="1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178" fontId="21" fillId="0" borderId="0" xfId="0" applyNumberFormat="1" applyFont="1" applyAlignment="1">
      <alignment horizontal="center" vertical="center" wrapText="1"/>
    </xf>
    <xf numFmtId="0" fontId="17" fillId="20" borderId="0" xfId="0" applyFont="1" applyFill="1" applyAlignment="1">
      <alignment vertical="center" wrapText="1"/>
    </xf>
    <xf numFmtId="178" fontId="17" fillId="20" borderId="0" xfId="0" applyNumberFormat="1" applyFont="1" applyFill="1" applyAlignment="1">
      <alignment horizontal="right" vertical="center" wrapText="1"/>
    </xf>
    <xf numFmtId="178" fontId="17" fillId="20" borderId="0" xfId="0" applyNumberFormat="1" applyFont="1" applyFill="1" applyAlignment="1">
      <alignment vertical="center" wrapText="1"/>
    </xf>
    <xf numFmtId="0" fontId="17" fillId="20" borderId="0" xfId="0" applyFont="1" applyFill="1" applyAlignment="1">
      <alignment horizontal="center" vertical="center" wrapText="1"/>
    </xf>
    <xf numFmtId="178" fontId="17" fillId="20" borderId="0" xfId="0" applyNumberFormat="1" applyFont="1" applyFill="1" applyAlignment="1">
      <alignment horizontal="center" vertical="center" wrapText="1"/>
    </xf>
    <xf numFmtId="0" fontId="17" fillId="3" borderId="0" xfId="0" applyFont="1" applyFill="1" applyAlignment="1">
      <alignment vertical="center" wrapText="1"/>
    </xf>
    <xf numFmtId="178" fontId="17" fillId="3" borderId="0" xfId="0" applyNumberFormat="1" applyFont="1" applyFill="1" applyAlignment="1">
      <alignment vertical="center" wrapText="1"/>
    </xf>
    <xf numFmtId="0" fontId="36" fillId="20" borderId="0" xfId="0" applyFont="1" applyFill="1" applyAlignment="1">
      <alignment vertical="center" wrapText="1"/>
    </xf>
    <xf numFmtId="0" fontId="23" fillId="21" borderId="0" xfId="0" applyFont="1" applyFill="1" applyAlignment="1">
      <alignment wrapText="1"/>
    </xf>
    <xf numFmtId="0" fontId="23" fillId="21" borderId="0" xfId="0" applyFont="1" applyFill="1"/>
    <xf numFmtId="0" fontId="37" fillId="12" borderId="0" xfId="0" applyFont="1" applyFill="1" applyAlignment="1">
      <alignment wrapText="1"/>
    </xf>
    <xf numFmtId="0" fontId="39" fillId="12" borderId="0" xfId="0" applyFont="1" applyFill="1" applyAlignment="1">
      <alignment horizontal="center" vertical="center" wrapText="1"/>
    </xf>
    <xf numFmtId="0" fontId="39" fillId="17" borderId="0" xfId="0" applyFont="1" applyFill="1" applyAlignment="1">
      <alignment horizontal="center" vertical="center" wrapText="1"/>
    </xf>
    <xf numFmtId="0" fontId="32" fillId="15" borderId="0" xfId="0" applyFont="1" applyFill="1" applyAlignment="1">
      <alignment horizontal="center" vertical="center" wrapText="1"/>
    </xf>
    <xf numFmtId="0" fontId="34" fillId="22" borderId="0" xfId="0" applyFont="1" applyFill="1" applyAlignment="1">
      <alignment horizontal="center" vertical="center" wrapText="1"/>
    </xf>
    <xf numFmtId="179" fontId="17" fillId="10" borderId="0" xfId="0" applyNumberFormat="1" applyFont="1" applyFill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0" fontId="40" fillId="7" borderId="0" xfId="0" applyFont="1" applyFill="1" applyAlignment="1">
      <alignment vertical="center" wrapText="1"/>
    </xf>
    <xf numFmtId="0" fontId="41" fillId="17" borderId="0" xfId="0" applyFont="1" applyFill="1" applyAlignment="1">
      <alignment vertical="center" wrapText="1"/>
    </xf>
    <xf numFmtId="0" fontId="23" fillId="9" borderId="0" xfId="0" applyFont="1" applyFill="1" applyAlignment="1">
      <alignment horizontal="center" wrapText="1"/>
    </xf>
    <xf numFmtId="0" fontId="42" fillId="0" borderId="0" xfId="0" applyFont="1"/>
    <xf numFmtId="0" fontId="12" fillId="7" borderId="0" xfId="0" applyFont="1" applyFill="1" applyAlignment="1">
      <alignment horizontal="center" vertical="center" wrapText="1"/>
    </xf>
    <xf numFmtId="0" fontId="43" fillId="17" borderId="0" xfId="0" applyFont="1" applyFill="1" applyAlignment="1">
      <alignment horizontal="center" vertical="center" wrapText="1"/>
    </xf>
    <xf numFmtId="0" fontId="44" fillId="18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43" fillId="17" borderId="0" xfId="0" applyFont="1" applyFill="1" applyAlignment="1">
      <alignment wrapText="1"/>
    </xf>
    <xf numFmtId="0" fontId="44" fillId="18" borderId="0" xfId="0" applyFont="1" applyFill="1" applyAlignment="1">
      <alignment wrapText="1"/>
    </xf>
    <xf numFmtId="0" fontId="45" fillId="18" borderId="0" xfId="0" applyFont="1" applyFill="1" applyAlignment="1">
      <alignment vertical="center" wrapText="1"/>
    </xf>
    <xf numFmtId="0" fontId="17" fillId="17" borderId="0" xfId="0" applyFont="1" applyFill="1" applyAlignment="1">
      <alignment vertical="center" wrapText="1"/>
    </xf>
    <xf numFmtId="0" fontId="17" fillId="17" borderId="0" xfId="0" applyFont="1" applyFill="1" applyAlignment="1">
      <alignment horizontal="center" vertical="center" wrapText="1"/>
    </xf>
    <xf numFmtId="176" fontId="17" fillId="17" borderId="0" xfId="0" applyNumberFormat="1" applyFont="1" applyFill="1" applyAlignment="1">
      <alignment horizontal="center" vertical="center"/>
    </xf>
    <xf numFmtId="0" fontId="21" fillId="17" borderId="0" xfId="0" applyFont="1" applyFill="1" applyAlignment="1">
      <alignment vertical="center" wrapText="1"/>
    </xf>
    <xf numFmtId="0" fontId="21" fillId="17" borderId="0" xfId="0" applyFont="1" applyFill="1" applyAlignment="1">
      <alignment horizontal="center" vertical="center" wrapText="1"/>
    </xf>
    <xf numFmtId="176" fontId="21" fillId="17" borderId="0" xfId="0" applyNumberFormat="1" applyFont="1" applyFill="1" applyAlignment="1">
      <alignment horizontal="center" vertical="center"/>
    </xf>
    <xf numFmtId="0" fontId="21" fillId="15" borderId="0" xfId="0" applyFont="1" applyFill="1" applyAlignment="1">
      <alignment vertical="center" wrapText="1"/>
    </xf>
    <xf numFmtId="0" fontId="21" fillId="15" borderId="0" xfId="0" applyFont="1" applyFill="1" applyAlignment="1">
      <alignment horizontal="center" vertical="center" wrapText="1"/>
    </xf>
    <xf numFmtId="176" fontId="21" fillId="15" borderId="0" xfId="0" applyNumberFormat="1" applyFont="1" applyFill="1" applyAlignment="1">
      <alignment horizontal="center" vertical="center"/>
    </xf>
    <xf numFmtId="0" fontId="21" fillId="7" borderId="0" xfId="0" applyFont="1" applyFill="1" applyAlignment="1">
      <alignment vertical="center" wrapText="1"/>
    </xf>
    <xf numFmtId="0" fontId="21" fillId="7" borderId="0" xfId="0" applyFont="1" applyFill="1" applyAlignment="1">
      <alignment horizontal="center" vertical="center" wrapText="1"/>
    </xf>
    <xf numFmtId="176" fontId="21" fillId="7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180" fontId="10" fillId="0" borderId="51" xfId="0" applyNumberFormat="1" applyFont="1" applyBorder="1"/>
    <xf numFmtId="0" fontId="15" fillId="8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2" fillId="3" borderId="0" xfId="0" applyFont="1" applyFill="1" applyAlignment="1">
      <alignment wrapText="1"/>
    </xf>
    <xf numFmtId="0" fontId="17" fillId="12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0" fillId="0" borderId="0" xfId="0" applyFont="1" applyAlignment="1">
      <alignment wrapText="1"/>
    </xf>
    <xf numFmtId="0" fontId="27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vertical="center" wrapText="1"/>
    </xf>
    <xf numFmtId="0" fontId="28" fillId="3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30" fillId="17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0" fontId="17" fillId="20" borderId="0" xfId="0" applyFont="1" applyFill="1" applyAlignment="1">
      <alignment vertical="center" wrapText="1"/>
    </xf>
    <xf numFmtId="0" fontId="17" fillId="9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7" fillId="17" borderId="0" xfId="0" applyFont="1" applyFill="1" applyAlignment="1">
      <alignment vertical="center" wrapText="1"/>
    </xf>
    <xf numFmtId="0" fontId="27" fillId="2" borderId="0" xfId="0" applyFont="1" applyFill="1" applyAlignment="1">
      <alignment horizontal="center"/>
    </xf>
    <xf numFmtId="0" fontId="9" fillId="3" borderId="0" xfId="0" applyFont="1" applyFill="1" applyAlignment="1">
      <alignment wrapText="1"/>
    </xf>
    <xf numFmtId="0" fontId="37" fillId="17" borderId="0" xfId="0" applyFont="1" applyFill="1" applyAlignment="1">
      <alignment wrapText="1"/>
    </xf>
    <xf numFmtId="0" fontId="44" fillId="18" borderId="0" xfId="0" applyFont="1" applyFill="1" applyAlignment="1">
      <alignment wrapText="1"/>
    </xf>
    <xf numFmtId="0" fontId="27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12" fillId="7" borderId="0" xfId="0" applyFont="1" applyFill="1" applyAlignment="1">
      <alignment wrapText="1"/>
    </xf>
    <xf numFmtId="0" fontId="43" fillId="17" borderId="0" xfId="0" applyFont="1" applyFill="1" applyAlignment="1">
      <alignment wrapText="1"/>
    </xf>
    <xf numFmtId="0" fontId="0" fillId="0" borderId="0" xfId="0" applyAlignment="1"/>
  </cellXfs>
  <cellStyles count="1">
    <cellStyle name="標準" xfId="0" builtinId="0"/>
  </cellStyles>
  <dxfs count="76">
    <dxf>
      <font>
        <b/>
        <color rgb="FF9C0006"/>
      </font>
      <fill>
        <patternFill>
          <bgColor rgb="FFF4CCCC"/>
        </patternFill>
      </fill>
    </dxf>
    <dxf>
      <fill>
        <patternFill>
          <bgColor rgb="FF70AD47"/>
        </patternFill>
      </fill>
    </dxf>
    <dxf>
      <fill>
        <patternFill>
          <bgColor rgb="FF5B9BD5"/>
        </patternFill>
      </fill>
    </dxf>
    <dxf>
      <fill>
        <patternFill>
          <bgColor rgb="FFF4B183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FCE4D6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color rgb="FF002060"/>
      </font>
      <fill>
        <patternFill>
          <bgColor rgb="FFDEEAF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>
          <bgColor rgb="FFDEEAF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E4D5"/>
        </patternFill>
      </fill>
    </dxf>
    <dxf>
      <font>
        <b/>
        <color rgb="FFC00000"/>
      </font>
      <fill>
        <patternFill>
          <bgColor theme="0"/>
        </patternFill>
      </fill>
    </dxf>
    <dxf>
      <font>
        <color theme="1"/>
      </font>
      <fill>
        <patternFill>
          <bgColor rgb="FFFFF2CB"/>
        </patternFill>
      </fill>
    </dxf>
    <dxf>
      <font>
        <color theme="1"/>
      </font>
      <fill>
        <patternFill>
          <bgColor rgb="FFD9E2F3"/>
        </patternFill>
      </fill>
    </dxf>
    <dxf>
      <font>
        <color theme="1"/>
      </font>
      <fill>
        <patternFill>
          <bgColor rgb="FFD8D8D8"/>
        </patternFill>
      </fill>
    </dxf>
    <dxf>
      <font>
        <color theme="1"/>
      </font>
      <fill>
        <patternFill>
          <bgColor rgb="FFF2F2F2"/>
        </patternFill>
      </fill>
    </dxf>
    <dxf>
      <font>
        <color rgb="FFA5A5A5"/>
      </font>
      <fill>
        <patternFill patternType="none"/>
      </fill>
    </dxf>
    <dxf>
      <font>
        <color rgb="FF595959"/>
      </font>
      <fill>
        <patternFill>
          <bgColor rgb="FFD9D9D9"/>
        </patternFill>
      </fill>
    </dxf>
    <dxf>
      <fill>
        <patternFill>
          <bgColor rgb="FFE7E6E6"/>
        </patternFill>
      </fill>
    </dxf>
    <dxf>
      <fill>
        <patternFill>
          <bgColor rgb="FFF4B183"/>
        </patternFill>
      </fill>
    </dxf>
    <dxf>
      <fill>
        <patternFill>
          <bgColor rgb="FF5B9BD5"/>
        </patternFill>
      </fill>
    </dxf>
    <dxf>
      <fill>
        <patternFill>
          <bgColor rgb="FF70AD47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</font>
      <fill>
        <patternFill>
          <bgColor rgb="FFD9E2F3"/>
        </patternFill>
      </fill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right style="thin">
          <color rgb="FF000000"/>
        </right>
      </border>
    </dxf>
    <dxf>
      <fill>
        <patternFill patternType="none"/>
      </fill>
      <border>
        <right style="thin">
          <color rgb="FF000000"/>
        </right>
      </border>
    </dxf>
    <dxf>
      <font>
        <b/>
        <color rgb="FF9C0006"/>
      </font>
      <fill>
        <patternFill patternType="none"/>
      </fill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right style="dotted">
          <color rgb="FF000000"/>
        </right>
      </border>
    </dxf>
    <dxf>
      <fill>
        <patternFill patternType="none"/>
      </fill>
      <border>
        <top style="thin">
          <color rgb="FF000000"/>
        </top>
      </border>
    </dxf>
    <dxf>
      <fill>
        <patternFill patternType="none"/>
      </fill>
      <border>
        <top style="thin">
          <color rgb="FF000000"/>
        </top>
        <bottom style="dotted">
          <color rgb="FF000000"/>
        </bottom>
      </border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  <right style="dotted">
          <color rgb="FF000000"/>
        </right>
      </border>
    </dxf>
    <dxf>
      <fill>
        <patternFill patternType="none"/>
      </fill>
      <border>
        <right style="thin">
          <color rgb="FF000000"/>
        </right>
      </border>
    </dxf>
    <dxf>
      <fill>
        <patternFill patternType="none"/>
      </fill>
      <border>
        <right style="thin">
          <color rgb="FF000000"/>
        </righ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left style="thin">
          <color rgb="FF000000"/>
        </left>
      </border>
    </dxf>
    <dxf>
      <fill>
        <patternFill patternType="none"/>
      </fill>
      <border>
        <right style="thin">
          <color rgb="FF000000"/>
        </right>
      </border>
    </dxf>
    <dxf>
      <font>
        <color theme="1"/>
      </font>
      <fill>
        <patternFill>
          <bgColor theme="0"/>
        </patternFill>
      </fill>
      <border>
        <left style="dotted">
          <color rgb="FF000000"/>
        </left>
        <right style="dotted">
          <color rgb="FF000000"/>
        </right>
        <bottom style="dotted">
          <color rgb="FF000000"/>
        </bottom>
      </border>
    </dxf>
    <dxf>
      <font>
        <color theme="1"/>
      </font>
      <fill>
        <patternFill>
          <bgColor theme="0"/>
        </patternFill>
      </fill>
      <border>
        <left style="dotted">
          <color rgb="FF000000"/>
        </left>
        <right style="dotted">
          <color rgb="FF000000"/>
        </right>
        <bottom style="dotted">
          <color rgb="FF000000"/>
        </bottom>
      </border>
    </dxf>
    <dxf>
      <font>
        <color theme="1"/>
      </font>
      <fill>
        <patternFill>
          <bgColor rgb="FFE2EFD9"/>
        </patternFill>
      </fill>
    </dxf>
    <dxf>
      <font>
        <color theme="1"/>
      </font>
      <fill>
        <patternFill>
          <bgColor rgb="FFFBE4D5"/>
        </patternFill>
      </fill>
    </dxf>
    <dxf>
      <font>
        <color theme="1"/>
      </font>
      <fill>
        <patternFill>
          <bgColor rgb="FFFFF2CB"/>
        </patternFill>
      </fill>
    </dxf>
    <dxf>
      <font>
        <color theme="1"/>
      </font>
      <fill>
        <patternFill>
          <bgColor rgb="FFD8D8D8"/>
        </patternFill>
      </fill>
    </dxf>
    <dxf>
      <font>
        <color rgb="FF002060"/>
      </font>
      <fill>
        <patternFill>
          <bgColor rgb="FFDEEAF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E4D5"/>
        </patternFill>
      </fill>
    </dxf>
    <dxf>
      <font>
        <b/>
        <color rgb="FFC00000"/>
      </font>
      <fill>
        <patternFill>
          <bgColor theme="0"/>
        </patternFill>
      </fill>
    </dxf>
    <dxf>
      <font>
        <color theme="1"/>
      </font>
      <fill>
        <patternFill>
          <bgColor rgb="FFD9E2F3"/>
        </patternFill>
      </fill>
    </dxf>
    <dxf>
      <font>
        <color theme="1"/>
      </font>
      <fill>
        <patternFill>
          <bgColor rgb="FFD8D8D8"/>
        </patternFill>
      </fill>
    </dxf>
    <dxf>
      <font>
        <color theme="1"/>
      </font>
      <fill>
        <patternFill>
          <bgColor rgb="FFF2F2F2"/>
        </patternFill>
      </fill>
    </dxf>
    <dxf>
      <font>
        <color rgb="FFA5A5A5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DetailTable" displayName="TaskDetailTable" ref="A5:O126">
  <tableColumns count="15">
    <tableColumn id="1" xr3:uid="{00000000-0010-0000-0000-000001000000}" name="ID"/>
    <tableColumn id="2" xr3:uid="{00000000-0010-0000-0000-000002000000}" name="大項目"/>
    <tableColumn id="3" xr3:uid="{00000000-0010-0000-0000-000003000000}" name="中項目"/>
    <tableColumn id="4" xr3:uid="{00000000-0010-0000-0000-000004000000}" name="小項目"/>
    <tableColumn id="5" xr3:uid="{00000000-0010-0000-0000-000005000000}" name="区分"/>
    <tableColumn id="6" xr3:uid="{00000000-0010-0000-0000-000006000000}" name="主な作業内容"/>
    <tableColumn id="7" xr3:uid="{00000000-0010-0000-0000-000007000000}" name="完了条件"/>
    <tableColumn id="8" xr3:uid="{00000000-0010-0000-0000-000008000000}" name="チーム"/>
    <tableColumn id="9" xr3:uid="{00000000-0010-0000-0000-000009000000}" name="担当者"/>
    <tableColumn id="10" xr3:uid="{00000000-0010-0000-0000-00000A000000}" name="工数区分"/>
    <tableColumn id="11" xr3:uid="{00000000-0010-0000-0000-00000B000000}" name="開始日"/>
    <tableColumn id="12" xr3:uid="{00000000-0010-0000-0000-00000C000000}" name="終了日"/>
    <tableColumn id="13" xr3:uid="{00000000-0010-0000-0000-00000D000000}" name="根拠資料"/>
    <tableColumn id="14" xr3:uid="{00000000-0010-0000-0000-00000E000000}" name="備考"/>
    <tableColumn id="15" xr3:uid="{00000000-0010-0000-0000-00000F000000}" name="WBS行"/>
  </tableColumns>
  <tableStyleInfo name="WBS_タスク補足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timateAllocationTable" displayName="EstimateAllocationTable" ref="A4:H11">
  <tableColumns count="8">
    <tableColumn id="1" xr3:uid="{00000000-0010-0000-0100-000001000000}" name="元見積合計"/>
    <tableColumn id="2" xr3:uid="{00000000-0010-0000-0100-000002000000}" name="列 1"/>
    <tableColumn id="3" xr3:uid="{00000000-0010-0000-0100-000003000000}" name="先行検証基準"/>
    <tableColumn id="4" xr3:uid="{00000000-0010-0000-0100-000004000000}" name="列 2"/>
    <tableColumn id="5" xr3:uid="{00000000-0010-0000-0100-000005000000}" name="条件付き工数"/>
    <tableColumn id="6" xr3:uid="{00000000-0010-0000-0100-000006000000}" name="列 3"/>
    <tableColumn id="7" xr3:uid="{00000000-0010-0000-0100-000007000000}" name="作業L/T"/>
    <tableColumn id="8" xr3:uid="{00000000-0010-0000-0100-000008000000}" name="列 4"/>
  </tableColumns>
  <tableStyleInfo name="見積工数対応表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BSViewTable" displayName="WBSViewTable" ref="A6:K127">
  <tableColumns count="11">
    <tableColumn id="1" xr3:uid="{00000000-0010-0000-0200-000001000000}" name="No."/>
    <tableColumn id="2" xr3:uid="{00000000-0010-0000-0200-000002000000}" name="ID"/>
    <tableColumn id="3" xr3:uid="{00000000-0010-0000-0200-000003000000}" name="中項目"/>
    <tableColumn id="4" xr3:uid="{00000000-0010-0000-0200-000004000000}" name="小項目"/>
    <tableColumn id="5" xr3:uid="{00000000-0010-0000-0200-000005000000}" name="区分"/>
    <tableColumn id="6" xr3:uid="{00000000-0010-0000-0200-000006000000}" name="チーム"/>
    <tableColumn id="7" xr3:uid="{00000000-0010-0000-0200-000007000000}" name="担当者"/>
    <tableColumn id="8" xr3:uid="{00000000-0010-0000-0200-000008000000}" name="開始日"/>
    <tableColumn id="9" xr3:uid="{00000000-0010-0000-0200-000009000000}" name="終了日"/>
    <tableColumn id="10" xr3:uid="{00000000-0010-0000-0200-00000A000000}" name="ステータス"/>
    <tableColumn id="11" xr3:uid="{00000000-0010-0000-0200-00000B000000}" name="備考"/>
  </tableColumns>
  <tableStyleInfo name="WBS_閲覧用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zoomScaleSheetLayoutView="100" workbookViewId="0"/>
  </sheetViews>
  <sheetFormatPr defaultColWidth="14.42578125" defaultRowHeight="15"/>
  <cols>
    <col min="1" max="1" width="27.85546875" customWidth="1"/>
    <col min="2" max="2" width="99.28515625" customWidth="1"/>
    <col min="3" max="6" width="9" customWidth="1"/>
    <col min="7" max="26" width="8.7109375" customWidth="1"/>
  </cols>
  <sheetData>
    <row r="1" spans="1:26" ht="25.5" customHeight="1">
      <c r="A1" s="2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.75" customHeight="1">
      <c r="A2" s="7" t="s">
        <v>2</v>
      </c>
      <c r="B2" s="7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4.75" customHeight="1">
      <c r="A3" s="7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4.75" customHeight="1">
      <c r="A4" s="7" t="s">
        <v>6</v>
      </c>
      <c r="B4" s="7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>
      <c r="A5" s="7" t="s">
        <v>8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>
      <c r="A6" s="7" t="s">
        <v>10</v>
      </c>
      <c r="B6" s="7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>
      <c r="A7" s="7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>
      <c r="A8" s="7" t="s">
        <v>14</v>
      </c>
      <c r="B8" s="7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.75" customHeight="1">
      <c r="A9" s="7" t="s">
        <v>16</v>
      </c>
      <c r="B9" s="7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.75" customHeight="1">
      <c r="A10" s="7" t="s">
        <v>18</v>
      </c>
      <c r="B10" s="7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.75" customHeight="1">
      <c r="A11" s="7" t="s">
        <v>20</v>
      </c>
      <c r="B11" s="7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.75" customHeight="1">
      <c r="A12" s="7" t="s">
        <v>22</v>
      </c>
      <c r="B12" s="7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.75" customHeight="1">
      <c r="A13" s="7" t="s">
        <v>24</v>
      </c>
      <c r="B13" s="7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.75" customHeight="1">
      <c r="A14" s="7" t="s">
        <v>26</v>
      </c>
      <c r="B14" s="7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6" customHeight="1">
      <c r="A15" s="18" t="s">
        <v>28</v>
      </c>
      <c r="B15" s="19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6" customHeight="1">
      <c r="A16" s="18" t="s">
        <v>30</v>
      </c>
      <c r="B16" s="19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" customHeight="1">
      <c r="A17" s="18" t="s">
        <v>32</v>
      </c>
      <c r="B17" s="19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" customHeight="1">
      <c r="A18" s="18" t="s">
        <v>34</v>
      </c>
      <c r="B18" s="19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" customHeight="1">
      <c r="A19" s="18" t="s">
        <v>36</v>
      </c>
      <c r="B19" s="19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6" customHeight="1">
      <c r="A20" s="18" t="s">
        <v>38</v>
      </c>
      <c r="B20" s="19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6" customHeight="1">
      <c r="A21" s="18" t="s">
        <v>40</v>
      </c>
      <c r="B21" s="19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6" customHeight="1">
      <c r="A22" s="18" t="s">
        <v>42</v>
      </c>
      <c r="B22" s="19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3.75" customHeight="1">
      <c r="A23" s="34" t="s">
        <v>44</v>
      </c>
      <c r="B23" s="19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3.75" customHeight="1">
      <c r="A24" s="34" t="s">
        <v>46</v>
      </c>
      <c r="B24" s="19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3.75" customHeight="1">
      <c r="A25" s="34" t="s">
        <v>48</v>
      </c>
      <c r="B25" s="19" t="s">
        <v>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3.75" customHeight="1">
      <c r="A26" s="34" t="s">
        <v>50</v>
      </c>
      <c r="B26" s="19" t="s">
        <v>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3.75" customHeight="1">
      <c r="A27" s="34" t="s">
        <v>52</v>
      </c>
      <c r="B27" s="19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6" customHeight="1">
      <c r="A28" s="34" t="s">
        <v>54</v>
      </c>
      <c r="B28" s="19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6" customHeight="1">
      <c r="A29" s="34" t="s">
        <v>56</v>
      </c>
      <c r="B29" s="19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6" customHeight="1">
      <c r="A30" s="34" t="s">
        <v>58</v>
      </c>
      <c r="B30" s="19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6" customHeight="1">
      <c r="A31" s="34" t="s">
        <v>60</v>
      </c>
      <c r="B31" s="19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6" customHeight="1">
      <c r="A32" s="34" t="s">
        <v>62</v>
      </c>
      <c r="B32" s="19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6" customHeight="1">
      <c r="A33" s="34" t="s">
        <v>20</v>
      </c>
      <c r="B33" s="19" t="s">
        <v>64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3:26" ht="16.5" customHeight="1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3:26" ht="16.5" customHeight="1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3:26" ht="16.5" customHeight="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3:26" ht="16.5" customHeight="1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3:26" ht="16.5" customHeight="1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3:26" ht="16.5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3:26" ht="16.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ht="16.5" customHeight="1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ht="16.5" customHeight="1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3:26" ht="16.5" customHeight="1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3:26" ht="16.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3:26" ht="16.5" customHeight="1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3:26" ht="16.5" customHeight="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3:26" ht="16.5" customHeight="1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3:26" ht="16.5" customHeight="1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3:26" ht="16.5" customHeight="1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3:26" ht="16.5" customHeight="1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3:26" ht="16.5" customHeight="1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3:26" ht="16.5" customHeight="1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3:26" ht="16.5" customHeight="1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3:26" ht="16.5" customHeight="1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3:26" ht="16.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3:26" ht="16.5" customHeight="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3:26" ht="16.5" customHeight="1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3:26" ht="16.5" customHeight="1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3:26" ht="16.5" customHeight="1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3:26" ht="16.5" customHeight="1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3:26" ht="16.5" customHeight="1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3:26" ht="16.5" customHeight="1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3:26" ht="16.5" customHeight="1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3:26" ht="16.5" customHeight="1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3:26" ht="16.5" customHeight="1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3:26" ht="16.5" customHeight="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3:26" ht="16.5" customHeight="1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ht="16.5" customHeight="1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3:26" ht="16.5" customHeight="1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3:26" ht="16.5" customHeight="1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3:26" ht="16.5" customHeight="1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3:26" ht="16.5" customHeight="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3:26" ht="16.5" customHeight="1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3:26" ht="16.5" customHeight="1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3:26" ht="16.5" customHeight="1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ht="16.5" customHeight="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3:26" ht="16.5" customHeight="1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3:26" ht="16.5" customHeight="1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3:26" ht="16.5" customHeight="1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3:26" ht="16.5" customHeight="1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ht="16.5" customHeight="1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3:26" ht="16.5" customHeight="1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3:26" ht="16.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3:26" ht="16.5" customHeight="1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3:26" ht="16.5" customHeight="1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3:26" ht="16.5" customHeight="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3:26" ht="16.5" customHeight="1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3:26" ht="16.5" customHeight="1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3:26" ht="16.5" customHeight="1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3:26" ht="16.5" customHeight="1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3:26" ht="16.5" customHeight="1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3:26" ht="16.5" customHeight="1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3:26" ht="16.5" customHeight="1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3:26" ht="16.5" customHeight="1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3:26" ht="16.5" customHeight="1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3:26" ht="16.5" customHeight="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3:26" ht="16.5" customHeight="1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3:26" ht="16.5" customHeight="1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3:26" ht="16.5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3:26" ht="16.5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3:26" ht="16.5" customHeight="1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3:26" ht="16.5" customHeight="1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3:26" ht="16.5" customHeight="1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3:26" ht="16.5" customHeight="1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3:26" ht="16.5" customHeight="1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3:26" ht="16.5" customHeight="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3:26" ht="16.5" customHeight="1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3:26" ht="16.5" customHeight="1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3:26" ht="16.5" customHeight="1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3:26" ht="16.5" customHeight="1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3:26" ht="16.5" customHeight="1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3:26" ht="16.5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3:26" ht="16.5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3:26" ht="16.5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3:26" ht="16.5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3:26" ht="16.5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3:26" ht="16.5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3:26" ht="16.5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3:26" ht="16.5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3:26" ht="16.5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3:26" ht="16.5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3:26" ht="16.5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3:26" ht="16.5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3:26" ht="16.5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3:26" ht="16.5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3:26" ht="16.5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3:26" ht="16.5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3:26" ht="16.5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3:26" ht="16.5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3:26" ht="16.5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3:26" ht="16.5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3:26" ht="16.5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3:26" ht="16.5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3:26" ht="16.5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3:26" ht="16.5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3:26" ht="16.5" customHeight="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3:26" ht="16.5" customHeight="1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3:26" ht="16.5" customHeight="1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3:26" ht="16.5" customHeight="1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3:26" ht="16.5" customHeight="1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3:26" ht="16.5" customHeight="1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3:26" ht="16.5" customHeight="1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3:26" ht="16.5" customHeight="1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3:26" ht="16.5" customHeight="1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3:26" ht="16.5" customHeight="1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3:26" ht="16.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3:26" ht="16.5" customHeight="1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3:26" ht="16.5" customHeight="1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3:26" ht="16.5" customHeight="1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3:26" ht="16.5" customHeight="1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3:26" ht="16.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3:26" ht="16.5" customHeight="1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3:26" ht="16.5" customHeight="1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3:26" ht="16.5" customHeight="1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3:26" ht="16.5" customHeight="1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3:26" ht="16.5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3:26" ht="16.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3:26" ht="16.5" customHeight="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3:26" ht="16.5" customHeight="1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3:26" ht="16.5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3:26" ht="16.5" customHeight="1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3:26" ht="16.5" customHeight="1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3:26" ht="16.5" customHeight="1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3:26" ht="16.5" customHeight="1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3:26" ht="16.5" customHeight="1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3:26" ht="16.5" customHeight="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3:26" ht="16.5" customHeight="1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3:26" ht="16.5" customHeight="1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3:26" ht="16.5" customHeight="1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3:26" ht="16.5" customHeight="1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3:26" ht="16.5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3:26" ht="16.5" customHeight="1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3:26" ht="16.5" customHeight="1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3:26" ht="16.5" customHeight="1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3:26" ht="16.5" customHeight="1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3:26" ht="16.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3:26" ht="16.5" customHeight="1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3:26" ht="16.5" customHeight="1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3:26" ht="16.5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3:26" ht="16.5" customHeight="1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3:26" ht="16.5" customHeight="1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3:26" ht="16.5" customHeight="1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3:26" ht="16.5" customHeight="1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3:26" ht="16.5" customHeight="1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3:26" ht="16.5" customHeight="1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3:26" ht="16.5" customHeight="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3:26" ht="16.5" customHeight="1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3:26" ht="16.5" customHeight="1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3:26" ht="16.5" customHeight="1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3:26" ht="16.5" customHeight="1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3:26" ht="16.5" customHeight="1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3:26" ht="16.5" customHeight="1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3:26" ht="16.5" customHeight="1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3:26" ht="16.5" customHeight="1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3:26" ht="16.5" customHeight="1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3:26" ht="16.5" customHeight="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3:26" ht="16.5" customHeight="1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3:26" ht="16.5" customHeight="1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3:26" ht="16.5" customHeight="1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3:26" ht="16.5" customHeight="1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3:26" ht="16.5" customHeight="1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3:26" ht="16.5" customHeight="1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3:26" ht="16.5" customHeight="1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3:26" ht="16.5" customHeight="1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3:26" ht="16.5" customHeight="1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3:26" ht="16.5" customHeight="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3:26" ht="16.5" customHeight="1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3:26" ht="16.5" customHeight="1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3:26" ht="16.5" customHeight="1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3:26" ht="16.5" customHeight="1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3:26" ht="16.5" customHeight="1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3:26" ht="16.5" customHeight="1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3:26" ht="16.5" customHeight="1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3:26" ht="16.5" customHeight="1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3:26" ht="16.5" customHeight="1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3:26" ht="16.5" customHeight="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3:26" ht="16.5" customHeight="1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3:26" ht="16.5" customHeight="1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3:26" ht="16.5" customHeight="1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3:26" ht="16.5" customHeight="1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3:26" ht="16.5" customHeight="1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3:26" ht="16.5" customHeight="1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3:26" ht="16.5" customHeight="1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3:26" ht="16.5" customHeight="1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3:26" ht="16.5" customHeight="1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3:26" ht="16.5" customHeight="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3:26" ht="16.5" customHeight="1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3:26" ht="16.5" customHeight="1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3:26" ht="16.5" customHeight="1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3:26" ht="16.5" customHeight="1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3:26" ht="16.5" customHeight="1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3:26" ht="16.5" customHeight="1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3:26" ht="16.5" customHeight="1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3:26" ht="16.5" customHeight="1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3:26" ht="16.5" customHeight="1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3:26" ht="16.5" customHeight="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3:26" ht="16.5" customHeight="1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3:26" ht="16.5" customHeight="1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3:26" ht="16.5" customHeight="1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3:26" ht="16.5" customHeight="1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3:26" ht="16.5" customHeight="1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3:26" ht="16.5" customHeight="1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3:26" ht="16.5" customHeight="1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3:26" ht="16.5" customHeight="1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3:26" ht="16.5" customHeight="1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3:26" ht="16.5" customHeight="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3:26" ht="16.5" customHeight="1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3:26" ht="16.5" customHeight="1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3:26" ht="16.5" customHeight="1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3:26" ht="16.5" customHeight="1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3:26" ht="16.5" customHeight="1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3:26" ht="16.5" customHeight="1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3:26" ht="16.5" customHeight="1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3:26" ht="16.5" customHeight="1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3:26" ht="16.5" customHeight="1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3:26" ht="16.5" customHeight="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3:26" ht="16.5" customHeight="1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3:26" ht="16.5" customHeight="1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3:26" ht="16.5" customHeight="1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3:26" ht="16.5" customHeight="1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3:26" ht="16.5" customHeight="1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3:26" ht="16.5" customHeight="1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3:26" ht="16.5" customHeight="1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3:26" ht="16.5" customHeight="1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3:26" ht="16.5" customHeight="1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3:26" ht="16.5" customHeight="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3:26" ht="16.5" customHeight="1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3:26" ht="16.5" customHeight="1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3:26" ht="16.5" customHeight="1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3:26" ht="16.5" customHeight="1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3:26" ht="16.5" customHeight="1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3:26" ht="16.5" customHeight="1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3:26" ht="16.5" customHeight="1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3:26" ht="16.5" customHeight="1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3:26" ht="16.5" customHeight="1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3:26" ht="16.5" customHeight="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3:26" ht="16.5" customHeight="1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3:26" ht="16.5" customHeight="1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3:26" ht="16.5" customHeight="1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3:26" ht="16.5" customHeight="1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3:26" ht="16.5" customHeight="1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3:26" ht="16.5" customHeight="1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3:26" ht="16.5" customHeight="1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3:26" ht="16.5" customHeight="1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3:26" ht="16.5" customHeight="1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3:26" ht="16.5" customHeight="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3:26" ht="16.5" customHeight="1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3:26" ht="16.5" customHeight="1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3:26" ht="16.5" customHeight="1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3:26" ht="16.5" customHeight="1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3:26" ht="16.5" customHeight="1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3:26" ht="16.5" customHeight="1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3:26" ht="16.5" customHeight="1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3:26" ht="16.5" customHeight="1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3:26" ht="16.5" customHeight="1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3:26" ht="16.5" customHeight="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3:26" ht="16.5" customHeight="1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3:26" ht="16.5" customHeight="1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3:26" ht="16.5" customHeight="1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3:26" ht="16.5" customHeight="1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3:26" ht="16.5" customHeight="1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3:26" ht="16.5" customHeight="1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3:26" ht="16.5" customHeight="1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3:26" ht="16.5" customHeight="1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3:26" ht="16.5" customHeight="1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3:26" ht="16.5" customHeight="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3:26" ht="16.5" customHeight="1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3:26" ht="16.5" customHeight="1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3:26" ht="16.5" customHeight="1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3:26" ht="16.5" customHeight="1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3:26" ht="16.5" customHeight="1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3:26" ht="16.5" customHeight="1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3:26" ht="16.5" customHeight="1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3:26" ht="16.5" customHeight="1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3:26" ht="16.5" customHeight="1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3:26" ht="16.5" customHeight="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3:26" ht="16.5" customHeight="1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3:26" ht="16.5" customHeight="1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3:26" ht="16.5" customHeight="1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3:26" ht="16.5" customHeight="1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3:26" ht="16.5" customHeight="1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3:26" ht="16.5" customHeight="1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3:26" ht="16.5" customHeight="1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3:26" ht="16.5" customHeight="1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3:26" ht="16.5" customHeight="1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3:26" ht="16.5" customHeight="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3:26" ht="16.5" customHeight="1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3:26" ht="16.5" customHeight="1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3:26" ht="16.5" customHeight="1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3:26" ht="16.5" customHeight="1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3:26" ht="16.5" customHeight="1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3:26" ht="16.5" customHeight="1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3:26" ht="16.5" customHeight="1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3:26" ht="16.5" customHeight="1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3:26" ht="16.5" customHeight="1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3:26" ht="16.5" customHeight="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3:26" ht="16.5" customHeight="1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3:26" ht="16.5" customHeight="1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3:26" ht="16.5" customHeight="1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3:26" ht="16.5" customHeight="1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3:26" ht="16.5" customHeight="1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3:26" ht="16.5" customHeight="1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3:26" ht="16.5" customHeight="1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3:26" ht="16.5" customHeight="1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3:26" ht="16.5" customHeight="1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3:26" ht="16.5" customHeight="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3:26" ht="16.5" customHeight="1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3:26" ht="16.5" customHeight="1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3:26" ht="16.5" customHeight="1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3:26" ht="16.5" customHeight="1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3:26" ht="16.5" customHeight="1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3:26" ht="16.5" customHeight="1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3:26" ht="16.5" customHeight="1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3:26" ht="16.5" customHeight="1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3:26" ht="16.5" customHeight="1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3:26" ht="16.5" customHeight="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3:26" ht="16.5" customHeight="1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3:26" ht="16.5" customHeight="1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3:26" ht="16.5" customHeight="1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3:26" ht="16.5" customHeight="1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3:26" ht="16.5" customHeight="1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3:26" ht="16.5" customHeight="1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3:26" ht="16.5" customHeight="1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3:26" ht="16.5" customHeight="1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3:26" ht="16.5" customHeight="1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3:26" ht="16.5" customHeight="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3:26" ht="16.5" customHeight="1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3:26" ht="16.5" customHeight="1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3:26" ht="16.5" customHeight="1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3:26" ht="16.5" customHeight="1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3:26" ht="16.5" customHeight="1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3:26" ht="16.5" customHeight="1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3:26" ht="16.5" customHeight="1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3:26" ht="16.5" customHeight="1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3:26" ht="16.5" customHeight="1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3:26" ht="16.5" customHeight="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3:26" ht="16.5" customHeight="1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3:26" ht="16.5" customHeight="1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3:26" ht="16.5" customHeight="1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3:26" ht="16.5" customHeight="1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3:26" ht="16.5" customHeight="1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3:26" ht="16.5" customHeight="1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3:26" ht="16.5" customHeight="1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3:26" ht="16.5" customHeight="1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3:26" ht="16.5" customHeight="1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3:26" ht="16.5" customHeight="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3:26" ht="16.5" customHeight="1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3:26" ht="16.5" customHeight="1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3:26" ht="16.5" customHeight="1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3:26" ht="16.5" customHeight="1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3:26" ht="16.5" customHeight="1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3:26" ht="16.5" customHeight="1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3:26" ht="16.5" customHeight="1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3:26" ht="16.5" customHeight="1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3:26" ht="16.5" customHeight="1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3:26" ht="16.5" customHeight="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3:26" ht="16.5" customHeight="1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3:26" ht="16.5" customHeight="1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3:26" ht="16.5" customHeight="1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3:26" ht="16.5" customHeight="1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3:26" ht="16.5" customHeight="1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3:26" ht="16.5" customHeight="1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3:26" ht="16.5" customHeight="1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3:26" ht="16.5" customHeight="1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3:26" ht="16.5" customHeight="1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3:26" ht="16.5" customHeight="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3:26" ht="16.5" customHeight="1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3:26" ht="16.5" customHeight="1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3:26" ht="16.5" customHeight="1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3:26" ht="16.5" customHeight="1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3:26" ht="16.5" customHeight="1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3:26" ht="16.5" customHeight="1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3:26" ht="16.5" customHeight="1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3:26" ht="16.5" customHeight="1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3:26" ht="16.5" customHeight="1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3:26" ht="16.5" customHeight="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3:26" ht="16.5" customHeight="1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3:26" ht="16.5" customHeight="1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3:26" ht="16.5" customHeight="1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3:26" ht="16.5" customHeight="1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3:26" ht="16.5" customHeight="1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3:26" ht="16.5" customHeight="1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3:26" ht="16.5" customHeight="1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3:26" ht="16.5" customHeight="1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3:26" ht="16.5" customHeight="1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3:26" ht="16.5" customHeight="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3:26" ht="16.5" customHeight="1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3:26" ht="16.5" customHeight="1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3:26" ht="16.5" customHeight="1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3:26" ht="16.5" customHeight="1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3:26" ht="16.5" customHeight="1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3:26" ht="16.5" customHeight="1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3:26" ht="16.5" customHeight="1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3:26" ht="16.5" customHeight="1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3:26" ht="16.5" customHeight="1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3:26" ht="16.5" customHeight="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3:26" ht="16.5" customHeight="1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3:26" ht="16.5" customHeight="1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3:26" ht="16.5" customHeight="1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3:26" ht="16.5" customHeight="1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3:26" ht="16.5" customHeight="1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3:26" ht="16.5" customHeight="1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3:26" ht="16.5" customHeight="1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3:26" ht="16.5" customHeight="1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3:26" ht="16.5" customHeight="1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3:26" ht="16.5" customHeight="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3:26" ht="16.5" customHeight="1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3:26" ht="16.5" customHeight="1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3:26" ht="16.5" customHeight="1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3:26" ht="16.5" customHeight="1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3:26" ht="16.5" customHeight="1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3:26" ht="16.5" customHeight="1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3:26" ht="16.5" customHeight="1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3:26" ht="16.5" customHeight="1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3:26" ht="16.5" customHeight="1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3:26" ht="16.5" customHeight="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3:26" ht="16.5" customHeight="1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3:26" ht="16.5" customHeight="1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3:26" ht="16.5" customHeight="1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3:26" ht="16.5" customHeight="1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3:26" ht="16.5" customHeight="1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3:26" ht="16.5" customHeight="1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3:26" ht="16.5" customHeight="1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3:26" ht="16.5" customHeight="1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3:26" ht="16.5" customHeight="1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3:26" ht="16.5" customHeight="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3:26" ht="16.5" customHeight="1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3:26" ht="16.5" customHeight="1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3:26" ht="16.5" customHeight="1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3:26" ht="16.5" customHeight="1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3:26" ht="16.5" customHeight="1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3:26" ht="16.5" customHeight="1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3:26" ht="16.5" customHeight="1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3:26" ht="16.5" customHeight="1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3:26" ht="16.5" customHeight="1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3:26" ht="16.5" customHeight="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3:26" ht="16.5" customHeight="1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3:26" ht="16.5" customHeight="1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3:26" ht="16.5" customHeight="1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3:26" ht="16.5" customHeight="1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3:26" ht="16.5" customHeight="1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3:26" ht="16.5" customHeight="1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3:26" ht="16.5" customHeight="1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3:26" ht="16.5" customHeight="1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3:26" ht="16.5" customHeight="1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3:26" ht="16.5" customHeight="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3:26" ht="16.5" customHeight="1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3:26" ht="16.5" customHeight="1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3:26" ht="16.5" customHeight="1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3:26" ht="16.5" customHeight="1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3:26" ht="16.5" customHeight="1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3:26" ht="16.5" customHeight="1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3:26" ht="16.5" customHeight="1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3:26" ht="16.5" customHeight="1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3:26" ht="16.5" customHeight="1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3:26" ht="16.5" customHeight="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3:26" ht="16.5" customHeight="1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3:26" ht="16.5" customHeight="1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3:26" ht="16.5" customHeight="1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3:26" ht="16.5" customHeight="1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3:26" ht="16.5" customHeight="1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3:26" ht="16.5" customHeight="1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3:26" ht="16.5" customHeight="1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3:26" ht="16.5" customHeight="1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3:26" ht="16.5" customHeight="1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3:26" ht="16.5" customHeight="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3:26" ht="16.5" customHeight="1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3:26" ht="16.5" customHeight="1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3:26" ht="16.5" customHeight="1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3:26" ht="16.5" customHeight="1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3:26" ht="16.5" customHeight="1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3:26" ht="16.5" customHeight="1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3:26" ht="16.5" customHeight="1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3:26" ht="16.5" customHeight="1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3:26" ht="16.5" customHeight="1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3:26" ht="16.5" customHeight="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3:26" ht="16.5" customHeight="1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3:26" ht="16.5" customHeight="1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3:26" ht="16.5" customHeight="1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3:26" ht="16.5" customHeight="1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3:26" ht="16.5" customHeight="1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3:26" ht="16.5" customHeight="1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3:26" ht="16.5" customHeight="1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3:26" ht="16.5" customHeight="1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3:26" ht="16.5" customHeight="1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3:26" ht="16.5" customHeight="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3:26" ht="16.5" customHeight="1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3:26" ht="16.5" customHeight="1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3:26" ht="16.5" customHeight="1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3:26" ht="16.5" customHeight="1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3:26" ht="16.5" customHeight="1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3:26" ht="16.5" customHeight="1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3:26" ht="16.5" customHeight="1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3:26" ht="16.5" customHeight="1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3:26" ht="16.5" customHeight="1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3:26" ht="16.5" customHeight="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3:26" ht="16.5" customHeight="1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3:26" ht="16.5" customHeight="1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3:26" ht="16.5" customHeight="1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3:26" ht="16.5" customHeight="1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3:26" ht="16.5" customHeight="1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3:26" ht="16.5" customHeight="1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3:26" ht="16.5" customHeight="1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3:26" ht="16.5" customHeight="1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3:26" ht="16.5" customHeight="1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3:26" ht="16.5" customHeight="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3:26" ht="16.5" customHeight="1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3:26" ht="16.5" customHeight="1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3:26" ht="16.5" customHeight="1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3:26" ht="16.5" customHeight="1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3:26" ht="16.5" customHeight="1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3:26" ht="16.5" customHeight="1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3:26" ht="16.5" customHeight="1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3:26" ht="16.5" customHeight="1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3:26" ht="16.5" customHeight="1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3:26" ht="16.5" customHeight="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3:26" ht="16.5" customHeight="1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3:26" ht="16.5" customHeight="1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3:26" ht="16.5" customHeight="1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3:26" ht="16.5" customHeight="1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3:26" ht="16.5" customHeight="1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3:26" ht="16.5" customHeight="1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3:26" ht="16.5" customHeight="1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3:26" ht="16.5" customHeight="1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3:26" ht="16.5" customHeight="1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3:26" ht="16.5" customHeight="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3:26" ht="16.5" customHeight="1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3:26" ht="16.5" customHeight="1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3:26" ht="16.5" customHeight="1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3:26" ht="16.5" customHeight="1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3:26" ht="16.5" customHeight="1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3:26" ht="16.5" customHeight="1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3:26" ht="16.5" customHeight="1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3:26" ht="16.5" customHeight="1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3:26" ht="16.5" customHeight="1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3:26" ht="16.5" customHeight="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3:26" ht="16.5" customHeight="1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3:26" ht="16.5" customHeight="1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3:26" ht="16.5" customHeight="1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3:26" ht="16.5" customHeight="1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3:26" ht="16.5" customHeight="1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3:26" ht="16.5" customHeight="1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3:26" ht="16.5" customHeight="1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3:26" ht="16.5" customHeight="1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3:26" ht="16.5" customHeight="1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3:26" ht="16.5" customHeight="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3:26" ht="16.5" customHeight="1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3:26" ht="16.5" customHeight="1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3:26" ht="16.5" customHeight="1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3:26" ht="16.5" customHeight="1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3:26" ht="16.5" customHeight="1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3:26" ht="16.5" customHeight="1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3:26" ht="16.5" customHeight="1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3:26" ht="16.5" customHeight="1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3:26" ht="16.5" customHeight="1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3:26" ht="16.5" customHeight="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3:26" ht="16.5" customHeight="1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3:26" ht="16.5" customHeight="1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3:26" ht="16.5" customHeight="1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3:26" ht="16.5" customHeight="1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3:26" ht="16.5" customHeight="1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3:26" ht="16.5" customHeight="1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3:26" ht="16.5" customHeight="1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3:26" ht="16.5" customHeight="1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3:26" ht="16.5" customHeight="1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3:26" ht="16.5" customHeight="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3:26" ht="16.5" customHeight="1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3:26" ht="16.5" customHeight="1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3:26" ht="16.5" customHeight="1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3:26" ht="16.5" customHeight="1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3:26" ht="16.5" customHeight="1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3:26" ht="16.5" customHeight="1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3:26" ht="16.5" customHeight="1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3:26" ht="16.5" customHeight="1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3:26" ht="16.5" customHeight="1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3:26" ht="16.5" customHeight="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3:26" ht="16.5" customHeight="1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3:26" ht="16.5" customHeight="1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3:26" ht="16.5" customHeight="1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3:26" ht="16.5" customHeight="1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3:26" ht="16.5" customHeight="1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3:26" ht="16.5" customHeight="1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3:26" ht="16.5" customHeight="1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3:26" ht="16.5" customHeight="1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3:26" ht="16.5" customHeight="1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3:26" ht="16.5" customHeight="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3:26" ht="16.5" customHeight="1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3:26" ht="16.5" customHeight="1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3:26" ht="16.5" customHeight="1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3:26" ht="16.5" customHeight="1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3:26" ht="16.5" customHeight="1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3:26" ht="16.5" customHeight="1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3:26" ht="16.5" customHeight="1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3:26" ht="16.5" customHeight="1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3:26" ht="16.5" customHeight="1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3:26" ht="16.5" customHeight="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3:26" ht="16.5" customHeight="1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3:26" ht="16.5" customHeight="1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3:26" ht="16.5" customHeight="1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3:26" ht="16.5" customHeight="1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3:26" ht="16.5" customHeight="1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3:26" ht="16.5" customHeight="1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3:26" ht="16.5" customHeight="1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3:26" ht="16.5" customHeight="1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3:26" ht="16.5" customHeight="1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3:26" ht="16.5" customHeight="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3:26" ht="16.5" customHeight="1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3:26" ht="16.5" customHeight="1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3:26" ht="16.5" customHeight="1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3:26" ht="16.5" customHeight="1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3:26" ht="16.5" customHeight="1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3:26" ht="16.5" customHeight="1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3:26" ht="16.5" customHeight="1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3:26" ht="16.5" customHeight="1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3:26" ht="16.5" customHeight="1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3:26" ht="16.5" customHeight="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3:26" ht="16.5" customHeight="1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3:26" ht="16.5" customHeight="1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3:26" ht="16.5" customHeight="1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3:26" ht="16.5" customHeight="1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3:26" ht="16.5" customHeight="1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3:26" ht="16.5" customHeight="1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3:26" ht="16.5" customHeight="1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3:26" ht="16.5" customHeight="1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3:26" ht="16.5" customHeight="1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3:26" ht="16.5" customHeight="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3:26" ht="16.5" customHeight="1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3:26" ht="16.5" customHeight="1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3:26" ht="16.5" customHeight="1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3:26" ht="16.5" customHeight="1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3:26" ht="16.5" customHeight="1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3:26" ht="16.5" customHeight="1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3:26" ht="16.5" customHeight="1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3:26" ht="16.5" customHeight="1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3:26" ht="16.5" customHeight="1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3:26" ht="16.5" customHeight="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3:26" ht="16.5" customHeight="1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3:26" ht="16.5" customHeight="1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3:26" ht="16.5" customHeight="1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3:26" ht="16.5" customHeight="1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3:26" ht="16.5" customHeight="1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3:26" ht="16.5" customHeight="1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3:26" ht="16.5" customHeight="1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3:26" ht="16.5" customHeight="1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3:26" ht="16.5" customHeight="1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3:26" ht="16.5" customHeight="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3:26" ht="16.5" customHeight="1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3:26" ht="16.5" customHeight="1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3:26" ht="16.5" customHeight="1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3:26" ht="16.5" customHeight="1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3:26" ht="16.5" customHeight="1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3:26" ht="16.5" customHeight="1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3:26" ht="16.5" customHeight="1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3:26" ht="16.5" customHeight="1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3:26" ht="16.5" customHeight="1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3:26" ht="16.5" customHeight="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3:26" ht="16.5" customHeight="1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3:26" ht="16.5" customHeight="1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3:26" ht="16.5" customHeight="1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3:26" ht="16.5" customHeight="1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3:26" ht="16.5" customHeight="1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3:26" ht="16.5" customHeight="1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3:26" ht="16.5" customHeight="1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3:26" ht="16.5" customHeight="1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3:26" ht="16.5" customHeight="1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3:26" ht="16.5" customHeight="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3:26" ht="16.5" customHeight="1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3:26" ht="16.5" customHeight="1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3:26" ht="16.5" customHeight="1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3:26" ht="16.5" customHeight="1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3:26" ht="16.5" customHeight="1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3:26" ht="16.5" customHeight="1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3:26" ht="16.5" customHeight="1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3:26" ht="16.5" customHeight="1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3:26" ht="16.5" customHeight="1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3:26" ht="16.5" customHeight="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3:26" ht="16.5" customHeight="1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3:26" ht="16.5" customHeight="1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3:26" ht="16.5" customHeight="1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3:26" ht="16.5" customHeight="1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3:26" ht="16.5" customHeight="1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3:26" ht="16.5" customHeight="1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3:26" ht="16.5" customHeight="1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3:26" ht="16.5" customHeight="1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3:26" ht="16.5" customHeight="1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3:26" ht="16.5" customHeight="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3:26" ht="16.5" customHeight="1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3:26" ht="16.5" customHeight="1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3:26" ht="16.5" customHeight="1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3:26" ht="16.5" customHeight="1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3:26" ht="16.5" customHeight="1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3:26" ht="16.5" customHeight="1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3:26" ht="16.5" customHeight="1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3:26" ht="16.5" customHeight="1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3:26" ht="16.5" customHeight="1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3:26" ht="16.5" customHeight="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3:26" ht="16.5" customHeight="1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3:26" ht="16.5" customHeight="1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3:26" ht="16.5" customHeight="1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3:26" ht="16.5" customHeight="1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3:26" ht="16.5" customHeight="1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3:26" ht="16.5" customHeight="1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3:26" ht="16.5" customHeight="1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3:26" ht="16.5" customHeight="1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3:26" ht="16.5" customHeight="1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3:26" ht="16.5" customHeight="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3:26" ht="16.5" customHeight="1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3:26" ht="16.5" customHeight="1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3:26" ht="16.5" customHeight="1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3:26" ht="16.5" customHeight="1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3:26" ht="16.5" customHeight="1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3:26" ht="16.5" customHeight="1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3:26" ht="16.5" customHeight="1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3:26" ht="16.5" customHeight="1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3:26" ht="16.5" customHeight="1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3:26" ht="16.5" customHeight="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3:26" ht="16.5" customHeight="1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3:26" ht="16.5" customHeight="1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3:26" ht="16.5" customHeight="1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3:26" ht="16.5" customHeight="1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3:26" ht="16.5" customHeight="1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3:26" ht="16.5" customHeight="1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3:26" ht="16.5" customHeight="1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3:26" ht="16.5" customHeight="1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3:26" ht="16.5" customHeight="1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3:26" ht="16.5" customHeight="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3:26" ht="16.5" customHeight="1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3:26" ht="16.5" customHeight="1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3:26" ht="16.5" customHeight="1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3:26" ht="16.5" customHeight="1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3:26" ht="16.5" customHeight="1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3:26" ht="16.5" customHeight="1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3:26" ht="16.5" customHeight="1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3:26" ht="16.5" customHeight="1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3:26" ht="16.5" customHeight="1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3:26" ht="16.5" customHeight="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3:26" ht="16.5" customHeight="1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3:26" ht="16.5" customHeight="1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3:26" ht="16.5" customHeight="1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3:26" ht="16.5" customHeight="1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3:26" ht="16.5" customHeight="1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3:26" ht="16.5" customHeight="1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3:26" ht="16.5" customHeight="1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3:26" ht="16.5" customHeight="1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3:26" ht="16.5" customHeight="1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3:26" ht="16.5" customHeight="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3:26" ht="16.5" customHeight="1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3:26" ht="16.5" customHeight="1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3:26" ht="16.5" customHeight="1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3:26" ht="16.5" customHeight="1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3:26" ht="16.5" customHeight="1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3:26" ht="16.5" customHeight="1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3:26" ht="16.5" customHeight="1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3:26" ht="16.5" customHeight="1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3:26" ht="16.5" customHeight="1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3:26" ht="16.5" customHeight="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3:26" ht="16.5" customHeight="1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3:26" ht="16.5" customHeight="1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3:26" ht="16.5" customHeight="1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3:26" ht="16.5" customHeight="1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3:26" ht="16.5" customHeight="1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3:26" ht="16.5" customHeight="1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3:26" ht="16.5" customHeight="1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3:26" ht="16.5" customHeight="1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3:26" ht="16.5" customHeight="1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3:26" ht="16.5" customHeight="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3:26" ht="16.5" customHeight="1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3:26" ht="16.5" customHeight="1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3:26" ht="16.5" customHeight="1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3:26" ht="16.5" customHeight="1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3:26" ht="16.5" customHeight="1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3:26" ht="16.5" customHeight="1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3:26" ht="16.5" customHeight="1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3:26" ht="16.5" customHeight="1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3:26" ht="16.5" customHeight="1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3:26" ht="16.5" customHeight="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3:26" ht="16.5" customHeight="1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3:26" ht="16.5" customHeight="1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3:26" ht="16.5" customHeight="1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3:26" ht="16.5" customHeight="1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3:26" ht="16.5" customHeight="1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3:26" ht="16.5" customHeight="1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3:26" ht="16.5" customHeight="1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3:26" ht="16.5" customHeight="1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3:26" ht="16.5" customHeight="1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3:26" ht="16.5" customHeight="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3:26" ht="16.5" customHeight="1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3:26" ht="16.5" customHeight="1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3:26" ht="16.5" customHeight="1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3:26" ht="16.5" customHeight="1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3:26" ht="16.5" customHeight="1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3:26" ht="16.5" customHeight="1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3:26" ht="16.5" customHeight="1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3:26" ht="16.5" customHeight="1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3:26" ht="16.5" customHeight="1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3:26" ht="16.5" customHeight="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3:26" ht="16.5" customHeight="1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3:26" ht="16.5" customHeight="1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3:26" ht="16.5" customHeight="1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3:26" ht="16.5" customHeight="1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3:26" ht="16.5" customHeight="1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3:26" ht="16.5" customHeight="1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3:26" ht="16.5" customHeight="1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3:26" ht="16.5" customHeight="1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3:26" ht="16.5" customHeight="1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3:26" ht="16.5" customHeight="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3:26" ht="16.5" customHeight="1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3:26" ht="16.5" customHeight="1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3:26" ht="16.5" customHeight="1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3:26" ht="16.5" customHeight="1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3:26" ht="16.5" customHeight="1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3:26" ht="16.5" customHeight="1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3:26" ht="16.5" customHeight="1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3:26" ht="16.5" customHeight="1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3:26" ht="16.5" customHeight="1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3:26" ht="16.5" customHeight="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3:26" ht="16.5" customHeight="1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3:26" ht="16.5" customHeight="1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3:26" ht="16.5" customHeight="1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3:26" ht="16.5" customHeight="1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3:26" ht="16.5" customHeight="1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3:26" ht="16.5" customHeight="1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3:26" ht="16.5" customHeight="1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3:26" ht="16.5" customHeight="1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3:26" ht="16.5" customHeight="1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3:26" ht="16.5" customHeight="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3:26" ht="16.5" customHeight="1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3:26" ht="16.5" customHeight="1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3:26" ht="16.5" customHeight="1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3:26" ht="16.5" customHeight="1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3:26" ht="16.5" customHeight="1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3:26" ht="16.5" customHeight="1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3:26" ht="16.5" customHeight="1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3:26" ht="16.5" customHeight="1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3:26" ht="16.5" customHeight="1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3:26" ht="16.5" customHeight="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3:26" ht="16.5" customHeight="1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3:26" ht="16.5" customHeight="1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3:26" ht="16.5" customHeight="1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3:26" ht="16.5" customHeight="1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3:26" ht="16.5" customHeight="1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3:26" ht="16.5" customHeight="1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3:26" ht="16.5" customHeight="1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3:26" ht="16.5" customHeight="1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3:26" ht="16.5" customHeight="1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3:26" ht="16.5" customHeight="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3:26" ht="16.5" customHeight="1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3:26" ht="16.5" customHeight="1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3:26" ht="16.5" customHeight="1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3:26" ht="16.5" customHeight="1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3:26" ht="16.5" customHeight="1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3:26" ht="16.5" customHeight="1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3:26" ht="16.5" customHeight="1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3:26" ht="16.5" customHeight="1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3:26" ht="16.5" customHeight="1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3:26" ht="16.5" customHeight="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3:26" ht="16.5" customHeight="1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3:26" ht="16.5" customHeight="1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3:26" ht="16.5" customHeight="1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3:26" ht="16.5" customHeight="1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3:26" ht="16.5" customHeight="1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3:26" ht="16.5" customHeight="1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3:26" ht="16.5" customHeight="1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3:26" ht="16.5" customHeight="1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3:26" ht="16.5" customHeight="1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3:26" ht="16.5" customHeight="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3:26" ht="16.5" customHeight="1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3:26" ht="16.5" customHeight="1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3:26" ht="16.5" customHeight="1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3:26" ht="16.5" customHeight="1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3:26" ht="16.5" customHeight="1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3:26" ht="16.5" customHeight="1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3:26" ht="16.5" customHeight="1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3:26" ht="16.5" customHeight="1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3:26" ht="16.5" customHeight="1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3:26" ht="16.5" customHeight="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3:26" ht="16.5" customHeight="1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3:26" ht="16.5" customHeight="1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3:26" ht="16.5" customHeight="1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3:26" ht="16.5" customHeight="1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3:26" ht="16.5" customHeight="1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3:26" ht="16.5" customHeight="1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3:26" ht="16.5" customHeight="1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3:26" ht="16.5" customHeight="1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3:26" ht="16.5" customHeight="1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3:26" ht="16.5" customHeight="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3:26" ht="16.5" customHeight="1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3:26" ht="16.5" customHeight="1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3:26" ht="16.5" customHeight="1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3:26" ht="16.5" customHeight="1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3:26" ht="16.5" customHeight="1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3:26" ht="16.5" customHeight="1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3:26" ht="16.5" customHeight="1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3:26" ht="16.5" customHeight="1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3:26" ht="16.5" customHeight="1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3:26" ht="16.5" customHeight="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3:26" ht="16.5" customHeight="1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3:26" ht="16.5" customHeight="1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3:26" ht="16.5" customHeight="1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3:26" ht="16.5" customHeight="1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3:26" ht="16.5" customHeight="1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3:26" ht="16.5" customHeight="1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3:26" ht="16.5" customHeight="1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3:26" ht="16.5" customHeight="1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3:26" ht="16.5" customHeight="1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3:26" ht="16.5" customHeight="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3:26" ht="16.5" customHeight="1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3:26" ht="16.5" customHeight="1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3:26" ht="16.5" customHeight="1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3:26" ht="16.5" customHeight="1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3:26" ht="16.5" customHeight="1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3:26" ht="16.5" customHeight="1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3:26" ht="16.5" customHeight="1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3:26" ht="16.5" customHeight="1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3:26" ht="16.5" customHeight="1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3:26" ht="16.5" customHeight="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3:26" ht="16.5" customHeight="1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3:26" ht="16.5" customHeight="1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3:26" ht="16.5" customHeight="1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3:26" ht="16.5" customHeight="1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3:26" ht="16.5" customHeight="1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3:26" ht="16.5" customHeight="1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3:26" ht="16.5" customHeight="1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3:26" ht="16.5" customHeight="1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3:26" ht="16.5" customHeight="1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3:26" ht="16.5" customHeight="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3:26" ht="16.5" customHeight="1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3:26" ht="16.5" customHeight="1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3:26" ht="16.5" customHeight="1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3:26" ht="16.5" customHeight="1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3:26" ht="16.5" customHeight="1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3:26" ht="16.5" customHeight="1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3:26" ht="16.5" customHeight="1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3:26" ht="16.5" customHeight="1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3:26" ht="16.5" customHeight="1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3:26" ht="16.5" customHeight="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3:26" ht="16.5" customHeight="1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3:26" ht="16.5" customHeight="1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3:26" ht="16.5" customHeight="1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3:26" ht="16.5" customHeight="1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3:26" ht="16.5" customHeight="1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3:26" ht="16.5" customHeight="1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3:26" ht="16.5" customHeight="1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3:26" ht="16.5" customHeight="1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3:26" ht="16.5" customHeight="1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Z200"/>
  <sheetViews>
    <sheetView showGridLines="0" workbookViewId="0"/>
  </sheetViews>
  <sheetFormatPr defaultColWidth="14.42578125" defaultRowHeight="15"/>
  <cols>
    <col min="1" max="1" width="27" customWidth="1"/>
    <col min="2" max="2" width="24" customWidth="1"/>
    <col min="3" max="3" width="40" customWidth="1"/>
    <col min="4" max="4" width="26" customWidth="1"/>
    <col min="5" max="5" width="7" customWidth="1"/>
    <col min="6" max="6" width="23" customWidth="1"/>
    <col min="7" max="7" width="7" customWidth="1"/>
    <col min="8" max="8" width="38" customWidth="1"/>
    <col min="9" max="10" width="11.5703125" customWidth="1"/>
    <col min="11" max="11" width="18" customWidth="1"/>
    <col min="12" max="12" width="48" customWidth="1"/>
    <col min="13" max="14" width="6.42578125" customWidth="1"/>
    <col min="15" max="15" width="11" customWidth="1"/>
    <col min="16" max="100" width="4.42578125" customWidth="1"/>
    <col min="101" max="702" width="9" customWidth="1"/>
  </cols>
  <sheetData>
    <row r="1" spans="1:702" ht="21.75" customHeight="1">
      <c r="A1" s="4" t="s">
        <v>65</v>
      </c>
      <c r="B1" s="4"/>
      <c r="C1" s="4"/>
      <c r="D1" s="2" t="s">
        <v>66</v>
      </c>
      <c r="E1" s="2"/>
      <c r="F1" s="2"/>
      <c r="G1" s="2"/>
      <c r="H1" s="2"/>
      <c r="I1" s="2"/>
      <c r="J1" s="2"/>
      <c r="K1" s="2"/>
      <c r="L1" s="2"/>
      <c r="M1" s="8"/>
      <c r="N1" s="8"/>
      <c r="O1" s="2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</row>
    <row r="2" spans="1:702" ht="21" customHeight="1">
      <c r="A2" s="9"/>
      <c r="B2" s="9"/>
      <c r="C2" s="9"/>
      <c r="D2" s="9"/>
      <c r="E2" s="62"/>
      <c r="F2" s="9"/>
      <c r="G2" s="9"/>
      <c r="H2" s="9"/>
      <c r="I2" s="9"/>
      <c r="J2" s="9"/>
      <c r="K2" s="9"/>
      <c r="L2" s="9"/>
      <c r="M2" s="64"/>
      <c r="N2" s="64"/>
      <c r="O2" s="9"/>
      <c r="P2" s="65" t="s">
        <v>67</v>
      </c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 t="s">
        <v>68</v>
      </c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 t="s">
        <v>69</v>
      </c>
      <c r="AS2" s="65"/>
      <c r="AT2" s="65"/>
      <c r="AU2" s="65"/>
      <c r="AV2" s="65"/>
      <c r="AW2" s="65" t="s">
        <v>70</v>
      </c>
      <c r="AX2" s="65"/>
      <c r="AY2" s="65"/>
      <c r="AZ2" s="65"/>
      <c r="BA2" s="65"/>
      <c r="BB2" s="65"/>
      <c r="BC2" s="65"/>
      <c r="BD2" s="65"/>
      <c r="BE2" s="65"/>
      <c r="BF2" s="65" t="s">
        <v>71</v>
      </c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269" t="s">
        <v>72</v>
      </c>
      <c r="BU2" s="298"/>
      <c r="BV2" s="298"/>
      <c r="BW2" s="298"/>
      <c r="BX2" s="298"/>
      <c r="BY2" s="298"/>
      <c r="BZ2" s="298"/>
      <c r="CA2" s="298"/>
      <c r="CB2" s="298"/>
      <c r="CC2" s="298"/>
      <c r="CD2" s="298"/>
      <c r="CE2" s="298"/>
      <c r="CF2" s="298"/>
      <c r="CG2" s="298"/>
      <c r="CH2" s="269" t="s">
        <v>73</v>
      </c>
      <c r="CI2" s="298"/>
      <c r="CJ2" s="298"/>
      <c r="CK2" s="298"/>
      <c r="CL2" s="298"/>
      <c r="CM2" s="298"/>
      <c r="CN2" s="298"/>
      <c r="CO2" s="298"/>
      <c r="CP2" s="298"/>
      <c r="CQ2" s="298"/>
      <c r="CR2" s="298"/>
      <c r="CS2" s="298"/>
      <c r="CT2" s="298"/>
      <c r="CU2" s="298"/>
      <c r="CV2" s="269" t="s">
        <v>74</v>
      </c>
      <c r="CW2" s="298"/>
      <c r="CX2" s="298"/>
      <c r="CY2" s="298"/>
      <c r="CZ2" s="298"/>
      <c r="DA2" s="298"/>
      <c r="DB2" s="298"/>
      <c r="DC2" s="298"/>
      <c r="DD2" s="298"/>
      <c r="DE2" s="298"/>
      <c r="DF2" s="298"/>
      <c r="DG2" s="298"/>
      <c r="DH2" s="298"/>
      <c r="DI2" s="298"/>
      <c r="DJ2" s="269" t="s">
        <v>75</v>
      </c>
      <c r="DK2" s="298"/>
      <c r="DL2" s="298"/>
      <c r="DM2" s="298"/>
      <c r="DN2" s="298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</row>
    <row r="3" spans="1:702" ht="24.75" customHeight="1">
      <c r="A3" s="107" t="s">
        <v>76</v>
      </c>
      <c r="B3" s="107" t="s">
        <v>77</v>
      </c>
      <c r="C3" s="107" t="s">
        <v>78</v>
      </c>
      <c r="D3" s="108" t="s">
        <v>79</v>
      </c>
      <c r="E3" s="109" t="s">
        <v>80</v>
      </c>
      <c r="F3" s="109"/>
      <c r="G3" s="109"/>
      <c r="H3" s="110"/>
      <c r="I3" s="109" t="s">
        <v>81</v>
      </c>
      <c r="J3" s="109"/>
      <c r="K3" s="111" t="s">
        <v>82</v>
      </c>
      <c r="L3" s="109"/>
      <c r="M3" s="112" t="s">
        <v>83</v>
      </c>
      <c r="N3" s="114"/>
      <c r="O3" s="109" t="s">
        <v>84</v>
      </c>
      <c r="P3" s="115">
        <v>46209</v>
      </c>
      <c r="Q3" s="115">
        <v>46210</v>
      </c>
      <c r="R3" s="115">
        <v>46211</v>
      </c>
      <c r="S3" s="115">
        <v>46212</v>
      </c>
      <c r="T3" s="115">
        <v>46213</v>
      </c>
      <c r="U3" s="115">
        <v>46214</v>
      </c>
      <c r="V3" s="115">
        <v>46215</v>
      </c>
      <c r="W3" s="115">
        <v>46216</v>
      </c>
      <c r="X3" s="115">
        <v>46217</v>
      </c>
      <c r="Y3" s="115">
        <v>46218</v>
      </c>
      <c r="Z3" s="115">
        <v>46219</v>
      </c>
      <c r="AA3" s="115">
        <v>46220</v>
      </c>
      <c r="AB3" s="115">
        <v>46221</v>
      </c>
      <c r="AC3" s="115">
        <v>46222</v>
      </c>
      <c r="AD3" s="115">
        <v>46223</v>
      </c>
      <c r="AE3" s="115">
        <v>46224</v>
      </c>
      <c r="AF3" s="115">
        <v>46225</v>
      </c>
      <c r="AG3" s="115">
        <v>46226</v>
      </c>
      <c r="AH3" s="115">
        <v>46227</v>
      </c>
      <c r="AI3" s="115">
        <v>46228</v>
      </c>
      <c r="AJ3" s="115">
        <v>46229</v>
      </c>
      <c r="AK3" s="115">
        <v>46230</v>
      </c>
      <c r="AL3" s="115">
        <v>46231</v>
      </c>
      <c r="AM3" s="115">
        <v>46232</v>
      </c>
      <c r="AN3" s="115">
        <v>46233</v>
      </c>
      <c r="AO3" s="115">
        <v>46234</v>
      </c>
      <c r="AP3" s="115">
        <v>46235</v>
      </c>
      <c r="AQ3" s="115">
        <v>46236</v>
      </c>
      <c r="AR3" s="115">
        <v>46237</v>
      </c>
      <c r="AS3" s="115">
        <v>46238</v>
      </c>
      <c r="AT3" s="115">
        <v>46239</v>
      </c>
      <c r="AU3" s="115">
        <v>46240</v>
      </c>
      <c r="AV3" s="115">
        <v>46241</v>
      </c>
      <c r="AW3" s="115">
        <v>46242</v>
      </c>
      <c r="AX3" s="115">
        <v>46243</v>
      </c>
      <c r="AY3" s="115">
        <v>46244</v>
      </c>
      <c r="AZ3" s="115">
        <v>46245</v>
      </c>
      <c r="BA3" s="115">
        <v>46246</v>
      </c>
      <c r="BB3" s="115">
        <v>46247</v>
      </c>
      <c r="BC3" s="115">
        <v>46248</v>
      </c>
      <c r="BD3" s="115">
        <v>46249</v>
      </c>
      <c r="BE3" s="115">
        <v>46250</v>
      </c>
      <c r="BF3" s="115">
        <v>46251</v>
      </c>
      <c r="BG3" s="115">
        <v>46252</v>
      </c>
      <c r="BH3" s="115">
        <v>46253</v>
      </c>
      <c r="BI3" s="115">
        <v>46254</v>
      </c>
      <c r="BJ3" s="115">
        <v>46255</v>
      </c>
      <c r="BK3" s="115">
        <v>46256</v>
      </c>
      <c r="BL3" s="115">
        <v>46257</v>
      </c>
      <c r="BM3" s="115">
        <v>46258</v>
      </c>
      <c r="BN3" s="115">
        <v>46259</v>
      </c>
      <c r="BO3" s="115">
        <v>46260</v>
      </c>
      <c r="BP3" s="115">
        <v>46261</v>
      </c>
      <c r="BQ3" s="115">
        <v>46262</v>
      </c>
      <c r="BR3" s="115">
        <v>46263</v>
      </c>
      <c r="BS3" s="115">
        <v>46264</v>
      </c>
      <c r="BT3" s="115">
        <v>46265</v>
      </c>
      <c r="BU3" s="115">
        <v>46266</v>
      </c>
      <c r="BV3" s="115">
        <v>46267</v>
      </c>
      <c r="BW3" s="115">
        <v>46268</v>
      </c>
      <c r="BX3" s="115">
        <v>46269</v>
      </c>
      <c r="BY3" s="115">
        <v>46270</v>
      </c>
      <c r="BZ3" s="115">
        <v>46271</v>
      </c>
      <c r="CA3" s="115">
        <v>46272</v>
      </c>
      <c r="CB3" s="115">
        <v>46273</v>
      </c>
      <c r="CC3" s="115">
        <v>46274</v>
      </c>
      <c r="CD3" s="115">
        <v>46275</v>
      </c>
      <c r="CE3" s="115">
        <v>46276</v>
      </c>
      <c r="CF3" s="115">
        <v>46277</v>
      </c>
      <c r="CG3" s="115">
        <v>46278</v>
      </c>
      <c r="CH3" s="115">
        <v>46279</v>
      </c>
      <c r="CI3" s="115">
        <v>46280</v>
      </c>
      <c r="CJ3" s="115">
        <v>46281</v>
      </c>
      <c r="CK3" s="115">
        <v>46282</v>
      </c>
      <c r="CL3" s="115">
        <v>46283</v>
      </c>
      <c r="CM3" s="115">
        <v>46284</v>
      </c>
      <c r="CN3" s="115">
        <v>46285</v>
      </c>
      <c r="CO3" s="115">
        <v>46286</v>
      </c>
      <c r="CP3" s="115">
        <v>46287</v>
      </c>
      <c r="CQ3" s="115">
        <v>46288</v>
      </c>
      <c r="CR3" s="115">
        <v>46289</v>
      </c>
      <c r="CS3" s="115">
        <v>46290</v>
      </c>
      <c r="CT3" s="115">
        <v>46291</v>
      </c>
      <c r="CU3" s="115">
        <v>46292</v>
      </c>
      <c r="CV3" s="115">
        <v>46293</v>
      </c>
      <c r="CW3" s="115">
        <v>46294</v>
      </c>
      <c r="CX3" s="115">
        <v>46295</v>
      </c>
      <c r="CY3" s="115">
        <v>46296</v>
      </c>
      <c r="CZ3" s="115">
        <v>46297</v>
      </c>
      <c r="DA3" s="115">
        <v>46298</v>
      </c>
      <c r="DB3" s="115">
        <v>46299</v>
      </c>
      <c r="DC3" s="115">
        <v>46300</v>
      </c>
      <c r="DD3" s="115">
        <v>46301</v>
      </c>
      <c r="DE3" s="115">
        <v>46302</v>
      </c>
      <c r="DF3" s="115">
        <v>46303</v>
      </c>
      <c r="DG3" s="115">
        <v>46304</v>
      </c>
      <c r="DH3" s="115">
        <v>46305</v>
      </c>
      <c r="DI3" s="115">
        <v>46306</v>
      </c>
      <c r="DJ3" s="115">
        <v>46307</v>
      </c>
      <c r="DK3" s="115">
        <v>46308</v>
      </c>
      <c r="DL3" s="115">
        <v>46309</v>
      </c>
      <c r="DM3" s="115">
        <v>46310</v>
      </c>
      <c r="DN3" s="115">
        <v>46311</v>
      </c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</row>
    <row r="4" spans="1:702" ht="27" customHeight="1">
      <c r="A4" s="149"/>
      <c r="B4" s="149" t="s">
        <v>85</v>
      </c>
      <c r="C4" s="149" t="s">
        <v>85</v>
      </c>
      <c r="D4" s="150" t="s">
        <v>76</v>
      </c>
      <c r="E4" s="151" t="s">
        <v>86</v>
      </c>
      <c r="F4" s="151" t="s">
        <v>77</v>
      </c>
      <c r="G4" s="152" t="s">
        <v>87</v>
      </c>
      <c r="H4" s="153" t="s">
        <v>78</v>
      </c>
      <c r="I4" s="151" t="s">
        <v>88</v>
      </c>
      <c r="J4" s="154" t="s">
        <v>89</v>
      </c>
      <c r="K4" s="155" t="s">
        <v>90</v>
      </c>
      <c r="L4" s="154" t="s">
        <v>91</v>
      </c>
      <c r="M4" s="156" t="s">
        <v>92</v>
      </c>
      <c r="N4" s="157" t="s">
        <v>93</v>
      </c>
      <c r="O4" s="152" t="s">
        <v>94</v>
      </c>
      <c r="P4" s="158" t="str">
        <f t="shared" ref="P4:JJ4" si="0">IF(P3="","",TEXT(P3,"aaa"))</f>
        <v>月</v>
      </c>
      <c r="Q4" s="158" t="str">
        <f t="shared" si="0"/>
        <v>火</v>
      </c>
      <c r="R4" s="158" t="str">
        <f t="shared" si="0"/>
        <v>水</v>
      </c>
      <c r="S4" s="158" t="str">
        <f t="shared" si="0"/>
        <v>木</v>
      </c>
      <c r="T4" s="158" t="str">
        <f t="shared" si="0"/>
        <v>金</v>
      </c>
      <c r="U4" s="158" t="str">
        <f t="shared" si="0"/>
        <v>土</v>
      </c>
      <c r="V4" s="158" t="str">
        <f t="shared" si="0"/>
        <v>日</v>
      </c>
      <c r="W4" s="158" t="str">
        <f t="shared" si="0"/>
        <v>月</v>
      </c>
      <c r="X4" s="158" t="str">
        <f t="shared" si="0"/>
        <v>火</v>
      </c>
      <c r="Y4" s="158" t="str">
        <f t="shared" si="0"/>
        <v>水</v>
      </c>
      <c r="Z4" s="158" t="str">
        <f t="shared" si="0"/>
        <v>木</v>
      </c>
      <c r="AA4" s="158" t="str">
        <f t="shared" si="0"/>
        <v>金</v>
      </c>
      <c r="AB4" s="158" t="str">
        <f t="shared" si="0"/>
        <v>土</v>
      </c>
      <c r="AC4" s="158" t="str">
        <f t="shared" si="0"/>
        <v>日</v>
      </c>
      <c r="AD4" s="158" t="str">
        <f t="shared" si="0"/>
        <v>月</v>
      </c>
      <c r="AE4" s="158" t="str">
        <f t="shared" si="0"/>
        <v>火</v>
      </c>
      <c r="AF4" s="158" t="str">
        <f t="shared" si="0"/>
        <v>水</v>
      </c>
      <c r="AG4" s="158" t="str">
        <f t="shared" si="0"/>
        <v>木</v>
      </c>
      <c r="AH4" s="158" t="str">
        <f t="shared" si="0"/>
        <v>金</v>
      </c>
      <c r="AI4" s="158" t="str">
        <f t="shared" si="0"/>
        <v>土</v>
      </c>
      <c r="AJ4" s="158" t="str">
        <f t="shared" si="0"/>
        <v>日</v>
      </c>
      <c r="AK4" s="158" t="str">
        <f t="shared" si="0"/>
        <v>月</v>
      </c>
      <c r="AL4" s="158" t="str">
        <f t="shared" si="0"/>
        <v>火</v>
      </c>
      <c r="AM4" s="158" t="str">
        <f t="shared" si="0"/>
        <v>水</v>
      </c>
      <c r="AN4" s="158" t="str">
        <f t="shared" si="0"/>
        <v>木</v>
      </c>
      <c r="AO4" s="158" t="str">
        <f t="shared" si="0"/>
        <v>金</v>
      </c>
      <c r="AP4" s="158" t="str">
        <f t="shared" si="0"/>
        <v>土</v>
      </c>
      <c r="AQ4" s="158" t="str">
        <f t="shared" si="0"/>
        <v>日</v>
      </c>
      <c r="AR4" s="158" t="str">
        <f t="shared" si="0"/>
        <v>月</v>
      </c>
      <c r="AS4" s="158" t="str">
        <f t="shared" si="0"/>
        <v>火</v>
      </c>
      <c r="AT4" s="158" t="str">
        <f t="shared" si="0"/>
        <v>水</v>
      </c>
      <c r="AU4" s="158" t="str">
        <f t="shared" si="0"/>
        <v>木</v>
      </c>
      <c r="AV4" s="158" t="str">
        <f t="shared" si="0"/>
        <v>金</v>
      </c>
      <c r="AW4" s="158" t="str">
        <f t="shared" si="0"/>
        <v>土</v>
      </c>
      <c r="AX4" s="158" t="str">
        <f t="shared" si="0"/>
        <v>日</v>
      </c>
      <c r="AY4" s="158" t="str">
        <f t="shared" si="0"/>
        <v>月</v>
      </c>
      <c r="AZ4" s="158" t="str">
        <f t="shared" si="0"/>
        <v>火</v>
      </c>
      <c r="BA4" s="158" t="str">
        <f t="shared" si="0"/>
        <v>水</v>
      </c>
      <c r="BB4" s="158" t="str">
        <f t="shared" si="0"/>
        <v>木</v>
      </c>
      <c r="BC4" s="158" t="str">
        <f t="shared" si="0"/>
        <v>金</v>
      </c>
      <c r="BD4" s="158" t="str">
        <f t="shared" si="0"/>
        <v>土</v>
      </c>
      <c r="BE4" s="158" t="str">
        <f t="shared" si="0"/>
        <v>日</v>
      </c>
      <c r="BF4" s="158" t="str">
        <f t="shared" si="0"/>
        <v>月</v>
      </c>
      <c r="BG4" s="158" t="str">
        <f t="shared" si="0"/>
        <v>火</v>
      </c>
      <c r="BH4" s="158" t="str">
        <f t="shared" si="0"/>
        <v>水</v>
      </c>
      <c r="BI4" s="158" t="str">
        <f t="shared" si="0"/>
        <v>木</v>
      </c>
      <c r="BJ4" s="158" t="str">
        <f t="shared" si="0"/>
        <v>金</v>
      </c>
      <c r="BK4" s="158" t="str">
        <f t="shared" si="0"/>
        <v>土</v>
      </c>
      <c r="BL4" s="158" t="str">
        <f t="shared" si="0"/>
        <v>日</v>
      </c>
      <c r="BM4" s="158" t="str">
        <f t="shared" si="0"/>
        <v>月</v>
      </c>
      <c r="BN4" s="158" t="str">
        <f t="shared" si="0"/>
        <v>火</v>
      </c>
      <c r="BO4" s="158" t="str">
        <f t="shared" si="0"/>
        <v>水</v>
      </c>
      <c r="BP4" s="158" t="str">
        <f t="shared" si="0"/>
        <v>木</v>
      </c>
      <c r="BQ4" s="158" t="str">
        <f t="shared" si="0"/>
        <v>金</v>
      </c>
      <c r="BR4" s="158" t="str">
        <f t="shared" si="0"/>
        <v>土</v>
      </c>
      <c r="BS4" s="158" t="str">
        <f t="shared" si="0"/>
        <v>日</v>
      </c>
      <c r="BT4" s="158" t="str">
        <f t="shared" si="0"/>
        <v>月</v>
      </c>
      <c r="BU4" s="158" t="str">
        <f t="shared" si="0"/>
        <v>火</v>
      </c>
      <c r="BV4" s="158" t="str">
        <f t="shared" si="0"/>
        <v>水</v>
      </c>
      <c r="BW4" s="158" t="str">
        <f t="shared" si="0"/>
        <v>木</v>
      </c>
      <c r="BX4" s="158" t="str">
        <f t="shared" si="0"/>
        <v>金</v>
      </c>
      <c r="BY4" s="158" t="str">
        <f t="shared" si="0"/>
        <v>土</v>
      </c>
      <c r="BZ4" s="158" t="str">
        <f t="shared" si="0"/>
        <v>日</v>
      </c>
      <c r="CA4" s="158" t="str">
        <f t="shared" si="0"/>
        <v>月</v>
      </c>
      <c r="CB4" s="158" t="str">
        <f t="shared" si="0"/>
        <v>火</v>
      </c>
      <c r="CC4" s="158" t="str">
        <f t="shared" si="0"/>
        <v>水</v>
      </c>
      <c r="CD4" s="158" t="str">
        <f t="shared" si="0"/>
        <v>木</v>
      </c>
      <c r="CE4" s="158" t="str">
        <f t="shared" si="0"/>
        <v>金</v>
      </c>
      <c r="CF4" s="158" t="str">
        <f t="shared" si="0"/>
        <v>土</v>
      </c>
      <c r="CG4" s="158" t="str">
        <f t="shared" si="0"/>
        <v>日</v>
      </c>
      <c r="CH4" s="158" t="str">
        <f t="shared" si="0"/>
        <v>月</v>
      </c>
      <c r="CI4" s="158" t="str">
        <f t="shared" si="0"/>
        <v>火</v>
      </c>
      <c r="CJ4" s="158" t="str">
        <f t="shared" si="0"/>
        <v>水</v>
      </c>
      <c r="CK4" s="158" t="str">
        <f t="shared" si="0"/>
        <v>木</v>
      </c>
      <c r="CL4" s="158" t="str">
        <f t="shared" si="0"/>
        <v>金</v>
      </c>
      <c r="CM4" s="158" t="str">
        <f t="shared" si="0"/>
        <v>土</v>
      </c>
      <c r="CN4" s="158" t="str">
        <f t="shared" si="0"/>
        <v>日</v>
      </c>
      <c r="CO4" s="158" t="str">
        <f t="shared" si="0"/>
        <v>月</v>
      </c>
      <c r="CP4" s="158" t="str">
        <f t="shared" si="0"/>
        <v>火</v>
      </c>
      <c r="CQ4" s="158" t="str">
        <f t="shared" si="0"/>
        <v>水</v>
      </c>
      <c r="CR4" s="158" t="str">
        <f t="shared" si="0"/>
        <v>木</v>
      </c>
      <c r="CS4" s="158" t="str">
        <f t="shared" si="0"/>
        <v>金</v>
      </c>
      <c r="CT4" s="158" t="str">
        <f t="shared" si="0"/>
        <v>土</v>
      </c>
      <c r="CU4" s="158" t="str">
        <f t="shared" si="0"/>
        <v>日</v>
      </c>
      <c r="CV4" s="158" t="str">
        <f t="shared" si="0"/>
        <v>月</v>
      </c>
      <c r="CW4" s="158" t="str">
        <f t="shared" si="0"/>
        <v>火</v>
      </c>
      <c r="CX4" s="158" t="str">
        <f t="shared" si="0"/>
        <v>水</v>
      </c>
      <c r="CY4" s="158" t="str">
        <f t="shared" si="0"/>
        <v>木</v>
      </c>
      <c r="CZ4" s="158" t="str">
        <f t="shared" si="0"/>
        <v>金</v>
      </c>
      <c r="DA4" s="158" t="str">
        <f t="shared" si="0"/>
        <v>土</v>
      </c>
      <c r="DB4" s="158" t="str">
        <f t="shared" si="0"/>
        <v>日</v>
      </c>
      <c r="DC4" s="158" t="str">
        <f t="shared" si="0"/>
        <v>月</v>
      </c>
      <c r="DD4" s="158" t="str">
        <f t="shared" si="0"/>
        <v>火</v>
      </c>
      <c r="DE4" s="158" t="str">
        <f t="shared" si="0"/>
        <v>水</v>
      </c>
      <c r="DF4" s="158" t="str">
        <f t="shared" si="0"/>
        <v>木</v>
      </c>
      <c r="DG4" s="158" t="str">
        <f t="shared" si="0"/>
        <v>金</v>
      </c>
      <c r="DH4" s="158" t="str">
        <f t="shared" si="0"/>
        <v>土</v>
      </c>
      <c r="DI4" s="158" t="str">
        <f t="shared" si="0"/>
        <v>日</v>
      </c>
      <c r="DJ4" s="158" t="str">
        <f t="shared" si="0"/>
        <v>月</v>
      </c>
      <c r="DK4" s="158" t="str">
        <f t="shared" si="0"/>
        <v>火</v>
      </c>
      <c r="DL4" s="158" t="str">
        <f t="shared" si="0"/>
        <v>水</v>
      </c>
      <c r="DM4" s="158" t="str">
        <f t="shared" si="0"/>
        <v>木</v>
      </c>
      <c r="DN4" s="158" t="str">
        <f t="shared" si="0"/>
        <v>金</v>
      </c>
      <c r="DO4" s="159" t="str">
        <f t="shared" si="0"/>
        <v/>
      </c>
      <c r="DP4" s="159" t="str">
        <f t="shared" si="0"/>
        <v/>
      </c>
      <c r="DQ4" s="159" t="str">
        <f t="shared" si="0"/>
        <v/>
      </c>
      <c r="DR4" s="159" t="str">
        <f t="shared" si="0"/>
        <v/>
      </c>
      <c r="DS4" s="159" t="str">
        <f t="shared" si="0"/>
        <v/>
      </c>
      <c r="DT4" s="159" t="str">
        <f t="shared" si="0"/>
        <v/>
      </c>
      <c r="DU4" s="159" t="str">
        <f t="shared" si="0"/>
        <v/>
      </c>
      <c r="DV4" s="159" t="str">
        <f t="shared" si="0"/>
        <v/>
      </c>
      <c r="DW4" s="159" t="str">
        <f t="shared" si="0"/>
        <v/>
      </c>
      <c r="DX4" s="159" t="str">
        <f t="shared" si="0"/>
        <v/>
      </c>
      <c r="DY4" s="159" t="str">
        <f t="shared" si="0"/>
        <v/>
      </c>
      <c r="DZ4" s="159" t="str">
        <f t="shared" si="0"/>
        <v/>
      </c>
      <c r="EA4" s="159" t="str">
        <f t="shared" si="0"/>
        <v/>
      </c>
      <c r="EB4" s="159" t="str">
        <f t="shared" si="0"/>
        <v/>
      </c>
      <c r="EC4" s="159" t="str">
        <f t="shared" si="0"/>
        <v/>
      </c>
      <c r="ED4" s="159" t="str">
        <f t="shared" si="0"/>
        <v/>
      </c>
      <c r="EE4" s="159" t="str">
        <f t="shared" si="0"/>
        <v/>
      </c>
      <c r="EF4" s="159" t="str">
        <f t="shared" si="0"/>
        <v/>
      </c>
      <c r="EG4" s="159" t="str">
        <f t="shared" si="0"/>
        <v/>
      </c>
      <c r="EH4" s="159" t="str">
        <f t="shared" si="0"/>
        <v/>
      </c>
      <c r="EI4" s="159" t="str">
        <f t="shared" si="0"/>
        <v/>
      </c>
      <c r="EJ4" s="159" t="str">
        <f t="shared" si="0"/>
        <v/>
      </c>
      <c r="EK4" s="159" t="str">
        <f t="shared" si="0"/>
        <v/>
      </c>
      <c r="EL4" s="159" t="str">
        <f t="shared" si="0"/>
        <v/>
      </c>
      <c r="EM4" s="159" t="str">
        <f t="shared" si="0"/>
        <v/>
      </c>
      <c r="EN4" s="159" t="str">
        <f t="shared" si="0"/>
        <v/>
      </c>
      <c r="EO4" s="159" t="str">
        <f t="shared" si="0"/>
        <v/>
      </c>
      <c r="EP4" s="159" t="str">
        <f t="shared" si="0"/>
        <v/>
      </c>
      <c r="EQ4" s="159" t="str">
        <f t="shared" si="0"/>
        <v/>
      </c>
      <c r="ER4" s="159" t="str">
        <f t="shared" si="0"/>
        <v/>
      </c>
      <c r="ES4" s="159" t="str">
        <f t="shared" si="0"/>
        <v/>
      </c>
      <c r="ET4" s="159" t="str">
        <f t="shared" si="0"/>
        <v/>
      </c>
      <c r="EU4" s="159" t="str">
        <f t="shared" si="0"/>
        <v/>
      </c>
      <c r="EV4" s="159" t="str">
        <f t="shared" si="0"/>
        <v/>
      </c>
      <c r="EW4" s="159" t="str">
        <f t="shared" si="0"/>
        <v/>
      </c>
      <c r="EX4" s="159" t="str">
        <f t="shared" si="0"/>
        <v/>
      </c>
      <c r="EY4" s="159" t="str">
        <f t="shared" si="0"/>
        <v/>
      </c>
      <c r="EZ4" s="159" t="str">
        <f t="shared" si="0"/>
        <v/>
      </c>
      <c r="FA4" s="159" t="str">
        <f t="shared" si="0"/>
        <v/>
      </c>
      <c r="FB4" s="159" t="str">
        <f t="shared" si="0"/>
        <v/>
      </c>
      <c r="FC4" s="159" t="str">
        <f t="shared" si="0"/>
        <v/>
      </c>
      <c r="FD4" s="159" t="str">
        <f t="shared" si="0"/>
        <v/>
      </c>
      <c r="FE4" s="159" t="str">
        <f t="shared" si="0"/>
        <v/>
      </c>
      <c r="FF4" s="159" t="str">
        <f t="shared" si="0"/>
        <v/>
      </c>
      <c r="FG4" s="159" t="str">
        <f t="shared" si="0"/>
        <v/>
      </c>
      <c r="FH4" s="159" t="str">
        <f t="shared" si="0"/>
        <v/>
      </c>
      <c r="FI4" s="159" t="str">
        <f t="shared" si="0"/>
        <v/>
      </c>
      <c r="FJ4" s="159" t="str">
        <f t="shared" si="0"/>
        <v/>
      </c>
      <c r="FK4" s="159" t="str">
        <f t="shared" si="0"/>
        <v/>
      </c>
      <c r="FL4" s="159" t="str">
        <f t="shared" si="0"/>
        <v/>
      </c>
      <c r="FM4" s="159" t="str">
        <f t="shared" si="0"/>
        <v/>
      </c>
      <c r="FN4" s="159" t="str">
        <f t="shared" si="0"/>
        <v/>
      </c>
      <c r="FO4" s="159" t="str">
        <f t="shared" si="0"/>
        <v/>
      </c>
      <c r="FP4" s="159" t="str">
        <f t="shared" si="0"/>
        <v/>
      </c>
      <c r="FQ4" s="159" t="str">
        <f t="shared" si="0"/>
        <v/>
      </c>
      <c r="FR4" s="159" t="str">
        <f t="shared" si="0"/>
        <v/>
      </c>
      <c r="FS4" s="159" t="str">
        <f t="shared" si="0"/>
        <v/>
      </c>
      <c r="FT4" s="159" t="str">
        <f t="shared" si="0"/>
        <v/>
      </c>
      <c r="FU4" s="159" t="str">
        <f t="shared" si="0"/>
        <v/>
      </c>
      <c r="FV4" s="159" t="str">
        <f t="shared" si="0"/>
        <v/>
      </c>
      <c r="FW4" s="159" t="str">
        <f t="shared" si="0"/>
        <v/>
      </c>
      <c r="FX4" s="159" t="str">
        <f t="shared" si="0"/>
        <v/>
      </c>
      <c r="FY4" s="159" t="str">
        <f t="shared" si="0"/>
        <v/>
      </c>
      <c r="FZ4" s="159" t="str">
        <f t="shared" si="0"/>
        <v/>
      </c>
      <c r="GA4" s="159" t="str">
        <f t="shared" si="0"/>
        <v/>
      </c>
      <c r="GB4" s="159" t="str">
        <f t="shared" si="0"/>
        <v/>
      </c>
      <c r="GC4" s="159" t="str">
        <f t="shared" si="0"/>
        <v/>
      </c>
      <c r="GD4" s="159" t="str">
        <f t="shared" si="0"/>
        <v/>
      </c>
      <c r="GE4" s="159" t="str">
        <f t="shared" si="0"/>
        <v/>
      </c>
      <c r="GF4" s="159" t="str">
        <f t="shared" si="0"/>
        <v/>
      </c>
      <c r="GG4" s="159" t="str">
        <f t="shared" si="0"/>
        <v/>
      </c>
      <c r="GH4" s="159" t="str">
        <f t="shared" si="0"/>
        <v/>
      </c>
      <c r="GI4" s="159" t="str">
        <f t="shared" si="0"/>
        <v/>
      </c>
      <c r="GJ4" s="159" t="str">
        <f t="shared" si="0"/>
        <v/>
      </c>
      <c r="GK4" s="159" t="str">
        <f t="shared" si="0"/>
        <v/>
      </c>
      <c r="GL4" s="159" t="str">
        <f t="shared" si="0"/>
        <v/>
      </c>
      <c r="GM4" s="159" t="str">
        <f t="shared" si="0"/>
        <v/>
      </c>
      <c r="GN4" s="159" t="str">
        <f t="shared" si="0"/>
        <v/>
      </c>
      <c r="GO4" s="159" t="str">
        <f t="shared" si="0"/>
        <v/>
      </c>
      <c r="GP4" s="159" t="str">
        <f t="shared" si="0"/>
        <v/>
      </c>
      <c r="GQ4" s="159" t="str">
        <f t="shared" si="0"/>
        <v/>
      </c>
      <c r="GR4" s="159" t="str">
        <f t="shared" si="0"/>
        <v/>
      </c>
      <c r="GS4" s="159" t="str">
        <f t="shared" si="0"/>
        <v/>
      </c>
      <c r="GT4" s="159" t="str">
        <f t="shared" si="0"/>
        <v/>
      </c>
      <c r="GU4" s="159" t="str">
        <f t="shared" si="0"/>
        <v/>
      </c>
      <c r="GV4" s="159" t="str">
        <f t="shared" si="0"/>
        <v/>
      </c>
      <c r="GW4" s="159" t="str">
        <f t="shared" si="0"/>
        <v/>
      </c>
      <c r="GX4" s="159" t="str">
        <f t="shared" si="0"/>
        <v/>
      </c>
      <c r="GY4" s="159" t="str">
        <f t="shared" si="0"/>
        <v/>
      </c>
      <c r="GZ4" s="159" t="str">
        <f t="shared" si="0"/>
        <v/>
      </c>
      <c r="HA4" s="159" t="str">
        <f t="shared" si="0"/>
        <v/>
      </c>
      <c r="HB4" s="159" t="str">
        <f t="shared" si="0"/>
        <v/>
      </c>
      <c r="HC4" s="159" t="str">
        <f t="shared" si="0"/>
        <v/>
      </c>
      <c r="HD4" s="159" t="str">
        <f t="shared" si="0"/>
        <v/>
      </c>
      <c r="HE4" s="159" t="str">
        <f t="shared" si="0"/>
        <v/>
      </c>
      <c r="HF4" s="159" t="str">
        <f t="shared" si="0"/>
        <v/>
      </c>
      <c r="HG4" s="159" t="str">
        <f t="shared" si="0"/>
        <v/>
      </c>
      <c r="HH4" s="159" t="str">
        <f t="shared" si="0"/>
        <v/>
      </c>
      <c r="HI4" s="159" t="str">
        <f t="shared" si="0"/>
        <v/>
      </c>
      <c r="HJ4" s="159" t="str">
        <f t="shared" si="0"/>
        <v/>
      </c>
      <c r="HK4" s="159" t="str">
        <f t="shared" si="0"/>
        <v/>
      </c>
      <c r="HL4" s="159" t="str">
        <f t="shared" si="0"/>
        <v/>
      </c>
      <c r="HM4" s="159" t="str">
        <f t="shared" si="0"/>
        <v/>
      </c>
      <c r="HN4" s="159" t="str">
        <f t="shared" si="0"/>
        <v/>
      </c>
      <c r="HO4" s="159" t="str">
        <f t="shared" si="0"/>
        <v/>
      </c>
      <c r="HP4" s="159" t="str">
        <f t="shared" si="0"/>
        <v/>
      </c>
      <c r="HQ4" s="159" t="str">
        <f t="shared" si="0"/>
        <v/>
      </c>
      <c r="HR4" s="159" t="str">
        <f t="shared" si="0"/>
        <v/>
      </c>
      <c r="HS4" s="159" t="str">
        <f t="shared" si="0"/>
        <v/>
      </c>
      <c r="HT4" s="159" t="str">
        <f t="shared" si="0"/>
        <v/>
      </c>
      <c r="HU4" s="159" t="str">
        <f t="shared" si="0"/>
        <v/>
      </c>
      <c r="HV4" s="159" t="str">
        <f t="shared" si="0"/>
        <v/>
      </c>
      <c r="HW4" s="159" t="str">
        <f t="shared" si="0"/>
        <v/>
      </c>
      <c r="HX4" s="159" t="str">
        <f t="shared" si="0"/>
        <v/>
      </c>
      <c r="HY4" s="159" t="str">
        <f t="shared" si="0"/>
        <v/>
      </c>
      <c r="HZ4" s="159" t="str">
        <f t="shared" si="0"/>
        <v/>
      </c>
      <c r="IA4" s="159" t="str">
        <f t="shared" si="0"/>
        <v/>
      </c>
      <c r="IB4" s="159" t="str">
        <f t="shared" si="0"/>
        <v/>
      </c>
      <c r="IC4" s="159" t="str">
        <f t="shared" si="0"/>
        <v/>
      </c>
      <c r="ID4" s="159" t="str">
        <f t="shared" si="0"/>
        <v/>
      </c>
      <c r="IE4" s="159" t="str">
        <f t="shared" si="0"/>
        <v/>
      </c>
      <c r="IF4" s="159" t="str">
        <f t="shared" si="0"/>
        <v/>
      </c>
      <c r="IG4" s="159" t="str">
        <f t="shared" si="0"/>
        <v/>
      </c>
      <c r="IH4" s="159" t="str">
        <f t="shared" si="0"/>
        <v/>
      </c>
      <c r="II4" s="159" t="str">
        <f t="shared" si="0"/>
        <v/>
      </c>
      <c r="IJ4" s="159" t="str">
        <f t="shared" si="0"/>
        <v/>
      </c>
      <c r="IK4" s="159" t="str">
        <f t="shared" si="0"/>
        <v/>
      </c>
      <c r="IL4" s="159" t="str">
        <f t="shared" si="0"/>
        <v/>
      </c>
      <c r="IM4" s="159" t="str">
        <f t="shared" si="0"/>
        <v/>
      </c>
      <c r="IN4" s="159" t="str">
        <f t="shared" si="0"/>
        <v/>
      </c>
      <c r="IO4" s="159" t="str">
        <f t="shared" si="0"/>
        <v/>
      </c>
      <c r="IP4" s="159" t="str">
        <f t="shared" si="0"/>
        <v/>
      </c>
      <c r="IQ4" s="159" t="str">
        <f t="shared" si="0"/>
        <v/>
      </c>
      <c r="IR4" s="159" t="str">
        <f t="shared" si="0"/>
        <v/>
      </c>
      <c r="IS4" s="159" t="str">
        <f t="shared" si="0"/>
        <v/>
      </c>
      <c r="IT4" s="159" t="str">
        <f t="shared" si="0"/>
        <v/>
      </c>
      <c r="IU4" s="159" t="str">
        <f t="shared" si="0"/>
        <v/>
      </c>
      <c r="IV4" s="159" t="str">
        <f t="shared" si="0"/>
        <v/>
      </c>
      <c r="IW4" s="159" t="str">
        <f t="shared" si="0"/>
        <v/>
      </c>
      <c r="IX4" s="159" t="str">
        <f t="shared" si="0"/>
        <v/>
      </c>
      <c r="IY4" s="159" t="str">
        <f t="shared" si="0"/>
        <v/>
      </c>
      <c r="IZ4" s="159" t="str">
        <f t="shared" si="0"/>
        <v/>
      </c>
      <c r="JA4" s="159" t="str">
        <f t="shared" si="0"/>
        <v/>
      </c>
      <c r="JB4" s="159" t="str">
        <f t="shared" si="0"/>
        <v/>
      </c>
      <c r="JC4" s="159" t="str">
        <f t="shared" si="0"/>
        <v/>
      </c>
      <c r="JD4" s="159" t="str">
        <f t="shared" si="0"/>
        <v/>
      </c>
      <c r="JE4" s="159" t="str">
        <f t="shared" si="0"/>
        <v/>
      </c>
      <c r="JF4" s="159" t="str">
        <f t="shared" si="0"/>
        <v/>
      </c>
      <c r="JG4" s="159" t="str">
        <f t="shared" si="0"/>
        <v/>
      </c>
      <c r="JH4" s="159" t="str">
        <f t="shared" si="0"/>
        <v/>
      </c>
      <c r="JI4" s="159" t="str">
        <f t="shared" si="0"/>
        <v/>
      </c>
      <c r="JJ4" s="159" t="str">
        <f t="shared" si="0"/>
        <v/>
      </c>
      <c r="JK4" s="159" t="str">
        <f t="shared" ref="JK4:TE4" si="1">IF(JK3="","",TEXT(JK3,"aaa"))</f>
        <v/>
      </c>
      <c r="JL4" s="159" t="str">
        <f t="shared" si="1"/>
        <v/>
      </c>
      <c r="JM4" s="159" t="str">
        <f t="shared" si="1"/>
        <v/>
      </c>
      <c r="JN4" s="159" t="str">
        <f t="shared" si="1"/>
        <v/>
      </c>
      <c r="JO4" s="159" t="str">
        <f t="shared" si="1"/>
        <v/>
      </c>
      <c r="JP4" s="159" t="str">
        <f t="shared" si="1"/>
        <v/>
      </c>
      <c r="JQ4" s="159" t="str">
        <f t="shared" si="1"/>
        <v/>
      </c>
      <c r="JR4" s="159" t="str">
        <f t="shared" si="1"/>
        <v/>
      </c>
      <c r="JS4" s="159" t="str">
        <f t="shared" si="1"/>
        <v/>
      </c>
      <c r="JT4" s="159" t="str">
        <f t="shared" si="1"/>
        <v/>
      </c>
      <c r="JU4" s="159" t="str">
        <f t="shared" si="1"/>
        <v/>
      </c>
      <c r="JV4" s="159" t="str">
        <f t="shared" si="1"/>
        <v/>
      </c>
      <c r="JW4" s="159" t="str">
        <f t="shared" si="1"/>
        <v/>
      </c>
      <c r="JX4" s="159" t="str">
        <f t="shared" si="1"/>
        <v/>
      </c>
      <c r="JY4" s="159" t="str">
        <f t="shared" si="1"/>
        <v/>
      </c>
      <c r="JZ4" s="159" t="str">
        <f t="shared" si="1"/>
        <v/>
      </c>
      <c r="KA4" s="159" t="str">
        <f t="shared" si="1"/>
        <v/>
      </c>
      <c r="KB4" s="159" t="str">
        <f t="shared" si="1"/>
        <v/>
      </c>
      <c r="KC4" s="159" t="str">
        <f t="shared" si="1"/>
        <v/>
      </c>
      <c r="KD4" s="159" t="str">
        <f t="shared" si="1"/>
        <v/>
      </c>
      <c r="KE4" s="159" t="str">
        <f t="shared" si="1"/>
        <v/>
      </c>
      <c r="KF4" s="159" t="str">
        <f t="shared" si="1"/>
        <v/>
      </c>
      <c r="KG4" s="159" t="str">
        <f t="shared" si="1"/>
        <v/>
      </c>
      <c r="KH4" s="159" t="str">
        <f t="shared" si="1"/>
        <v/>
      </c>
      <c r="KI4" s="159" t="str">
        <f t="shared" si="1"/>
        <v/>
      </c>
      <c r="KJ4" s="159" t="str">
        <f t="shared" si="1"/>
        <v/>
      </c>
      <c r="KK4" s="159" t="str">
        <f t="shared" si="1"/>
        <v/>
      </c>
      <c r="KL4" s="159" t="str">
        <f t="shared" si="1"/>
        <v/>
      </c>
      <c r="KM4" s="159" t="str">
        <f t="shared" si="1"/>
        <v/>
      </c>
      <c r="KN4" s="159" t="str">
        <f t="shared" si="1"/>
        <v/>
      </c>
      <c r="KO4" s="159" t="str">
        <f t="shared" si="1"/>
        <v/>
      </c>
      <c r="KP4" s="159" t="str">
        <f t="shared" si="1"/>
        <v/>
      </c>
      <c r="KQ4" s="159" t="str">
        <f t="shared" si="1"/>
        <v/>
      </c>
      <c r="KR4" s="159" t="str">
        <f t="shared" si="1"/>
        <v/>
      </c>
      <c r="KS4" s="159" t="str">
        <f t="shared" si="1"/>
        <v/>
      </c>
      <c r="KT4" s="159" t="str">
        <f t="shared" si="1"/>
        <v/>
      </c>
      <c r="KU4" s="159" t="str">
        <f t="shared" si="1"/>
        <v/>
      </c>
      <c r="KV4" s="159" t="str">
        <f t="shared" si="1"/>
        <v/>
      </c>
      <c r="KW4" s="159" t="str">
        <f t="shared" si="1"/>
        <v/>
      </c>
      <c r="KX4" s="159" t="str">
        <f t="shared" si="1"/>
        <v/>
      </c>
      <c r="KY4" s="159" t="str">
        <f t="shared" si="1"/>
        <v/>
      </c>
      <c r="KZ4" s="159" t="str">
        <f t="shared" si="1"/>
        <v/>
      </c>
      <c r="LA4" s="159" t="str">
        <f t="shared" si="1"/>
        <v/>
      </c>
      <c r="LB4" s="159" t="str">
        <f t="shared" si="1"/>
        <v/>
      </c>
      <c r="LC4" s="159" t="str">
        <f t="shared" si="1"/>
        <v/>
      </c>
      <c r="LD4" s="159" t="str">
        <f t="shared" si="1"/>
        <v/>
      </c>
      <c r="LE4" s="159" t="str">
        <f t="shared" si="1"/>
        <v/>
      </c>
      <c r="LF4" s="159" t="str">
        <f t="shared" si="1"/>
        <v/>
      </c>
      <c r="LG4" s="159" t="str">
        <f t="shared" si="1"/>
        <v/>
      </c>
      <c r="LH4" s="159" t="str">
        <f t="shared" si="1"/>
        <v/>
      </c>
      <c r="LI4" s="159" t="str">
        <f t="shared" si="1"/>
        <v/>
      </c>
      <c r="LJ4" s="159" t="str">
        <f t="shared" si="1"/>
        <v/>
      </c>
      <c r="LK4" s="159" t="str">
        <f t="shared" si="1"/>
        <v/>
      </c>
      <c r="LL4" s="159" t="str">
        <f t="shared" si="1"/>
        <v/>
      </c>
      <c r="LM4" s="159" t="str">
        <f t="shared" si="1"/>
        <v/>
      </c>
      <c r="LN4" s="159" t="str">
        <f t="shared" si="1"/>
        <v/>
      </c>
      <c r="LO4" s="159" t="str">
        <f t="shared" si="1"/>
        <v/>
      </c>
      <c r="LP4" s="159" t="str">
        <f t="shared" si="1"/>
        <v/>
      </c>
      <c r="LQ4" s="159" t="str">
        <f t="shared" si="1"/>
        <v/>
      </c>
      <c r="LR4" s="159" t="str">
        <f t="shared" si="1"/>
        <v/>
      </c>
      <c r="LS4" s="159" t="str">
        <f t="shared" si="1"/>
        <v/>
      </c>
      <c r="LT4" s="159" t="str">
        <f t="shared" si="1"/>
        <v/>
      </c>
      <c r="LU4" s="159" t="str">
        <f t="shared" si="1"/>
        <v/>
      </c>
      <c r="LV4" s="159" t="str">
        <f t="shared" si="1"/>
        <v/>
      </c>
      <c r="LW4" s="159" t="str">
        <f t="shared" si="1"/>
        <v/>
      </c>
      <c r="LX4" s="159" t="str">
        <f t="shared" si="1"/>
        <v/>
      </c>
      <c r="LY4" s="159" t="str">
        <f t="shared" si="1"/>
        <v/>
      </c>
      <c r="LZ4" s="159" t="str">
        <f t="shared" si="1"/>
        <v/>
      </c>
      <c r="MA4" s="159" t="str">
        <f t="shared" si="1"/>
        <v/>
      </c>
      <c r="MB4" s="159" t="str">
        <f t="shared" si="1"/>
        <v/>
      </c>
      <c r="MC4" s="159" t="str">
        <f t="shared" si="1"/>
        <v/>
      </c>
      <c r="MD4" s="159" t="str">
        <f t="shared" si="1"/>
        <v/>
      </c>
      <c r="ME4" s="159" t="str">
        <f t="shared" si="1"/>
        <v/>
      </c>
      <c r="MF4" s="159" t="str">
        <f t="shared" si="1"/>
        <v/>
      </c>
      <c r="MG4" s="159" t="str">
        <f t="shared" si="1"/>
        <v/>
      </c>
      <c r="MH4" s="159" t="str">
        <f t="shared" si="1"/>
        <v/>
      </c>
      <c r="MI4" s="159" t="str">
        <f t="shared" si="1"/>
        <v/>
      </c>
      <c r="MJ4" s="159" t="str">
        <f t="shared" si="1"/>
        <v/>
      </c>
      <c r="MK4" s="159" t="str">
        <f t="shared" si="1"/>
        <v/>
      </c>
      <c r="ML4" s="159" t="str">
        <f t="shared" si="1"/>
        <v/>
      </c>
      <c r="MM4" s="159" t="str">
        <f t="shared" si="1"/>
        <v/>
      </c>
      <c r="MN4" s="159" t="str">
        <f t="shared" si="1"/>
        <v/>
      </c>
      <c r="MO4" s="159" t="str">
        <f t="shared" si="1"/>
        <v/>
      </c>
      <c r="MP4" s="159" t="str">
        <f t="shared" si="1"/>
        <v/>
      </c>
      <c r="MQ4" s="159" t="str">
        <f t="shared" si="1"/>
        <v/>
      </c>
      <c r="MR4" s="159" t="str">
        <f t="shared" si="1"/>
        <v/>
      </c>
      <c r="MS4" s="159" t="str">
        <f t="shared" si="1"/>
        <v/>
      </c>
      <c r="MT4" s="159" t="str">
        <f t="shared" si="1"/>
        <v/>
      </c>
      <c r="MU4" s="159" t="str">
        <f t="shared" si="1"/>
        <v/>
      </c>
      <c r="MV4" s="159" t="str">
        <f t="shared" si="1"/>
        <v/>
      </c>
      <c r="MW4" s="159" t="str">
        <f t="shared" si="1"/>
        <v/>
      </c>
      <c r="MX4" s="159" t="str">
        <f t="shared" si="1"/>
        <v/>
      </c>
      <c r="MY4" s="159" t="str">
        <f t="shared" si="1"/>
        <v/>
      </c>
      <c r="MZ4" s="159" t="str">
        <f t="shared" si="1"/>
        <v/>
      </c>
      <c r="NA4" s="159" t="str">
        <f t="shared" si="1"/>
        <v/>
      </c>
      <c r="NB4" s="159" t="str">
        <f t="shared" si="1"/>
        <v/>
      </c>
      <c r="NC4" s="159" t="str">
        <f t="shared" si="1"/>
        <v/>
      </c>
      <c r="ND4" s="159" t="str">
        <f t="shared" si="1"/>
        <v/>
      </c>
      <c r="NE4" s="159" t="str">
        <f t="shared" si="1"/>
        <v/>
      </c>
      <c r="NF4" s="159" t="str">
        <f t="shared" si="1"/>
        <v/>
      </c>
      <c r="NG4" s="159" t="str">
        <f t="shared" si="1"/>
        <v/>
      </c>
      <c r="NH4" s="159" t="str">
        <f t="shared" si="1"/>
        <v/>
      </c>
      <c r="NI4" s="159" t="str">
        <f t="shared" si="1"/>
        <v/>
      </c>
      <c r="NJ4" s="159" t="str">
        <f t="shared" si="1"/>
        <v/>
      </c>
      <c r="NK4" s="159" t="str">
        <f t="shared" si="1"/>
        <v/>
      </c>
      <c r="NL4" s="159" t="str">
        <f t="shared" si="1"/>
        <v/>
      </c>
      <c r="NM4" s="159" t="str">
        <f t="shared" si="1"/>
        <v/>
      </c>
      <c r="NN4" s="159" t="str">
        <f t="shared" si="1"/>
        <v/>
      </c>
      <c r="NO4" s="159" t="str">
        <f t="shared" si="1"/>
        <v/>
      </c>
      <c r="NP4" s="159" t="str">
        <f t="shared" si="1"/>
        <v/>
      </c>
      <c r="NQ4" s="159" t="str">
        <f t="shared" si="1"/>
        <v/>
      </c>
      <c r="NR4" s="159" t="str">
        <f t="shared" si="1"/>
        <v/>
      </c>
      <c r="NS4" s="159" t="str">
        <f t="shared" si="1"/>
        <v/>
      </c>
      <c r="NT4" s="159" t="str">
        <f t="shared" si="1"/>
        <v/>
      </c>
      <c r="NU4" s="159" t="str">
        <f t="shared" si="1"/>
        <v/>
      </c>
      <c r="NV4" s="159" t="str">
        <f t="shared" si="1"/>
        <v/>
      </c>
      <c r="NW4" s="159" t="str">
        <f t="shared" si="1"/>
        <v/>
      </c>
      <c r="NX4" s="159" t="str">
        <f t="shared" si="1"/>
        <v/>
      </c>
      <c r="NY4" s="159" t="str">
        <f t="shared" si="1"/>
        <v/>
      </c>
      <c r="NZ4" s="159" t="str">
        <f t="shared" si="1"/>
        <v/>
      </c>
      <c r="OA4" s="159" t="str">
        <f t="shared" si="1"/>
        <v/>
      </c>
      <c r="OB4" s="159" t="str">
        <f t="shared" si="1"/>
        <v/>
      </c>
      <c r="OC4" s="159" t="str">
        <f t="shared" si="1"/>
        <v/>
      </c>
      <c r="OD4" s="159" t="str">
        <f t="shared" si="1"/>
        <v/>
      </c>
      <c r="OE4" s="159" t="str">
        <f t="shared" si="1"/>
        <v/>
      </c>
      <c r="OF4" s="159" t="str">
        <f t="shared" si="1"/>
        <v/>
      </c>
      <c r="OG4" s="159" t="str">
        <f t="shared" si="1"/>
        <v/>
      </c>
      <c r="OH4" s="159" t="str">
        <f t="shared" si="1"/>
        <v/>
      </c>
      <c r="OI4" s="159" t="str">
        <f t="shared" si="1"/>
        <v/>
      </c>
      <c r="OJ4" s="159" t="str">
        <f t="shared" si="1"/>
        <v/>
      </c>
      <c r="OK4" s="159" t="str">
        <f t="shared" si="1"/>
        <v/>
      </c>
      <c r="OL4" s="159" t="str">
        <f t="shared" si="1"/>
        <v/>
      </c>
      <c r="OM4" s="159" t="str">
        <f t="shared" si="1"/>
        <v/>
      </c>
      <c r="ON4" s="159" t="str">
        <f t="shared" si="1"/>
        <v/>
      </c>
      <c r="OO4" s="159" t="str">
        <f t="shared" si="1"/>
        <v/>
      </c>
      <c r="OP4" s="159" t="str">
        <f t="shared" si="1"/>
        <v/>
      </c>
      <c r="OQ4" s="159" t="str">
        <f t="shared" si="1"/>
        <v/>
      </c>
      <c r="OR4" s="159" t="str">
        <f t="shared" si="1"/>
        <v/>
      </c>
      <c r="OS4" s="159" t="str">
        <f t="shared" si="1"/>
        <v/>
      </c>
      <c r="OT4" s="159" t="str">
        <f t="shared" si="1"/>
        <v/>
      </c>
      <c r="OU4" s="159" t="str">
        <f t="shared" si="1"/>
        <v/>
      </c>
      <c r="OV4" s="159" t="str">
        <f t="shared" si="1"/>
        <v/>
      </c>
      <c r="OW4" s="159" t="str">
        <f t="shared" si="1"/>
        <v/>
      </c>
      <c r="OX4" s="159" t="str">
        <f t="shared" si="1"/>
        <v/>
      </c>
      <c r="OY4" s="159" t="str">
        <f t="shared" si="1"/>
        <v/>
      </c>
      <c r="OZ4" s="159" t="str">
        <f t="shared" si="1"/>
        <v/>
      </c>
      <c r="PA4" s="159" t="str">
        <f t="shared" si="1"/>
        <v/>
      </c>
      <c r="PB4" s="159" t="str">
        <f t="shared" si="1"/>
        <v/>
      </c>
      <c r="PC4" s="159" t="str">
        <f t="shared" si="1"/>
        <v/>
      </c>
      <c r="PD4" s="159" t="str">
        <f t="shared" si="1"/>
        <v/>
      </c>
      <c r="PE4" s="159" t="str">
        <f t="shared" si="1"/>
        <v/>
      </c>
      <c r="PF4" s="159" t="str">
        <f t="shared" si="1"/>
        <v/>
      </c>
      <c r="PG4" s="159" t="str">
        <f t="shared" si="1"/>
        <v/>
      </c>
      <c r="PH4" s="159" t="str">
        <f t="shared" si="1"/>
        <v/>
      </c>
      <c r="PI4" s="159" t="str">
        <f t="shared" si="1"/>
        <v/>
      </c>
      <c r="PJ4" s="159" t="str">
        <f t="shared" si="1"/>
        <v/>
      </c>
      <c r="PK4" s="159" t="str">
        <f t="shared" si="1"/>
        <v/>
      </c>
      <c r="PL4" s="159" t="str">
        <f t="shared" si="1"/>
        <v/>
      </c>
      <c r="PM4" s="159" t="str">
        <f t="shared" si="1"/>
        <v/>
      </c>
      <c r="PN4" s="159" t="str">
        <f t="shared" si="1"/>
        <v/>
      </c>
      <c r="PO4" s="159" t="str">
        <f t="shared" si="1"/>
        <v/>
      </c>
      <c r="PP4" s="159" t="str">
        <f t="shared" si="1"/>
        <v/>
      </c>
      <c r="PQ4" s="159" t="str">
        <f t="shared" si="1"/>
        <v/>
      </c>
      <c r="PR4" s="159" t="str">
        <f t="shared" si="1"/>
        <v/>
      </c>
      <c r="PS4" s="159" t="str">
        <f t="shared" si="1"/>
        <v/>
      </c>
      <c r="PT4" s="159" t="str">
        <f t="shared" si="1"/>
        <v/>
      </c>
      <c r="PU4" s="159" t="str">
        <f t="shared" si="1"/>
        <v/>
      </c>
      <c r="PV4" s="159" t="str">
        <f t="shared" si="1"/>
        <v/>
      </c>
      <c r="PW4" s="159" t="str">
        <f t="shared" si="1"/>
        <v/>
      </c>
      <c r="PX4" s="159" t="str">
        <f t="shared" si="1"/>
        <v/>
      </c>
      <c r="PY4" s="159" t="str">
        <f t="shared" si="1"/>
        <v/>
      </c>
      <c r="PZ4" s="159" t="str">
        <f t="shared" si="1"/>
        <v/>
      </c>
      <c r="QA4" s="159" t="str">
        <f t="shared" si="1"/>
        <v/>
      </c>
      <c r="QB4" s="159" t="str">
        <f t="shared" si="1"/>
        <v/>
      </c>
      <c r="QC4" s="159" t="str">
        <f t="shared" si="1"/>
        <v/>
      </c>
      <c r="QD4" s="159" t="str">
        <f t="shared" si="1"/>
        <v/>
      </c>
      <c r="QE4" s="159" t="str">
        <f t="shared" si="1"/>
        <v/>
      </c>
      <c r="QF4" s="159" t="str">
        <f t="shared" si="1"/>
        <v/>
      </c>
      <c r="QG4" s="159" t="str">
        <f t="shared" si="1"/>
        <v/>
      </c>
      <c r="QH4" s="159" t="str">
        <f t="shared" si="1"/>
        <v/>
      </c>
      <c r="QI4" s="159" t="str">
        <f t="shared" si="1"/>
        <v/>
      </c>
      <c r="QJ4" s="159" t="str">
        <f t="shared" si="1"/>
        <v/>
      </c>
      <c r="QK4" s="159" t="str">
        <f t="shared" si="1"/>
        <v/>
      </c>
      <c r="QL4" s="159" t="str">
        <f t="shared" si="1"/>
        <v/>
      </c>
      <c r="QM4" s="159" t="str">
        <f t="shared" si="1"/>
        <v/>
      </c>
      <c r="QN4" s="159" t="str">
        <f t="shared" si="1"/>
        <v/>
      </c>
      <c r="QO4" s="159" t="str">
        <f t="shared" si="1"/>
        <v/>
      </c>
      <c r="QP4" s="159" t="str">
        <f t="shared" si="1"/>
        <v/>
      </c>
      <c r="QQ4" s="159" t="str">
        <f t="shared" si="1"/>
        <v/>
      </c>
      <c r="QR4" s="159" t="str">
        <f t="shared" si="1"/>
        <v/>
      </c>
      <c r="QS4" s="159" t="str">
        <f t="shared" si="1"/>
        <v/>
      </c>
      <c r="QT4" s="159" t="str">
        <f t="shared" si="1"/>
        <v/>
      </c>
      <c r="QU4" s="159" t="str">
        <f t="shared" si="1"/>
        <v/>
      </c>
      <c r="QV4" s="159" t="str">
        <f t="shared" si="1"/>
        <v/>
      </c>
      <c r="QW4" s="159" t="str">
        <f t="shared" si="1"/>
        <v/>
      </c>
      <c r="QX4" s="159" t="str">
        <f t="shared" si="1"/>
        <v/>
      </c>
      <c r="QY4" s="159" t="str">
        <f t="shared" si="1"/>
        <v/>
      </c>
      <c r="QZ4" s="159" t="str">
        <f t="shared" si="1"/>
        <v/>
      </c>
      <c r="RA4" s="159" t="str">
        <f t="shared" si="1"/>
        <v/>
      </c>
      <c r="RB4" s="159" t="str">
        <f t="shared" si="1"/>
        <v/>
      </c>
      <c r="RC4" s="159" t="str">
        <f t="shared" si="1"/>
        <v/>
      </c>
      <c r="RD4" s="159" t="str">
        <f t="shared" si="1"/>
        <v/>
      </c>
      <c r="RE4" s="159" t="str">
        <f t="shared" si="1"/>
        <v/>
      </c>
      <c r="RF4" s="159" t="str">
        <f t="shared" si="1"/>
        <v/>
      </c>
      <c r="RG4" s="159" t="str">
        <f t="shared" si="1"/>
        <v/>
      </c>
      <c r="RH4" s="159" t="str">
        <f t="shared" si="1"/>
        <v/>
      </c>
      <c r="RI4" s="159" t="str">
        <f t="shared" si="1"/>
        <v/>
      </c>
      <c r="RJ4" s="159" t="str">
        <f t="shared" si="1"/>
        <v/>
      </c>
      <c r="RK4" s="159" t="str">
        <f t="shared" si="1"/>
        <v/>
      </c>
      <c r="RL4" s="159" t="str">
        <f t="shared" si="1"/>
        <v/>
      </c>
      <c r="RM4" s="159" t="str">
        <f t="shared" si="1"/>
        <v/>
      </c>
      <c r="RN4" s="159" t="str">
        <f t="shared" si="1"/>
        <v/>
      </c>
      <c r="RO4" s="159" t="str">
        <f t="shared" si="1"/>
        <v/>
      </c>
      <c r="RP4" s="159" t="str">
        <f t="shared" si="1"/>
        <v/>
      </c>
      <c r="RQ4" s="159" t="str">
        <f t="shared" si="1"/>
        <v/>
      </c>
      <c r="RR4" s="159" t="str">
        <f t="shared" si="1"/>
        <v/>
      </c>
      <c r="RS4" s="159" t="str">
        <f t="shared" si="1"/>
        <v/>
      </c>
      <c r="RT4" s="159" t="str">
        <f t="shared" si="1"/>
        <v/>
      </c>
      <c r="RU4" s="159" t="str">
        <f t="shared" si="1"/>
        <v/>
      </c>
      <c r="RV4" s="159" t="str">
        <f t="shared" si="1"/>
        <v/>
      </c>
      <c r="RW4" s="159" t="str">
        <f t="shared" si="1"/>
        <v/>
      </c>
      <c r="RX4" s="159" t="str">
        <f t="shared" si="1"/>
        <v/>
      </c>
      <c r="RY4" s="159" t="str">
        <f t="shared" si="1"/>
        <v/>
      </c>
      <c r="RZ4" s="159" t="str">
        <f t="shared" si="1"/>
        <v/>
      </c>
      <c r="SA4" s="159" t="str">
        <f t="shared" si="1"/>
        <v/>
      </c>
      <c r="SB4" s="159" t="str">
        <f t="shared" si="1"/>
        <v/>
      </c>
      <c r="SC4" s="159" t="str">
        <f t="shared" si="1"/>
        <v/>
      </c>
      <c r="SD4" s="159" t="str">
        <f t="shared" si="1"/>
        <v/>
      </c>
      <c r="SE4" s="159" t="str">
        <f t="shared" si="1"/>
        <v/>
      </c>
      <c r="SF4" s="159" t="str">
        <f t="shared" si="1"/>
        <v/>
      </c>
      <c r="SG4" s="159" t="str">
        <f t="shared" si="1"/>
        <v/>
      </c>
      <c r="SH4" s="159" t="str">
        <f t="shared" si="1"/>
        <v/>
      </c>
      <c r="SI4" s="159" t="str">
        <f t="shared" si="1"/>
        <v/>
      </c>
      <c r="SJ4" s="159" t="str">
        <f t="shared" si="1"/>
        <v/>
      </c>
      <c r="SK4" s="159" t="str">
        <f t="shared" si="1"/>
        <v/>
      </c>
      <c r="SL4" s="159" t="str">
        <f t="shared" si="1"/>
        <v/>
      </c>
      <c r="SM4" s="159" t="str">
        <f t="shared" si="1"/>
        <v/>
      </c>
      <c r="SN4" s="159" t="str">
        <f t="shared" si="1"/>
        <v/>
      </c>
      <c r="SO4" s="159" t="str">
        <f t="shared" si="1"/>
        <v/>
      </c>
      <c r="SP4" s="159" t="str">
        <f t="shared" si="1"/>
        <v/>
      </c>
      <c r="SQ4" s="159" t="str">
        <f t="shared" si="1"/>
        <v/>
      </c>
      <c r="SR4" s="159" t="str">
        <f t="shared" si="1"/>
        <v/>
      </c>
      <c r="SS4" s="159" t="str">
        <f t="shared" si="1"/>
        <v/>
      </c>
      <c r="ST4" s="159" t="str">
        <f t="shared" si="1"/>
        <v/>
      </c>
      <c r="SU4" s="159" t="str">
        <f t="shared" si="1"/>
        <v/>
      </c>
      <c r="SV4" s="159" t="str">
        <f t="shared" si="1"/>
        <v/>
      </c>
      <c r="SW4" s="159" t="str">
        <f t="shared" si="1"/>
        <v/>
      </c>
      <c r="SX4" s="159" t="str">
        <f t="shared" si="1"/>
        <v/>
      </c>
      <c r="SY4" s="159" t="str">
        <f t="shared" si="1"/>
        <v/>
      </c>
      <c r="SZ4" s="159" t="str">
        <f t="shared" si="1"/>
        <v/>
      </c>
      <c r="TA4" s="159" t="str">
        <f t="shared" si="1"/>
        <v/>
      </c>
      <c r="TB4" s="159" t="str">
        <f t="shared" si="1"/>
        <v/>
      </c>
      <c r="TC4" s="159" t="str">
        <f t="shared" si="1"/>
        <v/>
      </c>
      <c r="TD4" s="159" t="str">
        <f t="shared" si="1"/>
        <v/>
      </c>
      <c r="TE4" s="159" t="str">
        <f t="shared" si="1"/>
        <v/>
      </c>
      <c r="TF4" s="159" t="str">
        <f t="shared" ref="TF4:ZZ4" si="2">IF(TF3="","",TEXT(TF3,"aaa"))</f>
        <v/>
      </c>
      <c r="TG4" s="159" t="str">
        <f t="shared" si="2"/>
        <v/>
      </c>
      <c r="TH4" s="159" t="str">
        <f t="shared" si="2"/>
        <v/>
      </c>
      <c r="TI4" s="159" t="str">
        <f t="shared" si="2"/>
        <v/>
      </c>
      <c r="TJ4" s="159" t="str">
        <f t="shared" si="2"/>
        <v/>
      </c>
      <c r="TK4" s="159" t="str">
        <f t="shared" si="2"/>
        <v/>
      </c>
      <c r="TL4" s="159" t="str">
        <f t="shared" si="2"/>
        <v/>
      </c>
      <c r="TM4" s="159" t="str">
        <f t="shared" si="2"/>
        <v/>
      </c>
      <c r="TN4" s="159" t="str">
        <f t="shared" si="2"/>
        <v/>
      </c>
      <c r="TO4" s="159" t="str">
        <f t="shared" si="2"/>
        <v/>
      </c>
      <c r="TP4" s="159" t="str">
        <f t="shared" si="2"/>
        <v/>
      </c>
      <c r="TQ4" s="159" t="str">
        <f t="shared" si="2"/>
        <v/>
      </c>
      <c r="TR4" s="159" t="str">
        <f t="shared" si="2"/>
        <v/>
      </c>
      <c r="TS4" s="159" t="str">
        <f t="shared" si="2"/>
        <v/>
      </c>
      <c r="TT4" s="159" t="str">
        <f t="shared" si="2"/>
        <v/>
      </c>
      <c r="TU4" s="159" t="str">
        <f t="shared" si="2"/>
        <v/>
      </c>
      <c r="TV4" s="159" t="str">
        <f t="shared" si="2"/>
        <v/>
      </c>
      <c r="TW4" s="159" t="str">
        <f t="shared" si="2"/>
        <v/>
      </c>
      <c r="TX4" s="159" t="str">
        <f t="shared" si="2"/>
        <v/>
      </c>
      <c r="TY4" s="159" t="str">
        <f t="shared" si="2"/>
        <v/>
      </c>
      <c r="TZ4" s="159" t="str">
        <f t="shared" si="2"/>
        <v/>
      </c>
      <c r="UA4" s="159" t="str">
        <f t="shared" si="2"/>
        <v/>
      </c>
      <c r="UB4" s="159" t="str">
        <f t="shared" si="2"/>
        <v/>
      </c>
      <c r="UC4" s="159" t="str">
        <f t="shared" si="2"/>
        <v/>
      </c>
      <c r="UD4" s="159" t="str">
        <f t="shared" si="2"/>
        <v/>
      </c>
      <c r="UE4" s="159" t="str">
        <f t="shared" si="2"/>
        <v/>
      </c>
      <c r="UF4" s="159" t="str">
        <f t="shared" si="2"/>
        <v/>
      </c>
      <c r="UG4" s="159" t="str">
        <f t="shared" si="2"/>
        <v/>
      </c>
      <c r="UH4" s="159" t="str">
        <f t="shared" si="2"/>
        <v/>
      </c>
      <c r="UI4" s="159" t="str">
        <f t="shared" si="2"/>
        <v/>
      </c>
      <c r="UJ4" s="159" t="str">
        <f t="shared" si="2"/>
        <v/>
      </c>
      <c r="UK4" s="159" t="str">
        <f t="shared" si="2"/>
        <v/>
      </c>
      <c r="UL4" s="159" t="str">
        <f t="shared" si="2"/>
        <v/>
      </c>
      <c r="UM4" s="159" t="str">
        <f t="shared" si="2"/>
        <v/>
      </c>
      <c r="UN4" s="159" t="str">
        <f t="shared" si="2"/>
        <v/>
      </c>
      <c r="UO4" s="159" t="str">
        <f t="shared" si="2"/>
        <v/>
      </c>
      <c r="UP4" s="159" t="str">
        <f t="shared" si="2"/>
        <v/>
      </c>
      <c r="UQ4" s="159" t="str">
        <f t="shared" si="2"/>
        <v/>
      </c>
      <c r="UR4" s="159" t="str">
        <f t="shared" si="2"/>
        <v/>
      </c>
      <c r="US4" s="159" t="str">
        <f t="shared" si="2"/>
        <v/>
      </c>
      <c r="UT4" s="159" t="str">
        <f t="shared" si="2"/>
        <v/>
      </c>
      <c r="UU4" s="159" t="str">
        <f t="shared" si="2"/>
        <v/>
      </c>
      <c r="UV4" s="159" t="str">
        <f t="shared" si="2"/>
        <v/>
      </c>
      <c r="UW4" s="159" t="str">
        <f t="shared" si="2"/>
        <v/>
      </c>
      <c r="UX4" s="159" t="str">
        <f t="shared" si="2"/>
        <v/>
      </c>
      <c r="UY4" s="159" t="str">
        <f t="shared" si="2"/>
        <v/>
      </c>
      <c r="UZ4" s="159" t="str">
        <f t="shared" si="2"/>
        <v/>
      </c>
      <c r="VA4" s="159" t="str">
        <f t="shared" si="2"/>
        <v/>
      </c>
      <c r="VB4" s="159" t="str">
        <f t="shared" si="2"/>
        <v/>
      </c>
      <c r="VC4" s="159" t="str">
        <f t="shared" si="2"/>
        <v/>
      </c>
      <c r="VD4" s="159" t="str">
        <f t="shared" si="2"/>
        <v/>
      </c>
      <c r="VE4" s="159" t="str">
        <f t="shared" si="2"/>
        <v/>
      </c>
      <c r="VF4" s="159" t="str">
        <f t="shared" si="2"/>
        <v/>
      </c>
      <c r="VG4" s="159" t="str">
        <f t="shared" si="2"/>
        <v/>
      </c>
      <c r="VH4" s="159" t="str">
        <f t="shared" si="2"/>
        <v/>
      </c>
      <c r="VI4" s="159" t="str">
        <f t="shared" si="2"/>
        <v/>
      </c>
      <c r="VJ4" s="159" t="str">
        <f t="shared" si="2"/>
        <v/>
      </c>
      <c r="VK4" s="159" t="str">
        <f t="shared" si="2"/>
        <v/>
      </c>
      <c r="VL4" s="159" t="str">
        <f t="shared" si="2"/>
        <v/>
      </c>
      <c r="VM4" s="159" t="str">
        <f t="shared" si="2"/>
        <v/>
      </c>
      <c r="VN4" s="159" t="str">
        <f t="shared" si="2"/>
        <v/>
      </c>
      <c r="VO4" s="159" t="str">
        <f t="shared" si="2"/>
        <v/>
      </c>
      <c r="VP4" s="159" t="str">
        <f t="shared" si="2"/>
        <v/>
      </c>
      <c r="VQ4" s="159" t="str">
        <f t="shared" si="2"/>
        <v/>
      </c>
      <c r="VR4" s="159" t="str">
        <f t="shared" si="2"/>
        <v/>
      </c>
      <c r="VS4" s="159" t="str">
        <f t="shared" si="2"/>
        <v/>
      </c>
      <c r="VT4" s="159" t="str">
        <f t="shared" si="2"/>
        <v/>
      </c>
      <c r="VU4" s="159" t="str">
        <f t="shared" si="2"/>
        <v/>
      </c>
      <c r="VV4" s="159" t="str">
        <f t="shared" si="2"/>
        <v/>
      </c>
      <c r="VW4" s="159" t="str">
        <f t="shared" si="2"/>
        <v/>
      </c>
      <c r="VX4" s="159" t="str">
        <f t="shared" si="2"/>
        <v/>
      </c>
      <c r="VY4" s="159" t="str">
        <f t="shared" si="2"/>
        <v/>
      </c>
      <c r="VZ4" s="159" t="str">
        <f t="shared" si="2"/>
        <v/>
      </c>
      <c r="WA4" s="159" t="str">
        <f t="shared" si="2"/>
        <v/>
      </c>
      <c r="WB4" s="159" t="str">
        <f t="shared" si="2"/>
        <v/>
      </c>
      <c r="WC4" s="159" t="str">
        <f t="shared" si="2"/>
        <v/>
      </c>
      <c r="WD4" s="159" t="str">
        <f t="shared" si="2"/>
        <v/>
      </c>
      <c r="WE4" s="159" t="str">
        <f t="shared" si="2"/>
        <v/>
      </c>
      <c r="WF4" s="159" t="str">
        <f t="shared" si="2"/>
        <v/>
      </c>
      <c r="WG4" s="159" t="str">
        <f t="shared" si="2"/>
        <v/>
      </c>
      <c r="WH4" s="159" t="str">
        <f t="shared" si="2"/>
        <v/>
      </c>
      <c r="WI4" s="159" t="str">
        <f t="shared" si="2"/>
        <v/>
      </c>
      <c r="WJ4" s="159" t="str">
        <f t="shared" si="2"/>
        <v/>
      </c>
      <c r="WK4" s="159" t="str">
        <f t="shared" si="2"/>
        <v/>
      </c>
      <c r="WL4" s="159" t="str">
        <f t="shared" si="2"/>
        <v/>
      </c>
      <c r="WM4" s="159" t="str">
        <f t="shared" si="2"/>
        <v/>
      </c>
      <c r="WN4" s="159" t="str">
        <f t="shared" si="2"/>
        <v/>
      </c>
      <c r="WO4" s="159" t="str">
        <f t="shared" si="2"/>
        <v/>
      </c>
      <c r="WP4" s="159" t="str">
        <f t="shared" si="2"/>
        <v/>
      </c>
      <c r="WQ4" s="159" t="str">
        <f t="shared" si="2"/>
        <v/>
      </c>
      <c r="WR4" s="159" t="str">
        <f t="shared" si="2"/>
        <v/>
      </c>
      <c r="WS4" s="159" t="str">
        <f t="shared" si="2"/>
        <v/>
      </c>
      <c r="WT4" s="159" t="str">
        <f t="shared" si="2"/>
        <v/>
      </c>
      <c r="WU4" s="159" t="str">
        <f t="shared" si="2"/>
        <v/>
      </c>
      <c r="WV4" s="159" t="str">
        <f t="shared" si="2"/>
        <v/>
      </c>
      <c r="WW4" s="159" t="str">
        <f t="shared" si="2"/>
        <v/>
      </c>
      <c r="WX4" s="159" t="str">
        <f t="shared" si="2"/>
        <v/>
      </c>
      <c r="WY4" s="159" t="str">
        <f t="shared" si="2"/>
        <v/>
      </c>
      <c r="WZ4" s="159" t="str">
        <f t="shared" si="2"/>
        <v/>
      </c>
      <c r="XA4" s="159" t="str">
        <f t="shared" si="2"/>
        <v/>
      </c>
      <c r="XB4" s="159" t="str">
        <f t="shared" si="2"/>
        <v/>
      </c>
      <c r="XC4" s="159" t="str">
        <f t="shared" si="2"/>
        <v/>
      </c>
      <c r="XD4" s="159" t="str">
        <f t="shared" si="2"/>
        <v/>
      </c>
      <c r="XE4" s="159" t="str">
        <f t="shared" si="2"/>
        <v/>
      </c>
      <c r="XF4" s="159" t="str">
        <f t="shared" si="2"/>
        <v/>
      </c>
      <c r="XG4" s="159" t="str">
        <f t="shared" si="2"/>
        <v/>
      </c>
      <c r="XH4" s="159" t="str">
        <f t="shared" si="2"/>
        <v/>
      </c>
      <c r="XI4" s="159" t="str">
        <f t="shared" si="2"/>
        <v/>
      </c>
      <c r="XJ4" s="159" t="str">
        <f t="shared" si="2"/>
        <v/>
      </c>
      <c r="XK4" s="159" t="str">
        <f t="shared" si="2"/>
        <v/>
      </c>
      <c r="XL4" s="159" t="str">
        <f t="shared" si="2"/>
        <v/>
      </c>
      <c r="XM4" s="159" t="str">
        <f t="shared" si="2"/>
        <v/>
      </c>
      <c r="XN4" s="159" t="str">
        <f t="shared" si="2"/>
        <v/>
      </c>
      <c r="XO4" s="159" t="str">
        <f t="shared" si="2"/>
        <v/>
      </c>
      <c r="XP4" s="159" t="str">
        <f t="shared" si="2"/>
        <v/>
      </c>
      <c r="XQ4" s="159" t="str">
        <f t="shared" si="2"/>
        <v/>
      </c>
      <c r="XR4" s="159" t="str">
        <f t="shared" si="2"/>
        <v/>
      </c>
      <c r="XS4" s="159" t="str">
        <f t="shared" si="2"/>
        <v/>
      </c>
      <c r="XT4" s="159" t="str">
        <f t="shared" si="2"/>
        <v/>
      </c>
      <c r="XU4" s="159" t="str">
        <f t="shared" si="2"/>
        <v/>
      </c>
      <c r="XV4" s="159" t="str">
        <f t="shared" si="2"/>
        <v/>
      </c>
      <c r="XW4" s="159" t="str">
        <f t="shared" si="2"/>
        <v/>
      </c>
      <c r="XX4" s="159" t="str">
        <f t="shared" si="2"/>
        <v/>
      </c>
      <c r="XY4" s="159" t="str">
        <f t="shared" si="2"/>
        <v/>
      </c>
      <c r="XZ4" s="159" t="str">
        <f t="shared" si="2"/>
        <v/>
      </c>
      <c r="YA4" s="159" t="str">
        <f t="shared" si="2"/>
        <v/>
      </c>
      <c r="YB4" s="159" t="str">
        <f t="shared" si="2"/>
        <v/>
      </c>
      <c r="YC4" s="159" t="str">
        <f t="shared" si="2"/>
        <v/>
      </c>
      <c r="YD4" s="159" t="str">
        <f t="shared" si="2"/>
        <v/>
      </c>
      <c r="YE4" s="159" t="str">
        <f t="shared" si="2"/>
        <v/>
      </c>
      <c r="YF4" s="159" t="str">
        <f t="shared" si="2"/>
        <v/>
      </c>
      <c r="YG4" s="159" t="str">
        <f t="shared" si="2"/>
        <v/>
      </c>
      <c r="YH4" s="159" t="str">
        <f t="shared" si="2"/>
        <v/>
      </c>
      <c r="YI4" s="159" t="str">
        <f t="shared" si="2"/>
        <v/>
      </c>
      <c r="YJ4" s="159" t="str">
        <f t="shared" si="2"/>
        <v/>
      </c>
      <c r="YK4" s="159" t="str">
        <f t="shared" si="2"/>
        <v/>
      </c>
      <c r="YL4" s="159" t="str">
        <f t="shared" si="2"/>
        <v/>
      </c>
      <c r="YM4" s="159" t="str">
        <f t="shared" si="2"/>
        <v/>
      </c>
      <c r="YN4" s="159" t="str">
        <f t="shared" si="2"/>
        <v/>
      </c>
      <c r="YO4" s="159" t="str">
        <f t="shared" si="2"/>
        <v/>
      </c>
      <c r="YP4" s="159" t="str">
        <f t="shared" si="2"/>
        <v/>
      </c>
      <c r="YQ4" s="159" t="str">
        <f t="shared" si="2"/>
        <v/>
      </c>
      <c r="YR4" s="159" t="str">
        <f t="shared" si="2"/>
        <v/>
      </c>
      <c r="YS4" s="159" t="str">
        <f t="shared" si="2"/>
        <v/>
      </c>
      <c r="YT4" s="159" t="str">
        <f t="shared" si="2"/>
        <v/>
      </c>
      <c r="YU4" s="159" t="str">
        <f t="shared" si="2"/>
        <v/>
      </c>
      <c r="YV4" s="159" t="str">
        <f t="shared" si="2"/>
        <v/>
      </c>
      <c r="YW4" s="159" t="str">
        <f t="shared" si="2"/>
        <v/>
      </c>
      <c r="YX4" s="159" t="str">
        <f t="shared" si="2"/>
        <v/>
      </c>
      <c r="YY4" s="159" t="str">
        <f t="shared" si="2"/>
        <v/>
      </c>
      <c r="YZ4" s="159" t="str">
        <f t="shared" si="2"/>
        <v/>
      </c>
      <c r="ZA4" s="159" t="str">
        <f t="shared" si="2"/>
        <v/>
      </c>
      <c r="ZB4" s="159" t="str">
        <f t="shared" si="2"/>
        <v/>
      </c>
      <c r="ZC4" s="159" t="str">
        <f t="shared" si="2"/>
        <v/>
      </c>
      <c r="ZD4" s="159" t="str">
        <f t="shared" si="2"/>
        <v/>
      </c>
      <c r="ZE4" s="159" t="str">
        <f t="shared" si="2"/>
        <v/>
      </c>
      <c r="ZF4" s="159" t="str">
        <f t="shared" si="2"/>
        <v/>
      </c>
      <c r="ZG4" s="159" t="str">
        <f t="shared" si="2"/>
        <v/>
      </c>
      <c r="ZH4" s="159" t="str">
        <f t="shared" si="2"/>
        <v/>
      </c>
      <c r="ZI4" s="159" t="str">
        <f t="shared" si="2"/>
        <v/>
      </c>
      <c r="ZJ4" s="159" t="str">
        <f t="shared" si="2"/>
        <v/>
      </c>
      <c r="ZK4" s="159" t="str">
        <f t="shared" si="2"/>
        <v/>
      </c>
      <c r="ZL4" s="159" t="str">
        <f t="shared" si="2"/>
        <v/>
      </c>
      <c r="ZM4" s="159" t="str">
        <f t="shared" si="2"/>
        <v/>
      </c>
      <c r="ZN4" s="159" t="str">
        <f t="shared" si="2"/>
        <v/>
      </c>
      <c r="ZO4" s="159" t="str">
        <f t="shared" si="2"/>
        <v/>
      </c>
      <c r="ZP4" s="159" t="str">
        <f t="shared" si="2"/>
        <v/>
      </c>
      <c r="ZQ4" s="159" t="str">
        <f t="shared" si="2"/>
        <v/>
      </c>
      <c r="ZR4" s="159" t="str">
        <f t="shared" si="2"/>
        <v/>
      </c>
      <c r="ZS4" s="159" t="str">
        <f t="shared" si="2"/>
        <v/>
      </c>
      <c r="ZT4" s="159" t="str">
        <f t="shared" si="2"/>
        <v/>
      </c>
      <c r="ZU4" s="159" t="str">
        <f t="shared" si="2"/>
        <v/>
      </c>
      <c r="ZV4" s="159" t="str">
        <f t="shared" si="2"/>
        <v/>
      </c>
      <c r="ZW4" s="159" t="str">
        <f t="shared" si="2"/>
        <v/>
      </c>
      <c r="ZX4" s="159" t="str">
        <f t="shared" si="2"/>
        <v/>
      </c>
      <c r="ZY4" s="159" t="str">
        <f t="shared" si="2"/>
        <v/>
      </c>
      <c r="ZZ4" s="159" t="str">
        <f t="shared" si="2"/>
        <v/>
      </c>
    </row>
    <row r="5" spans="1:702" ht="39.75" customHeight="1">
      <c r="A5" s="162" t="s">
        <v>95</v>
      </c>
      <c r="B5" s="162" t="s">
        <v>96</v>
      </c>
      <c r="C5" s="162" t="s">
        <v>97</v>
      </c>
      <c r="D5" s="162" t="str">
        <f t="shared" ref="D5:D200" si="3">IF(A5&lt;&gt;"",IF(A5=A4,"",A5),"")</f>
        <v>Salesforceデータ連携（1販社先行検証）</v>
      </c>
      <c r="E5" s="163">
        <f t="array" ref="E5">IF(B5="","",IF(B5&lt;&gt;B4,SUMPRODUCT(($B$5:B5&lt;&gt;$B$4:B4)*($B$5:B5&lt;&gt;"")),""))</f>
        <v>1</v>
      </c>
      <c r="F5" s="163" t="str">
        <f t="shared" ref="F5:F200" si="4">IF(B5&lt;&gt;"",IF(B5=B4,"",B5),"")</f>
        <v>外部依存・着手条件</v>
      </c>
      <c r="G5" s="163">
        <f t="shared" ref="G5:G200" si="5">IF(C5="","",COUNTIF($B$5:B5,B5))</f>
        <v>1</v>
      </c>
      <c r="H5" s="164" t="str">
        <f t="shared" ref="H5:H200" si="6">IF(AND(C5&lt;&gt;"",OR(C5&lt;&gt;C4,B5&lt;&gt;B4)),C5,"")</f>
        <v>Salesforce Sandbox環境の準備</v>
      </c>
      <c r="I5" s="162"/>
      <c r="J5" s="162"/>
      <c r="K5" s="162"/>
      <c r="L5" s="165" t="str">
        <f t="shared" ref="L5:L200" si="7">IF(C5="","","【"&amp;A5&amp;"】"&amp;MAX($E$5:E5)&amp;"-"&amp;G5&amp;"_"&amp;B5&amp;"_"&amp;C5)</f>
        <v>【Salesforceデータ連携（1販社先行検証）】1-1_外部依存・着手条件_Salesforce Sandbox環境の準備</v>
      </c>
      <c r="M5" s="166">
        <v>46251</v>
      </c>
      <c r="N5" s="166">
        <v>46262</v>
      </c>
      <c r="O5" s="167" t="s">
        <v>98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68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169"/>
      <c r="AZ5" s="168"/>
      <c r="BA5" s="169"/>
      <c r="BB5" s="169"/>
      <c r="BC5" s="16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</row>
    <row r="6" spans="1:702" ht="36" customHeight="1">
      <c r="A6" s="173" t="s">
        <v>95</v>
      </c>
      <c r="B6" s="173" t="s">
        <v>96</v>
      </c>
      <c r="C6" s="173" t="s">
        <v>99</v>
      </c>
      <c r="D6" s="173" t="str">
        <f t="shared" si="3"/>
        <v/>
      </c>
      <c r="E6" s="174" t="str">
        <f t="array" ref="E6">IF(B6="","",IF(B6&lt;&gt;B5,SUMPRODUCT(($B$5:B6&lt;&gt;$B$4:B5)*($B$5:B6&lt;&gt;"")),""))</f>
        <v/>
      </c>
      <c r="F6" s="174" t="str">
        <f t="shared" si="4"/>
        <v/>
      </c>
      <c r="G6" s="174">
        <f t="shared" si="5"/>
        <v>2</v>
      </c>
      <c r="H6" s="175" t="str">
        <f t="shared" si="6"/>
        <v>TMCセキュリティ要件・個人情報取扱条件の提示</v>
      </c>
      <c r="I6" s="173"/>
      <c r="J6" s="173"/>
      <c r="K6" s="173"/>
      <c r="L6" s="176" t="str">
        <f t="shared" si="7"/>
        <v>【Salesforceデータ連携（1販社先行検証）】1-2_外部依存・着手条件_TMCセキュリティ要件・個人情報取扱条件の提示</v>
      </c>
      <c r="M6" s="177">
        <v>46251</v>
      </c>
      <c r="N6" s="177">
        <v>46260</v>
      </c>
      <c r="O6" s="167" t="s">
        <v>98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</row>
    <row r="7" spans="1:702" ht="36" customHeight="1">
      <c r="A7" s="173" t="s">
        <v>95</v>
      </c>
      <c r="B7" s="173" t="s">
        <v>96</v>
      </c>
      <c r="C7" s="173" t="s">
        <v>100</v>
      </c>
      <c r="D7" s="173" t="str">
        <f t="shared" si="3"/>
        <v/>
      </c>
      <c r="E7" s="174" t="str">
        <f t="array" ref="E7">IF(B7="","",IF(B7&lt;&gt;B6,SUMPRODUCT(($B$5:B7&lt;&gt;$B$4:B6)*($B$5:B7&lt;&gt;"")),""))</f>
        <v/>
      </c>
      <c r="F7" s="174" t="str">
        <f t="shared" si="4"/>
        <v/>
      </c>
      <c r="G7" s="174">
        <f t="shared" si="5"/>
        <v>3</v>
      </c>
      <c r="H7" s="175" t="str">
        <f t="shared" si="6"/>
        <v>Salesforceアカウント・認証情報の準備</v>
      </c>
      <c r="I7" s="173"/>
      <c r="J7" s="173"/>
      <c r="K7" s="173"/>
      <c r="L7" s="176" t="str">
        <f t="shared" si="7"/>
        <v>【Salesforceデータ連携（1販社先行検証）】1-3_外部依存・着手条件_Salesforceアカウント・認証情報の準備</v>
      </c>
      <c r="M7" s="177">
        <v>46251</v>
      </c>
      <c r="N7" s="177">
        <v>46262</v>
      </c>
      <c r="O7" s="167" t="s">
        <v>98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</row>
    <row r="8" spans="1:702" ht="36" customHeight="1">
      <c r="A8" s="173" t="s">
        <v>95</v>
      </c>
      <c r="B8" s="173" t="s">
        <v>96</v>
      </c>
      <c r="C8" s="173" t="s">
        <v>101</v>
      </c>
      <c r="D8" s="173" t="str">
        <f t="shared" si="3"/>
        <v/>
      </c>
      <c r="E8" s="174" t="str">
        <f t="array" ref="E8">IF(B8="","",IF(B8&lt;&gt;B7,SUMPRODUCT(($B$5:B8&lt;&gt;$B$4:B7)*($B$5:B8&lt;&gt;"")),""))</f>
        <v/>
      </c>
      <c r="F8" s="174" t="str">
        <f t="shared" si="4"/>
        <v/>
      </c>
      <c r="G8" s="174">
        <f t="shared" si="5"/>
        <v>4</v>
      </c>
      <c r="H8" s="175" t="str">
        <f t="shared" si="6"/>
        <v>先行対象1販社・検証環境・Salesforce Orgの確定</v>
      </c>
      <c r="I8" s="173"/>
      <c r="J8" s="173"/>
      <c r="K8" s="173"/>
      <c r="L8" s="176" t="str">
        <f t="shared" si="7"/>
        <v>【Salesforceデータ連携（1販社先行検証）】1-4_外部依存・着手条件_先行対象1販社・検証環境・Salesforce Orgの確定</v>
      </c>
      <c r="M8" s="177">
        <v>46251</v>
      </c>
      <c r="N8" s="177">
        <v>46255</v>
      </c>
      <c r="O8" s="167" t="s">
        <v>98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</row>
    <row r="9" spans="1:702" ht="36" customHeight="1">
      <c r="A9" s="173" t="s">
        <v>95</v>
      </c>
      <c r="B9" s="173" t="s">
        <v>96</v>
      </c>
      <c r="C9" s="173" t="s">
        <v>102</v>
      </c>
      <c r="D9" s="173" t="str">
        <f t="shared" si="3"/>
        <v/>
      </c>
      <c r="E9" s="174" t="str">
        <f t="array" ref="E9">IF(B9="","",IF(B9&lt;&gt;B8,SUMPRODUCT(($B$5:B9&lt;&gt;$B$4:B8)*($B$5:B9&lt;&gt;"")),""))</f>
        <v/>
      </c>
      <c r="F9" s="174" t="str">
        <f t="shared" si="4"/>
        <v/>
      </c>
      <c r="G9" s="174">
        <f t="shared" si="5"/>
        <v>5</v>
      </c>
      <c r="H9" s="175" t="str">
        <f t="shared" si="6"/>
        <v>NiFi連携方式・Kudu参照用TB・先行検証範囲の確定</v>
      </c>
      <c r="I9" s="173"/>
      <c r="J9" s="173"/>
      <c r="K9" s="173"/>
      <c r="L9" s="176" t="str">
        <f t="shared" si="7"/>
        <v>【Salesforceデータ連携（1販社先行検証）】1-5_外部依存・着手条件_NiFi連携方式・Kudu参照用TB・先行検証範囲の確定</v>
      </c>
      <c r="M9" s="177">
        <v>46251</v>
      </c>
      <c r="N9" s="177">
        <v>46260</v>
      </c>
      <c r="O9" s="167" t="s">
        <v>98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</row>
    <row r="10" spans="1:702" ht="36" customHeight="1">
      <c r="A10" s="194" t="s">
        <v>95</v>
      </c>
      <c r="B10" s="194" t="s">
        <v>96</v>
      </c>
      <c r="C10" s="194" t="s">
        <v>103</v>
      </c>
      <c r="D10" s="194" t="str">
        <f t="shared" si="3"/>
        <v/>
      </c>
      <c r="E10" s="195" t="str">
        <f t="array" ref="E10">IF(B10="","",IF(B10&lt;&gt;B9,SUMPRODUCT(($B$5:B10&lt;&gt;$B$4:B9)*($B$5:B10&lt;&gt;"")),""))</f>
        <v/>
      </c>
      <c r="F10" s="195" t="str">
        <f t="shared" si="4"/>
        <v/>
      </c>
      <c r="G10" s="195">
        <f t="shared" si="5"/>
        <v>6</v>
      </c>
      <c r="H10" s="164" t="str">
        <f t="shared" si="6"/>
        <v>1販社先行検証の着手判定</v>
      </c>
      <c r="I10" s="194"/>
      <c r="J10" s="194"/>
      <c r="K10" s="194"/>
      <c r="L10" s="165" t="str">
        <f t="shared" si="7"/>
        <v>【Salesforceデータ連携（1販社先行検証）】1-6_外部依存・着手条件_1販社先行検証の着手判定</v>
      </c>
      <c r="M10" s="196">
        <v>46262</v>
      </c>
      <c r="N10" s="196">
        <v>46262</v>
      </c>
      <c r="O10" s="167" t="s">
        <v>98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</row>
    <row r="11" spans="1:702" ht="39.75" customHeight="1">
      <c r="A11" s="197" t="s">
        <v>95</v>
      </c>
      <c r="B11" s="197" t="s">
        <v>104</v>
      </c>
      <c r="C11" s="197" t="s">
        <v>105</v>
      </c>
      <c r="D11" s="197" t="str">
        <f t="shared" si="3"/>
        <v/>
      </c>
      <c r="E11" s="198">
        <f t="array" ref="E11">IF(B11="","",IF(B11&lt;&gt;B10,SUMPRODUCT(($B$5:B11&lt;&gt;$B$4:B10)*($B$5:B11&lt;&gt;"")),""))</f>
        <v>2</v>
      </c>
      <c r="F11" s="198" t="str">
        <f t="shared" si="4"/>
        <v>プロジェクト管理</v>
      </c>
      <c r="G11" s="198">
        <f t="shared" si="5"/>
        <v>1</v>
      </c>
      <c r="H11" s="164" t="str">
        <f t="shared" si="6"/>
        <v>WBS・スケジュール・進捗管理</v>
      </c>
      <c r="I11" s="197" t="s">
        <v>106</v>
      </c>
      <c r="J11" s="197" t="s">
        <v>107</v>
      </c>
      <c r="K11" s="197"/>
      <c r="L11" s="165" t="str">
        <f t="shared" si="7"/>
        <v>【Salesforceデータ連携（1販社先行検証）】2-1_プロジェクト管理_WBS・スケジュール・進捗管理</v>
      </c>
      <c r="M11" s="199">
        <v>46251</v>
      </c>
      <c r="N11" s="199">
        <v>46302</v>
      </c>
      <c r="O11" s="167" t="s">
        <v>98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</row>
    <row r="12" spans="1:702" ht="36" customHeight="1">
      <c r="A12" s="200" t="s">
        <v>95</v>
      </c>
      <c r="B12" s="200" t="s">
        <v>104</v>
      </c>
      <c r="C12" s="200" t="s">
        <v>108</v>
      </c>
      <c r="D12" s="175" t="str">
        <f t="shared" si="3"/>
        <v/>
      </c>
      <c r="E12" s="201" t="str">
        <f t="array" ref="E12">IF(B12="","",IF(B12&lt;&gt;B11,SUMPRODUCT(($B$5:B12&lt;&gt;$B$4:B11)*($B$5:B12&lt;&gt;"")),""))</f>
        <v/>
      </c>
      <c r="F12" s="201" t="str">
        <f t="shared" si="4"/>
        <v/>
      </c>
      <c r="G12" s="201">
        <f t="shared" si="5"/>
        <v>2</v>
      </c>
      <c r="H12" s="175" t="str">
        <f t="shared" si="6"/>
        <v>課題・リスク管理</v>
      </c>
      <c r="I12" s="200" t="s">
        <v>106</v>
      </c>
      <c r="J12" s="200" t="s">
        <v>107</v>
      </c>
      <c r="K12" s="200"/>
      <c r="L12" s="176" t="str">
        <f t="shared" si="7"/>
        <v>【Salesforceデータ連携（1販社先行検証）】2-2_プロジェクト管理_課題・リスク管理</v>
      </c>
      <c r="M12" s="202">
        <v>46251</v>
      </c>
      <c r="N12" s="202">
        <v>46302</v>
      </c>
      <c r="O12" s="167" t="s">
        <v>98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</row>
    <row r="13" spans="1:702" ht="36" customHeight="1">
      <c r="A13" s="200" t="s">
        <v>95</v>
      </c>
      <c r="B13" s="200" t="s">
        <v>104</v>
      </c>
      <c r="C13" s="200" t="s">
        <v>109</v>
      </c>
      <c r="D13" s="175" t="str">
        <f t="shared" si="3"/>
        <v/>
      </c>
      <c r="E13" s="201" t="str">
        <f t="array" ref="E13">IF(B13="","",IF(B13&lt;&gt;B12,SUMPRODUCT(($B$5:B13&lt;&gt;$B$4:B12)*($B$5:B13&lt;&gt;"")),""))</f>
        <v/>
      </c>
      <c r="F13" s="201" t="str">
        <f t="shared" si="4"/>
        <v/>
      </c>
      <c r="G13" s="201">
        <f t="shared" si="5"/>
        <v>3</v>
      </c>
      <c r="H13" s="175" t="str">
        <f t="shared" si="6"/>
        <v>Salesforce・基盤関係者調整</v>
      </c>
      <c r="I13" s="200" t="s">
        <v>106</v>
      </c>
      <c r="J13" s="200" t="s">
        <v>107</v>
      </c>
      <c r="K13" s="200"/>
      <c r="L13" s="176" t="str">
        <f t="shared" si="7"/>
        <v>【Salesforceデータ連携（1販社先行検証）】2-3_プロジェクト管理_Salesforce・基盤関係者調整</v>
      </c>
      <c r="M13" s="202">
        <v>46251</v>
      </c>
      <c r="N13" s="202">
        <v>46302</v>
      </c>
      <c r="O13" s="167" t="s">
        <v>98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</row>
    <row r="14" spans="1:702" ht="36" customHeight="1">
      <c r="A14" s="200" t="s">
        <v>95</v>
      </c>
      <c r="B14" s="200" t="s">
        <v>104</v>
      </c>
      <c r="C14" s="200" t="s">
        <v>110</v>
      </c>
      <c r="D14" s="175" t="str">
        <f t="shared" si="3"/>
        <v/>
      </c>
      <c r="E14" s="201" t="str">
        <f t="array" ref="E14">IF(B14="","",IF(B14&lt;&gt;B13,SUMPRODUCT(($B$5:B14&lt;&gt;$B$4:B13)*($B$5:B14&lt;&gt;"")),""))</f>
        <v/>
      </c>
      <c r="F14" s="201" t="str">
        <f t="shared" si="4"/>
        <v/>
      </c>
      <c r="G14" s="201">
        <f t="shared" si="5"/>
        <v>4</v>
      </c>
      <c r="H14" s="175" t="str">
        <f t="shared" si="6"/>
        <v>設計・成果物レビュー管理</v>
      </c>
      <c r="I14" s="200" t="s">
        <v>106</v>
      </c>
      <c r="J14" s="200" t="s">
        <v>107</v>
      </c>
      <c r="K14" s="200"/>
      <c r="L14" s="176" t="str">
        <f t="shared" si="7"/>
        <v>【Salesforceデータ連携（1販社先行検証）】2-4_プロジェクト管理_設計・成果物レビュー管理</v>
      </c>
      <c r="M14" s="202">
        <v>46258</v>
      </c>
      <c r="N14" s="202">
        <v>46295</v>
      </c>
      <c r="O14" s="167" t="s">
        <v>98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</row>
    <row r="15" spans="1:702" ht="36" customHeight="1">
      <c r="A15" s="200" t="s">
        <v>95</v>
      </c>
      <c r="B15" s="200" t="s">
        <v>104</v>
      </c>
      <c r="C15" s="200" t="s">
        <v>111</v>
      </c>
      <c r="D15" s="175" t="str">
        <f t="shared" si="3"/>
        <v/>
      </c>
      <c r="E15" s="201" t="str">
        <f t="array" ref="E15">IF(B15="","",IF(B15&lt;&gt;B14,SUMPRODUCT(($B$5:B15&lt;&gt;$B$4:B14)*($B$5:B15&lt;&gt;"")),""))</f>
        <v/>
      </c>
      <c r="F15" s="201" t="str">
        <f t="shared" si="4"/>
        <v/>
      </c>
      <c r="G15" s="201">
        <f t="shared" si="5"/>
        <v>5</v>
      </c>
      <c r="H15" s="175" t="str">
        <f t="shared" si="6"/>
        <v>試験・先行検証完了判定管理</v>
      </c>
      <c r="I15" s="200" t="s">
        <v>106</v>
      </c>
      <c r="J15" s="200" t="s">
        <v>107</v>
      </c>
      <c r="K15" s="200"/>
      <c r="L15" s="176" t="str">
        <f t="shared" si="7"/>
        <v>【Salesforceデータ連携（1販社先行検証）】2-5_プロジェクト管理_試験・先行検証完了判定管理</v>
      </c>
      <c r="M15" s="202">
        <v>46279</v>
      </c>
      <c r="N15" s="202">
        <v>46302</v>
      </c>
      <c r="O15" s="167" t="s">
        <v>98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</row>
    <row r="16" spans="1:702" ht="36" customHeight="1">
      <c r="A16" s="200" t="s">
        <v>95</v>
      </c>
      <c r="B16" s="200" t="s">
        <v>104</v>
      </c>
      <c r="C16" s="200" t="s">
        <v>112</v>
      </c>
      <c r="D16" s="175" t="str">
        <f t="shared" si="3"/>
        <v/>
      </c>
      <c r="E16" s="201" t="str">
        <f t="array" ref="E16">IF(B16="","",IF(B16&lt;&gt;B15,SUMPRODUCT(($B$5:B16&lt;&gt;$B$4:B15)*($B$5:B16&lt;&gt;"")),""))</f>
        <v/>
      </c>
      <c r="F16" s="201" t="str">
        <f t="shared" si="4"/>
        <v/>
      </c>
      <c r="G16" s="201">
        <f t="shared" si="5"/>
        <v>6</v>
      </c>
      <c r="H16" s="175" t="str">
        <f t="shared" si="6"/>
        <v>スコープ変更・後続展開課題管理</v>
      </c>
      <c r="I16" s="200" t="s">
        <v>106</v>
      </c>
      <c r="J16" s="200" t="s">
        <v>107</v>
      </c>
      <c r="K16" s="200"/>
      <c r="L16" s="176" t="str">
        <f t="shared" si="7"/>
        <v>【Salesforceデータ連携（1販社先行検証）】2-6_プロジェクト管理_スコープ変更・後続展開課題管理</v>
      </c>
      <c r="M16" s="202"/>
      <c r="N16" s="202"/>
      <c r="O16" s="167" t="s">
        <v>98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</row>
    <row r="17" spans="1:702" ht="39.75" customHeight="1">
      <c r="A17" s="197" t="s">
        <v>95</v>
      </c>
      <c r="B17" s="197" t="s">
        <v>113</v>
      </c>
      <c r="C17" s="197" t="s">
        <v>114</v>
      </c>
      <c r="D17" s="197" t="str">
        <f t="shared" si="3"/>
        <v/>
      </c>
      <c r="E17" s="198">
        <f t="array" ref="E17">IF(B17="","",IF(B17&lt;&gt;B16,SUMPRODUCT(($B$5:B17&lt;&gt;$B$4:B16)*($B$5:B17&lt;&gt;"")),""))</f>
        <v>3</v>
      </c>
      <c r="F17" s="198" t="str">
        <f t="shared" si="4"/>
        <v>要件定義</v>
      </c>
      <c r="G17" s="198">
        <f t="shared" si="5"/>
        <v>1</v>
      </c>
      <c r="H17" s="164" t="str">
        <f t="shared" si="6"/>
        <v>1販社先行検証の目的・対象範囲の整理</v>
      </c>
      <c r="I17" s="197" t="s">
        <v>106</v>
      </c>
      <c r="J17" s="197" t="s">
        <v>107</v>
      </c>
      <c r="K17" s="197"/>
      <c r="L17" s="165" t="str">
        <f t="shared" si="7"/>
        <v>【Salesforceデータ連携（1販社先行検証）】3-1_要件定義_1販社先行検証の目的・対象範囲の整理</v>
      </c>
      <c r="M17" s="199">
        <v>46251</v>
      </c>
      <c r="N17" s="199">
        <v>46260</v>
      </c>
      <c r="O17" s="167" t="s">
        <v>98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</row>
    <row r="18" spans="1:702" ht="36" customHeight="1">
      <c r="A18" s="200" t="s">
        <v>95</v>
      </c>
      <c r="B18" s="200" t="s">
        <v>113</v>
      </c>
      <c r="C18" s="200" t="s">
        <v>115</v>
      </c>
      <c r="D18" s="175" t="str">
        <f t="shared" si="3"/>
        <v/>
      </c>
      <c r="E18" s="201" t="str">
        <f t="array" ref="E18">IF(B18="","",IF(B18&lt;&gt;B17,SUMPRODUCT(($B$5:B18&lt;&gt;$B$4:B17)*($B$5:B18&lt;&gt;"")),""))</f>
        <v/>
      </c>
      <c r="F18" s="201" t="str">
        <f t="shared" si="4"/>
        <v/>
      </c>
      <c r="G18" s="201">
        <f t="shared" si="5"/>
        <v>2</v>
      </c>
      <c r="H18" s="175" t="str">
        <f t="shared" si="6"/>
        <v>先行対象販社・Org・利用者の整理</v>
      </c>
      <c r="I18" s="200" t="s">
        <v>106</v>
      </c>
      <c r="J18" s="200" t="s">
        <v>107</v>
      </c>
      <c r="K18" s="200"/>
      <c r="L18" s="176" t="str">
        <f t="shared" si="7"/>
        <v>【Salesforceデータ連携（1販社先行検証）】3-2_要件定義_先行対象販社・Org・利用者の整理</v>
      </c>
      <c r="M18" s="202">
        <v>46251</v>
      </c>
      <c r="N18" s="202">
        <v>46260</v>
      </c>
      <c r="O18" s="167" t="s">
        <v>98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</row>
    <row r="19" spans="1:702" ht="36" customHeight="1">
      <c r="A19" s="200" t="s">
        <v>95</v>
      </c>
      <c r="B19" s="200" t="s">
        <v>113</v>
      </c>
      <c r="C19" s="200" t="s">
        <v>116</v>
      </c>
      <c r="D19" s="175" t="str">
        <f t="shared" si="3"/>
        <v/>
      </c>
      <c r="E19" s="201" t="str">
        <f t="array" ref="E19">IF(B19="","",IF(B19&lt;&gt;B18,SUMPRODUCT(($B$5:B19&lt;&gt;$B$4:B18)*($B$5:B19&lt;&gt;"")),""))</f>
        <v/>
      </c>
      <c r="F19" s="201" t="str">
        <f t="shared" si="4"/>
        <v/>
      </c>
      <c r="G19" s="201">
        <f t="shared" si="5"/>
        <v>3</v>
      </c>
      <c r="H19" s="175" t="str">
        <f t="shared" si="6"/>
        <v>データ鮮度・更新頻度・保持期間の整理</v>
      </c>
      <c r="I19" s="200" t="s">
        <v>106</v>
      </c>
      <c r="J19" s="200" t="s">
        <v>107</v>
      </c>
      <c r="K19" s="200"/>
      <c r="L19" s="176" t="str">
        <f t="shared" si="7"/>
        <v>【Salesforceデータ連携（1販社先行検証）】3-3_要件定義_データ鮮度・更新頻度・保持期間の整理</v>
      </c>
      <c r="M19" s="202">
        <v>46251</v>
      </c>
      <c r="N19" s="202">
        <v>46260</v>
      </c>
      <c r="O19" s="167" t="s">
        <v>98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</row>
    <row r="20" spans="1:702" ht="36" customHeight="1">
      <c r="A20" s="200" t="s">
        <v>95</v>
      </c>
      <c r="B20" s="200" t="s">
        <v>113</v>
      </c>
      <c r="C20" s="200" t="s">
        <v>117</v>
      </c>
      <c r="D20" s="175" t="str">
        <f t="shared" si="3"/>
        <v/>
      </c>
      <c r="E20" s="201" t="str">
        <f t="array" ref="E20">IF(B20="","",IF(B20&lt;&gt;B19,SUMPRODUCT(($B$5:B20&lt;&gt;$B$4:B19)*($B$5:B20&lt;&gt;"")),""))</f>
        <v/>
      </c>
      <c r="F20" s="201" t="str">
        <f t="shared" si="4"/>
        <v/>
      </c>
      <c r="G20" s="201">
        <f t="shared" si="5"/>
        <v>4</v>
      </c>
      <c r="H20" s="175" t="str">
        <f t="shared" si="6"/>
        <v>先行検証・号口反映・追加販社展開の境界整理</v>
      </c>
      <c r="I20" s="200" t="s">
        <v>106</v>
      </c>
      <c r="J20" s="200" t="s">
        <v>107</v>
      </c>
      <c r="K20" s="200"/>
      <c r="L20" s="176" t="str">
        <f t="shared" si="7"/>
        <v>【Salesforceデータ連携（1販社先行検証）】3-4_要件定義_先行検証・号口反映・追加販社展開の境界整理</v>
      </c>
      <c r="M20" s="202"/>
      <c r="N20" s="202"/>
      <c r="O20" s="167" t="s">
        <v>98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</row>
    <row r="21" spans="1:702" ht="36" customHeight="1">
      <c r="A21" s="200" t="s">
        <v>95</v>
      </c>
      <c r="B21" s="200" t="s">
        <v>113</v>
      </c>
      <c r="C21" s="200" t="s">
        <v>118</v>
      </c>
      <c r="D21" s="175" t="str">
        <f t="shared" si="3"/>
        <v/>
      </c>
      <c r="E21" s="201" t="str">
        <f t="array" ref="E21">IF(B21="","",IF(B21&lt;&gt;B20,SUMPRODUCT(($B$5:B21&lt;&gt;$B$4:B20)*($B$5:B21&lt;&gt;"")),""))</f>
        <v/>
      </c>
      <c r="F21" s="201" t="str">
        <f t="shared" si="4"/>
        <v/>
      </c>
      <c r="G21" s="201">
        <f t="shared" si="5"/>
        <v>5</v>
      </c>
      <c r="H21" s="175" t="str">
        <f t="shared" si="6"/>
        <v>1販社先行検証要件書の作成・レビュー</v>
      </c>
      <c r="I21" s="200" t="s">
        <v>106</v>
      </c>
      <c r="J21" s="200" t="s">
        <v>107</v>
      </c>
      <c r="K21" s="200"/>
      <c r="L21" s="176" t="str">
        <f t="shared" si="7"/>
        <v>【Salesforceデータ連携（1販社先行検証）】3-5_要件定義_1販社先行検証要件書の作成・レビュー</v>
      </c>
      <c r="M21" s="202"/>
      <c r="N21" s="202"/>
      <c r="O21" s="167" t="s">
        <v>98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</row>
    <row r="22" spans="1:702" ht="39.75" customHeight="1">
      <c r="A22" s="197" t="s">
        <v>95</v>
      </c>
      <c r="B22" s="197" t="s">
        <v>119</v>
      </c>
      <c r="C22" s="197" t="s">
        <v>120</v>
      </c>
      <c r="D22" s="197" t="str">
        <f t="shared" si="3"/>
        <v/>
      </c>
      <c r="E22" s="198">
        <f t="array" ref="E22">IF(B22="","",IF(B22&lt;&gt;B21,SUMPRODUCT(($B$5:B22&lt;&gt;$B$4:B21)*($B$5:B22&lt;&gt;"")),""))</f>
        <v>4</v>
      </c>
      <c r="F22" s="198" t="str">
        <f t="shared" si="4"/>
        <v>Salesforceデータ調査</v>
      </c>
      <c r="G22" s="198">
        <f t="shared" si="5"/>
        <v>1</v>
      </c>
      <c r="H22" s="164" t="str">
        <f t="shared" si="6"/>
        <v>対象Object・Fieldの洗い出し</v>
      </c>
      <c r="I22" s="197" t="s">
        <v>106</v>
      </c>
      <c r="J22" s="197" t="s">
        <v>121</v>
      </c>
      <c r="K22" s="197"/>
      <c r="L22" s="165" t="str">
        <f t="shared" si="7"/>
        <v>【Salesforceデータ連携（1販社先行検証）】4-1_Salesforceデータ調査_対象Object・Fieldの洗い出し</v>
      </c>
      <c r="M22" s="199">
        <v>46241</v>
      </c>
      <c r="N22" s="199">
        <v>46254</v>
      </c>
      <c r="O22" s="167" t="s">
        <v>122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</row>
    <row r="23" spans="1:702" ht="36" customHeight="1">
      <c r="A23" s="200" t="s">
        <v>95</v>
      </c>
      <c r="B23" s="200" t="s">
        <v>119</v>
      </c>
      <c r="C23" s="200" t="s">
        <v>123</v>
      </c>
      <c r="D23" s="175" t="str">
        <f t="shared" si="3"/>
        <v/>
      </c>
      <c r="E23" s="201" t="str">
        <f t="array" ref="E23">IF(B23="","",IF(B23&lt;&gt;B22,SUMPRODUCT(($B$5:B23&lt;&gt;$B$4:B22)*($B$5:B23&lt;&gt;"")),""))</f>
        <v/>
      </c>
      <c r="F23" s="201" t="str">
        <f t="shared" si="4"/>
        <v/>
      </c>
      <c r="G23" s="201">
        <f t="shared" si="5"/>
        <v>2</v>
      </c>
      <c r="H23" s="175" t="str">
        <f t="shared" si="6"/>
        <v>キー・参照関係の調査</v>
      </c>
      <c r="I23" s="200" t="s">
        <v>106</v>
      </c>
      <c r="J23" s="200" t="s">
        <v>121</v>
      </c>
      <c r="K23" s="200"/>
      <c r="L23" s="176" t="str">
        <f t="shared" si="7"/>
        <v>【Salesforceデータ連携（1販社先行検証）】4-2_Salesforceデータ調査_キー・参照関係の調査</v>
      </c>
      <c r="M23" s="202">
        <v>46241</v>
      </c>
      <c r="N23" s="202">
        <v>46254</v>
      </c>
      <c r="O23" s="167" t="s">
        <v>122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</row>
    <row r="24" spans="1:702" ht="36" customHeight="1">
      <c r="A24" s="200" t="s">
        <v>95</v>
      </c>
      <c r="B24" s="200" t="s">
        <v>119</v>
      </c>
      <c r="C24" s="200" t="s">
        <v>124</v>
      </c>
      <c r="D24" s="175" t="str">
        <f t="shared" si="3"/>
        <v/>
      </c>
      <c r="E24" s="201" t="str">
        <f t="array" ref="E24">IF(B24="","",IF(B24&lt;&gt;B23,SUMPRODUCT(($B$5:B24&lt;&gt;$B$4:B23)*($B$5:B24&lt;&gt;"")),""))</f>
        <v/>
      </c>
      <c r="F24" s="201" t="str">
        <f t="shared" si="4"/>
        <v/>
      </c>
      <c r="G24" s="201">
        <f t="shared" si="5"/>
        <v>3</v>
      </c>
      <c r="H24" s="175" t="str">
        <f t="shared" si="6"/>
        <v>データ件数・増加量・更新特性の調査</v>
      </c>
      <c r="I24" s="200" t="s">
        <v>106</v>
      </c>
      <c r="J24" s="200" t="s">
        <v>121</v>
      </c>
      <c r="K24" s="200"/>
      <c r="L24" s="176" t="str">
        <f t="shared" si="7"/>
        <v>【Salesforceデータ連携（1販社先行検証）】4-3_Salesforceデータ調査_データ件数・増加量・更新特性の調査</v>
      </c>
      <c r="M24" s="202">
        <v>46241</v>
      </c>
      <c r="N24" s="202">
        <v>46254</v>
      </c>
      <c r="O24" s="167" t="s">
        <v>122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</row>
    <row r="25" spans="1:702" ht="36" customHeight="1">
      <c r="A25" s="200" t="s">
        <v>95</v>
      </c>
      <c r="B25" s="200" t="s">
        <v>119</v>
      </c>
      <c r="C25" s="200" t="s">
        <v>125</v>
      </c>
      <c r="D25" s="175" t="str">
        <f t="shared" si="3"/>
        <v/>
      </c>
      <c r="E25" s="201" t="str">
        <f t="array" ref="E25">IF(B25="","",IF(B25&lt;&gt;B24,SUMPRODUCT(($B$5:B25&lt;&gt;$B$4:B24)*($B$5:B25&lt;&gt;"")),""))</f>
        <v/>
      </c>
      <c r="F25" s="201" t="str">
        <f t="shared" si="4"/>
        <v/>
      </c>
      <c r="G25" s="201">
        <f t="shared" si="5"/>
        <v>4</v>
      </c>
      <c r="H25" s="175" t="str">
        <f t="shared" si="6"/>
        <v>増分抽出候補項目の調査</v>
      </c>
      <c r="I25" s="200" t="s">
        <v>106</v>
      </c>
      <c r="J25" s="200" t="s">
        <v>121</v>
      </c>
      <c r="K25" s="200"/>
      <c r="L25" s="176" t="str">
        <f t="shared" si="7"/>
        <v>【Salesforceデータ連携（1販社先行検証）】4-4_Salesforceデータ調査_増分抽出候補項目の調査</v>
      </c>
      <c r="M25" s="202">
        <v>46241</v>
      </c>
      <c r="N25" s="202">
        <v>46254</v>
      </c>
      <c r="O25" s="167" t="s">
        <v>122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/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WP25" s="3"/>
      <c r="WQ25" s="3"/>
      <c r="WR25" s="3"/>
      <c r="WS25" s="3"/>
      <c r="WT25" s="3"/>
      <c r="WU25" s="3"/>
      <c r="WV25" s="3"/>
      <c r="WW25" s="3"/>
      <c r="WX25" s="3"/>
      <c r="WY25" s="3"/>
      <c r="WZ25" s="3"/>
      <c r="XA25" s="3"/>
      <c r="XB25" s="3"/>
      <c r="XC25" s="3"/>
      <c r="XD25" s="3"/>
      <c r="XE25" s="3"/>
      <c r="XF25" s="3"/>
      <c r="XG25" s="3"/>
      <c r="XH25" s="3"/>
      <c r="XI25" s="3"/>
      <c r="XJ25" s="3"/>
      <c r="XK25" s="3"/>
      <c r="XL25" s="3"/>
      <c r="XM25" s="3"/>
      <c r="XN25" s="3"/>
      <c r="XO25" s="3"/>
      <c r="XP25" s="3"/>
      <c r="XQ25" s="3"/>
      <c r="XR25" s="3"/>
      <c r="XS25" s="3"/>
      <c r="XT25" s="3"/>
      <c r="XU25" s="3"/>
      <c r="XV25" s="3"/>
      <c r="XW25" s="3"/>
      <c r="XX25" s="3"/>
      <c r="XY25" s="3"/>
      <c r="XZ25" s="3"/>
      <c r="YA25" s="3"/>
      <c r="YB25" s="3"/>
      <c r="YC25" s="3"/>
      <c r="YD25" s="3"/>
      <c r="YE25" s="3"/>
      <c r="YF25" s="3"/>
      <c r="YG25" s="3"/>
      <c r="YH25" s="3"/>
      <c r="YI25" s="3"/>
      <c r="YJ25" s="3"/>
      <c r="YK25" s="3"/>
      <c r="YL25" s="3"/>
      <c r="YM25" s="3"/>
      <c r="YN25" s="3"/>
      <c r="YO25" s="3"/>
      <c r="YP25" s="3"/>
      <c r="YQ25" s="3"/>
      <c r="YR25" s="3"/>
      <c r="YS25" s="3"/>
      <c r="YT25" s="3"/>
      <c r="YU25" s="3"/>
      <c r="YV25" s="3"/>
      <c r="YW25" s="3"/>
      <c r="YX25" s="3"/>
      <c r="YY25" s="3"/>
      <c r="YZ25" s="3"/>
      <c r="ZA25" s="3"/>
      <c r="ZB25" s="3"/>
      <c r="ZC25" s="3"/>
      <c r="ZD25" s="3"/>
      <c r="ZE25" s="3"/>
      <c r="ZF25" s="3"/>
      <c r="ZG25" s="3"/>
      <c r="ZH25" s="3"/>
      <c r="ZI25" s="3"/>
      <c r="ZJ25" s="3"/>
      <c r="ZK25" s="3"/>
      <c r="ZL25" s="3"/>
      <c r="ZM25" s="3"/>
      <c r="ZN25" s="3"/>
      <c r="ZO25" s="3"/>
      <c r="ZP25" s="3"/>
      <c r="ZQ25" s="3"/>
      <c r="ZR25" s="3"/>
      <c r="ZS25" s="3"/>
      <c r="ZT25" s="3"/>
      <c r="ZU25" s="3"/>
      <c r="ZV25" s="3"/>
      <c r="ZW25" s="3"/>
      <c r="ZX25" s="3"/>
      <c r="ZY25" s="3"/>
      <c r="ZZ25" s="3"/>
    </row>
    <row r="26" spans="1:702" ht="36" customHeight="1">
      <c r="A26" s="200" t="s">
        <v>95</v>
      </c>
      <c r="B26" s="200" t="s">
        <v>119</v>
      </c>
      <c r="C26" s="200" t="s">
        <v>126</v>
      </c>
      <c r="D26" s="175" t="str">
        <f t="shared" si="3"/>
        <v/>
      </c>
      <c r="E26" s="201" t="str">
        <f t="array" ref="E26">IF(B26="","",IF(B26&lt;&gt;B25,SUMPRODUCT(($B$5:B26&lt;&gt;$B$4:B25)*($B$5:B26&lt;&gt;"")),""))</f>
        <v/>
      </c>
      <c r="F26" s="201" t="str">
        <f t="shared" si="4"/>
        <v/>
      </c>
      <c r="G26" s="201">
        <f t="shared" si="5"/>
        <v>5</v>
      </c>
      <c r="H26" s="175" t="str">
        <f t="shared" si="6"/>
        <v>削除データ・個人情報・機密項目の調査</v>
      </c>
      <c r="I26" s="200" t="s">
        <v>106</v>
      </c>
      <c r="J26" s="200" t="s">
        <v>121</v>
      </c>
      <c r="K26" s="200"/>
      <c r="L26" s="176" t="str">
        <f t="shared" si="7"/>
        <v>【Salesforceデータ連携（1販社先行検証）】4-5_Salesforceデータ調査_削除データ・個人情報・機密項目の調査</v>
      </c>
      <c r="M26" s="202">
        <v>46241</v>
      </c>
      <c r="N26" s="202">
        <v>46254</v>
      </c>
      <c r="O26" s="167" t="s">
        <v>122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</row>
    <row r="27" spans="1:702" ht="36" customHeight="1">
      <c r="A27" s="200" t="s">
        <v>95</v>
      </c>
      <c r="B27" s="200" t="s">
        <v>119</v>
      </c>
      <c r="C27" s="200" t="s">
        <v>127</v>
      </c>
      <c r="D27" s="175" t="str">
        <f t="shared" si="3"/>
        <v/>
      </c>
      <c r="E27" s="201" t="str">
        <f t="array" ref="E27">IF(B27="","",IF(B27&lt;&gt;B26,SUMPRODUCT(($B$5:B27&lt;&gt;$B$4:B26)*($B$5:B27&lt;&gt;"")),""))</f>
        <v/>
      </c>
      <c r="F27" s="201" t="str">
        <f t="shared" si="4"/>
        <v/>
      </c>
      <c r="G27" s="201">
        <f t="shared" si="5"/>
        <v>6</v>
      </c>
      <c r="H27" s="175" t="str">
        <f t="shared" si="6"/>
        <v>Salesforce調査結果一覧の作成・レビュー</v>
      </c>
      <c r="I27" s="200" t="s">
        <v>106</v>
      </c>
      <c r="J27" s="200" t="s">
        <v>121</v>
      </c>
      <c r="K27" s="200"/>
      <c r="L27" s="176" t="str">
        <f t="shared" si="7"/>
        <v>【Salesforceデータ連携（1販社先行検証）】4-6_Salesforceデータ調査_Salesforce調査結果一覧の作成・レビュー</v>
      </c>
      <c r="M27" s="202"/>
      <c r="N27" s="202"/>
      <c r="O27" s="167" t="s">
        <v>98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/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/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  <c r="VL27" s="3"/>
      <c r="VM27" s="3"/>
      <c r="VN27" s="3"/>
      <c r="VO27" s="3"/>
      <c r="VP27" s="3"/>
      <c r="VQ27" s="3"/>
      <c r="VR27" s="3"/>
      <c r="VS27" s="3"/>
      <c r="VT27" s="3"/>
      <c r="VU27" s="3"/>
      <c r="VV27" s="3"/>
      <c r="VW27" s="3"/>
      <c r="VX27" s="3"/>
      <c r="VY27" s="3"/>
      <c r="VZ27" s="3"/>
      <c r="WA27" s="3"/>
      <c r="WB27" s="3"/>
      <c r="WC27" s="3"/>
      <c r="WD27" s="3"/>
      <c r="WE27" s="3"/>
      <c r="WF27" s="3"/>
      <c r="WG27" s="3"/>
      <c r="WH27" s="3"/>
      <c r="WI27" s="3"/>
      <c r="WJ27" s="3"/>
      <c r="WK27" s="3"/>
      <c r="WL27" s="3"/>
      <c r="WM27" s="3"/>
      <c r="WN27" s="3"/>
      <c r="WO27" s="3"/>
      <c r="WP27" s="3"/>
      <c r="WQ27" s="3"/>
      <c r="WR27" s="3"/>
      <c r="WS27" s="3"/>
      <c r="WT27" s="3"/>
      <c r="WU27" s="3"/>
      <c r="WV27" s="3"/>
      <c r="WW27" s="3"/>
      <c r="WX27" s="3"/>
      <c r="WY27" s="3"/>
      <c r="WZ27" s="3"/>
      <c r="XA27" s="3"/>
      <c r="XB27" s="3"/>
      <c r="XC27" s="3"/>
      <c r="XD27" s="3"/>
      <c r="XE27" s="3"/>
      <c r="XF27" s="3"/>
      <c r="XG27" s="3"/>
      <c r="XH27" s="3"/>
      <c r="XI27" s="3"/>
      <c r="XJ27" s="3"/>
      <c r="XK27" s="3"/>
      <c r="XL27" s="3"/>
      <c r="XM27" s="3"/>
      <c r="XN27" s="3"/>
      <c r="XO27" s="3"/>
      <c r="XP27" s="3"/>
      <c r="XQ27" s="3"/>
      <c r="XR27" s="3"/>
      <c r="XS27" s="3"/>
      <c r="XT27" s="3"/>
      <c r="XU27" s="3"/>
      <c r="XV27" s="3"/>
      <c r="XW27" s="3"/>
      <c r="XX27" s="3"/>
      <c r="XY27" s="3"/>
      <c r="XZ27" s="3"/>
      <c r="YA27" s="3"/>
      <c r="YB27" s="3"/>
      <c r="YC27" s="3"/>
      <c r="YD27" s="3"/>
      <c r="YE27" s="3"/>
      <c r="YF27" s="3"/>
      <c r="YG27" s="3"/>
      <c r="YH27" s="3"/>
      <c r="YI27" s="3"/>
      <c r="YJ27" s="3"/>
      <c r="YK27" s="3"/>
      <c r="YL27" s="3"/>
      <c r="YM27" s="3"/>
      <c r="YN27" s="3"/>
      <c r="YO27" s="3"/>
      <c r="YP27" s="3"/>
      <c r="YQ27" s="3"/>
      <c r="YR27" s="3"/>
      <c r="YS27" s="3"/>
      <c r="YT27" s="3"/>
      <c r="YU27" s="3"/>
      <c r="YV27" s="3"/>
      <c r="YW27" s="3"/>
      <c r="YX27" s="3"/>
      <c r="YY27" s="3"/>
      <c r="YZ27" s="3"/>
      <c r="ZA27" s="3"/>
      <c r="ZB27" s="3"/>
      <c r="ZC27" s="3"/>
      <c r="ZD27" s="3"/>
      <c r="ZE27" s="3"/>
      <c r="ZF27" s="3"/>
      <c r="ZG27" s="3"/>
      <c r="ZH27" s="3"/>
      <c r="ZI27" s="3"/>
      <c r="ZJ27" s="3"/>
      <c r="ZK27" s="3"/>
      <c r="ZL27" s="3"/>
      <c r="ZM27" s="3"/>
      <c r="ZN27" s="3"/>
      <c r="ZO27" s="3"/>
      <c r="ZP27" s="3"/>
      <c r="ZQ27" s="3"/>
      <c r="ZR27" s="3"/>
      <c r="ZS27" s="3"/>
      <c r="ZT27" s="3"/>
      <c r="ZU27" s="3"/>
      <c r="ZV27" s="3"/>
      <c r="ZW27" s="3"/>
      <c r="ZX27" s="3"/>
      <c r="ZY27" s="3"/>
      <c r="ZZ27" s="3"/>
    </row>
    <row r="28" spans="1:702" ht="39.75" customHeight="1">
      <c r="A28" s="197" t="s">
        <v>95</v>
      </c>
      <c r="B28" s="197" t="s">
        <v>128</v>
      </c>
      <c r="C28" s="197" t="s">
        <v>129</v>
      </c>
      <c r="D28" s="197" t="str">
        <f t="shared" si="3"/>
        <v/>
      </c>
      <c r="E28" s="198">
        <f t="array" ref="E28">IF(B28="","",IF(B28&lt;&gt;B27,SUMPRODUCT(($B$5:B28&lt;&gt;$B$4:B27)*($B$5:B28&lt;&gt;"")),""))</f>
        <v>5</v>
      </c>
      <c r="F28" s="198" t="str">
        <f t="shared" si="4"/>
        <v>全体・非機能設計</v>
      </c>
      <c r="G28" s="198">
        <f t="shared" si="5"/>
        <v>1</v>
      </c>
      <c r="H28" s="164" t="str">
        <f t="shared" si="6"/>
        <v>Salesforce→NiFi→Kudu（参照用TB）のE2E構成・責務分界設計</v>
      </c>
      <c r="I28" s="197" t="s">
        <v>106</v>
      </c>
      <c r="J28" s="197" t="s">
        <v>121</v>
      </c>
      <c r="K28" s="197"/>
      <c r="L28" s="165" t="str">
        <f t="shared" si="7"/>
        <v>【Salesforceデータ連携（1販社先行検証）】5-1_全体・非機能設計_Salesforce→NiFi→Kudu（参照用TB）のE2E構成・責務分界設計</v>
      </c>
      <c r="M28" s="199">
        <v>46258</v>
      </c>
      <c r="N28" s="199">
        <v>46267</v>
      </c>
      <c r="O28" s="167" t="s">
        <v>98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3"/>
      <c r="ZR28" s="3"/>
      <c r="ZS28" s="3"/>
      <c r="ZT28" s="3"/>
      <c r="ZU28" s="3"/>
      <c r="ZV28" s="3"/>
      <c r="ZW28" s="3"/>
      <c r="ZX28" s="3"/>
      <c r="ZY28" s="3"/>
      <c r="ZZ28" s="3"/>
    </row>
    <row r="29" spans="1:702" ht="36" customHeight="1">
      <c r="A29" s="200" t="s">
        <v>95</v>
      </c>
      <c r="B29" s="200" t="s">
        <v>128</v>
      </c>
      <c r="C29" s="200" t="s">
        <v>130</v>
      </c>
      <c r="D29" s="175" t="str">
        <f t="shared" si="3"/>
        <v/>
      </c>
      <c r="E29" s="201" t="str">
        <f t="array" ref="E29">IF(B29="","",IF(B29&lt;&gt;B28,SUMPRODUCT(($B$5:B29&lt;&gt;$B$4:B28)*($B$5:B29&lt;&gt;"")),""))</f>
        <v/>
      </c>
      <c r="F29" s="201" t="str">
        <f t="shared" si="4"/>
        <v/>
      </c>
      <c r="G29" s="201">
        <f t="shared" si="5"/>
        <v>2</v>
      </c>
      <c r="H29" s="175" t="str">
        <f t="shared" si="6"/>
        <v>システム構成図の作成・レビュー</v>
      </c>
      <c r="I29" s="200" t="s">
        <v>106</v>
      </c>
      <c r="J29" s="200" t="s">
        <v>121</v>
      </c>
      <c r="K29" s="200"/>
      <c r="L29" s="176" t="str">
        <f t="shared" si="7"/>
        <v>【Salesforceデータ連携（1販社先行検証）】5-2_全体・非機能設計_システム構成図の作成・レビュー</v>
      </c>
      <c r="M29" s="202">
        <v>46258</v>
      </c>
      <c r="N29" s="202">
        <v>46267</v>
      </c>
      <c r="O29" s="167" t="s">
        <v>98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</row>
    <row r="30" spans="1:702" ht="36" customHeight="1">
      <c r="A30" s="200" t="s">
        <v>95</v>
      </c>
      <c r="B30" s="200" t="s">
        <v>128</v>
      </c>
      <c r="C30" s="200" t="s">
        <v>131</v>
      </c>
      <c r="D30" s="175" t="str">
        <f t="shared" si="3"/>
        <v/>
      </c>
      <c r="E30" s="201" t="str">
        <f t="array" ref="E30">IF(B30="","",IF(B30&lt;&gt;B29,SUMPRODUCT(($B$5:B30&lt;&gt;$B$4:B29)*($B$5:B30&lt;&gt;"")),""))</f>
        <v/>
      </c>
      <c r="F30" s="201" t="str">
        <f t="shared" si="4"/>
        <v/>
      </c>
      <c r="G30" s="201">
        <f t="shared" si="5"/>
        <v>3</v>
      </c>
      <c r="H30" s="175" t="str">
        <f t="shared" si="6"/>
        <v>先行検証で確認する共通化・販社固有観点の整理</v>
      </c>
      <c r="I30" s="200" t="s">
        <v>106</v>
      </c>
      <c r="J30" s="200" t="s">
        <v>121</v>
      </c>
      <c r="K30" s="200"/>
      <c r="L30" s="176" t="str">
        <f t="shared" si="7"/>
        <v>【Salesforceデータ連携（1販社先行検証）】5-3_全体・非機能設計_先行検証で確認する共通化・販社固有観点の整理</v>
      </c>
      <c r="M30" s="202"/>
      <c r="N30" s="202"/>
      <c r="O30" s="167" t="s">
        <v>98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WZ30" s="3"/>
      <c r="XA30" s="3"/>
      <c r="XB30" s="3"/>
      <c r="XC30" s="3"/>
      <c r="XD30" s="3"/>
      <c r="XE30" s="3"/>
      <c r="XF30" s="3"/>
      <c r="XG30" s="3"/>
      <c r="XH30" s="3"/>
      <c r="XI30" s="3"/>
      <c r="XJ30" s="3"/>
      <c r="XK30" s="3"/>
      <c r="XL30" s="3"/>
      <c r="XM30" s="3"/>
      <c r="XN30" s="3"/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3"/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3"/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3"/>
      <c r="YX30" s="3"/>
      <c r="YY30" s="3"/>
      <c r="YZ30" s="3"/>
      <c r="ZA30" s="3"/>
      <c r="ZB30" s="3"/>
      <c r="ZC30" s="3"/>
      <c r="ZD30" s="3"/>
      <c r="ZE30" s="3"/>
      <c r="ZF30" s="3"/>
      <c r="ZG30" s="3"/>
      <c r="ZH30" s="3"/>
      <c r="ZI30" s="3"/>
      <c r="ZJ30" s="3"/>
      <c r="ZK30" s="3"/>
      <c r="ZL30" s="3"/>
      <c r="ZM30" s="3"/>
      <c r="ZN30" s="3"/>
      <c r="ZO30" s="3"/>
      <c r="ZP30" s="3"/>
      <c r="ZQ30" s="3"/>
      <c r="ZR30" s="3"/>
      <c r="ZS30" s="3"/>
      <c r="ZT30" s="3"/>
      <c r="ZU30" s="3"/>
      <c r="ZV30" s="3"/>
      <c r="ZW30" s="3"/>
      <c r="ZX30" s="3"/>
      <c r="ZY30" s="3"/>
      <c r="ZZ30" s="3"/>
    </row>
    <row r="31" spans="1:702" ht="36" customHeight="1">
      <c r="A31" s="200" t="s">
        <v>95</v>
      </c>
      <c r="B31" s="200" t="s">
        <v>128</v>
      </c>
      <c r="C31" s="200" t="s">
        <v>132</v>
      </c>
      <c r="D31" s="175" t="str">
        <f t="shared" si="3"/>
        <v/>
      </c>
      <c r="E31" s="201" t="str">
        <f t="array" ref="E31">IF(B31="","",IF(B31&lt;&gt;B30,SUMPRODUCT(($B$5:B31&lt;&gt;$B$4:B30)*($B$5:B31&lt;&gt;"")),""))</f>
        <v/>
      </c>
      <c r="F31" s="201" t="str">
        <f t="shared" si="4"/>
        <v/>
      </c>
      <c r="G31" s="201">
        <f t="shared" si="5"/>
        <v>4</v>
      </c>
      <c r="H31" s="175" t="str">
        <f t="shared" si="6"/>
        <v>データ鮮度・処理時間目標の整理</v>
      </c>
      <c r="I31" s="200" t="s">
        <v>106</v>
      </c>
      <c r="J31" s="200" t="s">
        <v>121</v>
      </c>
      <c r="K31" s="200"/>
      <c r="L31" s="176" t="str">
        <f t="shared" si="7"/>
        <v>【Salesforceデータ連携（1販社先行検証）】5-4_全体・非機能設計_データ鮮度・処理時間目標の整理</v>
      </c>
      <c r="M31" s="202"/>
      <c r="N31" s="202"/>
      <c r="O31" s="167" t="s">
        <v>98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</row>
    <row r="32" spans="1:702" ht="36" customHeight="1">
      <c r="A32" s="200" t="s">
        <v>95</v>
      </c>
      <c r="B32" s="200" t="s">
        <v>128</v>
      </c>
      <c r="C32" s="200" t="s">
        <v>133</v>
      </c>
      <c r="D32" s="175" t="str">
        <f t="shared" si="3"/>
        <v/>
      </c>
      <c r="E32" s="201" t="str">
        <f t="array" ref="E32">IF(B32="","",IF(B32&lt;&gt;B31,SUMPRODUCT(($B$5:B32&lt;&gt;$B$4:B31)*($B$5:B32&lt;&gt;"")),""))</f>
        <v/>
      </c>
      <c r="F32" s="201" t="str">
        <f t="shared" si="4"/>
        <v/>
      </c>
      <c r="G32" s="201">
        <f t="shared" si="5"/>
        <v>5</v>
      </c>
      <c r="H32" s="175" t="str">
        <f t="shared" si="6"/>
        <v>再実行・障害復旧・再取得方針の設計</v>
      </c>
      <c r="I32" s="200" t="s">
        <v>106</v>
      </c>
      <c r="J32" s="200" t="s">
        <v>121</v>
      </c>
      <c r="K32" s="200"/>
      <c r="L32" s="176" t="str">
        <f t="shared" si="7"/>
        <v>【Salesforceデータ連携（1販社先行検証）】5-5_全体・非機能設計_再実行・障害復旧・再取得方針の設計</v>
      </c>
      <c r="M32" s="202">
        <v>46258</v>
      </c>
      <c r="N32" s="202">
        <v>46267</v>
      </c>
      <c r="O32" s="167" t="s">
        <v>98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</row>
    <row r="33" spans="1:702" ht="36" customHeight="1">
      <c r="A33" s="200" t="s">
        <v>95</v>
      </c>
      <c r="B33" s="200" t="s">
        <v>128</v>
      </c>
      <c r="C33" s="200" t="s">
        <v>134</v>
      </c>
      <c r="D33" s="175" t="str">
        <f t="shared" si="3"/>
        <v/>
      </c>
      <c r="E33" s="201" t="str">
        <f t="array" ref="E33">IF(B33="","",IF(B33&lt;&gt;B32,SUMPRODUCT(($B$5:B33&lt;&gt;$B$4:B32)*($B$5:B33&lt;&gt;"")),""))</f>
        <v/>
      </c>
      <c r="F33" s="201" t="str">
        <f t="shared" si="4"/>
        <v/>
      </c>
      <c r="G33" s="201">
        <f t="shared" si="5"/>
        <v>6</v>
      </c>
      <c r="H33" s="175" t="str">
        <f t="shared" si="6"/>
        <v>監視・通知・ログ・処理履歴方針の設計</v>
      </c>
      <c r="I33" s="200" t="s">
        <v>106</v>
      </c>
      <c r="J33" s="200" t="s">
        <v>121</v>
      </c>
      <c r="K33" s="200"/>
      <c r="L33" s="176" t="str">
        <f t="shared" si="7"/>
        <v>【Salesforceデータ連携（1販社先行検証）】5-6_全体・非機能設計_監視・通知・ログ・処理履歴方針の設計</v>
      </c>
      <c r="M33" s="202"/>
      <c r="N33" s="202"/>
      <c r="O33" s="167" t="s">
        <v>98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</row>
    <row r="34" spans="1:702" ht="36" customHeight="1">
      <c r="A34" s="200" t="s">
        <v>95</v>
      </c>
      <c r="B34" s="200" t="s">
        <v>128</v>
      </c>
      <c r="C34" s="200" t="s">
        <v>135</v>
      </c>
      <c r="D34" s="175" t="str">
        <f t="shared" si="3"/>
        <v/>
      </c>
      <c r="E34" s="201" t="str">
        <f t="array" ref="E34">IF(B34="","",IF(B34&lt;&gt;B33,SUMPRODUCT(($B$5:B34&lt;&gt;$B$4:B33)*($B$5:B34&lt;&gt;"")),""))</f>
        <v/>
      </c>
      <c r="F34" s="201" t="str">
        <f t="shared" si="4"/>
        <v/>
      </c>
      <c r="G34" s="201">
        <f t="shared" si="5"/>
        <v>7</v>
      </c>
      <c r="H34" s="175" t="str">
        <f t="shared" si="6"/>
        <v>非機能・運用方針書の作成・レビュー</v>
      </c>
      <c r="I34" s="200" t="s">
        <v>106</v>
      </c>
      <c r="J34" s="200" t="s">
        <v>121</v>
      </c>
      <c r="K34" s="200"/>
      <c r="L34" s="176" t="str">
        <f t="shared" si="7"/>
        <v>【Salesforceデータ連携（1販社先行検証）】5-7_全体・非機能設計_非機能・運用方針書の作成・レビュー</v>
      </c>
      <c r="M34" s="202"/>
      <c r="N34" s="202"/>
      <c r="O34" s="167" t="s">
        <v>98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</row>
    <row r="35" spans="1:702" ht="39.75" customHeight="1">
      <c r="A35" s="197" t="s">
        <v>95</v>
      </c>
      <c r="B35" s="197" t="s">
        <v>136</v>
      </c>
      <c r="C35" s="197" t="s">
        <v>137</v>
      </c>
      <c r="D35" s="197" t="str">
        <f t="shared" si="3"/>
        <v/>
      </c>
      <c r="E35" s="198">
        <f t="array" ref="E35">IF(B35="","",IF(B35&lt;&gt;B34,SUMPRODUCT(($B$5:B35&lt;&gt;$B$4:B34)*($B$5:B35&lt;&gt;"")),""))</f>
        <v>6</v>
      </c>
      <c r="F35" s="198" t="str">
        <f t="shared" si="4"/>
        <v>セキュリティ設計</v>
      </c>
      <c r="G35" s="198">
        <f t="shared" si="5"/>
        <v>1</v>
      </c>
      <c r="H35" s="164" t="str">
        <f t="shared" si="6"/>
        <v>Salesforce認証方式の設計</v>
      </c>
      <c r="I35" s="197" t="s">
        <v>106</v>
      </c>
      <c r="J35" s="197" t="s">
        <v>121</v>
      </c>
      <c r="K35" s="197"/>
      <c r="L35" s="165" t="str">
        <f t="shared" si="7"/>
        <v>【Salesforceデータ連携（1販社先行検証）】6-1_セキュリティ設計_Salesforce認証方式の設計</v>
      </c>
      <c r="M35" s="199">
        <v>46258</v>
      </c>
      <c r="N35" s="199">
        <v>46267</v>
      </c>
      <c r="O35" s="167" t="s">
        <v>98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</row>
    <row r="36" spans="1:702" ht="36" customHeight="1">
      <c r="A36" s="200" t="s">
        <v>95</v>
      </c>
      <c r="B36" s="200" t="s">
        <v>136</v>
      </c>
      <c r="C36" s="200" t="s">
        <v>138</v>
      </c>
      <c r="D36" s="175" t="str">
        <f t="shared" si="3"/>
        <v/>
      </c>
      <c r="E36" s="201" t="str">
        <f t="array" ref="E36">IF(B36="","",IF(B36&lt;&gt;B35,SUMPRODUCT(($B$5:B36&lt;&gt;$B$4:B35)*($B$5:B36&lt;&gt;"")),""))</f>
        <v/>
      </c>
      <c r="F36" s="201" t="str">
        <f t="shared" si="4"/>
        <v/>
      </c>
      <c r="G36" s="201">
        <f t="shared" si="5"/>
        <v>2</v>
      </c>
      <c r="H36" s="175" t="str">
        <f t="shared" si="6"/>
        <v>連携基盤・保存先の認証認可設計</v>
      </c>
      <c r="I36" s="200" t="s">
        <v>106</v>
      </c>
      <c r="J36" s="200" t="s">
        <v>121</v>
      </c>
      <c r="K36" s="200"/>
      <c r="L36" s="176" t="str">
        <f t="shared" si="7"/>
        <v>【Salesforceデータ連携（1販社先行検証）】6-2_セキュリティ設計_連携基盤・保存先の認証認可設計</v>
      </c>
      <c r="M36" s="202">
        <v>46258</v>
      </c>
      <c r="N36" s="202">
        <v>46267</v>
      </c>
      <c r="O36" s="167" t="s">
        <v>98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WZ36" s="3"/>
      <c r="XA36" s="3"/>
      <c r="XB36" s="3"/>
      <c r="XC36" s="3"/>
      <c r="XD36" s="3"/>
      <c r="XE36" s="3"/>
      <c r="XF36" s="3"/>
      <c r="XG36" s="3"/>
      <c r="XH36" s="3"/>
      <c r="XI36" s="3"/>
      <c r="XJ36" s="3"/>
      <c r="XK36" s="3"/>
      <c r="XL36" s="3"/>
      <c r="XM36" s="3"/>
      <c r="XN36" s="3"/>
      <c r="XO36" s="3"/>
      <c r="XP36" s="3"/>
      <c r="XQ36" s="3"/>
      <c r="XR36" s="3"/>
      <c r="XS36" s="3"/>
      <c r="XT36" s="3"/>
      <c r="XU36" s="3"/>
      <c r="XV36" s="3"/>
      <c r="XW36" s="3"/>
      <c r="XX36" s="3"/>
      <c r="XY36" s="3"/>
      <c r="XZ36" s="3"/>
      <c r="YA36" s="3"/>
      <c r="YB36" s="3"/>
      <c r="YC36" s="3"/>
      <c r="YD36" s="3"/>
      <c r="YE36" s="3"/>
      <c r="YF36" s="3"/>
      <c r="YG36" s="3"/>
      <c r="YH36" s="3"/>
      <c r="YI36" s="3"/>
      <c r="YJ36" s="3"/>
      <c r="YK36" s="3"/>
      <c r="YL36" s="3"/>
      <c r="YM36" s="3"/>
      <c r="YN36" s="3"/>
      <c r="YO36" s="3"/>
      <c r="YP36" s="3"/>
      <c r="YQ36" s="3"/>
      <c r="YR36" s="3"/>
      <c r="YS36" s="3"/>
      <c r="YT36" s="3"/>
      <c r="YU36" s="3"/>
      <c r="YV36" s="3"/>
      <c r="YW36" s="3"/>
      <c r="YX36" s="3"/>
      <c r="YY36" s="3"/>
      <c r="YZ36" s="3"/>
      <c r="ZA36" s="3"/>
      <c r="ZB36" s="3"/>
      <c r="ZC36" s="3"/>
      <c r="ZD36" s="3"/>
      <c r="ZE36" s="3"/>
      <c r="ZF36" s="3"/>
      <c r="ZG36" s="3"/>
      <c r="ZH36" s="3"/>
      <c r="ZI36" s="3"/>
      <c r="ZJ36" s="3"/>
      <c r="ZK36" s="3"/>
      <c r="ZL36" s="3"/>
      <c r="ZM36" s="3"/>
      <c r="ZN36" s="3"/>
      <c r="ZO36" s="3"/>
      <c r="ZP36" s="3"/>
      <c r="ZQ36" s="3"/>
      <c r="ZR36" s="3"/>
      <c r="ZS36" s="3"/>
      <c r="ZT36" s="3"/>
      <c r="ZU36" s="3"/>
      <c r="ZV36" s="3"/>
      <c r="ZW36" s="3"/>
      <c r="ZX36" s="3"/>
      <c r="ZY36" s="3"/>
      <c r="ZZ36" s="3"/>
    </row>
    <row r="37" spans="1:702" ht="36" customHeight="1">
      <c r="A37" s="200" t="s">
        <v>95</v>
      </c>
      <c r="B37" s="200" t="s">
        <v>136</v>
      </c>
      <c r="C37" s="200" t="s">
        <v>139</v>
      </c>
      <c r="D37" s="175" t="str">
        <f t="shared" si="3"/>
        <v/>
      </c>
      <c r="E37" s="201" t="str">
        <f t="array" ref="E37">IF(B37="","",IF(B37&lt;&gt;B36,SUMPRODUCT(($B$5:B37&lt;&gt;$B$4:B36)*($B$5:B37&lt;&gt;"")),""))</f>
        <v/>
      </c>
      <c r="F37" s="201" t="str">
        <f t="shared" si="4"/>
        <v/>
      </c>
      <c r="G37" s="201">
        <f t="shared" si="5"/>
        <v>3</v>
      </c>
      <c r="H37" s="175" t="str">
        <f t="shared" si="6"/>
        <v>Credential・Secret管理方式の設計</v>
      </c>
      <c r="I37" s="200" t="s">
        <v>106</v>
      </c>
      <c r="J37" s="200" t="s">
        <v>121</v>
      </c>
      <c r="K37" s="200"/>
      <c r="L37" s="176" t="str">
        <f t="shared" si="7"/>
        <v>【Salesforceデータ連携（1販社先行検証）】6-3_セキュリティ設計_Credential・Secret管理方式の設計</v>
      </c>
      <c r="M37" s="202">
        <v>46258</v>
      </c>
      <c r="N37" s="202">
        <v>46267</v>
      </c>
      <c r="O37" s="167" t="s">
        <v>98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  <c r="VL37" s="3"/>
      <c r="VM37" s="3"/>
      <c r="VN37" s="3"/>
      <c r="VO37" s="3"/>
      <c r="VP37" s="3"/>
      <c r="VQ37" s="3"/>
      <c r="VR37" s="3"/>
      <c r="VS37" s="3"/>
      <c r="VT37" s="3"/>
      <c r="VU37" s="3"/>
      <c r="VV37" s="3"/>
      <c r="VW37" s="3"/>
      <c r="VX37" s="3"/>
      <c r="VY37" s="3"/>
      <c r="VZ37" s="3"/>
      <c r="WA37" s="3"/>
      <c r="WB37" s="3"/>
      <c r="WC37" s="3"/>
      <c r="WD37" s="3"/>
      <c r="WE37" s="3"/>
      <c r="WF37" s="3"/>
      <c r="WG37" s="3"/>
      <c r="WH37" s="3"/>
      <c r="WI37" s="3"/>
      <c r="WJ37" s="3"/>
      <c r="WK37" s="3"/>
      <c r="WL37" s="3"/>
      <c r="WM37" s="3"/>
      <c r="WN37" s="3"/>
      <c r="WO37" s="3"/>
      <c r="WP37" s="3"/>
      <c r="WQ37" s="3"/>
      <c r="WR37" s="3"/>
      <c r="WS37" s="3"/>
      <c r="WT37" s="3"/>
      <c r="WU37" s="3"/>
      <c r="WV37" s="3"/>
      <c r="WW37" s="3"/>
      <c r="WX37" s="3"/>
      <c r="WY37" s="3"/>
      <c r="WZ37" s="3"/>
      <c r="XA37" s="3"/>
      <c r="XB37" s="3"/>
      <c r="XC37" s="3"/>
      <c r="XD37" s="3"/>
      <c r="XE37" s="3"/>
      <c r="XF37" s="3"/>
      <c r="XG37" s="3"/>
      <c r="XH37" s="3"/>
      <c r="XI37" s="3"/>
      <c r="XJ37" s="3"/>
      <c r="XK37" s="3"/>
      <c r="XL37" s="3"/>
      <c r="XM37" s="3"/>
      <c r="XN37" s="3"/>
      <c r="XO37" s="3"/>
      <c r="XP37" s="3"/>
      <c r="XQ37" s="3"/>
      <c r="XR37" s="3"/>
      <c r="XS37" s="3"/>
      <c r="XT37" s="3"/>
      <c r="XU37" s="3"/>
      <c r="XV37" s="3"/>
      <c r="XW37" s="3"/>
      <c r="XX37" s="3"/>
      <c r="XY37" s="3"/>
      <c r="XZ37" s="3"/>
      <c r="YA37" s="3"/>
      <c r="YB37" s="3"/>
      <c r="YC37" s="3"/>
      <c r="YD37" s="3"/>
      <c r="YE37" s="3"/>
      <c r="YF37" s="3"/>
      <c r="YG37" s="3"/>
      <c r="YH37" s="3"/>
      <c r="YI37" s="3"/>
      <c r="YJ37" s="3"/>
      <c r="YK37" s="3"/>
      <c r="YL37" s="3"/>
      <c r="YM37" s="3"/>
      <c r="YN37" s="3"/>
      <c r="YO37" s="3"/>
      <c r="YP37" s="3"/>
      <c r="YQ37" s="3"/>
      <c r="YR37" s="3"/>
      <c r="YS37" s="3"/>
      <c r="YT37" s="3"/>
      <c r="YU37" s="3"/>
      <c r="YV37" s="3"/>
      <c r="YW37" s="3"/>
      <c r="YX37" s="3"/>
      <c r="YY37" s="3"/>
      <c r="YZ37" s="3"/>
      <c r="ZA37" s="3"/>
      <c r="ZB37" s="3"/>
      <c r="ZC37" s="3"/>
      <c r="ZD37" s="3"/>
      <c r="ZE37" s="3"/>
      <c r="ZF37" s="3"/>
      <c r="ZG37" s="3"/>
      <c r="ZH37" s="3"/>
      <c r="ZI37" s="3"/>
      <c r="ZJ37" s="3"/>
      <c r="ZK37" s="3"/>
      <c r="ZL37" s="3"/>
      <c r="ZM37" s="3"/>
      <c r="ZN37" s="3"/>
      <c r="ZO37" s="3"/>
      <c r="ZP37" s="3"/>
      <c r="ZQ37" s="3"/>
      <c r="ZR37" s="3"/>
      <c r="ZS37" s="3"/>
      <c r="ZT37" s="3"/>
      <c r="ZU37" s="3"/>
      <c r="ZV37" s="3"/>
      <c r="ZW37" s="3"/>
      <c r="ZX37" s="3"/>
      <c r="ZY37" s="3"/>
      <c r="ZZ37" s="3"/>
    </row>
    <row r="38" spans="1:702" ht="36" customHeight="1">
      <c r="A38" s="200" t="s">
        <v>95</v>
      </c>
      <c r="B38" s="200" t="s">
        <v>136</v>
      </c>
      <c r="C38" s="200" t="s">
        <v>140</v>
      </c>
      <c r="D38" s="175" t="str">
        <f t="shared" si="3"/>
        <v/>
      </c>
      <c r="E38" s="201" t="str">
        <f t="array" ref="E38">IF(B38="","",IF(B38&lt;&gt;B37,SUMPRODUCT(($B$5:B38&lt;&gt;$B$4:B37)*($B$5:B38&lt;&gt;"")),""))</f>
        <v/>
      </c>
      <c r="F38" s="201" t="str">
        <f t="shared" si="4"/>
        <v/>
      </c>
      <c r="G38" s="201">
        <f t="shared" si="5"/>
        <v>4</v>
      </c>
      <c r="H38" s="175" t="str">
        <f t="shared" si="6"/>
        <v>暗号化・機密データアクセス権の設計</v>
      </c>
      <c r="I38" s="200" t="s">
        <v>106</v>
      </c>
      <c r="J38" s="200" t="s">
        <v>121</v>
      </c>
      <c r="K38" s="200"/>
      <c r="L38" s="176" t="str">
        <f t="shared" si="7"/>
        <v>【Salesforceデータ連携（1販社先行検証）】6-4_セキュリティ設計_暗号化・機密データアクセス権の設計</v>
      </c>
      <c r="M38" s="202">
        <v>46258</v>
      </c>
      <c r="N38" s="202">
        <v>46267</v>
      </c>
      <c r="O38" s="167" t="s">
        <v>98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</row>
    <row r="39" spans="1:702" ht="36" customHeight="1">
      <c r="A39" s="200" t="s">
        <v>95</v>
      </c>
      <c r="B39" s="200" t="s">
        <v>136</v>
      </c>
      <c r="C39" s="200" t="s">
        <v>141</v>
      </c>
      <c r="D39" s="175" t="str">
        <f t="shared" si="3"/>
        <v/>
      </c>
      <c r="E39" s="201" t="str">
        <f t="array" ref="E39">IF(B39="","",IF(B39&lt;&gt;B38,SUMPRODUCT(($B$5:B39&lt;&gt;$B$4:B38)*($B$5:B39&lt;&gt;"")),""))</f>
        <v/>
      </c>
      <c r="F39" s="201" t="str">
        <f t="shared" si="4"/>
        <v/>
      </c>
      <c r="G39" s="201">
        <f t="shared" si="5"/>
        <v>5</v>
      </c>
      <c r="H39" s="175" t="str">
        <f t="shared" si="6"/>
        <v>監査ログ・アクセスログ方針の設計</v>
      </c>
      <c r="I39" s="200" t="s">
        <v>106</v>
      </c>
      <c r="J39" s="200" t="s">
        <v>121</v>
      </c>
      <c r="K39" s="200"/>
      <c r="L39" s="176" t="str">
        <f t="shared" si="7"/>
        <v>【Salesforceデータ連携（1販社先行検証）】6-5_セキュリティ設計_監査ログ・アクセスログ方針の設計</v>
      </c>
      <c r="M39" s="202"/>
      <c r="N39" s="202"/>
      <c r="O39" s="167" t="s">
        <v>98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</row>
    <row r="40" spans="1:702" ht="36" customHeight="1">
      <c r="A40" s="200" t="s">
        <v>95</v>
      </c>
      <c r="B40" s="200" t="s">
        <v>136</v>
      </c>
      <c r="C40" s="200" t="s">
        <v>142</v>
      </c>
      <c r="D40" s="175" t="str">
        <f t="shared" si="3"/>
        <v/>
      </c>
      <c r="E40" s="201" t="str">
        <f t="array" ref="E40">IF(B40="","",IF(B40&lt;&gt;B39,SUMPRODUCT(($B$5:B40&lt;&gt;$B$4:B39)*($B$5:B40&lt;&gt;"")),""))</f>
        <v/>
      </c>
      <c r="F40" s="201" t="str">
        <f t="shared" si="4"/>
        <v/>
      </c>
      <c r="G40" s="201">
        <f t="shared" si="5"/>
        <v>6</v>
      </c>
      <c r="H40" s="175" t="str">
        <f t="shared" si="6"/>
        <v>セキュリティ設計書の作成・レビュー</v>
      </c>
      <c r="I40" s="200" t="s">
        <v>106</v>
      </c>
      <c r="J40" s="200" t="s">
        <v>121</v>
      </c>
      <c r="K40" s="200"/>
      <c r="L40" s="176" t="str">
        <f t="shared" si="7"/>
        <v>【Salesforceデータ連携（1販社先行検証）】6-6_セキュリティ設計_セキュリティ設計書の作成・レビュー</v>
      </c>
      <c r="M40" s="202"/>
      <c r="N40" s="202"/>
      <c r="O40" s="167" t="s">
        <v>98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</row>
    <row r="41" spans="1:702" ht="39.75" customHeight="1">
      <c r="A41" s="197" t="s">
        <v>95</v>
      </c>
      <c r="B41" s="197" t="s">
        <v>143</v>
      </c>
      <c r="C41" s="197" t="s">
        <v>144</v>
      </c>
      <c r="D41" s="197" t="str">
        <f t="shared" si="3"/>
        <v/>
      </c>
      <c r="E41" s="198">
        <f t="array" ref="E41">IF(B41="","",IF(B41&lt;&gt;B40,SUMPRODUCT(($B$5:B41&lt;&gt;$B$4:B40)*($B$5:B41&lt;&gt;"")),""))</f>
        <v>7</v>
      </c>
      <c r="F41" s="198" t="str">
        <f t="shared" si="4"/>
        <v>ネットワーク設計</v>
      </c>
      <c r="G41" s="198">
        <f t="shared" si="5"/>
        <v>1</v>
      </c>
      <c r="H41" s="164" t="str">
        <f t="shared" si="6"/>
        <v>既存通信経路・接続方式の調査</v>
      </c>
      <c r="I41" s="197" t="s">
        <v>145</v>
      </c>
      <c r="J41" s="197" t="s">
        <v>146</v>
      </c>
      <c r="K41" s="197"/>
      <c r="L41" s="165" t="str">
        <f t="shared" si="7"/>
        <v>【Salesforceデータ連携（1販社先行検証）】7-1_ネットワーク設計_既存通信経路・接続方式の調査</v>
      </c>
      <c r="M41" s="199">
        <v>46258</v>
      </c>
      <c r="N41" s="199">
        <v>46262</v>
      </c>
      <c r="O41" s="167" t="s">
        <v>98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</row>
    <row r="42" spans="1:702" ht="36" customHeight="1">
      <c r="A42" s="200" t="s">
        <v>95</v>
      </c>
      <c r="B42" s="200" t="s">
        <v>143</v>
      </c>
      <c r="C42" s="200" t="s">
        <v>147</v>
      </c>
      <c r="D42" s="175" t="str">
        <f t="shared" si="3"/>
        <v/>
      </c>
      <c r="E42" s="201" t="str">
        <f t="array" ref="E42">IF(B42="","",IF(B42&lt;&gt;B41,SUMPRODUCT(($B$5:B42&lt;&gt;$B$4:B41)*($B$5:B42&lt;&gt;"")),""))</f>
        <v/>
      </c>
      <c r="F42" s="201" t="str">
        <f t="shared" si="4"/>
        <v/>
      </c>
      <c r="G42" s="201">
        <f t="shared" si="5"/>
        <v>2</v>
      </c>
      <c r="H42" s="175" t="str">
        <f t="shared" si="6"/>
        <v>Public／Private接続方式の決定</v>
      </c>
      <c r="I42" s="200" t="s">
        <v>145</v>
      </c>
      <c r="J42" s="200" t="s">
        <v>146</v>
      </c>
      <c r="K42" s="200"/>
      <c r="L42" s="176" t="str">
        <f t="shared" si="7"/>
        <v>【Salesforceデータ連携（1販社先行検証）】7-2_ネットワーク設計_Public／Private接続方式の決定</v>
      </c>
      <c r="M42" s="202">
        <v>46258</v>
      </c>
      <c r="N42" s="202">
        <v>46262</v>
      </c>
      <c r="O42" s="167" t="s">
        <v>98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/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WZ42" s="3"/>
      <c r="XA42" s="3"/>
      <c r="XB42" s="3"/>
      <c r="XC42" s="3"/>
      <c r="XD42" s="3"/>
      <c r="XE42" s="3"/>
      <c r="XF42" s="3"/>
      <c r="XG42" s="3"/>
      <c r="XH42" s="3"/>
      <c r="XI42" s="3"/>
      <c r="XJ42" s="3"/>
      <c r="XK42" s="3"/>
      <c r="XL42" s="3"/>
      <c r="XM42" s="3"/>
      <c r="XN42" s="3"/>
      <c r="XO42" s="3"/>
      <c r="XP42" s="3"/>
      <c r="XQ42" s="3"/>
      <c r="XR42" s="3"/>
      <c r="XS42" s="3"/>
      <c r="XT42" s="3"/>
      <c r="XU42" s="3"/>
      <c r="XV42" s="3"/>
      <c r="XW42" s="3"/>
      <c r="XX42" s="3"/>
      <c r="XY42" s="3"/>
      <c r="XZ42" s="3"/>
      <c r="YA42" s="3"/>
      <c r="YB42" s="3"/>
      <c r="YC42" s="3"/>
      <c r="YD42" s="3"/>
      <c r="YE42" s="3"/>
      <c r="YF42" s="3"/>
      <c r="YG42" s="3"/>
      <c r="YH42" s="3"/>
      <c r="YI42" s="3"/>
      <c r="YJ42" s="3"/>
      <c r="YK42" s="3"/>
      <c r="YL42" s="3"/>
      <c r="YM42" s="3"/>
      <c r="YN42" s="3"/>
      <c r="YO42" s="3"/>
      <c r="YP42" s="3"/>
      <c r="YQ42" s="3"/>
      <c r="YR42" s="3"/>
      <c r="YS42" s="3"/>
      <c r="YT42" s="3"/>
      <c r="YU42" s="3"/>
      <c r="YV42" s="3"/>
      <c r="YW42" s="3"/>
      <c r="YX42" s="3"/>
      <c r="YY42" s="3"/>
      <c r="YZ42" s="3"/>
      <c r="ZA42" s="3"/>
      <c r="ZB42" s="3"/>
      <c r="ZC42" s="3"/>
      <c r="ZD42" s="3"/>
      <c r="ZE42" s="3"/>
      <c r="ZF42" s="3"/>
      <c r="ZG42" s="3"/>
      <c r="ZH42" s="3"/>
      <c r="ZI42" s="3"/>
      <c r="ZJ42" s="3"/>
      <c r="ZK42" s="3"/>
      <c r="ZL42" s="3"/>
      <c r="ZM42" s="3"/>
      <c r="ZN42" s="3"/>
      <c r="ZO42" s="3"/>
      <c r="ZP42" s="3"/>
      <c r="ZQ42" s="3"/>
      <c r="ZR42" s="3"/>
      <c r="ZS42" s="3"/>
      <c r="ZT42" s="3"/>
      <c r="ZU42" s="3"/>
      <c r="ZV42" s="3"/>
      <c r="ZW42" s="3"/>
      <c r="ZX42" s="3"/>
      <c r="ZY42" s="3"/>
      <c r="ZZ42" s="3"/>
    </row>
    <row r="43" spans="1:702" ht="36" customHeight="1">
      <c r="A43" s="200" t="s">
        <v>95</v>
      </c>
      <c r="B43" s="200" t="s">
        <v>143</v>
      </c>
      <c r="C43" s="200" t="s">
        <v>148</v>
      </c>
      <c r="D43" s="175" t="str">
        <f t="shared" si="3"/>
        <v/>
      </c>
      <c r="E43" s="201" t="str">
        <f t="array" ref="E43">IF(B43="","",IF(B43&lt;&gt;B42,SUMPRODUCT(($B$5:B43&lt;&gt;$B$4:B42)*($B$5:B43&lt;&gt;"")),""))</f>
        <v/>
      </c>
      <c r="F43" s="201" t="str">
        <f t="shared" si="4"/>
        <v/>
      </c>
      <c r="G43" s="201">
        <f t="shared" si="5"/>
        <v>3</v>
      </c>
      <c r="H43" s="175" t="str">
        <f t="shared" si="6"/>
        <v>接続先・Port・Protocolの整理</v>
      </c>
      <c r="I43" s="200" t="s">
        <v>145</v>
      </c>
      <c r="J43" s="200" t="s">
        <v>146</v>
      </c>
      <c r="K43" s="200"/>
      <c r="L43" s="176" t="str">
        <f t="shared" si="7"/>
        <v>【Salesforceデータ連携（1販社先行検証）】7-3_ネットワーク設計_接続先・Port・Protocolの整理</v>
      </c>
      <c r="M43" s="202">
        <v>46258</v>
      </c>
      <c r="N43" s="202">
        <v>46262</v>
      </c>
      <c r="O43" s="167" t="s">
        <v>98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/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WP43" s="3"/>
      <c r="WQ43" s="3"/>
      <c r="WR43" s="3"/>
      <c r="WS43" s="3"/>
      <c r="WT43" s="3"/>
      <c r="WU43" s="3"/>
      <c r="WV43" s="3"/>
      <c r="WW43" s="3"/>
      <c r="WX43" s="3"/>
      <c r="WY43" s="3"/>
      <c r="WZ43" s="3"/>
      <c r="XA43" s="3"/>
      <c r="XB43" s="3"/>
      <c r="XC43" s="3"/>
      <c r="XD43" s="3"/>
      <c r="XE43" s="3"/>
      <c r="XF43" s="3"/>
      <c r="XG43" s="3"/>
      <c r="XH43" s="3"/>
      <c r="XI43" s="3"/>
      <c r="XJ43" s="3"/>
      <c r="XK43" s="3"/>
      <c r="XL43" s="3"/>
      <c r="XM43" s="3"/>
      <c r="XN43" s="3"/>
      <c r="XO43" s="3"/>
      <c r="XP43" s="3"/>
      <c r="XQ43" s="3"/>
      <c r="XR43" s="3"/>
      <c r="XS43" s="3"/>
      <c r="XT43" s="3"/>
      <c r="XU43" s="3"/>
      <c r="XV43" s="3"/>
      <c r="XW43" s="3"/>
      <c r="XX43" s="3"/>
      <c r="XY43" s="3"/>
      <c r="XZ43" s="3"/>
      <c r="YA43" s="3"/>
      <c r="YB43" s="3"/>
      <c r="YC43" s="3"/>
      <c r="YD43" s="3"/>
      <c r="YE43" s="3"/>
      <c r="YF43" s="3"/>
      <c r="YG43" s="3"/>
      <c r="YH43" s="3"/>
      <c r="YI43" s="3"/>
      <c r="YJ43" s="3"/>
      <c r="YK43" s="3"/>
      <c r="YL43" s="3"/>
      <c r="YM43" s="3"/>
      <c r="YN43" s="3"/>
      <c r="YO43" s="3"/>
      <c r="YP43" s="3"/>
      <c r="YQ43" s="3"/>
      <c r="YR43" s="3"/>
      <c r="YS43" s="3"/>
      <c r="YT43" s="3"/>
      <c r="YU43" s="3"/>
      <c r="YV43" s="3"/>
      <c r="YW43" s="3"/>
      <c r="YX43" s="3"/>
      <c r="YY43" s="3"/>
      <c r="YZ43" s="3"/>
      <c r="ZA43" s="3"/>
      <c r="ZB43" s="3"/>
      <c r="ZC43" s="3"/>
      <c r="ZD43" s="3"/>
      <c r="ZE43" s="3"/>
      <c r="ZF43" s="3"/>
      <c r="ZG43" s="3"/>
      <c r="ZH43" s="3"/>
      <c r="ZI43" s="3"/>
      <c r="ZJ43" s="3"/>
      <c r="ZK43" s="3"/>
      <c r="ZL43" s="3"/>
      <c r="ZM43" s="3"/>
      <c r="ZN43" s="3"/>
      <c r="ZO43" s="3"/>
      <c r="ZP43" s="3"/>
      <c r="ZQ43" s="3"/>
      <c r="ZR43" s="3"/>
      <c r="ZS43" s="3"/>
      <c r="ZT43" s="3"/>
      <c r="ZU43" s="3"/>
      <c r="ZV43" s="3"/>
      <c r="ZW43" s="3"/>
      <c r="ZX43" s="3"/>
      <c r="ZY43" s="3"/>
      <c r="ZZ43" s="3"/>
    </row>
    <row r="44" spans="1:702" ht="36" customHeight="1">
      <c r="A44" s="200" t="s">
        <v>95</v>
      </c>
      <c r="B44" s="200" t="s">
        <v>143</v>
      </c>
      <c r="C44" s="200" t="s">
        <v>149</v>
      </c>
      <c r="D44" s="175" t="str">
        <f t="shared" si="3"/>
        <v/>
      </c>
      <c r="E44" s="201" t="str">
        <f t="array" ref="E44">IF(B44="","",IF(B44&lt;&gt;B43,SUMPRODUCT(($B$5:B44&lt;&gt;$B$4:B43)*($B$5:B44&lt;&gt;"")),""))</f>
        <v/>
      </c>
      <c r="F44" s="201" t="str">
        <f t="shared" si="4"/>
        <v/>
      </c>
      <c r="G44" s="201">
        <f t="shared" si="5"/>
        <v>4</v>
      </c>
      <c r="H44" s="175" t="str">
        <f t="shared" si="6"/>
        <v>ネットワーク設定変更依頼内容の整理</v>
      </c>
      <c r="I44" s="200" t="s">
        <v>145</v>
      </c>
      <c r="J44" s="200" t="s">
        <v>146</v>
      </c>
      <c r="K44" s="200"/>
      <c r="L44" s="176" t="str">
        <f t="shared" si="7"/>
        <v>【Salesforceデータ連携（1販社先行検証）】7-4_ネットワーク設計_ネットワーク設定変更依頼内容の整理</v>
      </c>
      <c r="M44" s="202">
        <v>46265</v>
      </c>
      <c r="N44" s="202">
        <v>46269</v>
      </c>
      <c r="O44" s="167" t="s">
        <v>98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WZ44" s="3"/>
      <c r="XA44" s="3"/>
      <c r="XB44" s="3"/>
      <c r="XC44" s="3"/>
      <c r="XD44" s="3"/>
      <c r="XE44" s="3"/>
      <c r="XF44" s="3"/>
      <c r="XG44" s="3"/>
      <c r="XH44" s="3"/>
      <c r="XI44" s="3"/>
      <c r="XJ44" s="3"/>
      <c r="XK44" s="3"/>
      <c r="XL44" s="3"/>
      <c r="XM44" s="3"/>
      <c r="XN44" s="3"/>
      <c r="XO44" s="3"/>
      <c r="XP44" s="3"/>
      <c r="XQ44" s="3"/>
      <c r="XR44" s="3"/>
      <c r="XS44" s="3"/>
      <c r="XT44" s="3"/>
      <c r="XU44" s="3"/>
      <c r="XV44" s="3"/>
      <c r="XW44" s="3"/>
      <c r="XX44" s="3"/>
      <c r="XY44" s="3"/>
      <c r="XZ44" s="3"/>
      <c r="YA44" s="3"/>
      <c r="YB44" s="3"/>
      <c r="YC44" s="3"/>
      <c r="YD44" s="3"/>
      <c r="YE44" s="3"/>
      <c r="YF44" s="3"/>
      <c r="YG44" s="3"/>
      <c r="YH44" s="3"/>
      <c r="YI44" s="3"/>
      <c r="YJ44" s="3"/>
      <c r="YK44" s="3"/>
      <c r="YL44" s="3"/>
      <c r="YM44" s="3"/>
      <c r="YN44" s="3"/>
      <c r="YO44" s="3"/>
      <c r="YP44" s="3"/>
      <c r="YQ44" s="3"/>
      <c r="YR44" s="3"/>
      <c r="YS44" s="3"/>
      <c r="YT44" s="3"/>
      <c r="YU44" s="3"/>
      <c r="YV44" s="3"/>
      <c r="YW44" s="3"/>
      <c r="YX44" s="3"/>
      <c r="YY44" s="3"/>
      <c r="YZ44" s="3"/>
      <c r="ZA44" s="3"/>
      <c r="ZB44" s="3"/>
      <c r="ZC44" s="3"/>
      <c r="ZD44" s="3"/>
      <c r="ZE44" s="3"/>
      <c r="ZF44" s="3"/>
      <c r="ZG44" s="3"/>
      <c r="ZH44" s="3"/>
      <c r="ZI44" s="3"/>
      <c r="ZJ44" s="3"/>
      <c r="ZK44" s="3"/>
      <c r="ZL44" s="3"/>
      <c r="ZM44" s="3"/>
      <c r="ZN44" s="3"/>
      <c r="ZO44" s="3"/>
      <c r="ZP44" s="3"/>
      <c r="ZQ44" s="3"/>
      <c r="ZR44" s="3"/>
      <c r="ZS44" s="3"/>
      <c r="ZT44" s="3"/>
      <c r="ZU44" s="3"/>
      <c r="ZV44" s="3"/>
      <c r="ZW44" s="3"/>
      <c r="ZX44" s="3"/>
      <c r="ZY44" s="3"/>
      <c r="ZZ44" s="3"/>
    </row>
    <row r="45" spans="1:702" ht="36" customHeight="1">
      <c r="A45" s="200" t="s">
        <v>95</v>
      </c>
      <c r="B45" s="200" t="s">
        <v>143</v>
      </c>
      <c r="C45" s="200" t="s">
        <v>150</v>
      </c>
      <c r="D45" s="175" t="str">
        <f t="shared" si="3"/>
        <v/>
      </c>
      <c r="E45" s="201" t="str">
        <f t="array" ref="E45">IF(B45="","",IF(B45&lt;&gt;B44,SUMPRODUCT(($B$5:B45&lt;&gt;$B$4:B44)*($B$5:B45&lt;&gt;"")),""))</f>
        <v/>
      </c>
      <c r="F45" s="201" t="str">
        <f t="shared" si="4"/>
        <v/>
      </c>
      <c r="G45" s="201">
        <f t="shared" si="5"/>
        <v>5</v>
      </c>
      <c r="H45" s="175" t="str">
        <f t="shared" si="6"/>
        <v>区間別疎通試験方法の設計</v>
      </c>
      <c r="I45" s="200" t="s">
        <v>145</v>
      </c>
      <c r="J45" s="200" t="s">
        <v>146</v>
      </c>
      <c r="K45" s="200"/>
      <c r="L45" s="176" t="str">
        <f t="shared" si="7"/>
        <v>【Salesforceデータ連携（1販社先行検証）】7-5_ネットワーク設計_区間別疎通試験方法の設計</v>
      </c>
      <c r="M45" s="202">
        <v>46265</v>
      </c>
      <c r="N45" s="202">
        <v>46269</v>
      </c>
      <c r="O45" s="167" t="s">
        <v>98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/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/>
      <c r="TR45" s="3"/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/>
      <c r="VC45" s="3"/>
      <c r="VD45" s="3"/>
      <c r="VE45" s="3"/>
      <c r="VF45" s="3"/>
      <c r="VG45" s="3"/>
      <c r="VH45" s="3"/>
      <c r="VI45" s="3"/>
      <c r="VJ45" s="3"/>
      <c r="VK45" s="3"/>
      <c r="VL45" s="3"/>
      <c r="VM45" s="3"/>
      <c r="VN45" s="3"/>
      <c r="VO45" s="3"/>
      <c r="VP45" s="3"/>
      <c r="VQ45" s="3"/>
      <c r="VR45" s="3"/>
      <c r="VS45" s="3"/>
      <c r="VT45" s="3"/>
      <c r="VU45" s="3"/>
      <c r="VV45" s="3"/>
      <c r="VW45" s="3"/>
      <c r="VX45" s="3"/>
      <c r="VY45" s="3"/>
      <c r="VZ45" s="3"/>
      <c r="WA45" s="3"/>
      <c r="WB45" s="3"/>
      <c r="WC45" s="3"/>
      <c r="WD45" s="3"/>
      <c r="WE45" s="3"/>
      <c r="WF45" s="3"/>
      <c r="WG45" s="3"/>
      <c r="WH45" s="3"/>
      <c r="WI45" s="3"/>
      <c r="WJ45" s="3"/>
      <c r="WK45" s="3"/>
      <c r="WL45" s="3"/>
      <c r="WM45" s="3"/>
      <c r="WN45" s="3"/>
      <c r="WO45" s="3"/>
      <c r="WP45" s="3"/>
      <c r="WQ45" s="3"/>
      <c r="WR45" s="3"/>
      <c r="WS45" s="3"/>
      <c r="WT45" s="3"/>
      <c r="WU45" s="3"/>
      <c r="WV45" s="3"/>
      <c r="WW45" s="3"/>
      <c r="WX45" s="3"/>
      <c r="WY45" s="3"/>
      <c r="WZ45" s="3"/>
      <c r="XA45" s="3"/>
      <c r="XB45" s="3"/>
      <c r="XC45" s="3"/>
      <c r="XD45" s="3"/>
      <c r="XE45" s="3"/>
      <c r="XF45" s="3"/>
      <c r="XG45" s="3"/>
      <c r="XH45" s="3"/>
      <c r="XI45" s="3"/>
      <c r="XJ45" s="3"/>
      <c r="XK45" s="3"/>
      <c r="XL45" s="3"/>
      <c r="XM45" s="3"/>
      <c r="XN45" s="3"/>
      <c r="XO45" s="3"/>
      <c r="XP45" s="3"/>
      <c r="XQ45" s="3"/>
      <c r="XR45" s="3"/>
      <c r="XS45" s="3"/>
      <c r="XT45" s="3"/>
      <c r="XU45" s="3"/>
      <c r="XV45" s="3"/>
      <c r="XW45" s="3"/>
      <c r="XX45" s="3"/>
      <c r="XY45" s="3"/>
      <c r="XZ45" s="3"/>
      <c r="YA45" s="3"/>
      <c r="YB45" s="3"/>
      <c r="YC45" s="3"/>
      <c r="YD45" s="3"/>
      <c r="YE45" s="3"/>
      <c r="YF45" s="3"/>
      <c r="YG45" s="3"/>
      <c r="YH45" s="3"/>
      <c r="YI45" s="3"/>
      <c r="YJ45" s="3"/>
      <c r="YK45" s="3"/>
      <c r="YL45" s="3"/>
      <c r="YM45" s="3"/>
      <c r="YN45" s="3"/>
      <c r="YO45" s="3"/>
      <c r="YP45" s="3"/>
      <c r="YQ45" s="3"/>
      <c r="YR45" s="3"/>
      <c r="YS45" s="3"/>
      <c r="YT45" s="3"/>
      <c r="YU45" s="3"/>
      <c r="YV45" s="3"/>
      <c r="YW45" s="3"/>
      <c r="YX45" s="3"/>
      <c r="YY45" s="3"/>
      <c r="YZ45" s="3"/>
      <c r="ZA45" s="3"/>
      <c r="ZB45" s="3"/>
      <c r="ZC45" s="3"/>
      <c r="ZD45" s="3"/>
      <c r="ZE45" s="3"/>
      <c r="ZF45" s="3"/>
      <c r="ZG45" s="3"/>
      <c r="ZH45" s="3"/>
      <c r="ZI45" s="3"/>
      <c r="ZJ45" s="3"/>
      <c r="ZK45" s="3"/>
      <c r="ZL45" s="3"/>
      <c r="ZM45" s="3"/>
      <c r="ZN45" s="3"/>
      <c r="ZO45" s="3"/>
      <c r="ZP45" s="3"/>
      <c r="ZQ45" s="3"/>
      <c r="ZR45" s="3"/>
      <c r="ZS45" s="3"/>
      <c r="ZT45" s="3"/>
      <c r="ZU45" s="3"/>
      <c r="ZV45" s="3"/>
      <c r="ZW45" s="3"/>
      <c r="ZX45" s="3"/>
      <c r="ZY45" s="3"/>
      <c r="ZZ45" s="3"/>
    </row>
    <row r="46" spans="1:702" ht="36" customHeight="1">
      <c r="A46" s="200" t="s">
        <v>95</v>
      </c>
      <c r="B46" s="200" t="s">
        <v>143</v>
      </c>
      <c r="C46" s="200" t="s">
        <v>151</v>
      </c>
      <c r="D46" s="175" t="str">
        <f t="shared" si="3"/>
        <v/>
      </c>
      <c r="E46" s="201" t="str">
        <f t="array" ref="E46">IF(B46="","",IF(B46&lt;&gt;B45,SUMPRODUCT(($B$5:B46&lt;&gt;$B$4:B45)*($B$5:B46&lt;&gt;"")),""))</f>
        <v/>
      </c>
      <c r="F46" s="201" t="str">
        <f t="shared" si="4"/>
        <v/>
      </c>
      <c r="G46" s="201">
        <f t="shared" si="5"/>
        <v>6</v>
      </c>
      <c r="H46" s="175" t="str">
        <f t="shared" si="6"/>
        <v>ネットワーク・アプリ障害切り分け方式の設計</v>
      </c>
      <c r="I46" s="200" t="s">
        <v>145</v>
      </c>
      <c r="J46" s="200" t="s">
        <v>146</v>
      </c>
      <c r="K46" s="200"/>
      <c r="L46" s="176" t="str">
        <f t="shared" si="7"/>
        <v>【Salesforceデータ連携（1販社先行検証）】7-6_ネットワーク設計_ネットワーク・アプリ障害切り分け方式の設計</v>
      </c>
      <c r="M46" s="202"/>
      <c r="N46" s="202"/>
      <c r="O46" s="167" t="s">
        <v>98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WZ46" s="3"/>
      <c r="XA46" s="3"/>
      <c r="XB46" s="3"/>
      <c r="XC46" s="3"/>
      <c r="XD46" s="3"/>
      <c r="XE46" s="3"/>
      <c r="XF46" s="3"/>
      <c r="XG46" s="3"/>
      <c r="XH46" s="3"/>
      <c r="XI46" s="3"/>
      <c r="XJ46" s="3"/>
      <c r="XK46" s="3"/>
      <c r="XL46" s="3"/>
      <c r="XM46" s="3"/>
      <c r="XN46" s="3"/>
      <c r="XO46" s="3"/>
      <c r="XP46" s="3"/>
      <c r="XQ46" s="3"/>
      <c r="XR46" s="3"/>
      <c r="XS46" s="3"/>
      <c r="XT46" s="3"/>
      <c r="XU46" s="3"/>
      <c r="XV46" s="3"/>
      <c r="XW46" s="3"/>
      <c r="XX46" s="3"/>
      <c r="XY46" s="3"/>
      <c r="XZ46" s="3"/>
      <c r="YA46" s="3"/>
      <c r="YB46" s="3"/>
      <c r="YC46" s="3"/>
      <c r="YD46" s="3"/>
      <c r="YE46" s="3"/>
      <c r="YF46" s="3"/>
      <c r="YG46" s="3"/>
      <c r="YH46" s="3"/>
      <c r="YI46" s="3"/>
      <c r="YJ46" s="3"/>
      <c r="YK46" s="3"/>
      <c r="YL46" s="3"/>
      <c r="YM46" s="3"/>
      <c r="YN46" s="3"/>
      <c r="YO46" s="3"/>
      <c r="YP46" s="3"/>
      <c r="YQ46" s="3"/>
      <c r="YR46" s="3"/>
      <c r="YS46" s="3"/>
      <c r="YT46" s="3"/>
      <c r="YU46" s="3"/>
      <c r="YV46" s="3"/>
      <c r="YW46" s="3"/>
      <c r="YX46" s="3"/>
      <c r="YY46" s="3"/>
      <c r="YZ46" s="3"/>
      <c r="ZA46" s="3"/>
      <c r="ZB46" s="3"/>
      <c r="ZC46" s="3"/>
      <c r="ZD46" s="3"/>
      <c r="ZE46" s="3"/>
      <c r="ZF46" s="3"/>
      <c r="ZG46" s="3"/>
      <c r="ZH46" s="3"/>
      <c r="ZI46" s="3"/>
      <c r="ZJ46" s="3"/>
      <c r="ZK46" s="3"/>
      <c r="ZL46" s="3"/>
      <c r="ZM46" s="3"/>
      <c r="ZN46" s="3"/>
      <c r="ZO46" s="3"/>
      <c r="ZP46" s="3"/>
      <c r="ZQ46" s="3"/>
      <c r="ZR46" s="3"/>
      <c r="ZS46" s="3"/>
      <c r="ZT46" s="3"/>
      <c r="ZU46" s="3"/>
      <c r="ZV46" s="3"/>
      <c r="ZW46" s="3"/>
      <c r="ZX46" s="3"/>
      <c r="ZY46" s="3"/>
      <c r="ZZ46" s="3"/>
    </row>
    <row r="47" spans="1:702" ht="36" customHeight="1">
      <c r="A47" s="200" t="s">
        <v>95</v>
      </c>
      <c r="B47" s="200" t="s">
        <v>143</v>
      </c>
      <c r="C47" s="200" t="s">
        <v>152</v>
      </c>
      <c r="D47" s="175" t="str">
        <f t="shared" si="3"/>
        <v/>
      </c>
      <c r="E47" s="201" t="str">
        <f t="array" ref="E47">IF(B47="","",IF(B47&lt;&gt;B46,SUMPRODUCT(($B$5:B47&lt;&gt;$B$4:B46)*($B$5:B47&lt;&gt;"")),""))</f>
        <v/>
      </c>
      <c r="F47" s="201" t="str">
        <f t="shared" si="4"/>
        <v/>
      </c>
      <c r="G47" s="201">
        <f t="shared" si="5"/>
        <v>7</v>
      </c>
      <c r="H47" s="175" t="str">
        <f t="shared" si="6"/>
        <v>ネットワーク接続設計書の作成・レビュー</v>
      </c>
      <c r="I47" s="200" t="s">
        <v>145</v>
      </c>
      <c r="J47" s="200" t="s">
        <v>146</v>
      </c>
      <c r="K47" s="200"/>
      <c r="L47" s="176" t="str">
        <f t="shared" si="7"/>
        <v>【Salesforceデータ連携（1販社先行検証）】7-7_ネットワーク設計_ネットワーク接続設計書の作成・レビュー</v>
      </c>
      <c r="M47" s="202"/>
      <c r="N47" s="202"/>
      <c r="O47" s="167" t="s">
        <v>98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/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WP47" s="3"/>
      <c r="WQ47" s="3"/>
      <c r="WR47" s="3"/>
      <c r="WS47" s="3"/>
      <c r="WT47" s="3"/>
      <c r="WU47" s="3"/>
      <c r="WV47" s="3"/>
      <c r="WW47" s="3"/>
      <c r="WX47" s="3"/>
      <c r="WY47" s="3"/>
      <c r="WZ47" s="3"/>
      <c r="XA47" s="3"/>
      <c r="XB47" s="3"/>
      <c r="XC47" s="3"/>
      <c r="XD47" s="3"/>
      <c r="XE47" s="3"/>
      <c r="XF47" s="3"/>
      <c r="XG47" s="3"/>
      <c r="XH47" s="3"/>
      <c r="XI47" s="3"/>
      <c r="XJ47" s="3"/>
      <c r="XK47" s="3"/>
      <c r="XL47" s="3"/>
      <c r="XM47" s="3"/>
      <c r="XN47" s="3"/>
      <c r="XO47" s="3"/>
      <c r="XP47" s="3"/>
      <c r="XQ47" s="3"/>
      <c r="XR47" s="3"/>
      <c r="XS47" s="3"/>
      <c r="XT47" s="3"/>
      <c r="XU47" s="3"/>
      <c r="XV47" s="3"/>
      <c r="XW47" s="3"/>
      <c r="XX47" s="3"/>
      <c r="XY47" s="3"/>
      <c r="XZ47" s="3"/>
      <c r="YA47" s="3"/>
      <c r="YB47" s="3"/>
      <c r="YC47" s="3"/>
      <c r="YD47" s="3"/>
      <c r="YE47" s="3"/>
      <c r="YF47" s="3"/>
      <c r="YG47" s="3"/>
      <c r="YH47" s="3"/>
      <c r="YI47" s="3"/>
      <c r="YJ47" s="3"/>
      <c r="YK47" s="3"/>
      <c r="YL47" s="3"/>
      <c r="YM47" s="3"/>
      <c r="YN47" s="3"/>
      <c r="YO47" s="3"/>
      <c r="YP47" s="3"/>
      <c r="YQ47" s="3"/>
      <c r="YR47" s="3"/>
      <c r="YS47" s="3"/>
      <c r="YT47" s="3"/>
      <c r="YU47" s="3"/>
      <c r="YV47" s="3"/>
      <c r="YW47" s="3"/>
      <c r="YX47" s="3"/>
      <c r="YY47" s="3"/>
      <c r="YZ47" s="3"/>
      <c r="ZA47" s="3"/>
      <c r="ZB47" s="3"/>
      <c r="ZC47" s="3"/>
      <c r="ZD47" s="3"/>
      <c r="ZE47" s="3"/>
      <c r="ZF47" s="3"/>
      <c r="ZG47" s="3"/>
      <c r="ZH47" s="3"/>
      <c r="ZI47" s="3"/>
      <c r="ZJ47" s="3"/>
      <c r="ZK47" s="3"/>
      <c r="ZL47" s="3"/>
      <c r="ZM47" s="3"/>
      <c r="ZN47" s="3"/>
      <c r="ZO47" s="3"/>
      <c r="ZP47" s="3"/>
      <c r="ZQ47" s="3"/>
      <c r="ZR47" s="3"/>
      <c r="ZS47" s="3"/>
      <c r="ZT47" s="3"/>
      <c r="ZU47" s="3"/>
      <c r="ZV47" s="3"/>
      <c r="ZW47" s="3"/>
      <c r="ZX47" s="3"/>
      <c r="ZY47" s="3"/>
      <c r="ZZ47" s="3"/>
    </row>
    <row r="48" spans="1:702" ht="39.75" customHeight="1">
      <c r="A48" s="197" t="s">
        <v>95</v>
      </c>
      <c r="B48" s="197" t="s">
        <v>153</v>
      </c>
      <c r="C48" s="197" t="s">
        <v>154</v>
      </c>
      <c r="D48" s="197" t="str">
        <f t="shared" si="3"/>
        <v/>
      </c>
      <c r="E48" s="198">
        <f t="array" ref="E48">IF(B48="","",IF(B48&lt;&gt;B47,SUMPRODUCT(($B$5:B48&lt;&gt;$B$4:B47)*($B$5:B48&lt;&gt;"")),""))</f>
        <v>8</v>
      </c>
      <c r="F48" s="198" t="str">
        <f t="shared" si="4"/>
        <v>データ連携・IF設計</v>
      </c>
      <c r="G48" s="198">
        <f t="shared" si="5"/>
        <v>1</v>
      </c>
      <c r="H48" s="164" t="str">
        <f t="shared" si="6"/>
        <v>Objectごとの取得方式・Load Typeの設計</v>
      </c>
      <c r="I48" s="197" t="s">
        <v>106</v>
      </c>
      <c r="J48" s="197" t="s">
        <v>121</v>
      </c>
      <c r="K48" s="197"/>
      <c r="L48" s="165" t="str">
        <f t="shared" si="7"/>
        <v>【Salesforceデータ連携（1販社先行検証）】8-1_データ連携・IF設計_Objectごとの取得方式・Load Typeの設計</v>
      </c>
      <c r="M48" s="199">
        <v>46265</v>
      </c>
      <c r="N48" s="199">
        <v>46274</v>
      </c>
      <c r="O48" s="167" t="s">
        <v>98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/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WZ48" s="3"/>
      <c r="XA48" s="3"/>
      <c r="XB48" s="3"/>
      <c r="XC48" s="3"/>
      <c r="XD48" s="3"/>
      <c r="XE48" s="3"/>
      <c r="XF48" s="3"/>
      <c r="XG48" s="3"/>
      <c r="XH48" s="3"/>
      <c r="XI48" s="3"/>
      <c r="XJ48" s="3"/>
      <c r="XK48" s="3"/>
      <c r="XL48" s="3"/>
      <c r="XM48" s="3"/>
      <c r="XN48" s="3"/>
      <c r="XO48" s="3"/>
      <c r="XP48" s="3"/>
      <c r="XQ48" s="3"/>
      <c r="XR48" s="3"/>
      <c r="XS48" s="3"/>
      <c r="XT48" s="3"/>
      <c r="XU48" s="3"/>
      <c r="XV48" s="3"/>
      <c r="XW48" s="3"/>
      <c r="XX48" s="3"/>
      <c r="XY48" s="3"/>
      <c r="XZ48" s="3"/>
      <c r="YA48" s="3"/>
      <c r="YB48" s="3"/>
      <c r="YC48" s="3"/>
      <c r="YD48" s="3"/>
      <c r="YE48" s="3"/>
      <c r="YF48" s="3"/>
      <c r="YG48" s="3"/>
      <c r="YH48" s="3"/>
      <c r="YI48" s="3"/>
      <c r="YJ48" s="3"/>
      <c r="YK48" s="3"/>
      <c r="YL48" s="3"/>
      <c r="YM48" s="3"/>
      <c r="YN48" s="3"/>
      <c r="YO48" s="3"/>
      <c r="YP48" s="3"/>
      <c r="YQ48" s="3"/>
      <c r="YR48" s="3"/>
      <c r="YS48" s="3"/>
      <c r="YT48" s="3"/>
      <c r="YU48" s="3"/>
      <c r="YV48" s="3"/>
      <c r="YW48" s="3"/>
      <c r="YX48" s="3"/>
      <c r="YY48" s="3"/>
      <c r="YZ48" s="3"/>
      <c r="ZA48" s="3"/>
      <c r="ZB48" s="3"/>
      <c r="ZC48" s="3"/>
      <c r="ZD48" s="3"/>
      <c r="ZE48" s="3"/>
      <c r="ZF48" s="3"/>
      <c r="ZG48" s="3"/>
      <c r="ZH48" s="3"/>
      <c r="ZI48" s="3"/>
      <c r="ZJ48" s="3"/>
      <c r="ZK48" s="3"/>
      <c r="ZL48" s="3"/>
      <c r="ZM48" s="3"/>
      <c r="ZN48" s="3"/>
      <c r="ZO48" s="3"/>
      <c r="ZP48" s="3"/>
      <c r="ZQ48" s="3"/>
      <c r="ZR48" s="3"/>
      <c r="ZS48" s="3"/>
      <c r="ZT48" s="3"/>
      <c r="ZU48" s="3"/>
      <c r="ZV48" s="3"/>
      <c r="ZW48" s="3"/>
      <c r="ZX48" s="3"/>
      <c r="ZY48" s="3"/>
      <c r="ZZ48" s="3"/>
    </row>
    <row r="49" spans="1:702" ht="36" customHeight="1">
      <c r="A49" s="200" t="s">
        <v>95</v>
      </c>
      <c r="B49" s="200" t="s">
        <v>153</v>
      </c>
      <c r="C49" s="200" t="s">
        <v>155</v>
      </c>
      <c r="D49" s="175" t="str">
        <f t="shared" si="3"/>
        <v/>
      </c>
      <c r="E49" s="201" t="str">
        <f t="array" ref="E49">IF(B49="","",IF(B49&lt;&gt;B48,SUMPRODUCT(($B$5:B49&lt;&gt;$B$4:B48)*($B$5:B49&lt;&gt;"")),""))</f>
        <v/>
      </c>
      <c r="F49" s="201" t="str">
        <f t="shared" si="4"/>
        <v/>
      </c>
      <c r="G49" s="201">
        <f t="shared" si="5"/>
        <v>2</v>
      </c>
      <c r="H49" s="175" t="str">
        <f t="shared" si="6"/>
        <v>Salesforce API制約を考慮した取得方式の設計</v>
      </c>
      <c r="I49" s="200" t="s">
        <v>106</v>
      </c>
      <c r="J49" s="200" t="s">
        <v>121</v>
      </c>
      <c r="K49" s="200"/>
      <c r="L49" s="176" t="str">
        <f t="shared" si="7"/>
        <v>【Salesforceデータ連携（1販社先行検証）】8-2_データ連携・IF設計_Salesforce API制約を考慮した取得方式の設計</v>
      </c>
      <c r="M49" s="202">
        <v>46265</v>
      </c>
      <c r="N49" s="202">
        <v>46274</v>
      </c>
      <c r="O49" s="167" t="s">
        <v>98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/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WP49" s="3"/>
      <c r="WQ49" s="3"/>
      <c r="WR49" s="3"/>
      <c r="WS49" s="3"/>
      <c r="WT49" s="3"/>
      <c r="WU49" s="3"/>
      <c r="WV49" s="3"/>
      <c r="WW49" s="3"/>
      <c r="WX49" s="3"/>
      <c r="WY49" s="3"/>
      <c r="WZ49" s="3"/>
      <c r="XA49" s="3"/>
      <c r="XB49" s="3"/>
      <c r="XC49" s="3"/>
      <c r="XD49" s="3"/>
      <c r="XE49" s="3"/>
      <c r="XF49" s="3"/>
      <c r="XG49" s="3"/>
      <c r="XH49" s="3"/>
      <c r="XI49" s="3"/>
      <c r="XJ49" s="3"/>
      <c r="XK49" s="3"/>
      <c r="XL49" s="3"/>
      <c r="XM49" s="3"/>
      <c r="XN49" s="3"/>
      <c r="XO49" s="3"/>
      <c r="XP49" s="3"/>
      <c r="XQ49" s="3"/>
      <c r="XR49" s="3"/>
      <c r="XS49" s="3"/>
      <c r="XT49" s="3"/>
      <c r="XU49" s="3"/>
      <c r="XV49" s="3"/>
      <c r="XW49" s="3"/>
      <c r="XX49" s="3"/>
      <c r="XY49" s="3"/>
      <c r="XZ49" s="3"/>
      <c r="YA49" s="3"/>
      <c r="YB49" s="3"/>
      <c r="YC49" s="3"/>
      <c r="YD49" s="3"/>
      <c r="YE49" s="3"/>
      <c r="YF49" s="3"/>
      <c r="YG49" s="3"/>
      <c r="YH49" s="3"/>
      <c r="YI49" s="3"/>
      <c r="YJ49" s="3"/>
      <c r="YK49" s="3"/>
      <c r="YL49" s="3"/>
      <c r="YM49" s="3"/>
      <c r="YN49" s="3"/>
      <c r="YO49" s="3"/>
      <c r="YP49" s="3"/>
      <c r="YQ49" s="3"/>
      <c r="YR49" s="3"/>
      <c r="YS49" s="3"/>
      <c r="YT49" s="3"/>
      <c r="YU49" s="3"/>
      <c r="YV49" s="3"/>
      <c r="YW49" s="3"/>
      <c r="YX49" s="3"/>
      <c r="YY49" s="3"/>
      <c r="YZ49" s="3"/>
      <c r="ZA49" s="3"/>
      <c r="ZB49" s="3"/>
      <c r="ZC49" s="3"/>
      <c r="ZD49" s="3"/>
      <c r="ZE49" s="3"/>
      <c r="ZF49" s="3"/>
      <c r="ZG49" s="3"/>
      <c r="ZH49" s="3"/>
      <c r="ZI49" s="3"/>
      <c r="ZJ49" s="3"/>
      <c r="ZK49" s="3"/>
      <c r="ZL49" s="3"/>
      <c r="ZM49" s="3"/>
      <c r="ZN49" s="3"/>
      <c r="ZO49" s="3"/>
      <c r="ZP49" s="3"/>
      <c r="ZQ49" s="3"/>
      <c r="ZR49" s="3"/>
      <c r="ZS49" s="3"/>
      <c r="ZT49" s="3"/>
      <c r="ZU49" s="3"/>
      <c r="ZV49" s="3"/>
      <c r="ZW49" s="3"/>
      <c r="ZX49" s="3"/>
      <c r="ZY49" s="3"/>
      <c r="ZZ49" s="3"/>
    </row>
    <row r="50" spans="1:702" ht="36" customHeight="1">
      <c r="A50" s="200" t="s">
        <v>95</v>
      </c>
      <c r="B50" s="200" t="s">
        <v>153</v>
      </c>
      <c r="C50" s="200" t="s">
        <v>156</v>
      </c>
      <c r="D50" s="175" t="str">
        <f t="shared" si="3"/>
        <v/>
      </c>
      <c r="E50" s="201" t="str">
        <f t="array" ref="E50">IF(B50="","",IF(B50&lt;&gt;B49,SUMPRODUCT(($B$5:B50&lt;&gt;$B$4:B49)*($B$5:B50&lt;&gt;"")),""))</f>
        <v/>
      </c>
      <c r="F50" s="201" t="str">
        <f t="shared" si="4"/>
        <v/>
      </c>
      <c r="G50" s="201">
        <f t="shared" si="5"/>
        <v>3</v>
      </c>
      <c r="H50" s="175" t="str">
        <f t="shared" si="6"/>
        <v>冪等性・重複排除方式の設計</v>
      </c>
      <c r="I50" s="200" t="s">
        <v>106</v>
      </c>
      <c r="J50" s="200" t="s">
        <v>121</v>
      </c>
      <c r="K50" s="200"/>
      <c r="L50" s="176" t="str">
        <f t="shared" si="7"/>
        <v>【Salesforceデータ連携（1販社先行検証）】8-3_データ連携・IF設計_冪等性・重複排除方式の設計</v>
      </c>
      <c r="M50" s="202">
        <v>46265</v>
      </c>
      <c r="N50" s="202">
        <v>46274</v>
      </c>
      <c r="O50" s="167" t="s">
        <v>98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/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WZ50" s="3"/>
      <c r="XA50" s="3"/>
      <c r="XB50" s="3"/>
      <c r="XC50" s="3"/>
      <c r="XD50" s="3"/>
      <c r="XE50" s="3"/>
      <c r="XF50" s="3"/>
      <c r="XG50" s="3"/>
      <c r="XH50" s="3"/>
      <c r="XI50" s="3"/>
      <c r="XJ50" s="3"/>
      <c r="XK50" s="3"/>
      <c r="XL50" s="3"/>
      <c r="XM50" s="3"/>
      <c r="XN50" s="3"/>
      <c r="XO50" s="3"/>
      <c r="XP50" s="3"/>
      <c r="XQ50" s="3"/>
      <c r="XR50" s="3"/>
      <c r="XS50" s="3"/>
      <c r="XT50" s="3"/>
      <c r="XU50" s="3"/>
      <c r="XV50" s="3"/>
      <c r="XW50" s="3"/>
      <c r="XX50" s="3"/>
      <c r="XY50" s="3"/>
      <c r="XZ50" s="3"/>
      <c r="YA50" s="3"/>
      <c r="YB50" s="3"/>
      <c r="YC50" s="3"/>
      <c r="YD50" s="3"/>
      <c r="YE50" s="3"/>
      <c r="YF50" s="3"/>
      <c r="YG50" s="3"/>
      <c r="YH50" s="3"/>
      <c r="YI50" s="3"/>
      <c r="YJ50" s="3"/>
      <c r="YK50" s="3"/>
      <c r="YL50" s="3"/>
      <c r="YM50" s="3"/>
      <c r="YN50" s="3"/>
      <c r="YO50" s="3"/>
      <c r="YP50" s="3"/>
      <c r="YQ50" s="3"/>
      <c r="YR50" s="3"/>
      <c r="YS50" s="3"/>
      <c r="YT50" s="3"/>
      <c r="YU50" s="3"/>
      <c r="YV50" s="3"/>
      <c r="YW50" s="3"/>
      <c r="YX50" s="3"/>
      <c r="YY50" s="3"/>
      <c r="YZ50" s="3"/>
      <c r="ZA50" s="3"/>
      <c r="ZB50" s="3"/>
      <c r="ZC50" s="3"/>
      <c r="ZD50" s="3"/>
      <c r="ZE50" s="3"/>
      <c r="ZF50" s="3"/>
      <c r="ZG50" s="3"/>
      <c r="ZH50" s="3"/>
      <c r="ZI50" s="3"/>
      <c r="ZJ50" s="3"/>
      <c r="ZK50" s="3"/>
      <c r="ZL50" s="3"/>
      <c r="ZM50" s="3"/>
      <c r="ZN50" s="3"/>
      <c r="ZO50" s="3"/>
      <c r="ZP50" s="3"/>
      <c r="ZQ50" s="3"/>
      <c r="ZR50" s="3"/>
      <c r="ZS50" s="3"/>
      <c r="ZT50" s="3"/>
      <c r="ZU50" s="3"/>
      <c r="ZV50" s="3"/>
      <c r="ZW50" s="3"/>
      <c r="ZX50" s="3"/>
      <c r="ZY50" s="3"/>
      <c r="ZZ50" s="3"/>
    </row>
    <row r="51" spans="1:702" ht="36" customHeight="1">
      <c r="A51" s="200" t="s">
        <v>95</v>
      </c>
      <c r="B51" s="200" t="s">
        <v>153</v>
      </c>
      <c r="C51" s="200" t="s">
        <v>157</v>
      </c>
      <c r="D51" s="175" t="str">
        <f t="shared" si="3"/>
        <v/>
      </c>
      <c r="E51" s="201" t="str">
        <f t="array" ref="E51">IF(B51="","",IF(B51&lt;&gt;B50,SUMPRODUCT(($B$5:B51&lt;&gt;$B$4:B50)*($B$5:B51&lt;&gt;"")),""))</f>
        <v/>
      </c>
      <c r="F51" s="201" t="str">
        <f t="shared" si="4"/>
        <v/>
      </c>
      <c r="G51" s="201">
        <f t="shared" si="5"/>
        <v>4</v>
      </c>
      <c r="H51" s="175" t="str">
        <f t="shared" si="6"/>
        <v>データマッピング設計</v>
      </c>
      <c r="I51" s="200" t="s">
        <v>106</v>
      </c>
      <c r="J51" s="200" t="s">
        <v>121</v>
      </c>
      <c r="K51" s="200"/>
      <c r="L51" s="176" t="str">
        <f t="shared" si="7"/>
        <v>【Salesforceデータ連携（1販社先行検証）】8-4_データ連携・IF設計_データマッピング設計</v>
      </c>
      <c r="M51" s="202">
        <v>46265</v>
      </c>
      <c r="N51" s="202">
        <v>46274</v>
      </c>
      <c r="O51" s="167" t="s">
        <v>98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/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WP51" s="3"/>
      <c r="WQ51" s="3"/>
      <c r="WR51" s="3"/>
      <c r="WS51" s="3"/>
      <c r="WT51" s="3"/>
      <c r="WU51" s="3"/>
      <c r="WV51" s="3"/>
      <c r="WW51" s="3"/>
      <c r="WX51" s="3"/>
      <c r="WY51" s="3"/>
      <c r="WZ51" s="3"/>
      <c r="XA51" s="3"/>
      <c r="XB51" s="3"/>
      <c r="XC51" s="3"/>
      <c r="XD51" s="3"/>
      <c r="XE51" s="3"/>
      <c r="XF51" s="3"/>
      <c r="XG51" s="3"/>
      <c r="XH51" s="3"/>
      <c r="XI51" s="3"/>
      <c r="XJ51" s="3"/>
      <c r="XK51" s="3"/>
      <c r="XL51" s="3"/>
      <c r="XM51" s="3"/>
      <c r="XN51" s="3"/>
      <c r="XO51" s="3"/>
      <c r="XP51" s="3"/>
      <c r="XQ51" s="3"/>
      <c r="XR51" s="3"/>
      <c r="XS51" s="3"/>
      <c r="XT51" s="3"/>
      <c r="XU51" s="3"/>
      <c r="XV51" s="3"/>
      <c r="XW51" s="3"/>
      <c r="XX51" s="3"/>
      <c r="XY51" s="3"/>
      <c r="XZ51" s="3"/>
      <c r="YA51" s="3"/>
      <c r="YB51" s="3"/>
      <c r="YC51" s="3"/>
      <c r="YD51" s="3"/>
      <c r="YE51" s="3"/>
      <c r="YF51" s="3"/>
      <c r="YG51" s="3"/>
      <c r="YH51" s="3"/>
      <c r="YI51" s="3"/>
      <c r="YJ51" s="3"/>
      <c r="YK51" s="3"/>
      <c r="YL51" s="3"/>
      <c r="YM51" s="3"/>
      <c r="YN51" s="3"/>
      <c r="YO51" s="3"/>
      <c r="YP51" s="3"/>
      <c r="YQ51" s="3"/>
      <c r="YR51" s="3"/>
      <c r="YS51" s="3"/>
      <c r="YT51" s="3"/>
      <c r="YU51" s="3"/>
      <c r="YV51" s="3"/>
      <c r="YW51" s="3"/>
      <c r="YX51" s="3"/>
      <c r="YY51" s="3"/>
      <c r="YZ51" s="3"/>
      <c r="ZA51" s="3"/>
      <c r="ZB51" s="3"/>
      <c r="ZC51" s="3"/>
      <c r="ZD51" s="3"/>
      <c r="ZE51" s="3"/>
      <c r="ZF51" s="3"/>
      <c r="ZG51" s="3"/>
      <c r="ZH51" s="3"/>
      <c r="ZI51" s="3"/>
      <c r="ZJ51" s="3"/>
      <c r="ZK51" s="3"/>
      <c r="ZL51" s="3"/>
      <c r="ZM51" s="3"/>
      <c r="ZN51" s="3"/>
      <c r="ZO51" s="3"/>
      <c r="ZP51" s="3"/>
      <c r="ZQ51" s="3"/>
      <c r="ZR51" s="3"/>
      <c r="ZS51" s="3"/>
      <c r="ZT51" s="3"/>
      <c r="ZU51" s="3"/>
      <c r="ZV51" s="3"/>
      <c r="ZW51" s="3"/>
      <c r="ZX51" s="3"/>
      <c r="ZY51" s="3"/>
      <c r="ZZ51" s="3"/>
    </row>
    <row r="52" spans="1:702" ht="36" customHeight="1">
      <c r="A52" s="200" t="s">
        <v>95</v>
      </c>
      <c r="B52" s="200" t="s">
        <v>153</v>
      </c>
      <c r="C52" s="200" t="s">
        <v>158</v>
      </c>
      <c r="D52" s="175" t="str">
        <f t="shared" si="3"/>
        <v/>
      </c>
      <c r="E52" s="201" t="str">
        <f t="array" ref="E52">IF(B52="","",IF(B52&lt;&gt;B51,SUMPRODUCT(($B$5:B52&lt;&gt;$B$4:B51)*($B$5:B52&lt;&gt;"")),""))</f>
        <v/>
      </c>
      <c r="F52" s="201" t="str">
        <f t="shared" si="4"/>
        <v/>
      </c>
      <c r="G52" s="201">
        <f t="shared" si="5"/>
        <v>5</v>
      </c>
      <c r="H52" s="175" t="str">
        <f t="shared" si="6"/>
        <v>データ変換ルールの設計</v>
      </c>
      <c r="I52" s="200" t="s">
        <v>106</v>
      </c>
      <c r="J52" s="200" t="s">
        <v>121</v>
      </c>
      <c r="K52" s="200"/>
      <c r="L52" s="176" t="str">
        <f t="shared" si="7"/>
        <v>【Salesforceデータ連携（1販社先行検証）】8-5_データ連携・IF設計_データ変換ルールの設計</v>
      </c>
      <c r="M52" s="202"/>
      <c r="N52" s="202"/>
      <c r="O52" s="167" t="s">
        <v>98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3"/>
      <c r="XG52" s="3"/>
      <c r="XH52" s="3"/>
      <c r="XI52" s="3"/>
      <c r="XJ52" s="3"/>
      <c r="XK52" s="3"/>
      <c r="XL52" s="3"/>
      <c r="XM52" s="3"/>
      <c r="XN52" s="3"/>
      <c r="XO52" s="3"/>
      <c r="XP52" s="3"/>
      <c r="XQ52" s="3"/>
      <c r="XR52" s="3"/>
      <c r="XS52" s="3"/>
      <c r="XT52" s="3"/>
      <c r="XU52" s="3"/>
      <c r="XV52" s="3"/>
      <c r="XW52" s="3"/>
      <c r="XX52" s="3"/>
      <c r="XY52" s="3"/>
      <c r="XZ52" s="3"/>
      <c r="YA52" s="3"/>
      <c r="YB52" s="3"/>
      <c r="YC52" s="3"/>
      <c r="YD52" s="3"/>
      <c r="YE52" s="3"/>
      <c r="YF52" s="3"/>
      <c r="YG52" s="3"/>
      <c r="YH52" s="3"/>
      <c r="YI52" s="3"/>
      <c r="YJ52" s="3"/>
      <c r="YK52" s="3"/>
      <c r="YL52" s="3"/>
      <c r="YM52" s="3"/>
      <c r="YN52" s="3"/>
      <c r="YO52" s="3"/>
      <c r="YP52" s="3"/>
      <c r="YQ52" s="3"/>
      <c r="YR52" s="3"/>
      <c r="YS52" s="3"/>
      <c r="YT52" s="3"/>
      <c r="YU52" s="3"/>
      <c r="YV52" s="3"/>
      <c r="YW52" s="3"/>
      <c r="YX52" s="3"/>
      <c r="YY52" s="3"/>
      <c r="YZ52" s="3"/>
      <c r="ZA52" s="3"/>
      <c r="ZB52" s="3"/>
      <c r="ZC52" s="3"/>
      <c r="ZD52" s="3"/>
      <c r="ZE52" s="3"/>
      <c r="ZF52" s="3"/>
      <c r="ZG52" s="3"/>
      <c r="ZH52" s="3"/>
      <c r="ZI52" s="3"/>
      <c r="ZJ52" s="3"/>
      <c r="ZK52" s="3"/>
      <c r="ZL52" s="3"/>
      <c r="ZM52" s="3"/>
      <c r="ZN52" s="3"/>
      <c r="ZO52" s="3"/>
      <c r="ZP52" s="3"/>
      <c r="ZQ52" s="3"/>
      <c r="ZR52" s="3"/>
      <c r="ZS52" s="3"/>
      <c r="ZT52" s="3"/>
      <c r="ZU52" s="3"/>
      <c r="ZV52" s="3"/>
      <c r="ZW52" s="3"/>
      <c r="ZX52" s="3"/>
      <c r="ZY52" s="3"/>
      <c r="ZZ52" s="3"/>
    </row>
    <row r="53" spans="1:702" ht="36" customHeight="1">
      <c r="A53" s="200" t="s">
        <v>95</v>
      </c>
      <c r="B53" s="200" t="s">
        <v>153</v>
      </c>
      <c r="C53" s="200" t="s">
        <v>159</v>
      </c>
      <c r="D53" s="175" t="str">
        <f t="shared" si="3"/>
        <v/>
      </c>
      <c r="E53" s="201" t="str">
        <f t="array" ref="E53">IF(B53="","",IF(B53&lt;&gt;B52,SUMPRODUCT(($B$5:B53&lt;&gt;$B$4:B52)*($B$5:B53&lt;&gt;"")),""))</f>
        <v/>
      </c>
      <c r="F53" s="201" t="str">
        <f t="shared" si="4"/>
        <v/>
      </c>
      <c r="G53" s="201">
        <f t="shared" si="5"/>
        <v>6</v>
      </c>
      <c r="H53" s="175" t="str">
        <f t="shared" si="6"/>
        <v>インターフェース設計書の作成・レビュー</v>
      </c>
      <c r="I53" s="200" t="s">
        <v>106</v>
      </c>
      <c r="J53" s="200" t="s">
        <v>121</v>
      </c>
      <c r="K53" s="200"/>
      <c r="L53" s="176" t="str">
        <f t="shared" si="7"/>
        <v>【Salesforceデータ連携（1販社先行検証）】8-6_データ連携・IF設計_インターフェース設計書の作成・レビュー</v>
      </c>
      <c r="M53" s="202"/>
      <c r="N53" s="202"/>
      <c r="O53" s="167" t="s">
        <v>98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/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WP53" s="3"/>
      <c r="WQ53" s="3"/>
      <c r="WR53" s="3"/>
      <c r="WS53" s="3"/>
      <c r="WT53" s="3"/>
      <c r="WU53" s="3"/>
      <c r="WV53" s="3"/>
      <c r="WW53" s="3"/>
      <c r="WX53" s="3"/>
      <c r="WY53" s="3"/>
      <c r="WZ53" s="3"/>
      <c r="XA53" s="3"/>
      <c r="XB53" s="3"/>
      <c r="XC53" s="3"/>
      <c r="XD53" s="3"/>
      <c r="XE53" s="3"/>
      <c r="XF53" s="3"/>
      <c r="XG53" s="3"/>
      <c r="XH53" s="3"/>
      <c r="XI53" s="3"/>
      <c r="XJ53" s="3"/>
      <c r="XK53" s="3"/>
      <c r="XL53" s="3"/>
      <c r="XM53" s="3"/>
      <c r="XN53" s="3"/>
      <c r="XO53" s="3"/>
      <c r="XP53" s="3"/>
      <c r="XQ53" s="3"/>
      <c r="XR53" s="3"/>
      <c r="XS53" s="3"/>
      <c r="XT53" s="3"/>
      <c r="XU53" s="3"/>
      <c r="XV53" s="3"/>
      <c r="XW53" s="3"/>
      <c r="XX53" s="3"/>
      <c r="XY53" s="3"/>
      <c r="XZ53" s="3"/>
      <c r="YA53" s="3"/>
      <c r="YB53" s="3"/>
      <c r="YC53" s="3"/>
      <c r="YD53" s="3"/>
      <c r="YE53" s="3"/>
      <c r="YF53" s="3"/>
      <c r="YG53" s="3"/>
      <c r="YH53" s="3"/>
      <c r="YI53" s="3"/>
      <c r="YJ53" s="3"/>
      <c r="YK53" s="3"/>
      <c r="YL53" s="3"/>
      <c r="YM53" s="3"/>
      <c r="YN53" s="3"/>
      <c r="YO53" s="3"/>
      <c r="YP53" s="3"/>
      <c r="YQ53" s="3"/>
      <c r="YR53" s="3"/>
      <c r="YS53" s="3"/>
      <c r="YT53" s="3"/>
      <c r="YU53" s="3"/>
      <c r="YV53" s="3"/>
      <c r="YW53" s="3"/>
      <c r="YX53" s="3"/>
      <c r="YY53" s="3"/>
      <c r="YZ53" s="3"/>
      <c r="ZA53" s="3"/>
      <c r="ZB53" s="3"/>
      <c r="ZC53" s="3"/>
      <c r="ZD53" s="3"/>
      <c r="ZE53" s="3"/>
      <c r="ZF53" s="3"/>
      <c r="ZG53" s="3"/>
      <c r="ZH53" s="3"/>
      <c r="ZI53" s="3"/>
      <c r="ZJ53" s="3"/>
      <c r="ZK53" s="3"/>
      <c r="ZL53" s="3"/>
      <c r="ZM53" s="3"/>
      <c r="ZN53" s="3"/>
      <c r="ZO53" s="3"/>
      <c r="ZP53" s="3"/>
      <c r="ZQ53" s="3"/>
      <c r="ZR53" s="3"/>
      <c r="ZS53" s="3"/>
      <c r="ZT53" s="3"/>
      <c r="ZU53" s="3"/>
      <c r="ZV53" s="3"/>
      <c r="ZW53" s="3"/>
      <c r="ZX53" s="3"/>
      <c r="ZY53" s="3"/>
      <c r="ZZ53" s="3"/>
    </row>
    <row r="54" spans="1:702" ht="36" customHeight="1">
      <c r="A54" s="200" t="s">
        <v>95</v>
      </c>
      <c r="B54" s="200" t="s">
        <v>153</v>
      </c>
      <c r="C54" s="200" t="s">
        <v>160</v>
      </c>
      <c r="D54" s="175" t="str">
        <f t="shared" si="3"/>
        <v/>
      </c>
      <c r="E54" s="201" t="str">
        <f t="array" ref="E54">IF(B54="","",IF(B54&lt;&gt;B53,SUMPRODUCT(($B$5:B54&lt;&gt;$B$4:B53)*($B$5:B54&lt;&gt;"")),""))</f>
        <v/>
      </c>
      <c r="F54" s="201" t="str">
        <f t="shared" si="4"/>
        <v/>
      </c>
      <c r="G54" s="201">
        <f t="shared" si="5"/>
        <v>7</v>
      </c>
      <c r="H54" s="175" t="str">
        <f t="shared" si="6"/>
        <v>データマッピング設計書の作成・レビュー</v>
      </c>
      <c r="I54" s="200" t="s">
        <v>106</v>
      </c>
      <c r="J54" s="200" t="s">
        <v>121</v>
      </c>
      <c r="K54" s="200"/>
      <c r="L54" s="176" t="str">
        <f t="shared" si="7"/>
        <v>【Salesforceデータ連携（1販社先行検証）】8-7_データ連携・IF設計_データマッピング設計書の作成・レビュー</v>
      </c>
      <c r="M54" s="202">
        <v>46272</v>
      </c>
      <c r="N54" s="202">
        <v>46276</v>
      </c>
      <c r="O54" s="167" t="s">
        <v>98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/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WZ54" s="3"/>
      <c r="XA54" s="3"/>
      <c r="XB54" s="3"/>
      <c r="XC54" s="3"/>
      <c r="XD54" s="3"/>
      <c r="XE54" s="3"/>
      <c r="XF54" s="3"/>
      <c r="XG54" s="3"/>
      <c r="XH54" s="3"/>
      <c r="XI54" s="3"/>
      <c r="XJ54" s="3"/>
      <c r="XK54" s="3"/>
      <c r="XL54" s="3"/>
      <c r="XM54" s="3"/>
      <c r="XN54" s="3"/>
      <c r="XO54" s="3"/>
      <c r="XP54" s="3"/>
      <c r="XQ54" s="3"/>
      <c r="XR54" s="3"/>
      <c r="XS54" s="3"/>
      <c r="XT54" s="3"/>
      <c r="XU54" s="3"/>
      <c r="XV54" s="3"/>
      <c r="XW54" s="3"/>
      <c r="XX54" s="3"/>
      <c r="XY54" s="3"/>
      <c r="XZ54" s="3"/>
      <c r="YA54" s="3"/>
      <c r="YB54" s="3"/>
      <c r="YC54" s="3"/>
      <c r="YD54" s="3"/>
      <c r="YE54" s="3"/>
      <c r="YF54" s="3"/>
      <c r="YG54" s="3"/>
      <c r="YH54" s="3"/>
      <c r="YI54" s="3"/>
      <c r="YJ54" s="3"/>
      <c r="YK54" s="3"/>
      <c r="YL54" s="3"/>
      <c r="YM54" s="3"/>
      <c r="YN54" s="3"/>
      <c r="YO54" s="3"/>
      <c r="YP54" s="3"/>
      <c r="YQ54" s="3"/>
      <c r="YR54" s="3"/>
      <c r="YS54" s="3"/>
      <c r="YT54" s="3"/>
      <c r="YU54" s="3"/>
      <c r="YV54" s="3"/>
      <c r="YW54" s="3"/>
      <c r="YX54" s="3"/>
      <c r="YY54" s="3"/>
      <c r="YZ54" s="3"/>
      <c r="ZA54" s="3"/>
      <c r="ZB54" s="3"/>
      <c r="ZC54" s="3"/>
      <c r="ZD54" s="3"/>
      <c r="ZE54" s="3"/>
      <c r="ZF54" s="3"/>
      <c r="ZG54" s="3"/>
      <c r="ZH54" s="3"/>
      <c r="ZI54" s="3"/>
      <c r="ZJ54" s="3"/>
      <c r="ZK54" s="3"/>
      <c r="ZL54" s="3"/>
      <c r="ZM54" s="3"/>
      <c r="ZN54" s="3"/>
      <c r="ZO54" s="3"/>
      <c r="ZP54" s="3"/>
      <c r="ZQ54" s="3"/>
      <c r="ZR54" s="3"/>
      <c r="ZS54" s="3"/>
      <c r="ZT54" s="3"/>
      <c r="ZU54" s="3"/>
      <c r="ZV54" s="3"/>
      <c r="ZW54" s="3"/>
      <c r="ZX54" s="3"/>
      <c r="ZY54" s="3"/>
      <c r="ZZ54" s="3"/>
    </row>
    <row r="55" spans="1:702" ht="39.75" customHeight="1">
      <c r="A55" s="197" t="s">
        <v>95</v>
      </c>
      <c r="B55" s="197" t="s">
        <v>161</v>
      </c>
      <c r="C55" s="197" t="s">
        <v>162</v>
      </c>
      <c r="D55" s="197" t="str">
        <f t="shared" si="3"/>
        <v/>
      </c>
      <c r="E55" s="198">
        <f t="array" ref="E55">IF(B55="","",IF(B55&lt;&gt;B54,SUMPRODUCT(($B$5:B55&lt;&gt;$B$4:B54)*($B$5:B55&lt;&gt;"")),""))</f>
        <v>9</v>
      </c>
      <c r="F55" s="198" t="str">
        <f t="shared" si="4"/>
        <v>データ保存・テーブル設計</v>
      </c>
      <c r="G55" s="198">
        <f t="shared" si="5"/>
        <v>1</v>
      </c>
      <c r="H55" s="164" t="str">
        <f t="shared" si="6"/>
        <v>Salesforce項目とKudu参照用TB項目の対応設計</v>
      </c>
      <c r="I55" s="197" t="s">
        <v>106</v>
      </c>
      <c r="J55" s="197" t="s">
        <v>121</v>
      </c>
      <c r="K55" s="197"/>
      <c r="L55" s="165" t="str">
        <f t="shared" si="7"/>
        <v>【Salesforceデータ連携（1販社先行検証）】9-1_データ保存・テーブル設計_Salesforce項目とKudu参照用TB項目の対応設計</v>
      </c>
      <c r="M55" s="199">
        <v>46265</v>
      </c>
      <c r="N55" s="199">
        <v>46276</v>
      </c>
      <c r="O55" s="167" t="s">
        <v>98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</row>
    <row r="56" spans="1:702" ht="36" customHeight="1">
      <c r="A56" s="200" t="s">
        <v>95</v>
      </c>
      <c r="B56" s="200" t="s">
        <v>161</v>
      </c>
      <c r="C56" s="200" t="s">
        <v>163</v>
      </c>
      <c r="D56" s="175" t="str">
        <f t="shared" si="3"/>
        <v/>
      </c>
      <c r="E56" s="201" t="str">
        <f t="array" ref="E56">IF(B56="","",IF(B56&lt;&gt;B55,SUMPRODUCT(($B$5:B56&lt;&gt;$B$4:B55)*($B$5:B56&lt;&gt;"")),""))</f>
        <v/>
      </c>
      <c r="F56" s="201" t="str">
        <f t="shared" si="4"/>
        <v/>
      </c>
      <c r="G56" s="201">
        <f t="shared" si="5"/>
        <v>2</v>
      </c>
      <c r="H56" s="175" t="str">
        <f t="shared" si="6"/>
        <v>販社識別子・レコードキーの設計</v>
      </c>
      <c r="I56" s="200" t="s">
        <v>106</v>
      </c>
      <c r="J56" s="200" t="s">
        <v>121</v>
      </c>
      <c r="K56" s="200"/>
      <c r="L56" s="176" t="str">
        <f t="shared" si="7"/>
        <v>【Salesforceデータ連携（1販社先行検証）】9-2_データ保存・テーブル設計_販社識別子・レコードキーの設計</v>
      </c>
      <c r="M56" s="202"/>
      <c r="N56" s="202"/>
      <c r="O56" s="167" t="s">
        <v>98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</row>
    <row r="57" spans="1:702" ht="36" customHeight="1">
      <c r="A57" s="200" t="s">
        <v>95</v>
      </c>
      <c r="B57" s="200" t="s">
        <v>161</v>
      </c>
      <c r="C57" s="200" t="s">
        <v>164</v>
      </c>
      <c r="D57" s="175" t="str">
        <f t="shared" si="3"/>
        <v/>
      </c>
      <c r="E57" s="201" t="str">
        <f t="array" ref="E57">IF(B57="","",IF(B57&lt;&gt;B56,SUMPRODUCT(($B$5:B57&lt;&gt;$B$4:B56)*($B$5:B57&lt;&gt;"")),""))</f>
        <v/>
      </c>
      <c r="F57" s="201" t="str">
        <f t="shared" si="4"/>
        <v/>
      </c>
      <c r="G57" s="201">
        <f t="shared" si="5"/>
        <v>3</v>
      </c>
      <c r="H57" s="175" t="str">
        <f t="shared" si="6"/>
        <v>Kudu参照用TB定義書の作成・レビュー</v>
      </c>
      <c r="I57" s="200" t="s">
        <v>106</v>
      </c>
      <c r="J57" s="200" t="s">
        <v>121</v>
      </c>
      <c r="K57" s="200"/>
      <c r="L57" s="176" t="str">
        <f t="shared" si="7"/>
        <v>【Salesforceデータ連携（1販社先行検証）】9-3_データ保存・テーブル設計_Kudu参照用TB定義書の作成・レビュー</v>
      </c>
      <c r="M57" s="202">
        <v>46265</v>
      </c>
      <c r="N57" s="202">
        <v>46276</v>
      </c>
      <c r="O57" s="167" t="s">
        <v>98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</row>
    <row r="58" spans="1:702" ht="39.75" customHeight="1">
      <c r="A58" s="197" t="s">
        <v>95</v>
      </c>
      <c r="B58" s="197" t="s">
        <v>165</v>
      </c>
      <c r="C58" s="197" t="s">
        <v>166</v>
      </c>
      <c r="D58" s="197" t="str">
        <f t="shared" si="3"/>
        <v/>
      </c>
      <c r="E58" s="198">
        <f t="array" ref="E58">IF(B58="","",IF(B58&lt;&gt;B57,SUMPRODUCT(($B$5:B58&lt;&gt;$B$4:B57)*($B$5:B58&lt;&gt;"")),""))</f>
        <v>10</v>
      </c>
      <c r="F58" s="198" t="str">
        <f t="shared" si="4"/>
        <v>Salesforce接続設定</v>
      </c>
      <c r="G58" s="198">
        <f t="shared" si="5"/>
        <v>1</v>
      </c>
      <c r="H58" s="164" t="str">
        <f t="shared" si="6"/>
        <v>Salesforce接続Credential・権限設定</v>
      </c>
      <c r="I58" s="197" t="s">
        <v>106</v>
      </c>
      <c r="J58" s="197" t="s">
        <v>167</v>
      </c>
      <c r="K58" s="197"/>
      <c r="L58" s="165" t="str">
        <f t="shared" si="7"/>
        <v>【Salesforceデータ連携（1販社先行検証）】10-1_Salesforce接続設定_Salesforce接続Credential・権限設定</v>
      </c>
      <c r="M58" s="199">
        <v>46265</v>
      </c>
      <c r="N58" s="199">
        <v>46269</v>
      </c>
      <c r="O58" s="167" t="s">
        <v>98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/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WZ58" s="3"/>
      <c r="XA58" s="3"/>
      <c r="XB58" s="3"/>
      <c r="XC58" s="3"/>
      <c r="XD58" s="3"/>
      <c r="XE58" s="3"/>
      <c r="XF58" s="3"/>
      <c r="XG58" s="3"/>
      <c r="XH58" s="3"/>
      <c r="XI58" s="3"/>
      <c r="XJ58" s="3"/>
      <c r="XK58" s="3"/>
      <c r="XL58" s="3"/>
      <c r="XM58" s="3"/>
      <c r="XN58" s="3"/>
      <c r="XO58" s="3"/>
      <c r="XP58" s="3"/>
      <c r="XQ58" s="3"/>
      <c r="XR58" s="3"/>
      <c r="XS58" s="3"/>
      <c r="XT58" s="3"/>
      <c r="XU58" s="3"/>
      <c r="XV58" s="3"/>
      <c r="XW58" s="3"/>
      <c r="XX58" s="3"/>
      <c r="XY58" s="3"/>
      <c r="XZ58" s="3"/>
      <c r="YA58" s="3"/>
      <c r="YB58" s="3"/>
      <c r="YC58" s="3"/>
      <c r="YD58" s="3"/>
      <c r="YE58" s="3"/>
      <c r="YF58" s="3"/>
      <c r="YG58" s="3"/>
      <c r="YH58" s="3"/>
      <c r="YI58" s="3"/>
      <c r="YJ58" s="3"/>
      <c r="YK58" s="3"/>
      <c r="YL58" s="3"/>
      <c r="YM58" s="3"/>
      <c r="YN58" s="3"/>
      <c r="YO58" s="3"/>
      <c r="YP58" s="3"/>
      <c r="YQ58" s="3"/>
      <c r="YR58" s="3"/>
      <c r="YS58" s="3"/>
      <c r="YT58" s="3"/>
      <c r="YU58" s="3"/>
      <c r="YV58" s="3"/>
      <c r="YW58" s="3"/>
      <c r="YX58" s="3"/>
      <c r="YY58" s="3"/>
      <c r="YZ58" s="3"/>
      <c r="ZA58" s="3"/>
      <c r="ZB58" s="3"/>
      <c r="ZC58" s="3"/>
      <c r="ZD58" s="3"/>
      <c r="ZE58" s="3"/>
      <c r="ZF58" s="3"/>
      <c r="ZG58" s="3"/>
      <c r="ZH58" s="3"/>
      <c r="ZI58" s="3"/>
      <c r="ZJ58" s="3"/>
      <c r="ZK58" s="3"/>
      <c r="ZL58" s="3"/>
      <c r="ZM58" s="3"/>
      <c r="ZN58" s="3"/>
      <c r="ZO58" s="3"/>
      <c r="ZP58" s="3"/>
      <c r="ZQ58" s="3"/>
      <c r="ZR58" s="3"/>
      <c r="ZS58" s="3"/>
      <c r="ZT58" s="3"/>
      <c r="ZU58" s="3"/>
      <c r="ZV58" s="3"/>
      <c r="ZW58" s="3"/>
      <c r="ZX58" s="3"/>
      <c r="ZY58" s="3"/>
      <c r="ZZ58" s="3"/>
    </row>
    <row r="59" spans="1:702" ht="36" customHeight="1">
      <c r="A59" s="200" t="s">
        <v>95</v>
      </c>
      <c r="B59" s="200" t="s">
        <v>165</v>
      </c>
      <c r="C59" s="200" t="s">
        <v>168</v>
      </c>
      <c r="D59" s="175" t="str">
        <f t="shared" si="3"/>
        <v/>
      </c>
      <c r="E59" s="201" t="str">
        <f t="array" ref="E59">IF(B59="","",IF(B59&lt;&gt;B58,SUMPRODUCT(($B$5:B59&lt;&gt;$B$4:B58)*($B$5:B59&lt;&gt;"")),""))</f>
        <v/>
      </c>
      <c r="F59" s="201" t="str">
        <f t="shared" si="4"/>
        <v/>
      </c>
      <c r="G59" s="201">
        <f t="shared" si="5"/>
        <v>2</v>
      </c>
      <c r="H59" s="175" t="str">
        <f t="shared" si="6"/>
        <v>NiFi for Salesforce接続設定</v>
      </c>
      <c r="I59" s="200" t="s">
        <v>106</v>
      </c>
      <c r="J59" s="200" t="s">
        <v>167</v>
      </c>
      <c r="K59" s="200"/>
      <c r="L59" s="176" t="str">
        <f t="shared" si="7"/>
        <v>【Salesforceデータ連携（1販社先行検証）】10-2_Salesforce接続設定_NiFi for Salesforce接続設定</v>
      </c>
      <c r="M59" s="202">
        <v>46265</v>
      </c>
      <c r="N59" s="202">
        <v>46269</v>
      </c>
      <c r="O59" s="167" t="s">
        <v>98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/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WP59" s="3"/>
      <c r="WQ59" s="3"/>
      <c r="WR59" s="3"/>
      <c r="WS59" s="3"/>
      <c r="WT59" s="3"/>
      <c r="WU59" s="3"/>
      <c r="WV59" s="3"/>
      <c r="WW59" s="3"/>
      <c r="WX59" s="3"/>
      <c r="WY59" s="3"/>
      <c r="WZ59" s="3"/>
      <c r="XA59" s="3"/>
      <c r="XB59" s="3"/>
      <c r="XC59" s="3"/>
      <c r="XD59" s="3"/>
      <c r="XE59" s="3"/>
      <c r="XF59" s="3"/>
      <c r="XG59" s="3"/>
      <c r="XH59" s="3"/>
      <c r="XI59" s="3"/>
      <c r="XJ59" s="3"/>
      <c r="XK59" s="3"/>
      <c r="XL59" s="3"/>
      <c r="XM59" s="3"/>
      <c r="XN59" s="3"/>
      <c r="XO59" s="3"/>
      <c r="XP59" s="3"/>
      <c r="XQ59" s="3"/>
      <c r="XR59" s="3"/>
      <c r="XS59" s="3"/>
      <c r="XT59" s="3"/>
      <c r="XU59" s="3"/>
      <c r="XV59" s="3"/>
      <c r="XW59" s="3"/>
      <c r="XX59" s="3"/>
      <c r="XY59" s="3"/>
      <c r="XZ59" s="3"/>
      <c r="YA59" s="3"/>
      <c r="YB59" s="3"/>
      <c r="YC59" s="3"/>
      <c r="YD59" s="3"/>
      <c r="YE59" s="3"/>
      <c r="YF59" s="3"/>
      <c r="YG59" s="3"/>
      <c r="YH59" s="3"/>
      <c r="YI59" s="3"/>
      <c r="YJ59" s="3"/>
      <c r="YK59" s="3"/>
      <c r="YL59" s="3"/>
      <c r="YM59" s="3"/>
      <c r="YN59" s="3"/>
      <c r="YO59" s="3"/>
      <c r="YP59" s="3"/>
      <c r="YQ59" s="3"/>
      <c r="YR59" s="3"/>
      <c r="YS59" s="3"/>
      <c r="YT59" s="3"/>
      <c r="YU59" s="3"/>
      <c r="YV59" s="3"/>
      <c r="YW59" s="3"/>
      <c r="YX59" s="3"/>
      <c r="YY59" s="3"/>
      <c r="YZ59" s="3"/>
      <c r="ZA59" s="3"/>
      <c r="ZB59" s="3"/>
      <c r="ZC59" s="3"/>
      <c r="ZD59" s="3"/>
      <c r="ZE59" s="3"/>
      <c r="ZF59" s="3"/>
      <c r="ZG59" s="3"/>
      <c r="ZH59" s="3"/>
      <c r="ZI59" s="3"/>
      <c r="ZJ59" s="3"/>
      <c r="ZK59" s="3"/>
      <c r="ZL59" s="3"/>
      <c r="ZM59" s="3"/>
      <c r="ZN59" s="3"/>
      <c r="ZO59" s="3"/>
      <c r="ZP59" s="3"/>
      <c r="ZQ59" s="3"/>
      <c r="ZR59" s="3"/>
      <c r="ZS59" s="3"/>
      <c r="ZT59" s="3"/>
      <c r="ZU59" s="3"/>
      <c r="ZV59" s="3"/>
      <c r="ZW59" s="3"/>
      <c r="ZX59" s="3"/>
      <c r="ZY59" s="3"/>
      <c r="ZZ59" s="3"/>
    </row>
    <row r="60" spans="1:702" ht="36" customHeight="1">
      <c r="A60" s="200" t="s">
        <v>95</v>
      </c>
      <c r="B60" s="200" t="s">
        <v>165</v>
      </c>
      <c r="C60" s="200" t="s">
        <v>169</v>
      </c>
      <c r="D60" s="175" t="str">
        <f t="shared" si="3"/>
        <v/>
      </c>
      <c r="E60" s="201" t="str">
        <f t="array" ref="E60">IF(B60="","",IF(B60&lt;&gt;B59,SUMPRODUCT(($B$5:B60&lt;&gt;$B$4:B59)*($B$5:B60&lt;&gt;"")),""))</f>
        <v/>
      </c>
      <c r="F60" s="201" t="str">
        <f t="shared" si="4"/>
        <v/>
      </c>
      <c r="G60" s="201">
        <f t="shared" si="5"/>
        <v>3</v>
      </c>
      <c r="H60" s="175" t="str">
        <f t="shared" si="6"/>
        <v>対象Objectアクセス・サンプル取得確認</v>
      </c>
      <c r="I60" s="200" t="s">
        <v>106</v>
      </c>
      <c r="J60" s="200" t="s">
        <v>167</v>
      </c>
      <c r="K60" s="200"/>
      <c r="L60" s="176" t="str">
        <f t="shared" si="7"/>
        <v>【Salesforceデータ連携（1販社先行検証）】10-3_Salesforce接続設定_対象Objectアクセス・サンプル取得確認</v>
      </c>
      <c r="M60" s="202">
        <v>46265</v>
      </c>
      <c r="N60" s="202">
        <v>46269</v>
      </c>
      <c r="O60" s="167" t="s">
        <v>98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/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/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/>
      <c r="LN60" s="3"/>
      <c r="LO60" s="3"/>
      <c r="LP60" s="3"/>
      <c r="LQ60" s="3"/>
      <c r="LR60" s="3"/>
      <c r="LS60" s="3"/>
      <c r="LT60" s="3"/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/>
      <c r="NC60" s="3"/>
      <c r="ND60" s="3"/>
      <c r="NE60" s="3"/>
      <c r="NF60" s="3"/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/>
      <c r="PD60" s="3"/>
      <c r="PE60" s="3"/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O60" s="3"/>
      <c r="RP60" s="3"/>
      <c r="RQ60" s="3"/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/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/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WZ60" s="3"/>
      <c r="XA60" s="3"/>
      <c r="XB60" s="3"/>
      <c r="XC60" s="3"/>
      <c r="XD60" s="3"/>
      <c r="XE60" s="3"/>
      <c r="XF60" s="3"/>
      <c r="XG60" s="3"/>
      <c r="XH60" s="3"/>
      <c r="XI60" s="3"/>
      <c r="XJ60" s="3"/>
      <c r="XK60" s="3"/>
      <c r="XL60" s="3"/>
      <c r="XM60" s="3"/>
      <c r="XN60" s="3"/>
      <c r="XO60" s="3"/>
      <c r="XP60" s="3"/>
      <c r="XQ60" s="3"/>
      <c r="XR60" s="3"/>
      <c r="XS60" s="3"/>
      <c r="XT60" s="3"/>
      <c r="XU60" s="3"/>
      <c r="XV60" s="3"/>
      <c r="XW60" s="3"/>
      <c r="XX60" s="3"/>
      <c r="XY60" s="3"/>
      <c r="XZ60" s="3"/>
      <c r="YA60" s="3"/>
      <c r="YB60" s="3"/>
      <c r="YC60" s="3"/>
      <c r="YD60" s="3"/>
      <c r="YE60" s="3"/>
      <c r="YF60" s="3"/>
      <c r="YG60" s="3"/>
      <c r="YH60" s="3"/>
      <c r="YI60" s="3"/>
      <c r="YJ60" s="3"/>
      <c r="YK60" s="3"/>
      <c r="YL60" s="3"/>
      <c r="YM60" s="3"/>
      <c r="YN60" s="3"/>
      <c r="YO60" s="3"/>
      <c r="YP60" s="3"/>
      <c r="YQ60" s="3"/>
      <c r="YR60" s="3"/>
      <c r="YS60" s="3"/>
      <c r="YT60" s="3"/>
      <c r="YU60" s="3"/>
      <c r="YV60" s="3"/>
      <c r="YW60" s="3"/>
      <c r="YX60" s="3"/>
      <c r="YY60" s="3"/>
      <c r="YZ60" s="3"/>
      <c r="ZA60" s="3"/>
      <c r="ZB60" s="3"/>
      <c r="ZC60" s="3"/>
      <c r="ZD60" s="3"/>
      <c r="ZE60" s="3"/>
      <c r="ZF60" s="3"/>
      <c r="ZG60" s="3"/>
      <c r="ZH60" s="3"/>
      <c r="ZI60" s="3"/>
      <c r="ZJ60" s="3"/>
      <c r="ZK60" s="3"/>
      <c r="ZL60" s="3"/>
      <c r="ZM60" s="3"/>
      <c r="ZN60" s="3"/>
      <c r="ZO60" s="3"/>
      <c r="ZP60" s="3"/>
      <c r="ZQ60" s="3"/>
      <c r="ZR60" s="3"/>
      <c r="ZS60" s="3"/>
      <c r="ZT60" s="3"/>
      <c r="ZU60" s="3"/>
      <c r="ZV60" s="3"/>
      <c r="ZW60" s="3"/>
      <c r="ZX60" s="3"/>
      <c r="ZY60" s="3"/>
      <c r="ZZ60" s="3"/>
    </row>
    <row r="61" spans="1:702" ht="36" customHeight="1">
      <c r="A61" s="200" t="s">
        <v>95</v>
      </c>
      <c r="B61" s="200" t="s">
        <v>165</v>
      </c>
      <c r="C61" s="200" t="s">
        <v>170</v>
      </c>
      <c r="D61" s="175" t="str">
        <f t="shared" si="3"/>
        <v/>
      </c>
      <c r="E61" s="201" t="str">
        <f t="array" ref="E61">IF(B61="","",IF(B61&lt;&gt;B60,SUMPRODUCT(($B$5:B61&lt;&gt;$B$4:B60)*($B$5:B61&lt;&gt;"")),""))</f>
        <v/>
      </c>
      <c r="F61" s="201" t="str">
        <f t="shared" si="4"/>
        <v/>
      </c>
      <c r="G61" s="201">
        <f t="shared" si="5"/>
        <v>4</v>
      </c>
      <c r="H61" s="175" t="str">
        <f t="shared" si="6"/>
        <v>API接続・基本エラー動作確認</v>
      </c>
      <c r="I61" s="200" t="s">
        <v>106</v>
      </c>
      <c r="J61" s="200" t="s">
        <v>167</v>
      </c>
      <c r="K61" s="200"/>
      <c r="L61" s="176" t="str">
        <f t="shared" si="7"/>
        <v>【Salesforceデータ連携（1販社先行検証）】10-4_Salesforce接続設定_API接続・基本エラー動作確認</v>
      </c>
      <c r="M61" s="202">
        <v>46265</v>
      </c>
      <c r="N61" s="202">
        <v>46269</v>
      </c>
      <c r="O61" s="167" t="s">
        <v>98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/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WP61" s="3"/>
      <c r="WQ61" s="3"/>
      <c r="WR61" s="3"/>
      <c r="WS61" s="3"/>
      <c r="WT61" s="3"/>
      <c r="WU61" s="3"/>
      <c r="WV61" s="3"/>
      <c r="WW61" s="3"/>
      <c r="WX61" s="3"/>
      <c r="WY61" s="3"/>
      <c r="WZ61" s="3"/>
      <c r="XA61" s="3"/>
      <c r="XB61" s="3"/>
      <c r="XC61" s="3"/>
      <c r="XD61" s="3"/>
      <c r="XE61" s="3"/>
      <c r="XF61" s="3"/>
      <c r="XG61" s="3"/>
      <c r="XH61" s="3"/>
      <c r="XI61" s="3"/>
      <c r="XJ61" s="3"/>
      <c r="XK61" s="3"/>
      <c r="XL61" s="3"/>
      <c r="XM61" s="3"/>
      <c r="XN61" s="3"/>
      <c r="XO61" s="3"/>
      <c r="XP61" s="3"/>
      <c r="XQ61" s="3"/>
      <c r="XR61" s="3"/>
      <c r="XS61" s="3"/>
      <c r="XT61" s="3"/>
      <c r="XU61" s="3"/>
      <c r="XV61" s="3"/>
      <c r="XW61" s="3"/>
      <c r="XX61" s="3"/>
      <c r="XY61" s="3"/>
      <c r="XZ61" s="3"/>
      <c r="YA61" s="3"/>
      <c r="YB61" s="3"/>
      <c r="YC61" s="3"/>
      <c r="YD61" s="3"/>
      <c r="YE61" s="3"/>
      <c r="YF61" s="3"/>
      <c r="YG61" s="3"/>
      <c r="YH61" s="3"/>
      <c r="YI61" s="3"/>
      <c r="YJ61" s="3"/>
      <c r="YK61" s="3"/>
      <c r="YL61" s="3"/>
      <c r="YM61" s="3"/>
      <c r="YN61" s="3"/>
      <c r="YO61" s="3"/>
      <c r="YP61" s="3"/>
      <c r="YQ61" s="3"/>
      <c r="YR61" s="3"/>
      <c r="YS61" s="3"/>
      <c r="YT61" s="3"/>
      <c r="YU61" s="3"/>
      <c r="YV61" s="3"/>
      <c r="YW61" s="3"/>
      <c r="YX61" s="3"/>
      <c r="YY61" s="3"/>
      <c r="YZ61" s="3"/>
      <c r="ZA61" s="3"/>
      <c r="ZB61" s="3"/>
      <c r="ZC61" s="3"/>
      <c r="ZD61" s="3"/>
      <c r="ZE61" s="3"/>
      <c r="ZF61" s="3"/>
      <c r="ZG61" s="3"/>
      <c r="ZH61" s="3"/>
      <c r="ZI61" s="3"/>
      <c r="ZJ61" s="3"/>
      <c r="ZK61" s="3"/>
      <c r="ZL61" s="3"/>
      <c r="ZM61" s="3"/>
      <c r="ZN61" s="3"/>
      <c r="ZO61" s="3"/>
      <c r="ZP61" s="3"/>
      <c r="ZQ61" s="3"/>
      <c r="ZR61" s="3"/>
      <c r="ZS61" s="3"/>
      <c r="ZT61" s="3"/>
      <c r="ZU61" s="3"/>
      <c r="ZV61" s="3"/>
      <c r="ZW61" s="3"/>
      <c r="ZX61" s="3"/>
      <c r="ZY61" s="3"/>
      <c r="ZZ61" s="3"/>
    </row>
    <row r="62" spans="1:702" ht="39.75" customHeight="1">
      <c r="A62" s="197" t="s">
        <v>95</v>
      </c>
      <c r="B62" s="197" t="s">
        <v>171</v>
      </c>
      <c r="C62" s="197" t="s">
        <v>172</v>
      </c>
      <c r="D62" s="197" t="str">
        <f t="shared" si="3"/>
        <v/>
      </c>
      <c r="E62" s="198">
        <f t="array" ref="E62">IF(B62="","",IF(B62&lt;&gt;B61,SUMPRODUCT(($B$5:B62&lt;&gt;$B$4:B61)*($B$5:B62&lt;&gt;"")),""))</f>
        <v>11</v>
      </c>
      <c r="F62" s="198" t="str">
        <f t="shared" si="4"/>
        <v>データ取得・保存開発</v>
      </c>
      <c r="G62" s="198">
        <f t="shared" si="5"/>
        <v>1</v>
      </c>
      <c r="H62" s="164" t="str">
        <f t="shared" si="6"/>
        <v>NiFi共通データ取得フローの設計・実装</v>
      </c>
      <c r="I62" s="197" t="s">
        <v>106</v>
      </c>
      <c r="J62" s="197" t="s">
        <v>167</v>
      </c>
      <c r="K62" s="197"/>
      <c r="L62" s="165" t="str">
        <f t="shared" si="7"/>
        <v>【Salesforceデータ連携（1販社先行検証）】11-1_データ取得・保存開発_NiFi共通データ取得フローの設計・実装</v>
      </c>
      <c r="M62" s="199">
        <v>46272</v>
      </c>
      <c r="N62" s="199">
        <v>46281</v>
      </c>
      <c r="O62" s="167" t="s">
        <v>98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/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WZ62" s="3"/>
      <c r="XA62" s="3"/>
      <c r="XB62" s="3"/>
      <c r="XC62" s="3"/>
      <c r="XD62" s="3"/>
      <c r="XE62" s="3"/>
      <c r="XF62" s="3"/>
      <c r="XG62" s="3"/>
      <c r="XH62" s="3"/>
      <c r="XI62" s="3"/>
      <c r="XJ62" s="3"/>
      <c r="XK62" s="3"/>
      <c r="XL62" s="3"/>
      <c r="XM62" s="3"/>
      <c r="XN62" s="3"/>
      <c r="XO62" s="3"/>
      <c r="XP62" s="3"/>
      <c r="XQ62" s="3"/>
      <c r="XR62" s="3"/>
      <c r="XS62" s="3"/>
      <c r="XT62" s="3"/>
      <c r="XU62" s="3"/>
      <c r="XV62" s="3"/>
      <c r="XW62" s="3"/>
      <c r="XX62" s="3"/>
      <c r="XY62" s="3"/>
      <c r="XZ62" s="3"/>
      <c r="YA62" s="3"/>
      <c r="YB62" s="3"/>
      <c r="YC62" s="3"/>
      <c r="YD62" s="3"/>
      <c r="YE62" s="3"/>
      <c r="YF62" s="3"/>
      <c r="YG62" s="3"/>
      <c r="YH62" s="3"/>
      <c r="YI62" s="3"/>
      <c r="YJ62" s="3"/>
      <c r="YK62" s="3"/>
      <c r="YL62" s="3"/>
      <c r="YM62" s="3"/>
      <c r="YN62" s="3"/>
      <c r="YO62" s="3"/>
      <c r="YP62" s="3"/>
      <c r="YQ62" s="3"/>
      <c r="YR62" s="3"/>
      <c r="YS62" s="3"/>
      <c r="YT62" s="3"/>
      <c r="YU62" s="3"/>
      <c r="YV62" s="3"/>
      <c r="YW62" s="3"/>
      <c r="YX62" s="3"/>
      <c r="YY62" s="3"/>
      <c r="YZ62" s="3"/>
      <c r="ZA62" s="3"/>
      <c r="ZB62" s="3"/>
      <c r="ZC62" s="3"/>
      <c r="ZD62" s="3"/>
      <c r="ZE62" s="3"/>
      <c r="ZF62" s="3"/>
      <c r="ZG62" s="3"/>
      <c r="ZH62" s="3"/>
      <c r="ZI62" s="3"/>
      <c r="ZJ62" s="3"/>
      <c r="ZK62" s="3"/>
      <c r="ZL62" s="3"/>
      <c r="ZM62" s="3"/>
      <c r="ZN62" s="3"/>
      <c r="ZO62" s="3"/>
      <c r="ZP62" s="3"/>
      <c r="ZQ62" s="3"/>
      <c r="ZR62" s="3"/>
      <c r="ZS62" s="3"/>
      <c r="ZT62" s="3"/>
      <c r="ZU62" s="3"/>
      <c r="ZV62" s="3"/>
      <c r="ZW62" s="3"/>
      <c r="ZX62" s="3"/>
      <c r="ZY62" s="3"/>
      <c r="ZZ62" s="3"/>
    </row>
    <row r="63" spans="1:702" ht="36" customHeight="1">
      <c r="A63" s="200" t="s">
        <v>95</v>
      </c>
      <c r="B63" s="200" t="s">
        <v>171</v>
      </c>
      <c r="C63" s="200" t="s">
        <v>173</v>
      </c>
      <c r="D63" s="175" t="str">
        <f t="shared" si="3"/>
        <v/>
      </c>
      <c r="E63" s="201" t="str">
        <f t="array" ref="E63">IF(B63="","",IF(B63&lt;&gt;B62,SUMPRODUCT(($B$5:B63&lt;&gt;$B$4:B62)*($B$5:B63&lt;&gt;"")),""))</f>
        <v/>
      </c>
      <c r="F63" s="201" t="str">
        <f t="shared" si="4"/>
        <v/>
      </c>
      <c r="G63" s="201">
        <f t="shared" si="5"/>
        <v>2</v>
      </c>
      <c r="H63" s="175" t="str">
        <f t="shared" si="6"/>
        <v>NiFi Kudu保存フローの設計・実装</v>
      </c>
      <c r="I63" s="200" t="s">
        <v>106</v>
      </c>
      <c r="J63" s="200" t="s">
        <v>167</v>
      </c>
      <c r="K63" s="200"/>
      <c r="L63" s="176" t="str">
        <f t="shared" si="7"/>
        <v>【Salesforceデータ連携（1販社先行検証）】11-2_データ取得・保存開発_NiFi Kudu保存フローの設計・実装</v>
      </c>
      <c r="M63" s="202">
        <v>46272</v>
      </c>
      <c r="N63" s="202">
        <v>46281</v>
      </c>
      <c r="O63" s="167" t="s">
        <v>98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  <c r="TF63" s="3"/>
      <c r="TG63" s="3"/>
      <c r="TH63" s="3"/>
      <c r="TI63" s="3"/>
      <c r="TJ63" s="3"/>
      <c r="TK63" s="3"/>
      <c r="TL63" s="3"/>
      <c r="TM63" s="3"/>
      <c r="TN63" s="3"/>
      <c r="TO63" s="3"/>
      <c r="TP63" s="3"/>
      <c r="TQ63" s="3"/>
      <c r="TR63" s="3"/>
      <c r="TS63" s="3"/>
      <c r="TT63" s="3"/>
      <c r="TU63" s="3"/>
      <c r="TV63" s="3"/>
      <c r="TW63" s="3"/>
      <c r="TX63" s="3"/>
      <c r="TY63" s="3"/>
      <c r="TZ63" s="3"/>
      <c r="UA63" s="3"/>
      <c r="UB63" s="3"/>
      <c r="UC63" s="3"/>
      <c r="UD63" s="3"/>
      <c r="UE63" s="3"/>
      <c r="UF63" s="3"/>
      <c r="UG63" s="3"/>
      <c r="UH63" s="3"/>
      <c r="UI63" s="3"/>
      <c r="UJ63" s="3"/>
      <c r="UK63" s="3"/>
      <c r="UL63" s="3"/>
      <c r="UM63" s="3"/>
      <c r="UN63" s="3"/>
      <c r="UO63" s="3"/>
      <c r="UP63" s="3"/>
      <c r="UQ63" s="3"/>
      <c r="UR63" s="3"/>
      <c r="US63" s="3"/>
      <c r="UT63" s="3"/>
      <c r="UU63" s="3"/>
      <c r="UV63" s="3"/>
      <c r="UW63" s="3"/>
      <c r="UX63" s="3"/>
      <c r="UY63" s="3"/>
      <c r="UZ63" s="3"/>
      <c r="VA63" s="3"/>
      <c r="VB63" s="3"/>
      <c r="VC63" s="3"/>
      <c r="VD63" s="3"/>
      <c r="VE63" s="3"/>
      <c r="VF63" s="3"/>
      <c r="VG63" s="3"/>
      <c r="VH63" s="3"/>
      <c r="VI63" s="3"/>
      <c r="VJ63" s="3"/>
      <c r="VK63" s="3"/>
      <c r="VL63" s="3"/>
      <c r="VM63" s="3"/>
      <c r="VN63" s="3"/>
      <c r="VO63" s="3"/>
      <c r="VP63" s="3"/>
      <c r="VQ63" s="3"/>
      <c r="VR63" s="3"/>
      <c r="VS63" s="3"/>
      <c r="VT63" s="3"/>
      <c r="VU63" s="3"/>
      <c r="VV63" s="3"/>
      <c r="VW63" s="3"/>
      <c r="VX63" s="3"/>
      <c r="VY63" s="3"/>
      <c r="VZ63" s="3"/>
      <c r="WA63" s="3"/>
      <c r="WB63" s="3"/>
      <c r="WC63" s="3"/>
      <c r="WD63" s="3"/>
      <c r="WE63" s="3"/>
      <c r="WF63" s="3"/>
      <c r="WG63" s="3"/>
      <c r="WH63" s="3"/>
      <c r="WI63" s="3"/>
      <c r="WJ63" s="3"/>
      <c r="WK63" s="3"/>
      <c r="WL63" s="3"/>
      <c r="WM63" s="3"/>
      <c r="WN63" s="3"/>
      <c r="WO63" s="3"/>
      <c r="WP63" s="3"/>
      <c r="WQ63" s="3"/>
      <c r="WR63" s="3"/>
      <c r="WS63" s="3"/>
      <c r="WT63" s="3"/>
      <c r="WU63" s="3"/>
      <c r="WV63" s="3"/>
      <c r="WW63" s="3"/>
      <c r="WX63" s="3"/>
      <c r="WY63" s="3"/>
      <c r="WZ63" s="3"/>
      <c r="XA63" s="3"/>
      <c r="XB63" s="3"/>
      <c r="XC63" s="3"/>
      <c r="XD63" s="3"/>
      <c r="XE63" s="3"/>
      <c r="XF63" s="3"/>
      <c r="XG63" s="3"/>
      <c r="XH63" s="3"/>
      <c r="XI63" s="3"/>
      <c r="XJ63" s="3"/>
      <c r="XK63" s="3"/>
      <c r="XL63" s="3"/>
      <c r="XM63" s="3"/>
      <c r="XN63" s="3"/>
      <c r="XO63" s="3"/>
      <c r="XP63" s="3"/>
      <c r="XQ63" s="3"/>
      <c r="XR63" s="3"/>
      <c r="XS63" s="3"/>
      <c r="XT63" s="3"/>
      <c r="XU63" s="3"/>
      <c r="XV63" s="3"/>
      <c r="XW63" s="3"/>
      <c r="XX63" s="3"/>
      <c r="XY63" s="3"/>
      <c r="XZ63" s="3"/>
      <c r="YA63" s="3"/>
      <c r="YB63" s="3"/>
      <c r="YC63" s="3"/>
      <c r="YD63" s="3"/>
      <c r="YE63" s="3"/>
      <c r="YF63" s="3"/>
      <c r="YG63" s="3"/>
      <c r="YH63" s="3"/>
      <c r="YI63" s="3"/>
      <c r="YJ63" s="3"/>
      <c r="YK63" s="3"/>
      <c r="YL63" s="3"/>
      <c r="YM63" s="3"/>
      <c r="YN63" s="3"/>
      <c r="YO63" s="3"/>
      <c r="YP63" s="3"/>
      <c r="YQ63" s="3"/>
      <c r="YR63" s="3"/>
      <c r="YS63" s="3"/>
      <c r="YT63" s="3"/>
      <c r="YU63" s="3"/>
      <c r="YV63" s="3"/>
      <c r="YW63" s="3"/>
      <c r="YX63" s="3"/>
      <c r="YY63" s="3"/>
      <c r="YZ63" s="3"/>
      <c r="ZA63" s="3"/>
      <c r="ZB63" s="3"/>
      <c r="ZC63" s="3"/>
      <c r="ZD63" s="3"/>
      <c r="ZE63" s="3"/>
      <c r="ZF63" s="3"/>
      <c r="ZG63" s="3"/>
      <c r="ZH63" s="3"/>
      <c r="ZI63" s="3"/>
      <c r="ZJ63" s="3"/>
      <c r="ZK63" s="3"/>
      <c r="ZL63" s="3"/>
      <c r="ZM63" s="3"/>
      <c r="ZN63" s="3"/>
      <c r="ZO63" s="3"/>
      <c r="ZP63" s="3"/>
      <c r="ZQ63" s="3"/>
      <c r="ZR63" s="3"/>
      <c r="ZS63" s="3"/>
      <c r="ZT63" s="3"/>
      <c r="ZU63" s="3"/>
      <c r="ZV63" s="3"/>
      <c r="ZW63" s="3"/>
      <c r="ZX63" s="3"/>
      <c r="ZY63" s="3"/>
      <c r="ZZ63" s="3"/>
    </row>
    <row r="64" spans="1:702" ht="36" customHeight="1">
      <c r="A64" s="200" t="s">
        <v>95</v>
      </c>
      <c r="B64" s="200" t="s">
        <v>171</v>
      </c>
      <c r="C64" s="200" t="s">
        <v>174</v>
      </c>
      <c r="D64" s="175" t="str">
        <f t="shared" si="3"/>
        <v/>
      </c>
      <c r="E64" s="201" t="str">
        <f t="array" ref="E64">IF(B64="","",IF(B64&lt;&gt;B63,SUMPRODUCT(($B$5:B64&lt;&gt;$B$4:B63)*($B$5:B64&lt;&gt;"")),""))</f>
        <v/>
      </c>
      <c r="F64" s="201" t="str">
        <f t="shared" si="4"/>
        <v/>
      </c>
      <c r="G64" s="201">
        <f t="shared" si="5"/>
        <v>3</v>
      </c>
      <c r="H64" s="175" t="str">
        <f t="shared" si="6"/>
        <v>技術メタデータ付与処理の実装</v>
      </c>
      <c r="I64" s="200" t="s">
        <v>106</v>
      </c>
      <c r="J64" s="200" t="s">
        <v>167</v>
      </c>
      <c r="K64" s="200"/>
      <c r="L64" s="176" t="str">
        <f t="shared" si="7"/>
        <v>【Salesforceデータ連携（1販社先行検証）】11-3_データ取得・保存開発_技術メタデータ付与処理の実装</v>
      </c>
      <c r="M64" s="202"/>
      <c r="N64" s="202"/>
      <c r="O64" s="167" t="s">
        <v>98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WZ64" s="3"/>
      <c r="XA64" s="3"/>
      <c r="XB64" s="3"/>
      <c r="XC64" s="3"/>
      <c r="XD64" s="3"/>
      <c r="XE64" s="3"/>
      <c r="XF64" s="3"/>
      <c r="XG64" s="3"/>
      <c r="XH64" s="3"/>
      <c r="XI64" s="3"/>
      <c r="XJ64" s="3"/>
      <c r="XK64" s="3"/>
      <c r="XL64" s="3"/>
      <c r="XM64" s="3"/>
      <c r="XN64" s="3"/>
      <c r="XO64" s="3"/>
      <c r="XP64" s="3"/>
      <c r="XQ64" s="3"/>
      <c r="XR64" s="3"/>
      <c r="XS64" s="3"/>
      <c r="XT64" s="3"/>
      <c r="XU64" s="3"/>
      <c r="XV64" s="3"/>
      <c r="XW64" s="3"/>
      <c r="XX64" s="3"/>
      <c r="XY64" s="3"/>
      <c r="XZ64" s="3"/>
      <c r="YA64" s="3"/>
      <c r="YB64" s="3"/>
      <c r="YC64" s="3"/>
      <c r="YD64" s="3"/>
      <c r="YE64" s="3"/>
      <c r="YF64" s="3"/>
      <c r="YG64" s="3"/>
      <c r="YH64" s="3"/>
      <c r="YI64" s="3"/>
      <c r="YJ64" s="3"/>
      <c r="YK64" s="3"/>
      <c r="YL64" s="3"/>
      <c r="YM64" s="3"/>
      <c r="YN64" s="3"/>
      <c r="YO64" s="3"/>
      <c r="YP64" s="3"/>
      <c r="YQ64" s="3"/>
      <c r="YR64" s="3"/>
      <c r="YS64" s="3"/>
      <c r="YT64" s="3"/>
      <c r="YU64" s="3"/>
      <c r="YV64" s="3"/>
      <c r="YW64" s="3"/>
      <c r="YX64" s="3"/>
      <c r="YY64" s="3"/>
      <c r="YZ64" s="3"/>
      <c r="ZA64" s="3"/>
      <c r="ZB64" s="3"/>
      <c r="ZC64" s="3"/>
      <c r="ZD64" s="3"/>
      <c r="ZE64" s="3"/>
      <c r="ZF64" s="3"/>
      <c r="ZG64" s="3"/>
      <c r="ZH64" s="3"/>
      <c r="ZI64" s="3"/>
      <c r="ZJ64" s="3"/>
      <c r="ZK64" s="3"/>
      <c r="ZL64" s="3"/>
      <c r="ZM64" s="3"/>
      <c r="ZN64" s="3"/>
      <c r="ZO64" s="3"/>
      <c r="ZP64" s="3"/>
      <c r="ZQ64" s="3"/>
      <c r="ZR64" s="3"/>
      <c r="ZS64" s="3"/>
      <c r="ZT64" s="3"/>
      <c r="ZU64" s="3"/>
      <c r="ZV64" s="3"/>
      <c r="ZW64" s="3"/>
      <c r="ZX64" s="3"/>
      <c r="ZY64" s="3"/>
      <c r="ZZ64" s="3"/>
    </row>
    <row r="65" spans="1:702" ht="36" customHeight="1">
      <c r="A65" s="200" t="s">
        <v>95</v>
      </c>
      <c r="B65" s="200" t="s">
        <v>171</v>
      </c>
      <c r="C65" s="200" t="s">
        <v>175</v>
      </c>
      <c r="D65" s="175" t="str">
        <f t="shared" si="3"/>
        <v/>
      </c>
      <c r="E65" s="201" t="str">
        <f t="array" ref="E65">IF(B65="","",IF(B65&lt;&gt;B64,SUMPRODUCT(($B$5:B65&lt;&gt;$B$4:B64)*($B$5:B65&lt;&gt;"")),""))</f>
        <v/>
      </c>
      <c r="F65" s="201" t="str">
        <f t="shared" si="4"/>
        <v/>
      </c>
      <c r="G65" s="201">
        <f t="shared" si="5"/>
        <v>4</v>
      </c>
      <c r="H65" s="175" t="str">
        <f t="shared" si="6"/>
        <v>成功・失敗ステータス管理の実装</v>
      </c>
      <c r="I65" s="200" t="s">
        <v>106</v>
      </c>
      <c r="J65" s="200" t="s">
        <v>167</v>
      </c>
      <c r="K65" s="200"/>
      <c r="L65" s="176" t="str">
        <f t="shared" si="7"/>
        <v>【Salesforceデータ連携（1販社先行検証）】11-4_データ取得・保存開発_成功・失敗ステータス管理の実装</v>
      </c>
      <c r="M65" s="202">
        <v>46272</v>
      </c>
      <c r="N65" s="202">
        <v>46281</v>
      </c>
      <c r="O65" s="167" t="s">
        <v>98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</row>
    <row r="66" spans="1:702" ht="36" customHeight="1">
      <c r="A66" s="200" t="s">
        <v>95</v>
      </c>
      <c r="B66" s="200" t="s">
        <v>171</v>
      </c>
      <c r="C66" s="200" t="s">
        <v>176</v>
      </c>
      <c r="D66" s="175" t="str">
        <f t="shared" si="3"/>
        <v/>
      </c>
      <c r="E66" s="201" t="str">
        <f t="array" ref="E66">IF(B66="","",IF(B66&lt;&gt;B65,SUMPRODUCT(($B$5:B66&lt;&gt;$B$4:B65)*($B$5:B66&lt;&gt;"")),""))</f>
        <v/>
      </c>
      <c r="F66" s="201" t="str">
        <f t="shared" si="4"/>
        <v/>
      </c>
      <c r="G66" s="201">
        <f t="shared" si="5"/>
        <v>5</v>
      </c>
      <c r="H66" s="175" t="str">
        <f t="shared" si="6"/>
        <v>Retry・再実行・重複防止処理の実装</v>
      </c>
      <c r="I66" s="200" t="s">
        <v>106</v>
      </c>
      <c r="J66" s="200" t="s">
        <v>167</v>
      </c>
      <c r="K66" s="200"/>
      <c r="L66" s="176" t="str">
        <f t="shared" si="7"/>
        <v>【Salesforceデータ連携（1販社先行検証）】11-5_データ取得・保存開発_Retry・再実行・重複防止処理の実装</v>
      </c>
      <c r="M66" s="202">
        <v>46272</v>
      </c>
      <c r="N66" s="202">
        <v>46281</v>
      </c>
      <c r="O66" s="167" t="s">
        <v>98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  <c r="IY66" s="3"/>
      <c r="IZ66" s="3"/>
      <c r="JA66" s="3"/>
      <c r="JB66" s="3"/>
      <c r="JC66" s="3"/>
      <c r="JD66" s="3"/>
      <c r="JE66" s="3"/>
      <c r="JF66" s="3"/>
      <c r="JG66" s="3"/>
      <c r="JH66" s="3"/>
      <c r="JI66" s="3"/>
      <c r="JJ66" s="3"/>
      <c r="JK66" s="3"/>
      <c r="JL66" s="3"/>
      <c r="JM66" s="3"/>
      <c r="JN66" s="3"/>
      <c r="JO66" s="3"/>
      <c r="JP66" s="3"/>
      <c r="JQ66" s="3"/>
      <c r="JR66" s="3"/>
      <c r="JS66" s="3"/>
      <c r="JT66" s="3"/>
      <c r="JU66" s="3"/>
      <c r="JV66" s="3"/>
      <c r="JW66" s="3"/>
      <c r="JX66" s="3"/>
      <c r="JY66" s="3"/>
      <c r="JZ66" s="3"/>
      <c r="KA66" s="3"/>
      <c r="KB66" s="3"/>
      <c r="KC66" s="3"/>
      <c r="KD66" s="3"/>
      <c r="KE66" s="3"/>
      <c r="KF66" s="3"/>
      <c r="KG66" s="3"/>
      <c r="KH66" s="3"/>
      <c r="KI66" s="3"/>
      <c r="KJ66" s="3"/>
      <c r="KK66" s="3"/>
      <c r="KL66" s="3"/>
      <c r="KM66" s="3"/>
      <c r="KN66" s="3"/>
      <c r="KO66" s="3"/>
      <c r="KP66" s="3"/>
      <c r="KQ66" s="3"/>
      <c r="KR66" s="3"/>
      <c r="KS66" s="3"/>
      <c r="KT66" s="3"/>
      <c r="KU66" s="3"/>
      <c r="KV66" s="3"/>
      <c r="KW66" s="3"/>
      <c r="KX66" s="3"/>
      <c r="KY66" s="3"/>
      <c r="KZ66" s="3"/>
      <c r="LA66" s="3"/>
      <c r="LB66" s="3"/>
      <c r="LC66" s="3"/>
      <c r="LD66" s="3"/>
      <c r="LE66" s="3"/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3"/>
      <c r="LQ66" s="3"/>
      <c r="LR66" s="3"/>
      <c r="LS66" s="3"/>
      <c r="LT66" s="3"/>
      <c r="LU66" s="3"/>
      <c r="LV66" s="3"/>
      <c r="LW66" s="3"/>
      <c r="LX66" s="3"/>
      <c r="LY66" s="3"/>
      <c r="LZ66" s="3"/>
      <c r="MA66" s="3"/>
      <c r="MB66" s="3"/>
      <c r="MC66" s="3"/>
      <c r="MD66" s="3"/>
      <c r="ME66" s="3"/>
      <c r="MF66" s="3"/>
      <c r="MG66" s="3"/>
      <c r="MH66" s="3"/>
      <c r="MI66" s="3"/>
      <c r="MJ66" s="3"/>
      <c r="MK66" s="3"/>
      <c r="ML66" s="3"/>
      <c r="MM66" s="3"/>
      <c r="MN66" s="3"/>
      <c r="MO66" s="3"/>
      <c r="MP66" s="3"/>
      <c r="MQ66" s="3"/>
      <c r="MR66" s="3"/>
      <c r="MS66" s="3"/>
      <c r="MT66" s="3"/>
      <c r="MU66" s="3"/>
      <c r="MV66" s="3"/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WZ66" s="3"/>
      <c r="XA66" s="3"/>
      <c r="XB66" s="3"/>
      <c r="XC66" s="3"/>
      <c r="XD66" s="3"/>
      <c r="XE66" s="3"/>
      <c r="XF66" s="3"/>
      <c r="XG66" s="3"/>
      <c r="XH66" s="3"/>
      <c r="XI66" s="3"/>
      <c r="XJ66" s="3"/>
      <c r="XK66" s="3"/>
      <c r="XL66" s="3"/>
      <c r="XM66" s="3"/>
      <c r="XN66" s="3"/>
      <c r="XO66" s="3"/>
      <c r="XP66" s="3"/>
      <c r="XQ66" s="3"/>
      <c r="XR66" s="3"/>
      <c r="XS66" s="3"/>
      <c r="XT66" s="3"/>
      <c r="XU66" s="3"/>
      <c r="XV66" s="3"/>
      <c r="XW66" s="3"/>
      <c r="XX66" s="3"/>
      <c r="XY66" s="3"/>
      <c r="XZ66" s="3"/>
      <c r="YA66" s="3"/>
      <c r="YB66" s="3"/>
      <c r="YC66" s="3"/>
      <c r="YD66" s="3"/>
      <c r="YE66" s="3"/>
      <c r="YF66" s="3"/>
      <c r="YG66" s="3"/>
      <c r="YH66" s="3"/>
      <c r="YI66" s="3"/>
      <c r="YJ66" s="3"/>
      <c r="YK66" s="3"/>
      <c r="YL66" s="3"/>
      <c r="YM66" s="3"/>
      <c r="YN66" s="3"/>
      <c r="YO66" s="3"/>
      <c r="YP66" s="3"/>
      <c r="YQ66" s="3"/>
      <c r="YR66" s="3"/>
      <c r="YS66" s="3"/>
      <c r="YT66" s="3"/>
      <c r="YU66" s="3"/>
      <c r="YV66" s="3"/>
      <c r="YW66" s="3"/>
      <c r="YX66" s="3"/>
      <c r="YY66" s="3"/>
      <c r="YZ66" s="3"/>
      <c r="ZA66" s="3"/>
      <c r="ZB66" s="3"/>
      <c r="ZC66" s="3"/>
      <c r="ZD66" s="3"/>
      <c r="ZE66" s="3"/>
      <c r="ZF66" s="3"/>
      <c r="ZG66" s="3"/>
      <c r="ZH66" s="3"/>
      <c r="ZI66" s="3"/>
      <c r="ZJ66" s="3"/>
      <c r="ZK66" s="3"/>
      <c r="ZL66" s="3"/>
      <c r="ZM66" s="3"/>
      <c r="ZN66" s="3"/>
      <c r="ZO66" s="3"/>
      <c r="ZP66" s="3"/>
      <c r="ZQ66" s="3"/>
      <c r="ZR66" s="3"/>
      <c r="ZS66" s="3"/>
      <c r="ZT66" s="3"/>
      <c r="ZU66" s="3"/>
      <c r="ZV66" s="3"/>
      <c r="ZW66" s="3"/>
      <c r="ZX66" s="3"/>
      <c r="ZY66" s="3"/>
      <c r="ZZ66" s="3"/>
    </row>
    <row r="67" spans="1:702" ht="36" customHeight="1">
      <c r="A67" s="200" t="s">
        <v>95</v>
      </c>
      <c r="B67" s="200" t="s">
        <v>171</v>
      </c>
      <c r="C67" s="200" t="s">
        <v>177</v>
      </c>
      <c r="D67" s="175" t="str">
        <f t="shared" si="3"/>
        <v/>
      </c>
      <c r="E67" s="201" t="str">
        <f t="array" ref="E67">IF(B67="","",IF(B67&lt;&gt;B66,SUMPRODUCT(($B$5:B67&lt;&gt;$B$4:B66)*($B$5:B67&lt;&gt;"")),""))</f>
        <v/>
      </c>
      <c r="F67" s="201" t="str">
        <f t="shared" si="4"/>
        <v/>
      </c>
      <c r="G67" s="201">
        <f t="shared" si="5"/>
        <v>6</v>
      </c>
      <c r="H67" s="175" t="str">
        <f t="shared" si="6"/>
        <v>先行検証に必要な設定の外部化</v>
      </c>
      <c r="I67" s="200" t="s">
        <v>106</v>
      </c>
      <c r="J67" s="200" t="s">
        <v>167</v>
      </c>
      <c r="K67" s="200"/>
      <c r="L67" s="176" t="str">
        <f t="shared" si="7"/>
        <v>【Salesforceデータ連携（1販社先行検証）】11-6_データ取得・保存開発_先行検証に必要な設定の外部化</v>
      </c>
      <c r="M67" s="202"/>
      <c r="N67" s="202"/>
      <c r="O67" s="167" t="s">
        <v>98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/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WP67" s="3"/>
      <c r="WQ67" s="3"/>
      <c r="WR67" s="3"/>
      <c r="WS67" s="3"/>
      <c r="WT67" s="3"/>
      <c r="WU67" s="3"/>
      <c r="WV67" s="3"/>
      <c r="WW67" s="3"/>
      <c r="WX67" s="3"/>
      <c r="WY67" s="3"/>
      <c r="WZ67" s="3"/>
      <c r="XA67" s="3"/>
      <c r="XB67" s="3"/>
      <c r="XC67" s="3"/>
      <c r="XD67" s="3"/>
      <c r="XE67" s="3"/>
      <c r="XF67" s="3"/>
      <c r="XG67" s="3"/>
      <c r="XH67" s="3"/>
      <c r="XI67" s="3"/>
      <c r="XJ67" s="3"/>
      <c r="XK67" s="3"/>
      <c r="XL67" s="3"/>
      <c r="XM67" s="3"/>
      <c r="XN67" s="3"/>
      <c r="XO67" s="3"/>
      <c r="XP67" s="3"/>
      <c r="XQ67" s="3"/>
      <c r="XR67" s="3"/>
      <c r="XS67" s="3"/>
      <c r="XT67" s="3"/>
      <c r="XU67" s="3"/>
      <c r="XV67" s="3"/>
      <c r="XW67" s="3"/>
      <c r="XX67" s="3"/>
      <c r="XY67" s="3"/>
      <c r="XZ67" s="3"/>
      <c r="YA67" s="3"/>
      <c r="YB67" s="3"/>
      <c r="YC67" s="3"/>
      <c r="YD67" s="3"/>
      <c r="YE67" s="3"/>
      <c r="YF67" s="3"/>
      <c r="YG67" s="3"/>
      <c r="YH67" s="3"/>
      <c r="YI67" s="3"/>
      <c r="YJ67" s="3"/>
      <c r="YK67" s="3"/>
      <c r="YL67" s="3"/>
      <c r="YM67" s="3"/>
      <c r="YN67" s="3"/>
      <c r="YO67" s="3"/>
      <c r="YP67" s="3"/>
      <c r="YQ67" s="3"/>
      <c r="YR67" s="3"/>
      <c r="YS67" s="3"/>
      <c r="YT67" s="3"/>
      <c r="YU67" s="3"/>
      <c r="YV67" s="3"/>
      <c r="YW67" s="3"/>
      <c r="YX67" s="3"/>
      <c r="YY67" s="3"/>
      <c r="YZ67" s="3"/>
      <c r="ZA67" s="3"/>
      <c r="ZB67" s="3"/>
      <c r="ZC67" s="3"/>
      <c r="ZD67" s="3"/>
      <c r="ZE67" s="3"/>
      <c r="ZF67" s="3"/>
      <c r="ZG67" s="3"/>
      <c r="ZH67" s="3"/>
      <c r="ZI67" s="3"/>
      <c r="ZJ67" s="3"/>
      <c r="ZK67" s="3"/>
      <c r="ZL67" s="3"/>
      <c r="ZM67" s="3"/>
      <c r="ZN67" s="3"/>
      <c r="ZO67" s="3"/>
      <c r="ZP67" s="3"/>
      <c r="ZQ67" s="3"/>
      <c r="ZR67" s="3"/>
      <c r="ZS67" s="3"/>
      <c r="ZT67" s="3"/>
      <c r="ZU67" s="3"/>
      <c r="ZV67" s="3"/>
      <c r="ZW67" s="3"/>
      <c r="ZX67" s="3"/>
      <c r="ZY67" s="3"/>
      <c r="ZZ67" s="3"/>
    </row>
    <row r="68" spans="1:702" ht="36" customHeight="1">
      <c r="A68" s="200" t="s">
        <v>95</v>
      </c>
      <c r="B68" s="200" t="s">
        <v>171</v>
      </c>
      <c r="C68" s="200" t="s">
        <v>178</v>
      </c>
      <c r="D68" s="175" t="str">
        <f t="shared" si="3"/>
        <v/>
      </c>
      <c r="E68" s="201" t="str">
        <f t="array" ref="E68">IF(B68="","",IF(B68&lt;&gt;B67,SUMPRODUCT(($B$5:B68&lt;&gt;$B$4:B67)*($B$5:B68&lt;&gt;"")),""))</f>
        <v/>
      </c>
      <c r="F68" s="201" t="str">
        <f t="shared" si="4"/>
        <v/>
      </c>
      <c r="G68" s="201">
        <f t="shared" si="5"/>
        <v>7</v>
      </c>
      <c r="H68" s="175" t="str">
        <f t="shared" si="6"/>
        <v>先行1販社のデータ取得・Kudu参照用TB保存設定</v>
      </c>
      <c r="I68" s="200" t="s">
        <v>106</v>
      </c>
      <c r="J68" s="200" t="s">
        <v>167</v>
      </c>
      <c r="K68" s="200"/>
      <c r="L68" s="176" t="str">
        <f t="shared" si="7"/>
        <v>【Salesforceデータ連携（1販社先行検証）】11-7_データ取得・保存開発_先行1販社のデータ取得・Kudu参照用TB保存設定</v>
      </c>
      <c r="M68" s="202">
        <v>46279</v>
      </c>
      <c r="N68" s="202">
        <v>46283</v>
      </c>
      <c r="O68" s="167" t="s">
        <v>98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  <c r="IY68" s="3"/>
      <c r="IZ68" s="3"/>
      <c r="JA68" s="3"/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3"/>
      <c r="JM68" s="3"/>
      <c r="JN68" s="3"/>
      <c r="JO68" s="3"/>
      <c r="JP68" s="3"/>
      <c r="JQ68" s="3"/>
      <c r="JR68" s="3"/>
      <c r="JS68" s="3"/>
      <c r="JT68" s="3"/>
      <c r="JU68" s="3"/>
      <c r="JV68" s="3"/>
      <c r="JW68" s="3"/>
      <c r="JX68" s="3"/>
      <c r="JY68" s="3"/>
      <c r="JZ68" s="3"/>
      <c r="KA68" s="3"/>
      <c r="KB68" s="3"/>
      <c r="KC68" s="3"/>
      <c r="KD68" s="3"/>
      <c r="KE68" s="3"/>
      <c r="KF68" s="3"/>
      <c r="KG68" s="3"/>
      <c r="KH68" s="3"/>
      <c r="KI68" s="3"/>
      <c r="KJ68" s="3"/>
      <c r="KK68" s="3"/>
      <c r="KL68" s="3"/>
      <c r="KM68" s="3"/>
      <c r="KN68" s="3"/>
      <c r="KO68" s="3"/>
      <c r="KP68" s="3"/>
      <c r="KQ68" s="3"/>
      <c r="KR68" s="3"/>
      <c r="KS68" s="3"/>
      <c r="KT68" s="3"/>
      <c r="KU68" s="3"/>
      <c r="KV68" s="3"/>
      <c r="KW68" s="3"/>
      <c r="KX68" s="3"/>
      <c r="KY68" s="3"/>
      <c r="KZ68" s="3"/>
      <c r="LA68" s="3"/>
      <c r="LB68" s="3"/>
      <c r="LC68" s="3"/>
      <c r="LD68" s="3"/>
      <c r="LE68" s="3"/>
      <c r="LF68" s="3"/>
      <c r="LG68" s="3"/>
      <c r="LH68" s="3"/>
      <c r="LI68" s="3"/>
      <c r="LJ68" s="3"/>
      <c r="LK68" s="3"/>
      <c r="LL68" s="3"/>
      <c r="LM68" s="3"/>
      <c r="LN68" s="3"/>
      <c r="LO68" s="3"/>
      <c r="LP68" s="3"/>
      <c r="LQ68" s="3"/>
      <c r="LR68" s="3"/>
      <c r="LS68" s="3"/>
      <c r="LT68" s="3"/>
      <c r="LU68" s="3"/>
      <c r="LV68" s="3"/>
      <c r="LW68" s="3"/>
      <c r="LX68" s="3"/>
      <c r="LY68" s="3"/>
      <c r="LZ68" s="3"/>
      <c r="MA68" s="3"/>
      <c r="MB68" s="3"/>
      <c r="MC68" s="3"/>
      <c r="MD68" s="3"/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3"/>
      <c r="MP68" s="3"/>
      <c r="MQ68" s="3"/>
      <c r="MR68" s="3"/>
      <c r="MS68" s="3"/>
      <c r="MT68" s="3"/>
      <c r="MU68" s="3"/>
      <c r="MV68" s="3"/>
      <c r="MW68" s="3"/>
      <c r="MX68" s="3"/>
      <c r="MY68" s="3"/>
      <c r="MZ68" s="3"/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/>
      <c r="PD68" s="3"/>
      <c r="PE68" s="3"/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O68" s="3"/>
      <c r="RP68" s="3"/>
      <c r="RQ68" s="3"/>
      <c r="RR68" s="3"/>
      <c r="RS68" s="3"/>
      <c r="RT68" s="3"/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/>
      <c r="SP68" s="3"/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/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WZ68" s="3"/>
      <c r="XA68" s="3"/>
      <c r="XB68" s="3"/>
      <c r="XC68" s="3"/>
      <c r="XD68" s="3"/>
      <c r="XE68" s="3"/>
      <c r="XF68" s="3"/>
      <c r="XG68" s="3"/>
      <c r="XH68" s="3"/>
      <c r="XI68" s="3"/>
      <c r="XJ68" s="3"/>
      <c r="XK68" s="3"/>
      <c r="XL68" s="3"/>
      <c r="XM68" s="3"/>
      <c r="XN68" s="3"/>
      <c r="XO68" s="3"/>
      <c r="XP68" s="3"/>
      <c r="XQ68" s="3"/>
      <c r="XR68" s="3"/>
      <c r="XS68" s="3"/>
      <c r="XT68" s="3"/>
      <c r="XU68" s="3"/>
      <c r="XV68" s="3"/>
      <c r="XW68" s="3"/>
      <c r="XX68" s="3"/>
      <c r="XY68" s="3"/>
      <c r="XZ68" s="3"/>
      <c r="YA68" s="3"/>
      <c r="YB68" s="3"/>
      <c r="YC68" s="3"/>
      <c r="YD68" s="3"/>
      <c r="YE68" s="3"/>
      <c r="YF68" s="3"/>
      <c r="YG68" s="3"/>
      <c r="YH68" s="3"/>
      <c r="YI68" s="3"/>
      <c r="YJ68" s="3"/>
      <c r="YK68" s="3"/>
      <c r="YL68" s="3"/>
      <c r="YM68" s="3"/>
      <c r="YN68" s="3"/>
      <c r="YO68" s="3"/>
      <c r="YP68" s="3"/>
      <c r="YQ68" s="3"/>
      <c r="YR68" s="3"/>
      <c r="YS68" s="3"/>
      <c r="YT68" s="3"/>
      <c r="YU68" s="3"/>
      <c r="YV68" s="3"/>
      <c r="YW68" s="3"/>
      <c r="YX68" s="3"/>
      <c r="YY68" s="3"/>
      <c r="YZ68" s="3"/>
      <c r="ZA68" s="3"/>
      <c r="ZB68" s="3"/>
      <c r="ZC68" s="3"/>
      <c r="ZD68" s="3"/>
      <c r="ZE68" s="3"/>
      <c r="ZF68" s="3"/>
      <c r="ZG68" s="3"/>
      <c r="ZH68" s="3"/>
      <c r="ZI68" s="3"/>
      <c r="ZJ68" s="3"/>
      <c r="ZK68" s="3"/>
      <c r="ZL68" s="3"/>
      <c r="ZM68" s="3"/>
      <c r="ZN68" s="3"/>
      <c r="ZO68" s="3"/>
      <c r="ZP68" s="3"/>
      <c r="ZQ68" s="3"/>
      <c r="ZR68" s="3"/>
      <c r="ZS68" s="3"/>
      <c r="ZT68" s="3"/>
      <c r="ZU68" s="3"/>
      <c r="ZV68" s="3"/>
      <c r="ZW68" s="3"/>
      <c r="ZX68" s="3"/>
      <c r="ZY68" s="3"/>
      <c r="ZZ68" s="3"/>
    </row>
    <row r="69" spans="1:702" ht="36" customHeight="1">
      <c r="A69" s="200" t="s">
        <v>95</v>
      </c>
      <c r="B69" s="200" t="s">
        <v>171</v>
      </c>
      <c r="C69" s="200" t="s">
        <v>179</v>
      </c>
      <c r="D69" s="175" t="str">
        <f t="shared" si="3"/>
        <v/>
      </c>
      <c r="E69" s="201" t="str">
        <f t="array" ref="E69">IF(B69="","",IF(B69&lt;&gt;B68,SUMPRODUCT(($B$5:B69&lt;&gt;$B$4:B68)*($B$5:B69&lt;&gt;"")),""))</f>
        <v/>
      </c>
      <c r="F69" s="201" t="str">
        <f t="shared" si="4"/>
        <v/>
      </c>
      <c r="G69" s="201">
        <f t="shared" si="5"/>
        <v>8</v>
      </c>
      <c r="H69" s="175" t="str">
        <f t="shared" si="6"/>
        <v>2販社目のデータ取得・保存設定（先行検証後）</v>
      </c>
      <c r="I69" s="200"/>
      <c r="J69" s="200"/>
      <c r="K69" s="200"/>
      <c r="L69" s="176" t="str">
        <f t="shared" si="7"/>
        <v>【Salesforceデータ連携（1販社先行検証）】11-8_データ取得・保存開発_2販社目のデータ取得・保存設定（先行検証後）</v>
      </c>
      <c r="M69" s="202"/>
      <c r="N69" s="202"/>
      <c r="O69" s="167" t="s">
        <v>98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</row>
    <row r="70" spans="1:702" ht="39.75" customHeight="1">
      <c r="A70" s="197" t="s">
        <v>95</v>
      </c>
      <c r="B70" s="197" t="s">
        <v>180</v>
      </c>
      <c r="C70" s="197" t="s">
        <v>181</v>
      </c>
      <c r="D70" s="197" t="str">
        <f t="shared" si="3"/>
        <v/>
      </c>
      <c r="E70" s="198">
        <f t="array" ref="E70">IF(B70="","",IF(B70&lt;&gt;B69,SUMPRODUCT(($B$5:B70&lt;&gt;$B$4:B69)*($B$5:B70&lt;&gt;"")),""))</f>
        <v>12</v>
      </c>
      <c r="F70" s="198" t="str">
        <f t="shared" si="4"/>
        <v>単体試験</v>
      </c>
      <c r="G70" s="198">
        <f t="shared" si="5"/>
        <v>1</v>
      </c>
      <c r="H70" s="164" t="str">
        <f t="shared" si="6"/>
        <v>単体テスト項目・期待値・合否基準の作成</v>
      </c>
      <c r="I70" s="197" t="s">
        <v>106</v>
      </c>
      <c r="J70" s="197" t="s">
        <v>167</v>
      </c>
      <c r="K70" s="197"/>
      <c r="L70" s="165" t="str">
        <f t="shared" si="7"/>
        <v>【Salesforceデータ連携（1販社先行検証）】12-1_単体試験_単体テスト項目・期待値・合否基準の作成</v>
      </c>
      <c r="M70" s="199">
        <v>46279</v>
      </c>
      <c r="N70" s="199">
        <v>46281</v>
      </c>
      <c r="O70" s="167" t="s">
        <v>98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  <c r="IY70" s="3"/>
      <c r="IZ70" s="3"/>
      <c r="JA70" s="3"/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3"/>
      <c r="JM70" s="3"/>
      <c r="JN70" s="3"/>
      <c r="JO70" s="3"/>
      <c r="JP70" s="3"/>
      <c r="JQ70" s="3"/>
      <c r="JR70" s="3"/>
      <c r="JS70" s="3"/>
      <c r="JT70" s="3"/>
      <c r="JU70" s="3"/>
      <c r="JV70" s="3"/>
      <c r="JW70" s="3"/>
      <c r="JX70" s="3"/>
      <c r="JY70" s="3"/>
      <c r="JZ70" s="3"/>
      <c r="KA70" s="3"/>
      <c r="KB70" s="3"/>
      <c r="KC70" s="3"/>
      <c r="KD70" s="3"/>
      <c r="KE70" s="3"/>
      <c r="KF70" s="3"/>
      <c r="KG70" s="3"/>
      <c r="KH70" s="3"/>
      <c r="KI70" s="3"/>
      <c r="KJ70" s="3"/>
      <c r="KK70" s="3"/>
      <c r="KL70" s="3"/>
      <c r="KM70" s="3"/>
      <c r="KN70" s="3"/>
      <c r="KO70" s="3"/>
      <c r="KP70" s="3"/>
      <c r="KQ70" s="3"/>
      <c r="KR70" s="3"/>
      <c r="KS70" s="3"/>
      <c r="KT70" s="3"/>
      <c r="KU70" s="3"/>
      <c r="KV70" s="3"/>
      <c r="KW70" s="3"/>
      <c r="KX70" s="3"/>
      <c r="KY70" s="3"/>
      <c r="KZ70" s="3"/>
      <c r="LA70" s="3"/>
      <c r="LB70" s="3"/>
      <c r="LC70" s="3"/>
      <c r="LD70" s="3"/>
      <c r="LE70" s="3"/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3"/>
      <c r="LQ70" s="3"/>
      <c r="LR70" s="3"/>
      <c r="LS70" s="3"/>
      <c r="LT70" s="3"/>
      <c r="LU70" s="3"/>
      <c r="LV70" s="3"/>
      <c r="LW70" s="3"/>
      <c r="LX70" s="3"/>
      <c r="LY70" s="3"/>
      <c r="LZ70" s="3"/>
      <c r="MA70" s="3"/>
      <c r="MB70" s="3"/>
      <c r="MC70" s="3"/>
      <c r="MD70" s="3"/>
      <c r="ME70" s="3"/>
      <c r="MF70" s="3"/>
      <c r="MG70" s="3"/>
      <c r="MH70" s="3"/>
      <c r="MI70" s="3"/>
      <c r="MJ70" s="3"/>
      <c r="MK70" s="3"/>
      <c r="ML70" s="3"/>
      <c r="MM70" s="3"/>
      <c r="MN70" s="3"/>
      <c r="MO70" s="3"/>
      <c r="MP70" s="3"/>
      <c r="MQ70" s="3"/>
      <c r="MR70" s="3"/>
      <c r="MS70" s="3"/>
      <c r="MT70" s="3"/>
      <c r="MU70" s="3"/>
      <c r="MV70" s="3"/>
      <c r="MW70" s="3"/>
      <c r="MX70" s="3"/>
      <c r="MY70" s="3"/>
      <c r="MZ70" s="3"/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/>
      <c r="PD70" s="3"/>
      <c r="PE70" s="3"/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O70" s="3"/>
      <c r="RP70" s="3"/>
      <c r="RQ70" s="3"/>
      <c r="RR70" s="3"/>
      <c r="RS70" s="3"/>
      <c r="RT70" s="3"/>
      <c r="RU70" s="3"/>
      <c r="RV70" s="3"/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/>
      <c r="SP70" s="3"/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/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WZ70" s="3"/>
      <c r="XA70" s="3"/>
      <c r="XB70" s="3"/>
      <c r="XC70" s="3"/>
      <c r="XD70" s="3"/>
      <c r="XE70" s="3"/>
      <c r="XF70" s="3"/>
      <c r="XG70" s="3"/>
      <c r="XH70" s="3"/>
      <c r="XI70" s="3"/>
      <c r="XJ70" s="3"/>
      <c r="XK70" s="3"/>
      <c r="XL70" s="3"/>
      <c r="XM70" s="3"/>
      <c r="XN70" s="3"/>
      <c r="XO70" s="3"/>
      <c r="XP70" s="3"/>
      <c r="XQ70" s="3"/>
      <c r="XR70" s="3"/>
      <c r="XS70" s="3"/>
      <c r="XT70" s="3"/>
      <c r="XU70" s="3"/>
      <c r="XV70" s="3"/>
      <c r="XW70" s="3"/>
      <c r="XX70" s="3"/>
      <c r="XY70" s="3"/>
      <c r="XZ70" s="3"/>
      <c r="YA70" s="3"/>
      <c r="YB70" s="3"/>
      <c r="YC70" s="3"/>
      <c r="YD70" s="3"/>
      <c r="YE70" s="3"/>
      <c r="YF70" s="3"/>
      <c r="YG70" s="3"/>
      <c r="YH70" s="3"/>
      <c r="YI70" s="3"/>
      <c r="YJ70" s="3"/>
      <c r="YK70" s="3"/>
      <c r="YL70" s="3"/>
      <c r="YM70" s="3"/>
      <c r="YN70" s="3"/>
      <c r="YO70" s="3"/>
      <c r="YP70" s="3"/>
      <c r="YQ70" s="3"/>
      <c r="YR70" s="3"/>
      <c r="YS70" s="3"/>
      <c r="YT70" s="3"/>
      <c r="YU70" s="3"/>
      <c r="YV70" s="3"/>
      <c r="YW70" s="3"/>
      <c r="YX70" s="3"/>
      <c r="YY70" s="3"/>
      <c r="YZ70" s="3"/>
      <c r="ZA70" s="3"/>
      <c r="ZB70" s="3"/>
      <c r="ZC70" s="3"/>
      <c r="ZD70" s="3"/>
      <c r="ZE70" s="3"/>
      <c r="ZF70" s="3"/>
      <c r="ZG70" s="3"/>
      <c r="ZH70" s="3"/>
      <c r="ZI70" s="3"/>
      <c r="ZJ70" s="3"/>
      <c r="ZK70" s="3"/>
      <c r="ZL70" s="3"/>
      <c r="ZM70" s="3"/>
      <c r="ZN70" s="3"/>
      <c r="ZO70" s="3"/>
      <c r="ZP70" s="3"/>
      <c r="ZQ70" s="3"/>
      <c r="ZR70" s="3"/>
      <c r="ZS70" s="3"/>
      <c r="ZT70" s="3"/>
      <c r="ZU70" s="3"/>
      <c r="ZV70" s="3"/>
      <c r="ZW70" s="3"/>
      <c r="ZX70" s="3"/>
      <c r="ZY70" s="3"/>
      <c r="ZZ70" s="3"/>
    </row>
    <row r="71" spans="1:702" ht="36" customHeight="1">
      <c r="A71" s="200" t="s">
        <v>95</v>
      </c>
      <c r="B71" s="200" t="s">
        <v>180</v>
      </c>
      <c r="C71" s="200" t="s">
        <v>182</v>
      </c>
      <c r="D71" s="175" t="str">
        <f t="shared" si="3"/>
        <v/>
      </c>
      <c r="E71" s="201" t="str">
        <f t="array" ref="E71">IF(B71="","",IF(B71&lt;&gt;B70,SUMPRODUCT(($B$5:B71&lt;&gt;$B$4:B70)*($B$5:B71&lt;&gt;"")),""))</f>
        <v/>
      </c>
      <c r="F71" s="201" t="str">
        <f t="shared" si="4"/>
        <v/>
      </c>
      <c r="G71" s="201">
        <f t="shared" si="5"/>
        <v>2</v>
      </c>
      <c r="H71" s="175" t="str">
        <f t="shared" si="6"/>
        <v>Salesforceデータ取得・再実行試験</v>
      </c>
      <c r="I71" s="200" t="s">
        <v>106</v>
      </c>
      <c r="J71" s="200" t="s">
        <v>167</v>
      </c>
      <c r="K71" s="200"/>
      <c r="L71" s="176" t="str">
        <f t="shared" si="7"/>
        <v>【Salesforceデータ連携（1販社先行検証）】12-2_単体試験_Salesforceデータ取得・再実行試験</v>
      </c>
      <c r="M71" s="202">
        <v>46282</v>
      </c>
      <c r="N71" s="202">
        <v>46289</v>
      </c>
      <c r="O71" s="167" t="s">
        <v>98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  <c r="IY71" s="3"/>
      <c r="IZ71" s="3"/>
      <c r="JA71" s="3"/>
      <c r="JB71" s="3"/>
      <c r="JC71" s="3"/>
      <c r="JD71" s="3"/>
      <c r="JE71" s="3"/>
      <c r="JF71" s="3"/>
      <c r="JG71" s="3"/>
      <c r="JH71" s="3"/>
      <c r="JI71" s="3"/>
      <c r="JJ71" s="3"/>
      <c r="JK71" s="3"/>
      <c r="JL71" s="3"/>
      <c r="JM71" s="3"/>
      <c r="JN71" s="3"/>
      <c r="JO71" s="3"/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3"/>
      <c r="KI71" s="3"/>
      <c r="KJ71" s="3"/>
      <c r="KK71" s="3"/>
      <c r="KL71" s="3"/>
      <c r="KM71" s="3"/>
      <c r="KN71" s="3"/>
      <c r="KO71" s="3"/>
      <c r="KP71" s="3"/>
      <c r="KQ71" s="3"/>
      <c r="KR71" s="3"/>
      <c r="KS71" s="3"/>
      <c r="KT71" s="3"/>
      <c r="KU71" s="3"/>
      <c r="KV71" s="3"/>
      <c r="KW71" s="3"/>
      <c r="KX71" s="3"/>
      <c r="KY71" s="3"/>
      <c r="KZ71" s="3"/>
      <c r="LA71" s="3"/>
      <c r="LB71" s="3"/>
      <c r="LC71" s="3"/>
      <c r="LD71" s="3"/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3"/>
      <c r="LQ71" s="3"/>
      <c r="LR71" s="3"/>
      <c r="LS71" s="3"/>
      <c r="LT71" s="3"/>
      <c r="LU71" s="3"/>
      <c r="LV71" s="3"/>
      <c r="LW71" s="3"/>
      <c r="LX71" s="3"/>
      <c r="LY71" s="3"/>
      <c r="LZ71" s="3"/>
      <c r="MA71" s="3"/>
      <c r="MB71" s="3"/>
      <c r="MC71" s="3"/>
      <c r="MD71" s="3"/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3"/>
      <c r="MP71" s="3"/>
      <c r="MQ71" s="3"/>
      <c r="MR71" s="3"/>
      <c r="MS71" s="3"/>
      <c r="MT71" s="3"/>
      <c r="MU71" s="3"/>
      <c r="MV71" s="3"/>
      <c r="MW71" s="3"/>
      <c r="MX71" s="3"/>
      <c r="MY71" s="3"/>
      <c r="MZ71" s="3"/>
      <c r="NA71" s="3"/>
      <c r="NB71" s="3"/>
      <c r="NC71" s="3"/>
      <c r="ND71" s="3"/>
      <c r="NE71" s="3"/>
      <c r="NF71" s="3"/>
      <c r="NG71" s="3"/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3"/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3"/>
      <c r="PB71" s="3"/>
      <c r="PC71" s="3"/>
      <c r="PD71" s="3"/>
      <c r="PE71" s="3"/>
      <c r="PF71" s="3"/>
      <c r="PG71" s="3"/>
      <c r="PH71" s="3"/>
      <c r="PI71" s="3"/>
      <c r="PJ71" s="3"/>
      <c r="PK71" s="3"/>
      <c r="PL71" s="3"/>
      <c r="PM71" s="3"/>
      <c r="PN71" s="3"/>
      <c r="PO71" s="3"/>
      <c r="PP71" s="3"/>
      <c r="PQ71" s="3"/>
      <c r="PR71" s="3"/>
      <c r="PS71" s="3"/>
      <c r="PT71" s="3"/>
      <c r="PU71" s="3"/>
      <c r="PV71" s="3"/>
      <c r="PW71" s="3"/>
      <c r="PX71" s="3"/>
      <c r="PY71" s="3"/>
      <c r="PZ71" s="3"/>
      <c r="QA71" s="3"/>
      <c r="QB71" s="3"/>
      <c r="QC71" s="3"/>
      <c r="QD71" s="3"/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3"/>
      <c r="QV71" s="3"/>
      <c r="QW71" s="3"/>
      <c r="QX71" s="3"/>
      <c r="QY71" s="3"/>
      <c r="QZ71" s="3"/>
      <c r="RA71" s="3"/>
      <c r="RB71" s="3"/>
      <c r="RC71" s="3"/>
      <c r="RD71" s="3"/>
      <c r="RE71" s="3"/>
      <c r="RF71" s="3"/>
      <c r="RG71" s="3"/>
      <c r="RH71" s="3"/>
      <c r="RI71" s="3"/>
      <c r="RJ71" s="3"/>
      <c r="RK71" s="3"/>
      <c r="RL71" s="3"/>
      <c r="RM71" s="3"/>
      <c r="RN71" s="3"/>
      <c r="RO71" s="3"/>
      <c r="RP71" s="3"/>
      <c r="RQ71" s="3"/>
      <c r="RR71" s="3"/>
      <c r="RS71" s="3"/>
      <c r="RT71" s="3"/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3"/>
      <c r="SG71" s="3"/>
      <c r="SH71" s="3"/>
      <c r="SI71" s="3"/>
      <c r="SJ71" s="3"/>
      <c r="SK71" s="3"/>
      <c r="SL71" s="3"/>
      <c r="SM71" s="3"/>
      <c r="SN71" s="3"/>
      <c r="SO71" s="3"/>
      <c r="SP71" s="3"/>
      <c r="SQ71" s="3"/>
      <c r="SR71" s="3"/>
      <c r="SS71" s="3"/>
      <c r="ST71" s="3"/>
      <c r="SU71" s="3"/>
      <c r="SV71" s="3"/>
      <c r="SW71" s="3"/>
      <c r="SX71" s="3"/>
      <c r="SY71" s="3"/>
      <c r="SZ71" s="3"/>
      <c r="TA71" s="3"/>
      <c r="TB71" s="3"/>
      <c r="TC71" s="3"/>
      <c r="TD71" s="3"/>
      <c r="TE71" s="3"/>
      <c r="TF71" s="3"/>
      <c r="TG71" s="3"/>
      <c r="TH71" s="3"/>
      <c r="TI71" s="3"/>
      <c r="TJ71" s="3"/>
      <c r="TK71" s="3"/>
      <c r="TL71" s="3"/>
      <c r="TM71" s="3"/>
      <c r="TN71" s="3"/>
      <c r="TO71" s="3"/>
      <c r="TP71" s="3"/>
      <c r="TQ71" s="3"/>
      <c r="TR71" s="3"/>
      <c r="TS71" s="3"/>
      <c r="TT71" s="3"/>
      <c r="TU71" s="3"/>
      <c r="TV71" s="3"/>
      <c r="TW71" s="3"/>
      <c r="TX71" s="3"/>
      <c r="TY71" s="3"/>
      <c r="TZ71" s="3"/>
      <c r="UA71" s="3"/>
      <c r="UB71" s="3"/>
      <c r="UC71" s="3"/>
      <c r="UD71" s="3"/>
      <c r="UE71" s="3"/>
      <c r="UF71" s="3"/>
      <c r="UG71" s="3"/>
      <c r="UH71" s="3"/>
      <c r="UI71" s="3"/>
      <c r="UJ71" s="3"/>
      <c r="UK71" s="3"/>
      <c r="UL71" s="3"/>
      <c r="UM71" s="3"/>
      <c r="UN71" s="3"/>
      <c r="UO71" s="3"/>
      <c r="UP71" s="3"/>
      <c r="UQ71" s="3"/>
      <c r="UR71" s="3"/>
      <c r="US71" s="3"/>
      <c r="UT71" s="3"/>
      <c r="UU71" s="3"/>
      <c r="UV71" s="3"/>
      <c r="UW71" s="3"/>
      <c r="UX71" s="3"/>
      <c r="UY71" s="3"/>
      <c r="UZ71" s="3"/>
      <c r="VA71" s="3"/>
      <c r="VB71" s="3"/>
      <c r="VC71" s="3"/>
      <c r="VD71" s="3"/>
      <c r="VE71" s="3"/>
      <c r="VF71" s="3"/>
      <c r="VG71" s="3"/>
      <c r="VH71" s="3"/>
      <c r="VI71" s="3"/>
      <c r="VJ71" s="3"/>
      <c r="VK71" s="3"/>
      <c r="VL71" s="3"/>
      <c r="VM71" s="3"/>
      <c r="VN71" s="3"/>
      <c r="VO71" s="3"/>
      <c r="VP71" s="3"/>
      <c r="VQ71" s="3"/>
      <c r="VR71" s="3"/>
      <c r="VS71" s="3"/>
      <c r="VT71" s="3"/>
      <c r="VU71" s="3"/>
      <c r="VV71" s="3"/>
      <c r="VW71" s="3"/>
      <c r="VX71" s="3"/>
      <c r="VY71" s="3"/>
      <c r="VZ71" s="3"/>
      <c r="WA71" s="3"/>
      <c r="WB71" s="3"/>
      <c r="WC71" s="3"/>
      <c r="WD71" s="3"/>
      <c r="WE71" s="3"/>
      <c r="WF71" s="3"/>
      <c r="WG71" s="3"/>
      <c r="WH71" s="3"/>
      <c r="WI71" s="3"/>
      <c r="WJ71" s="3"/>
      <c r="WK71" s="3"/>
      <c r="WL71" s="3"/>
      <c r="WM71" s="3"/>
      <c r="WN71" s="3"/>
      <c r="WO71" s="3"/>
      <c r="WP71" s="3"/>
      <c r="WQ71" s="3"/>
      <c r="WR71" s="3"/>
      <c r="WS71" s="3"/>
      <c r="WT71" s="3"/>
      <c r="WU71" s="3"/>
      <c r="WV71" s="3"/>
      <c r="WW71" s="3"/>
      <c r="WX71" s="3"/>
      <c r="WY71" s="3"/>
      <c r="WZ71" s="3"/>
      <c r="XA71" s="3"/>
      <c r="XB71" s="3"/>
      <c r="XC71" s="3"/>
      <c r="XD71" s="3"/>
      <c r="XE71" s="3"/>
      <c r="XF71" s="3"/>
      <c r="XG71" s="3"/>
      <c r="XH71" s="3"/>
      <c r="XI71" s="3"/>
      <c r="XJ71" s="3"/>
      <c r="XK71" s="3"/>
      <c r="XL71" s="3"/>
      <c r="XM71" s="3"/>
      <c r="XN71" s="3"/>
      <c r="XO71" s="3"/>
      <c r="XP71" s="3"/>
      <c r="XQ71" s="3"/>
      <c r="XR71" s="3"/>
      <c r="XS71" s="3"/>
      <c r="XT71" s="3"/>
      <c r="XU71" s="3"/>
      <c r="XV71" s="3"/>
      <c r="XW71" s="3"/>
      <c r="XX71" s="3"/>
      <c r="XY71" s="3"/>
      <c r="XZ71" s="3"/>
      <c r="YA71" s="3"/>
      <c r="YB71" s="3"/>
      <c r="YC71" s="3"/>
      <c r="YD71" s="3"/>
      <c r="YE71" s="3"/>
      <c r="YF71" s="3"/>
      <c r="YG71" s="3"/>
      <c r="YH71" s="3"/>
      <c r="YI71" s="3"/>
      <c r="YJ71" s="3"/>
      <c r="YK71" s="3"/>
      <c r="YL71" s="3"/>
      <c r="YM71" s="3"/>
      <c r="YN71" s="3"/>
      <c r="YO71" s="3"/>
      <c r="YP71" s="3"/>
      <c r="YQ71" s="3"/>
      <c r="YR71" s="3"/>
      <c r="YS71" s="3"/>
      <c r="YT71" s="3"/>
      <c r="YU71" s="3"/>
      <c r="YV71" s="3"/>
      <c r="YW71" s="3"/>
      <c r="YX71" s="3"/>
      <c r="YY71" s="3"/>
      <c r="YZ71" s="3"/>
      <c r="ZA71" s="3"/>
      <c r="ZB71" s="3"/>
      <c r="ZC71" s="3"/>
      <c r="ZD71" s="3"/>
      <c r="ZE71" s="3"/>
      <c r="ZF71" s="3"/>
      <c r="ZG71" s="3"/>
      <c r="ZH71" s="3"/>
      <c r="ZI71" s="3"/>
      <c r="ZJ71" s="3"/>
      <c r="ZK71" s="3"/>
      <c r="ZL71" s="3"/>
      <c r="ZM71" s="3"/>
      <c r="ZN71" s="3"/>
      <c r="ZO71" s="3"/>
      <c r="ZP71" s="3"/>
      <c r="ZQ71" s="3"/>
      <c r="ZR71" s="3"/>
      <c r="ZS71" s="3"/>
      <c r="ZT71" s="3"/>
      <c r="ZU71" s="3"/>
      <c r="ZV71" s="3"/>
      <c r="ZW71" s="3"/>
      <c r="ZX71" s="3"/>
      <c r="ZY71" s="3"/>
      <c r="ZZ71" s="3"/>
    </row>
    <row r="72" spans="1:702" ht="36" customHeight="1">
      <c r="A72" s="200" t="s">
        <v>95</v>
      </c>
      <c r="B72" s="200" t="s">
        <v>180</v>
      </c>
      <c r="C72" s="200" t="s">
        <v>183</v>
      </c>
      <c r="D72" s="175" t="str">
        <f t="shared" si="3"/>
        <v/>
      </c>
      <c r="E72" s="201" t="str">
        <f t="array" ref="E72">IF(B72="","",IF(B72&lt;&gt;B71,SUMPRODUCT(($B$5:B72&lt;&gt;$B$4:B71)*($B$5:B72&lt;&gt;"")),""))</f>
        <v/>
      </c>
      <c r="F72" s="201" t="str">
        <f t="shared" si="4"/>
        <v/>
      </c>
      <c r="G72" s="201">
        <f t="shared" si="5"/>
        <v>3</v>
      </c>
      <c r="H72" s="175" t="str">
        <f t="shared" si="6"/>
        <v>Kudu参照用TB保存・技術メタデータ試験</v>
      </c>
      <c r="I72" s="200" t="s">
        <v>106</v>
      </c>
      <c r="J72" s="200" t="s">
        <v>167</v>
      </c>
      <c r="K72" s="200"/>
      <c r="L72" s="176" t="str">
        <f t="shared" si="7"/>
        <v>【Salesforceデータ連携（1販社先行検証）】12-3_単体試験_Kudu参照用TB保存・技術メタデータ試験</v>
      </c>
      <c r="M72" s="202">
        <v>46282</v>
      </c>
      <c r="N72" s="202">
        <v>46289</v>
      </c>
      <c r="O72" s="167" t="s">
        <v>98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WZ72" s="3"/>
      <c r="XA72" s="3"/>
      <c r="XB72" s="3"/>
      <c r="XC72" s="3"/>
      <c r="XD72" s="3"/>
      <c r="XE72" s="3"/>
      <c r="XF72" s="3"/>
      <c r="XG72" s="3"/>
      <c r="XH72" s="3"/>
      <c r="XI72" s="3"/>
      <c r="XJ72" s="3"/>
      <c r="XK72" s="3"/>
      <c r="XL72" s="3"/>
      <c r="XM72" s="3"/>
      <c r="XN72" s="3"/>
      <c r="XO72" s="3"/>
      <c r="XP72" s="3"/>
      <c r="XQ72" s="3"/>
      <c r="XR72" s="3"/>
      <c r="XS72" s="3"/>
      <c r="XT72" s="3"/>
      <c r="XU72" s="3"/>
      <c r="XV72" s="3"/>
      <c r="XW72" s="3"/>
      <c r="XX72" s="3"/>
      <c r="XY72" s="3"/>
      <c r="XZ72" s="3"/>
      <c r="YA72" s="3"/>
      <c r="YB72" s="3"/>
      <c r="YC72" s="3"/>
      <c r="YD72" s="3"/>
      <c r="YE72" s="3"/>
      <c r="YF72" s="3"/>
      <c r="YG72" s="3"/>
      <c r="YH72" s="3"/>
      <c r="YI72" s="3"/>
      <c r="YJ72" s="3"/>
      <c r="YK72" s="3"/>
      <c r="YL72" s="3"/>
      <c r="YM72" s="3"/>
      <c r="YN72" s="3"/>
      <c r="YO72" s="3"/>
      <c r="YP72" s="3"/>
      <c r="YQ72" s="3"/>
      <c r="YR72" s="3"/>
      <c r="YS72" s="3"/>
      <c r="YT72" s="3"/>
      <c r="YU72" s="3"/>
      <c r="YV72" s="3"/>
      <c r="YW72" s="3"/>
      <c r="YX72" s="3"/>
      <c r="YY72" s="3"/>
      <c r="YZ72" s="3"/>
      <c r="ZA72" s="3"/>
      <c r="ZB72" s="3"/>
      <c r="ZC72" s="3"/>
      <c r="ZD72" s="3"/>
      <c r="ZE72" s="3"/>
      <c r="ZF72" s="3"/>
      <c r="ZG72" s="3"/>
      <c r="ZH72" s="3"/>
      <c r="ZI72" s="3"/>
      <c r="ZJ72" s="3"/>
      <c r="ZK72" s="3"/>
      <c r="ZL72" s="3"/>
      <c r="ZM72" s="3"/>
      <c r="ZN72" s="3"/>
      <c r="ZO72" s="3"/>
      <c r="ZP72" s="3"/>
      <c r="ZQ72" s="3"/>
      <c r="ZR72" s="3"/>
      <c r="ZS72" s="3"/>
      <c r="ZT72" s="3"/>
      <c r="ZU72" s="3"/>
      <c r="ZV72" s="3"/>
      <c r="ZW72" s="3"/>
      <c r="ZX72" s="3"/>
      <c r="ZY72" s="3"/>
      <c r="ZZ72" s="3"/>
    </row>
    <row r="73" spans="1:702" ht="36" customHeight="1">
      <c r="A73" s="200" t="s">
        <v>95</v>
      </c>
      <c r="B73" s="200" t="s">
        <v>180</v>
      </c>
      <c r="C73" s="200" t="s">
        <v>184</v>
      </c>
      <c r="D73" s="175" t="str">
        <f t="shared" si="3"/>
        <v/>
      </c>
      <c r="E73" s="201" t="str">
        <f t="array" ref="E73">IF(B73="","",IF(B73&lt;&gt;B72,SUMPRODUCT(($B$5:B73&lt;&gt;$B$4:B72)*($B$5:B73&lt;&gt;"")),""))</f>
        <v/>
      </c>
      <c r="F73" s="201" t="str">
        <f t="shared" si="4"/>
        <v/>
      </c>
      <c r="G73" s="201">
        <f t="shared" si="5"/>
        <v>4</v>
      </c>
      <c r="H73" s="175" t="str">
        <f t="shared" si="6"/>
        <v>データ変換・NULL・重複・境界ケース試験</v>
      </c>
      <c r="I73" s="200" t="s">
        <v>106</v>
      </c>
      <c r="J73" s="200" t="s">
        <v>167</v>
      </c>
      <c r="K73" s="200"/>
      <c r="L73" s="176" t="str">
        <f t="shared" si="7"/>
        <v>【Salesforceデータ連携（1販社先行検証）】12-4_単体試験_データ変換・NULL・重複・境界ケース試験</v>
      </c>
      <c r="M73" s="202"/>
      <c r="N73" s="202"/>
      <c r="O73" s="167" t="s">
        <v>98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</row>
    <row r="74" spans="1:702" ht="36" customHeight="1">
      <c r="A74" s="200" t="s">
        <v>95</v>
      </c>
      <c r="B74" s="200" t="s">
        <v>180</v>
      </c>
      <c r="C74" s="200" t="s">
        <v>185</v>
      </c>
      <c r="D74" s="175" t="str">
        <f t="shared" si="3"/>
        <v/>
      </c>
      <c r="E74" s="201" t="str">
        <f t="array" ref="E74">IF(B74="","",IF(B74&lt;&gt;B73,SUMPRODUCT(($B$5:B74&lt;&gt;$B$4:B73)*($B$5:B74&lt;&gt;"")),""))</f>
        <v/>
      </c>
      <c r="F74" s="201" t="str">
        <f t="shared" si="4"/>
        <v/>
      </c>
      <c r="G74" s="201">
        <f t="shared" si="5"/>
        <v>5</v>
      </c>
      <c r="H74" s="175" t="str">
        <f t="shared" si="6"/>
        <v>データ件数・キー・主要項目確認</v>
      </c>
      <c r="I74" s="200" t="s">
        <v>106</v>
      </c>
      <c r="J74" s="200" t="s">
        <v>167</v>
      </c>
      <c r="K74" s="200"/>
      <c r="L74" s="176" t="str">
        <f t="shared" si="7"/>
        <v>【Salesforceデータ連携（1販社先行検証）】12-5_単体試験_データ件数・キー・主要項目確認</v>
      </c>
      <c r="M74" s="202">
        <v>46282</v>
      </c>
      <c r="N74" s="202">
        <v>46289</v>
      </c>
      <c r="O74" s="167" t="s">
        <v>98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  <c r="IY74" s="3"/>
      <c r="IZ74" s="3"/>
      <c r="JA74" s="3"/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3"/>
      <c r="JM74" s="3"/>
      <c r="JN74" s="3"/>
      <c r="JO74" s="3"/>
      <c r="JP74" s="3"/>
      <c r="JQ74" s="3"/>
      <c r="JR74" s="3"/>
      <c r="JS74" s="3"/>
      <c r="JT74" s="3"/>
      <c r="JU74" s="3"/>
      <c r="JV74" s="3"/>
      <c r="JW74" s="3"/>
      <c r="JX74" s="3"/>
      <c r="JY74" s="3"/>
      <c r="JZ74" s="3"/>
      <c r="KA74" s="3"/>
      <c r="KB74" s="3"/>
      <c r="KC74" s="3"/>
      <c r="KD74" s="3"/>
      <c r="KE74" s="3"/>
      <c r="KF74" s="3"/>
      <c r="KG74" s="3"/>
      <c r="KH74" s="3"/>
      <c r="KI74" s="3"/>
      <c r="KJ74" s="3"/>
      <c r="KK74" s="3"/>
      <c r="KL74" s="3"/>
      <c r="KM74" s="3"/>
      <c r="KN74" s="3"/>
      <c r="KO74" s="3"/>
      <c r="KP74" s="3"/>
      <c r="KQ74" s="3"/>
      <c r="KR74" s="3"/>
      <c r="KS74" s="3"/>
      <c r="KT74" s="3"/>
      <c r="KU74" s="3"/>
      <c r="KV74" s="3"/>
      <c r="KW74" s="3"/>
      <c r="KX74" s="3"/>
      <c r="KY74" s="3"/>
      <c r="KZ74" s="3"/>
      <c r="LA74" s="3"/>
      <c r="LB74" s="3"/>
      <c r="LC74" s="3"/>
      <c r="LD74" s="3"/>
      <c r="LE74" s="3"/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3"/>
      <c r="LQ74" s="3"/>
      <c r="LR74" s="3"/>
      <c r="LS74" s="3"/>
      <c r="LT74" s="3"/>
      <c r="LU74" s="3"/>
      <c r="LV74" s="3"/>
      <c r="LW74" s="3"/>
      <c r="LX74" s="3"/>
      <c r="LY74" s="3"/>
      <c r="LZ74" s="3"/>
      <c r="MA74" s="3"/>
      <c r="MB74" s="3"/>
      <c r="MC74" s="3"/>
      <c r="MD74" s="3"/>
      <c r="ME74" s="3"/>
      <c r="MF74" s="3"/>
      <c r="MG74" s="3"/>
      <c r="MH74" s="3"/>
      <c r="MI74" s="3"/>
      <c r="MJ74" s="3"/>
      <c r="MK74" s="3"/>
      <c r="ML74" s="3"/>
      <c r="MM74" s="3"/>
      <c r="MN74" s="3"/>
      <c r="MO74" s="3"/>
      <c r="MP74" s="3"/>
      <c r="MQ74" s="3"/>
      <c r="MR74" s="3"/>
      <c r="MS74" s="3"/>
      <c r="MT74" s="3"/>
      <c r="MU74" s="3"/>
      <c r="MV74" s="3"/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WZ74" s="3"/>
      <c r="XA74" s="3"/>
      <c r="XB74" s="3"/>
      <c r="XC74" s="3"/>
      <c r="XD74" s="3"/>
      <c r="XE74" s="3"/>
      <c r="XF74" s="3"/>
      <c r="XG74" s="3"/>
      <c r="XH74" s="3"/>
      <c r="XI74" s="3"/>
      <c r="XJ74" s="3"/>
      <c r="XK74" s="3"/>
      <c r="XL74" s="3"/>
      <c r="XM74" s="3"/>
      <c r="XN74" s="3"/>
      <c r="XO74" s="3"/>
      <c r="XP74" s="3"/>
      <c r="XQ74" s="3"/>
      <c r="XR74" s="3"/>
      <c r="XS74" s="3"/>
      <c r="XT74" s="3"/>
      <c r="XU74" s="3"/>
      <c r="XV74" s="3"/>
      <c r="XW74" s="3"/>
      <c r="XX74" s="3"/>
      <c r="XY74" s="3"/>
      <c r="XZ74" s="3"/>
      <c r="YA74" s="3"/>
      <c r="YB74" s="3"/>
      <c r="YC74" s="3"/>
      <c r="YD74" s="3"/>
      <c r="YE74" s="3"/>
      <c r="YF74" s="3"/>
      <c r="YG74" s="3"/>
      <c r="YH74" s="3"/>
      <c r="YI74" s="3"/>
      <c r="YJ74" s="3"/>
      <c r="YK74" s="3"/>
      <c r="YL74" s="3"/>
      <c r="YM74" s="3"/>
      <c r="YN74" s="3"/>
      <c r="YO74" s="3"/>
      <c r="YP74" s="3"/>
      <c r="YQ74" s="3"/>
      <c r="YR74" s="3"/>
      <c r="YS74" s="3"/>
      <c r="YT74" s="3"/>
      <c r="YU74" s="3"/>
      <c r="YV74" s="3"/>
      <c r="YW74" s="3"/>
      <c r="YX74" s="3"/>
      <c r="YY74" s="3"/>
      <c r="YZ74" s="3"/>
      <c r="ZA74" s="3"/>
      <c r="ZB74" s="3"/>
      <c r="ZC74" s="3"/>
      <c r="ZD74" s="3"/>
      <c r="ZE74" s="3"/>
      <c r="ZF74" s="3"/>
      <c r="ZG74" s="3"/>
      <c r="ZH74" s="3"/>
      <c r="ZI74" s="3"/>
      <c r="ZJ74" s="3"/>
      <c r="ZK74" s="3"/>
      <c r="ZL74" s="3"/>
      <c r="ZM74" s="3"/>
      <c r="ZN74" s="3"/>
      <c r="ZO74" s="3"/>
      <c r="ZP74" s="3"/>
      <c r="ZQ74" s="3"/>
      <c r="ZR74" s="3"/>
      <c r="ZS74" s="3"/>
      <c r="ZT74" s="3"/>
      <c r="ZU74" s="3"/>
      <c r="ZV74" s="3"/>
      <c r="ZW74" s="3"/>
      <c r="ZX74" s="3"/>
      <c r="ZY74" s="3"/>
      <c r="ZZ74" s="3"/>
    </row>
    <row r="75" spans="1:702" ht="36" customHeight="1">
      <c r="A75" s="200" t="s">
        <v>95</v>
      </c>
      <c r="B75" s="200" t="s">
        <v>180</v>
      </c>
      <c r="C75" s="200" t="s">
        <v>186</v>
      </c>
      <c r="D75" s="175" t="str">
        <f t="shared" si="3"/>
        <v/>
      </c>
      <c r="E75" s="201" t="str">
        <f t="array" ref="E75">IF(B75="","",IF(B75&lt;&gt;B74,SUMPRODUCT(($B$5:B75&lt;&gt;$B$4:B74)*($B$5:B75&lt;&gt;"")),""))</f>
        <v/>
      </c>
      <c r="F75" s="201" t="str">
        <f t="shared" si="4"/>
        <v/>
      </c>
      <c r="G75" s="201">
        <f t="shared" si="5"/>
        <v>6</v>
      </c>
      <c r="H75" s="175" t="str">
        <f t="shared" si="6"/>
        <v>単体試験結果・Evidence・報告書の整理</v>
      </c>
      <c r="I75" s="200" t="s">
        <v>106</v>
      </c>
      <c r="J75" s="200" t="s">
        <v>167</v>
      </c>
      <c r="K75" s="200"/>
      <c r="L75" s="176" t="str">
        <f t="shared" si="7"/>
        <v>【Salesforceデータ連携（1販社先行検証）】12-6_単体試験_単体試験結果・Evidence・報告書の整理</v>
      </c>
      <c r="M75" s="202"/>
      <c r="N75" s="202"/>
      <c r="O75" s="167" t="s">
        <v>98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</row>
    <row r="76" spans="1:702" ht="39.75" customHeight="1">
      <c r="A76" s="197" t="s">
        <v>95</v>
      </c>
      <c r="B76" s="197" t="s">
        <v>187</v>
      </c>
      <c r="C76" s="197" t="s">
        <v>188</v>
      </c>
      <c r="D76" s="197" t="str">
        <f t="shared" si="3"/>
        <v/>
      </c>
      <c r="E76" s="198">
        <f t="array" ref="E76">IF(B76="","",IF(B76&lt;&gt;B75,SUMPRODUCT(($B$5:B76&lt;&gt;$B$4:B75)*($B$5:B76&lt;&gt;"")),""))</f>
        <v>13</v>
      </c>
      <c r="F76" s="198" t="str">
        <f t="shared" si="4"/>
        <v>結合・E2E試験</v>
      </c>
      <c r="G76" s="198">
        <f t="shared" si="5"/>
        <v>1</v>
      </c>
      <c r="H76" s="164" t="str">
        <f t="shared" si="6"/>
        <v>1販社先行検証のE2E試験シナリオ・期待値作成</v>
      </c>
      <c r="I76" s="197" t="s">
        <v>106</v>
      </c>
      <c r="J76" s="197" t="s">
        <v>167</v>
      </c>
      <c r="K76" s="197"/>
      <c r="L76" s="165" t="str">
        <f t="shared" si="7"/>
        <v>【Salesforceデータ連携（1販社先行検証）】13-1_結合・E2E試験_1販社先行検証のE2E試験シナリオ・期待値作成</v>
      </c>
      <c r="M76" s="199">
        <v>46289</v>
      </c>
      <c r="N76" s="199">
        <v>46290</v>
      </c>
      <c r="O76" s="167" t="s">
        <v>98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</row>
    <row r="77" spans="1:702" ht="36" customHeight="1">
      <c r="A77" s="200" t="s">
        <v>95</v>
      </c>
      <c r="B77" s="200" t="s">
        <v>187</v>
      </c>
      <c r="C77" s="200" t="s">
        <v>189</v>
      </c>
      <c r="D77" s="175" t="str">
        <f t="shared" si="3"/>
        <v/>
      </c>
      <c r="E77" s="201" t="str">
        <f t="array" ref="E77">IF(B77="","",IF(B77&lt;&gt;B76,SUMPRODUCT(($B$5:B77&lt;&gt;$B$4:B76)*($B$5:B77&lt;&gt;"")),""))</f>
        <v/>
      </c>
      <c r="F77" s="201" t="str">
        <f t="shared" si="4"/>
        <v/>
      </c>
      <c r="G77" s="201">
        <f t="shared" si="5"/>
        <v>2</v>
      </c>
      <c r="H77" s="175" t="str">
        <f t="shared" si="6"/>
        <v>Salesforce元データ・Kudu参照用TBの件数値突合</v>
      </c>
      <c r="I77" s="200" t="s">
        <v>106</v>
      </c>
      <c r="J77" s="200" t="s">
        <v>167</v>
      </c>
      <c r="K77" s="200"/>
      <c r="L77" s="176" t="str">
        <f t="shared" si="7"/>
        <v>【Salesforceデータ連携（1販社先行検証）】13-2_結合・E2E試験_Salesforce元データ・Kudu参照用TBの件数値突合</v>
      </c>
      <c r="M77" s="202">
        <v>46293</v>
      </c>
      <c r="N77" s="202">
        <v>46297</v>
      </c>
      <c r="O77" s="167" t="s">
        <v>98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WZ77" s="3"/>
      <c r="XA77" s="3"/>
      <c r="XB77" s="3"/>
      <c r="XC77" s="3"/>
      <c r="XD77" s="3"/>
      <c r="XE77" s="3"/>
      <c r="XF77" s="3"/>
      <c r="XG77" s="3"/>
      <c r="XH77" s="3"/>
      <c r="XI77" s="3"/>
      <c r="XJ77" s="3"/>
      <c r="XK77" s="3"/>
      <c r="XL77" s="3"/>
      <c r="XM77" s="3"/>
      <c r="XN77" s="3"/>
      <c r="XO77" s="3"/>
      <c r="XP77" s="3"/>
      <c r="XQ77" s="3"/>
      <c r="XR77" s="3"/>
      <c r="XS77" s="3"/>
      <c r="XT77" s="3"/>
      <c r="XU77" s="3"/>
      <c r="XV77" s="3"/>
      <c r="XW77" s="3"/>
      <c r="XX77" s="3"/>
      <c r="XY77" s="3"/>
      <c r="XZ77" s="3"/>
      <c r="YA77" s="3"/>
      <c r="YB77" s="3"/>
      <c r="YC77" s="3"/>
      <c r="YD77" s="3"/>
      <c r="YE77" s="3"/>
      <c r="YF77" s="3"/>
      <c r="YG77" s="3"/>
      <c r="YH77" s="3"/>
      <c r="YI77" s="3"/>
      <c r="YJ77" s="3"/>
      <c r="YK77" s="3"/>
      <c r="YL77" s="3"/>
      <c r="YM77" s="3"/>
      <c r="YN77" s="3"/>
      <c r="YO77" s="3"/>
      <c r="YP77" s="3"/>
      <c r="YQ77" s="3"/>
      <c r="YR77" s="3"/>
      <c r="YS77" s="3"/>
      <c r="YT77" s="3"/>
      <c r="YU77" s="3"/>
      <c r="YV77" s="3"/>
      <c r="YW77" s="3"/>
      <c r="YX77" s="3"/>
      <c r="YY77" s="3"/>
      <c r="YZ77" s="3"/>
      <c r="ZA77" s="3"/>
      <c r="ZB77" s="3"/>
      <c r="ZC77" s="3"/>
      <c r="ZD77" s="3"/>
      <c r="ZE77" s="3"/>
      <c r="ZF77" s="3"/>
      <c r="ZG77" s="3"/>
      <c r="ZH77" s="3"/>
      <c r="ZI77" s="3"/>
      <c r="ZJ77" s="3"/>
      <c r="ZK77" s="3"/>
      <c r="ZL77" s="3"/>
      <c r="ZM77" s="3"/>
      <c r="ZN77" s="3"/>
      <c r="ZO77" s="3"/>
      <c r="ZP77" s="3"/>
      <c r="ZQ77" s="3"/>
      <c r="ZR77" s="3"/>
      <c r="ZS77" s="3"/>
      <c r="ZT77" s="3"/>
      <c r="ZU77" s="3"/>
      <c r="ZV77" s="3"/>
      <c r="ZW77" s="3"/>
      <c r="ZX77" s="3"/>
      <c r="ZY77" s="3"/>
      <c r="ZZ77" s="3"/>
    </row>
    <row r="78" spans="1:702" ht="36" customHeight="1">
      <c r="A78" s="200" t="s">
        <v>95</v>
      </c>
      <c r="B78" s="200" t="s">
        <v>187</v>
      </c>
      <c r="C78" s="200" t="s">
        <v>190</v>
      </c>
      <c r="D78" s="175" t="str">
        <f t="shared" si="3"/>
        <v/>
      </c>
      <c r="E78" s="201" t="str">
        <f t="array" ref="E78">IF(B78="","",IF(B78&lt;&gt;B77,SUMPRODUCT(($B$5:B78&lt;&gt;$B$4:B77)*($B$5:B78&lt;&gt;"")),""))</f>
        <v/>
      </c>
      <c r="F78" s="201" t="str">
        <f t="shared" si="4"/>
        <v/>
      </c>
      <c r="G78" s="201">
        <f t="shared" si="5"/>
        <v>3</v>
      </c>
      <c r="H78" s="175" t="str">
        <f t="shared" si="6"/>
        <v>処理間のデータ追跡確認</v>
      </c>
      <c r="I78" s="200" t="s">
        <v>106</v>
      </c>
      <c r="J78" s="200" t="s">
        <v>167</v>
      </c>
      <c r="K78" s="200"/>
      <c r="L78" s="176" t="str">
        <f t="shared" si="7"/>
        <v>【Salesforceデータ連携（1販社先行検証）】13-3_結合・E2E試験_処理間のデータ追跡確認</v>
      </c>
      <c r="M78" s="202">
        <v>46293</v>
      </c>
      <c r="N78" s="202">
        <v>46297</v>
      </c>
      <c r="O78" s="167" t="s">
        <v>98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</row>
    <row r="79" spans="1:702" ht="36" customHeight="1">
      <c r="A79" s="200" t="s">
        <v>95</v>
      </c>
      <c r="B79" s="200" t="s">
        <v>187</v>
      </c>
      <c r="C79" s="200" t="s">
        <v>191</v>
      </c>
      <c r="D79" s="175" t="str">
        <f t="shared" si="3"/>
        <v/>
      </c>
      <c r="E79" s="201" t="str">
        <f t="array" ref="E79">IF(B79="","",IF(B79&lt;&gt;B78,SUMPRODUCT(($B$5:B79&lt;&gt;$B$4:B78)*($B$5:B79&lt;&gt;"")),""))</f>
        <v/>
      </c>
      <c r="F79" s="201" t="str">
        <f t="shared" si="4"/>
        <v/>
      </c>
      <c r="G79" s="201">
        <f t="shared" si="5"/>
        <v>4</v>
      </c>
      <c r="H79" s="175" t="str">
        <f t="shared" si="6"/>
        <v>障害・再実行・正常復旧シナリオ試験</v>
      </c>
      <c r="I79" s="200" t="s">
        <v>106</v>
      </c>
      <c r="J79" s="200" t="s">
        <v>167</v>
      </c>
      <c r="K79" s="200"/>
      <c r="L79" s="176" t="str">
        <f t="shared" si="7"/>
        <v>【Salesforceデータ連携（1販社先行検証）】13-4_結合・E2E試験_障害・再実行・正常復旧シナリオ試験</v>
      </c>
      <c r="M79" s="202">
        <v>46293</v>
      </c>
      <c r="N79" s="202">
        <v>46297</v>
      </c>
      <c r="O79" s="167" t="s">
        <v>98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</row>
    <row r="80" spans="1:702" ht="36" customHeight="1">
      <c r="A80" s="200" t="s">
        <v>95</v>
      </c>
      <c r="B80" s="200" t="s">
        <v>187</v>
      </c>
      <c r="C80" s="200" t="s">
        <v>192</v>
      </c>
      <c r="D80" s="175" t="str">
        <f t="shared" si="3"/>
        <v/>
      </c>
      <c r="E80" s="201" t="str">
        <f t="array" ref="E80">IF(B80="","",IF(B80&lt;&gt;B79,SUMPRODUCT(($B$5:B80&lt;&gt;$B$4:B79)*($B$5:B80&lt;&gt;"")),""))</f>
        <v/>
      </c>
      <c r="F80" s="201" t="str">
        <f t="shared" si="4"/>
        <v/>
      </c>
      <c r="G80" s="201">
        <f t="shared" si="5"/>
        <v>5</v>
      </c>
      <c r="H80" s="175" t="str">
        <f t="shared" si="6"/>
        <v>E2E処理時間の確認</v>
      </c>
      <c r="I80" s="200" t="s">
        <v>106</v>
      </c>
      <c r="J80" s="200" t="s">
        <v>167</v>
      </c>
      <c r="K80" s="200"/>
      <c r="L80" s="176" t="str">
        <f t="shared" si="7"/>
        <v>【Salesforceデータ連携（1販社先行検証）】13-5_結合・E2E試験_E2E処理時間の確認</v>
      </c>
      <c r="M80" s="202"/>
      <c r="N80" s="202"/>
      <c r="O80" s="167" t="s">
        <v>98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</row>
    <row r="81" spans="1:702" ht="36" customHeight="1">
      <c r="A81" s="200" t="s">
        <v>95</v>
      </c>
      <c r="B81" s="200" t="s">
        <v>187</v>
      </c>
      <c r="C81" s="200" t="s">
        <v>193</v>
      </c>
      <c r="D81" s="175" t="str">
        <f t="shared" si="3"/>
        <v/>
      </c>
      <c r="E81" s="201" t="str">
        <f t="array" ref="E81">IF(B81="","",IF(B81&lt;&gt;B80,SUMPRODUCT(($B$5:B81&lt;&gt;$B$4:B80)*($B$5:B81&lt;&gt;"")),""))</f>
        <v/>
      </c>
      <c r="F81" s="201" t="str">
        <f t="shared" si="4"/>
        <v/>
      </c>
      <c r="G81" s="201">
        <f t="shared" si="5"/>
        <v>6</v>
      </c>
      <c r="H81" s="175" t="str">
        <f t="shared" si="6"/>
        <v>結合試験結果・Evidence・報告書の整理</v>
      </c>
      <c r="I81" s="200" t="s">
        <v>106</v>
      </c>
      <c r="J81" s="200" t="s">
        <v>167</v>
      </c>
      <c r="K81" s="200"/>
      <c r="L81" s="176" t="str">
        <f t="shared" si="7"/>
        <v>【Salesforceデータ連携（1販社先行検証）】13-6_結合・E2E試験_結合試験結果・Evidence・報告書の整理</v>
      </c>
      <c r="M81" s="202"/>
      <c r="N81" s="202"/>
      <c r="O81" s="167" t="s">
        <v>98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</row>
    <row r="82" spans="1:702" ht="39.75" customHeight="1">
      <c r="A82" s="197" t="s">
        <v>95</v>
      </c>
      <c r="B82" s="197" t="s">
        <v>194</v>
      </c>
      <c r="C82" s="197" t="s">
        <v>195</v>
      </c>
      <c r="D82" s="197" t="str">
        <f t="shared" si="3"/>
        <v/>
      </c>
      <c r="E82" s="198">
        <f t="array" ref="E82">IF(B82="","",IF(B82&lt;&gt;B81,SUMPRODUCT(($B$5:B82&lt;&gt;$B$4:B81)*($B$5:B82&lt;&gt;"")),""))</f>
        <v>14</v>
      </c>
      <c r="F82" s="198" t="str">
        <f t="shared" si="4"/>
        <v>セキュリティ・ネットワーク試験</v>
      </c>
      <c r="G82" s="198">
        <f t="shared" si="5"/>
        <v>1</v>
      </c>
      <c r="H82" s="164" t="str">
        <f t="shared" si="6"/>
        <v>Salesforce接続権限の確認</v>
      </c>
      <c r="I82" s="197"/>
      <c r="J82" s="197" t="s">
        <v>196</v>
      </c>
      <c r="K82" s="197"/>
      <c r="L82" s="165" t="str">
        <f t="shared" si="7"/>
        <v>【Salesforceデータ連携（1販社先行検証）】14-1_セキュリティ・ネットワーク試験_Salesforce接続権限の確認</v>
      </c>
      <c r="M82" s="199">
        <v>46279</v>
      </c>
      <c r="N82" s="199">
        <v>46289</v>
      </c>
      <c r="O82" s="167" t="s">
        <v>98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</row>
    <row r="83" spans="1:702" ht="36" customHeight="1">
      <c r="A83" s="200" t="s">
        <v>95</v>
      </c>
      <c r="B83" s="200" t="s">
        <v>194</v>
      </c>
      <c r="C83" s="200" t="s">
        <v>197</v>
      </c>
      <c r="D83" s="175" t="str">
        <f t="shared" si="3"/>
        <v/>
      </c>
      <c r="E83" s="201" t="str">
        <f t="array" ref="E83">IF(B83="","",IF(B83&lt;&gt;B82,SUMPRODUCT(($B$5:B83&lt;&gt;$B$4:B82)*($B$5:B83&lt;&gt;"")),""))</f>
        <v/>
      </c>
      <c r="F83" s="201" t="str">
        <f t="shared" si="4"/>
        <v/>
      </c>
      <c r="G83" s="201">
        <f t="shared" si="5"/>
        <v>2</v>
      </c>
      <c r="H83" s="175" t="str">
        <f t="shared" si="6"/>
        <v>NiFi・Kudu参照用TBアクセス権限の確認</v>
      </c>
      <c r="I83" s="200"/>
      <c r="J83" s="200" t="s">
        <v>196</v>
      </c>
      <c r="K83" s="200"/>
      <c r="L83" s="176" t="str">
        <f t="shared" si="7"/>
        <v>【Salesforceデータ連携（1販社先行検証）】14-2_セキュリティ・ネットワーク試験_NiFi・Kudu参照用TBアクセス権限の確認</v>
      </c>
      <c r="M83" s="202">
        <v>46279</v>
      </c>
      <c r="N83" s="202">
        <v>46289</v>
      </c>
      <c r="O83" s="167" t="s">
        <v>98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WZ83" s="3"/>
      <c r="XA83" s="3"/>
      <c r="XB83" s="3"/>
      <c r="XC83" s="3"/>
      <c r="XD83" s="3"/>
      <c r="XE83" s="3"/>
      <c r="XF83" s="3"/>
      <c r="XG83" s="3"/>
      <c r="XH83" s="3"/>
      <c r="XI83" s="3"/>
      <c r="XJ83" s="3"/>
      <c r="XK83" s="3"/>
      <c r="XL83" s="3"/>
      <c r="XM83" s="3"/>
      <c r="XN83" s="3"/>
      <c r="XO83" s="3"/>
      <c r="XP83" s="3"/>
      <c r="XQ83" s="3"/>
      <c r="XR83" s="3"/>
      <c r="XS83" s="3"/>
      <c r="XT83" s="3"/>
      <c r="XU83" s="3"/>
      <c r="XV83" s="3"/>
      <c r="XW83" s="3"/>
      <c r="XX83" s="3"/>
      <c r="XY83" s="3"/>
      <c r="XZ83" s="3"/>
      <c r="YA83" s="3"/>
      <c r="YB83" s="3"/>
      <c r="YC83" s="3"/>
      <c r="YD83" s="3"/>
      <c r="YE83" s="3"/>
      <c r="YF83" s="3"/>
      <c r="YG83" s="3"/>
      <c r="YH83" s="3"/>
      <c r="YI83" s="3"/>
      <c r="YJ83" s="3"/>
      <c r="YK83" s="3"/>
      <c r="YL83" s="3"/>
      <c r="YM83" s="3"/>
      <c r="YN83" s="3"/>
      <c r="YO83" s="3"/>
      <c r="YP83" s="3"/>
      <c r="YQ83" s="3"/>
      <c r="YR83" s="3"/>
      <c r="YS83" s="3"/>
      <c r="YT83" s="3"/>
      <c r="YU83" s="3"/>
      <c r="YV83" s="3"/>
      <c r="YW83" s="3"/>
      <c r="YX83" s="3"/>
      <c r="YY83" s="3"/>
      <c r="YZ83" s="3"/>
      <c r="ZA83" s="3"/>
      <c r="ZB83" s="3"/>
      <c r="ZC83" s="3"/>
      <c r="ZD83" s="3"/>
      <c r="ZE83" s="3"/>
      <c r="ZF83" s="3"/>
      <c r="ZG83" s="3"/>
      <c r="ZH83" s="3"/>
      <c r="ZI83" s="3"/>
      <c r="ZJ83" s="3"/>
      <c r="ZK83" s="3"/>
      <c r="ZL83" s="3"/>
      <c r="ZM83" s="3"/>
      <c r="ZN83" s="3"/>
      <c r="ZO83" s="3"/>
      <c r="ZP83" s="3"/>
      <c r="ZQ83" s="3"/>
      <c r="ZR83" s="3"/>
      <c r="ZS83" s="3"/>
      <c r="ZT83" s="3"/>
      <c r="ZU83" s="3"/>
      <c r="ZV83" s="3"/>
      <c r="ZW83" s="3"/>
      <c r="ZX83" s="3"/>
      <c r="ZY83" s="3"/>
      <c r="ZZ83" s="3"/>
    </row>
    <row r="84" spans="1:702" ht="36" customHeight="1">
      <c r="A84" s="200" t="s">
        <v>95</v>
      </c>
      <c r="B84" s="200" t="s">
        <v>194</v>
      </c>
      <c r="C84" s="200" t="s">
        <v>198</v>
      </c>
      <c r="D84" s="175" t="str">
        <f t="shared" si="3"/>
        <v/>
      </c>
      <c r="E84" s="201" t="str">
        <f t="array" ref="E84">IF(B84="","",IF(B84&lt;&gt;B83,SUMPRODUCT(($B$5:B84&lt;&gt;$B$4:B83)*($B$5:B84&lt;&gt;"")),""))</f>
        <v/>
      </c>
      <c r="F84" s="201" t="str">
        <f t="shared" si="4"/>
        <v/>
      </c>
      <c r="G84" s="201">
        <f t="shared" si="5"/>
        <v>3</v>
      </c>
      <c r="H84" s="175" t="str">
        <f t="shared" si="6"/>
        <v>Credential・Secret管理状態の確認</v>
      </c>
      <c r="I84" s="200"/>
      <c r="J84" s="200" t="s">
        <v>196</v>
      </c>
      <c r="K84" s="200"/>
      <c r="L84" s="176" t="str">
        <f t="shared" si="7"/>
        <v>【Salesforceデータ連携（1販社先行検証）】14-3_セキュリティ・ネットワーク試験_Credential・Secret管理状態の確認</v>
      </c>
      <c r="M84" s="202">
        <v>46279</v>
      </c>
      <c r="N84" s="202">
        <v>46289</v>
      </c>
      <c r="O84" s="167" t="s">
        <v>98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</row>
    <row r="85" spans="1:702" ht="36" customHeight="1">
      <c r="A85" s="200" t="s">
        <v>95</v>
      </c>
      <c r="B85" s="200" t="s">
        <v>194</v>
      </c>
      <c r="C85" s="200" t="s">
        <v>199</v>
      </c>
      <c r="D85" s="175" t="str">
        <f t="shared" si="3"/>
        <v/>
      </c>
      <c r="E85" s="201" t="str">
        <f t="array" ref="E85">IF(B85="","",IF(B85&lt;&gt;B84,SUMPRODUCT(($B$5:B85&lt;&gt;$B$4:B84)*($B$5:B85&lt;&gt;"")),""))</f>
        <v/>
      </c>
      <c r="F85" s="201" t="str">
        <f t="shared" si="4"/>
        <v/>
      </c>
      <c r="G85" s="201">
        <f t="shared" si="5"/>
        <v>4</v>
      </c>
      <c r="H85" s="175" t="str">
        <f t="shared" si="6"/>
        <v>システム間疎通確認</v>
      </c>
      <c r="I85" s="200" t="s">
        <v>145</v>
      </c>
      <c r="J85" s="200" t="s">
        <v>196</v>
      </c>
      <c r="K85" s="200"/>
      <c r="L85" s="176" t="str">
        <f t="shared" si="7"/>
        <v>【Salesforceデータ連携（1販社先行検証）】14-4_セキュリティ・ネットワーク試験_システム間疎通確認</v>
      </c>
      <c r="M85" s="202">
        <v>46279</v>
      </c>
      <c r="N85" s="202">
        <v>46289</v>
      </c>
      <c r="O85" s="167" t="s">
        <v>98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WZ85" s="3"/>
      <c r="XA85" s="3"/>
      <c r="XB85" s="3"/>
      <c r="XC85" s="3"/>
      <c r="XD85" s="3"/>
      <c r="XE85" s="3"/>
      <c r="XF85" s="3"/>
      <c r="XG85" s="3"/>
      <c r="XH85" s="3"/>
      <c r="XI85" s="3"/>
      <c r="XJ85" s="3"/>
      <c r="XK85" s="3"/>
      <c r="XL85" s="3"/>
      <c r="XM85" s="3"/>
      <c r="XN85" s="3"/>
      <c r="XO85" s="3"/>
      <c r="XP85" s="3"/>
      <c r="XQ85" s="3"/>
      <c r="XR85" s="3"/>
      <c r="XS85" s="3"/>
      <c r="XT85" s="3"/>
      <c r="XU85" s="3"/>
      <c r="XV85" s="3"/>
      <c r="XW85" s="3"/>
      <c r="XX85" s="3"/>
      <c r="XY85" s="3"/>
      <c r="XZ85" s="3"/>
      <c r="YA85" s="3"/>
      <c r="YB85" s="3"/>
      <c r="YC85" s="3"/>
      <c r="YD85" s="3"/>
      <c r="YE85" s="3"/>
      <c r="YF85" s="3"/>
      <c r="YG85" s="3"/>
      <c r="YH85" s="3"/>
      <c r="YI85" s="3"/>
      <c r="YJ85" s="3"/>
      <c r="YK85" s="3"/>
      <c r="YL85" s="3"/>
      <c r="YM85" s="3"/>
      <c r="YN85" s="3"/>
      <c r="YO85" s="3"/>
      <c r="YP85" s="3"/>
      <c r="YQ85" s="3"/>
      <c r="YR85" s="3"/>
      <c r="YS85" s="3"/>
      <c r="YT85" s="3"/>
      <c r="YU85" s="3"/>
      <c r="YV85" s="3"/>
      <c r="YW85" s="3"/>
      <c r="YX85" s="3"/>
      <c r="YY85" s="3"/>
      <c r="YZ85" s="3"/>
      <c r="ZA85" s="3"/>
      <c r="ZB85" s="3"/>
      <c r="ZC85" s="3"/>
      <c r="ZD85" s="3"/>
      <c r="ZE85" s="3"/>
      <c r="ZF85" s="3"/>
      <c r="ZG85" s="3"/>
      <c r="ZH85" s="3"/>
      <c r="ZI85" s="3"/>
      <c r="ZJ85" s="3"/>
      <c r="ZK85" s="3"/>
      <c r="ZL85" s="3"/>
      <c r="ZM85" s="3"/>
      <c r="ZN85" s="3"/>
      <c r="ZO85" s="3"/>
      <c r="ZP85" s="3"/>
      <c r="ZQ85" s="3"/>
      <c r="ZR85" s="3"/>
      <c r="ZS85" s="3"/>
      <c r="ZT85" s="3"/>
      <c r="ZU85" s="3"/>
      <c r="ZV85" s="3"/>
      <c r="ZW85" s="3"/>
      <c r="ZX85" s="3"/>
      <c r="ZY85" s="3"/>
      <c r="ZZ85" s="3"/>
    </row>
    <row r="86" spans="1:702" ht="36" customHeight="1">
      <c r="A86" s="200" t="s">
        <v>95</v>
      </c>
      <c r="B86" s="200" t="s">
        <v>194</v>
      </c>
      <c r="C86" s="200" t="s">
        <v>200</v>
      </c>
      <c r="D86" s="175" t="str">
        <f t="shared" si="3"/>
        <v/>
      </c>
      <c r="E86" s="201" t="str">
        <f t="array" ref="E86">IF(B86="","",IF(B86&lt;&gt;B85,SUMPRODUCT(($B$5:B86&lt;&gt;$B$4:B85)*($B$5:B86&lt;&gt;"")),""))</f>
        <v/>
      </c>
      <c r="F86" s="201" t="str">
        <f t="shared" si="4"/>
        <v/>
      </c>
      <c r="G86" s="201">
        <f t="shared" si="5"/>
        <v>5</v>
      </c>
      <c r="H86" s="175" t="str">
        <f t="shared" si="6"/>
        <v>不要権限・不要通信経路の確認</v>
      </c>
      <c r="I86" s="200" t="s">
        <v>145</v>
      </c>
      <c r="J86" s="200" t="s">
        <v>196</v>
      </c>
      <c r="K86" s="200"/>
      <c r="L86" s="176" t="str">
        <f t="shared" si="7"/>
        <v>【Salesforceデータ連携（1販社先行検証）】14-5_セキュリティ・ネットワーク試験_不要権限・不要通信経路の確認</v>
      </c>
      <c r="M86" s="202">
        <v>46279</v>
      </c>
      <c r="N86" s="202">
        <v>46289</v>
      </c>
      <c r="O86" s="167" t="s">
        <v>98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  <c r="TF86" s="3"/>
      <c r="TG86" s="3"/>
      <c r="TH86" s="3"/>
      <c r="TI86" s="3"/>
      <c r="TJ86" s="3"/>
      <c r="TK86" s="3"/>
      <c r="TL86" s="3"/>
      <c r="TM86" s="3"/>
      <c r="TN86" s="3"/>
      <c r="TO86" s="3"/>
      <c r="TP86" s="3"/>
      <c r="TQ86" s="3"/>
      <c r="TR86" s="3"/>
      <c r="TS86" s="3"/>
      <c r="TT86" s="3"/>
      <c r="TU86" s="3"/>
      <c r="TV86" s="3"/>
      <c r="TW86" s="3"/>
      <c r="TX86" s="3"/>
      <c r="TY86" s="3"/>
      <c r="TZ86" s="3"/>
      <c r="UA86" s="3"/>
      <c r="UB86" s="3"/>
      <c r="UC86" s="3"/>
      <c r="UD86" s="3"/>
      <c r="UE86" s="3"/>
      <c r="UF86" s="3"/>
      <c r="UG86" s="3"/>
      <c r="UH86" s="3"/>
      <c r="UI86" s="3"/>
      <c r="UJ86" s="3"/>
      <c r="UK86" s="3"/>
      <c r="UL86" s="3"/>
      <c r="UM86" s="3"/>
      <c r="UN86" s="3"/>
      <c r="UO86" s="3"/>
      <c r="UP86" s="3"/>
      <c r="UQ86" s="3"/>
      <c r="UR86" s="3"/>
      <c r="US86" s="3"/>
      <c r="UT86" s="3"/>
      <c r="UU86" s="3"/>
      <c r="UV86" s="3"/>
      <c r="UW86" s="3"/>
      <c r="UX86" s="3"/>
      <c r="UY86" s="3"/>
      <c r="UZ86" s="3"/>
      <c r="VA86" s="3"/>
      <c r="VB86" s="3"/>
      <c r="VC86" s="3"/>
      <c r="VD86" s="3"/>
      <c r="VE86" s="3"/>
      <c r="VF86" s="3"/>
      <c r="VG86" s="3"/>
      <c r="VH86" s="3"/>
      <c r="VI86" s="3"/>
      <c r="VJ86" s="3"/>
      <c r="VK86" s="3"/>
      <c r="VL86" s="3"/>
      <c r="VM86" s="3"/>
      <c r="VN86" s="3"/>
      <c r="VO86" s="3"/>
      <c r="VP86" s="3"/>
      <c r="VQ86" s="3"/>
      <c r="VR86" s="3"/>
      <c r="VS86" s="3"/>
      <c r="VT86" s="3"/>
      <c r="VU86" s="3"/>
      <c r="VV86" s="3"/>
      <c r="VW86" s="3"/>
      <c r="VX86" s="3"/>
      <c r="VY86" s="3"/>
      <c r="VZ86" s="3"/>
      <c r="WA86" s="3"/>
      <c r="WB86" s="3"/>
      <c r="WC86" s="3"/>
      <c r="WD86" s="3"/>
      <c r="WE86" s="3"/>
      <c r="WF86" s="3"/>
      <c r="WG86" s="3"/>
      <c r="WH86" s="3"/>
      <c r="WI86" s="3"/>
      <c r="WJ86" s="3"/>
      <c r="WK86" s="3"/>
      <c r="WL86" s="3"/>
      <c r="WM86" s="3"/>
      <c r="WN86" s="3"/>
      <c r="WO86" s="3"/>
      <c r="WP86" s="3"/>
      <c r="WQ86" s="3"/>
      <c r="WR86" s="3"/>
      <c r="WS86" s="3"/>
      <c r="WT86" s="3"/>
      <c r="WU86" s="3"/>
      <c r="WV86" s="3"/>
      <c r="WW86" s="3"/>
      <c r="WX86" s="3"/>
      <c r="WY86" s="3"/>
      <c r="WZ86" s="3"/>
      <c r="XA86" s="3"/>
      <c r="XB86" s="3"/>
      <c r="XC86" s="3"/>
      <c r="XD86" s="3"/>
      <c r="XE86" s="3"/>
      <c r="XF86" s="3"/>
      <c r="XG86" s="3"/>
      <c r="XH86" s="3"/>
      <c r="XI86" s="3"/>
      <c r="XJ86" s="3"/>
      <c r="XK86" s="3"/>
      <c r="XL86" s="3"/>
      <c r="XM86" s="3"/>
      <c r="XN86" s="3"/>
      <c r="XO86" s="3"/>
      <c r="XP86" s="3"/>
      <c r="XQ86" s="3"/>
      <c r="XR86" s="3"/>
      <c r="XS86" s="3"/>
      <c r="XT86" s="3"/>
      <c r="XU86" s="3"/>
      <c r="XV86" s="3"/>
      <c r="XW86" s="3"/>
      <c r="XX86" s="3"/>
      <c r="XY86" s="3"/>
      <c r="XZ86" s="3"/>
      <c r="YA86" s="3"/>
      <c r="YB86" s="3"/>
      <c r="YC86" s="3"/>
      <c r="YD86" s="3"/>
      <c r="YE86" s="3"/>
      <c r="YF86" s="3"/>
      <c r="YG86" s="3"/>
      <c r="YH86" s="3"/>
      <c r="YI86" s="3"/>
      <c r="YJ86" s="3"/>
      <c r="YK86" s="3"/>
      <c r="YL86" s="3"/>
      <c r="YM86" s="3"/>
      <c r="YN86" s="3"/>
      <c r="YO86" s="3"/>
      <c r="YP86" s="3"/>
      <c r="YQ86" s="3"/>
      <c r="YR86" s="3"/>
      <c r="YS86" s="3"/>
      <c r="YT86" s="3"/>
      <c r="YU86" s="3"/>
      <c r="YV86" s="3"/>
      <c r="YW86" s="3"/>
      <c r="YX86" s="3"/>
      <c r="YY86" s="3"/>
      <c r="YZ86" s="3"/>
      <c r="ZA86" s="3"/>
      <c r="ZB86" s="3"/>
      <c r="ZC86" s="3"/>
      <c r="ZD86" s="3"/>
      <c r="ZE86" s="3"/>
      <c r="ZF86" s="3"/>
      <c r="ZG86" s="3"/>
      <c r="ZH86" s="3"/>
      <c r="ZI86" s="3"/>
      <c r="ZJ86" s="3"/>
      <c r="ZK86" s="3"/>
      <c r="ZL86" s="3"/>
      <c r="ZM86" s="3"/>
      <c r="ZN86" s="3"/>
      <c r="ZO86" s="3"/>
      <c r="ZP86" s="3"/>
      <c r="ZQ86" s="3"/>
      <c r="ZR86" s="3"/>
      <c r="ZS86" s="3"/>
      <c r="ZT86" s="3"/>
      <c r="ZU86" s="3"/>
      <c r="ZV86" s="3"/>
      <c r="ZW86" s="3"/>
      <c r="ZX86" s="3"/>
      <c r="ZY86" s="3"/>
      <c r="ZZ86" s="3"/>
    </row>
    <row r="87" spans="1:702" ht="36" customHeight="1">
      <c r="A87" s="200" t="s">
        <v>95</v>
      </c>
      <c r="B87" s="200" t="s">
        <v>194</v>
      </c>
      <c r="C87" s="200" t="s">
        <v>201</v>
      </c>
      <c r="D87" s="175" t="str">
        <f t="shared" si="3"/>
        <v/>
      </c>
      <c r="E87" s="201" t="str">
        <f t="array" ref="E87">IF(B87="","",IF(B87&lt;&gt;B86,SUMPRODUCT(($B$5:B87&lt;&gt;$B$4:B86)*($B$5:B87&lt;&gt;"")),""))</f>
        <v/>
      </c>
      <c r="F87" s="201" t="str">
        <f t="shared" si="4"/>
        <v/>
      </c>
      <c r="G87" s="201">
        <f t="shared" si="5"/>
        <v>6</v>
      </c>
      <c r="H87" s="175" t="str">
        <f t="shared" si="6"/>
        <v>セキュリティ・NW確認結果の整理</v>
      </c>
      <c r="I87" s="200" t="s">
        <v>145</v>
      </c>
      <c r="J87" s="200" t="s">
        <v>196</v>
      </c>
      <c r="K87" s="200"/>
      <c r="L87" s="176" t="str">
        <f t="shared" si="7"/>
        <v>【Salesforceデータ連携（1販社先行検証）】14-6_セキュリティ・ネットワーク試験_セキュリティ・NW確認結果の整理</v>
      </c>
      <c r="M87" s="202"/>
      <c r="N87" s="202"/>
      <c r="O87" s="167" t="s">
        <v>98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WZ87" s="3"/>
      <c r="XA87" s="3"/>
      <c r="XB87" s="3"/>
      <c r="XC87" s="3"/>
      <c r="XD87" s="3"/>
      <c r="XE87" s="3"/>
      <c r="XF87" s="3"/>
      <c r="XG87" s="3"/>
      <c r="XH87" s="3"/>
      <c r="XI87" s="3"/>
      <c r="XJ87" s="3"/>
      <c r="XK87" s="3"/>
      <c r="XL87" s="3"/>
      <c r="XM87" s="3"/>
      <c r="XN87" s="3"/>
      <c r="XO87" s="3"/>
      <c r="XP87" s="3"/>
      <c r="XQ87" s="3"/>
      <c r="XR87" s="3"/>
      <c r="XS87" s="3"/>
      <c r="XT87" s="3"/>
      <c r="XU87" s="3"/>
      <c r="XV87" s="3"/>
      <c r="XW87" s="3"/>
      <c r="XX87" s="3"/>
      <c r="XY87" s="3"/>
      <c r="XZ87" s="3"/>
      <c r="YA87" s="3"/>
      <c r="YB87" s="3"/>
      <c r="YC87" s="3"/>
      <c r="YD87" s="3"/>
      <c r="YE87" s="3"/>
      <c r="YF87" s="3"/>
      <c r="YG87" s="3"/>
      <c r="YH87" s="3"/>
      <c r="YI87" s="3"/>
      <c r="YJ87" s="3"/>
      <c r="YK87" s="3"/>
      <c r="YL87" s="3"/>
      <c r="YM87" s="3"/>
      <c r="YN87" s="3"/>
      <c r="YO87" s="3"/>
      <c r="YP87" s="3"/>
      <c r="YQ87" s="3"/>
      <c r="YR87" s="3"/>
      <c r="YS87" s="3"/>
      <c r="YT87" s="3"/>
      <c r="YU87" s="3"/>
      <c r="YV87" s="3"/>
      <c r="YW87" s="3"/>
      <c r="YX87" s="3"/>
      <c r="YY87" s="3"/>
      <c r="YZ87" s="3"/>
      <c r="ZA87" s="3"/>
      <c r="ZB87" s="3"/>
      <c r="ZC87" s="3"/>
      <c r="ZD87" s="3"/>
      <c r="ZE87" s="3"/>
      <c r="ZF87" s="3"/>
      <c r="ZG87" s="3"/>
      <c r="ZH87" s="3"/>
      <c r="ZI87" s="3"/>
      <c r="ZJ87" s="3"/>
      <c r="ZK87" s="3"/>
      <c r="ZL87" s="3"/>
      <c r="ZM87" s="3"/>
      <c r="ZN87" s="3"/>
      <c r="ZO87" s="3"/>
      <c r="ZP87" s="3"/>
      <c r="ZQ87" s="3"/>
      <c r="ZR87" s="3"/>
      <c r="ZS87" s="3"/>
      <c r="ZT87" s="3"/>
      <c r="ZU87" s="3"/>
      <c r="ZV87" s="3"/>
      <c r="ZW87" s="3"/>
      <c r="ZX87" s="3"/>
      <c r="ZY87" s="3"/>
      <c r="ZZ87" s="3"/>
    </row>
    <row r="88" spans="1:702" ht="39.75" customHeight="1">
      <c r="A88" s="197" t="s">
        <v>95</v>
      </c>
      <c r="B88" s="197" t="s">
        <v>202</v>
      </c>
      <c r="C88" s="197" t="s">
        <v>203</v>
      </c>
      <c r="D88" s="197" t="str">
        <f t="shared" si="3"/>
        <v/>
      </c>
      <c r="E88" s="198">
        <f t="array" ref="E88">IF(B88="","",IF(B88&lt;&gt;B87,SUMPRODUCT(($B$5:B88&lt;&gt;$B$4:B87)*($B$5:B88&lt;&gt;"")),""))</f>
        <v>15</v>
      </c>
      <c r="F88" s="198" t="str">
        <f t="shared" si="4"/>
        <v>先行検証運用・障害対応設計</v>
      </c>
      <c r="G88" s="198">
        <f t="shared" si="5"/>
        <v>1</v>
      </c>
      <c r="H88" s="164" t="str">
        <f t="shared" si="6"/>
        <v>先行検証処理の正常性確認手順作成</v>
      </c>
      <c r="I88" s="197"/>
      <c r="J88" s="197"/>
      <c r="K88" s="197"/>
      <c r="L88" s="165" t="str">
        <f t="shared" si="7"/>
        <v>【Salesforceデータ連携（1販社先行検証）】15-1_先行検証運用・障害対応設計_先行検証処理の正常性確認手順作成</v>
      </c>
      <c r="M88" s="199"/>
      <c r="N88" s="199"/>
      <c r="O88" s="167" t="s">
        <v>98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  <c r="IY88" s="3"/>
      <c r="IZ88" s="3"/>
      <c r="JA88" s="3"/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3"/>
      <c r="JM88" s="3"/>
      <c r="JN88" s="3"/>
      <c r="JO88" s="3"/>
      <c r="JP88" s="3"/>
      <c r="JQ88" s="3"/>
      <c r="JR88" s="3"/>
      <c r="JS88" s="3"/>
      <c r="JT88" s="3"/>
      <c r="JU88" s="3"/>
      <c r="JV88" s="3"/>
      <c r="JW88" s="3"/>
      <c r="JX88" s="3"/>
      <c r="JY88" s="3"/>
      <c r="JZ88" s="3"/>
      <c r="KA88" s="3"/>
      <c r="KB88" s="3"/>
      <c r="KC88" s="3"/>
      <c r="KD88" s="3"/>
      <c r="KE88" s="3"/>
      <c r="KF88" s="3"/>
      <c r="KG88" s="3"/>
      <c r="KH88" s="3"/>
      <c r="KI88" s="3"/>
      <c r="KJ88" s="3"/>
      <c r="KK88" s="3"/>
      <c r="KL88" s="3"/>
      <c r="KM88" s="3"/>
      <c r="KN88" s="3"/>
      <c r="KO88" s="3"/>
      <c r="KP88" s="3"/>
      <c r="KQ88" s="3"/>
      <c r="KR88" s="3"/>
      <c r="KS88" s="3"/>
      <c r="KT88" s="3"/>
      <c r="KU88" s="3"/>
      <c r="KV88" s="3"/>
      <c r="KW88" s="3"/>
      <c r="KX88" s="3"/>
      <c r="KY88" s="3"/>
      <c r="KZ88" s="3"/>
      <c r="LA88" s="3"/>
      <c r="LB88" s="3"/>
      <c r="LC88" s="3"/>
      <c r="LD88" s="3"/>
      <c r="LE88" s="3"/>
      <c r="LF88" s="3"/>
      <c r="LG88" s="3"/>
      <c r="LH88" s="3"/>
      <c r="LI88" s="3"/>
      <c r="LJ88" s="3"/>
      <c r="LK88" s="3"/>
      <c r="LL88" s="3"/>
      <c r="LM88" s="3"/>
      <c r="LN88" s="3"/>
      <c r="LO88" s="3"/>
      <c r="LP88" s="3"/>
      <c r="LQ88" s="3"/>
      <c r="LR88" s="3"/>
      <c r="LS88" s="3"/>
      <c r="LT88" s="3"/>
      <c r="LU88" s="3"/>
      <c r="LV88" s="3"/>
      <c r="LW88" s="3"/>
      <c r="LX88" s="3"/>
      <c r="LY88" s="3"/>
      <c r="LZ88" s="3"/>
      <c r="MA88" s="3"/>
      <c r="MB88" s="3"/>
      <c r="MC88" s="3"/>
      <c r="MD88" s="3"/>
      <c r="ME88" s="3"/>
      <c r="MF88" s="3"/>
      <c r="MG88" s="3"/>
      <c r="MH88" s="3"/>
      <c r="MI88" s="3"/>
      <c r="MJ88" s="3"/>
      <c r="MK88" s="3"/>
      <c r="ML88" s="3"/>
      <c r="MM88" s="3"/>
      <c r="MN88" s="3"/>
      <c r="MO88" s="3"/>
      <c r="MP88" s="3"/>
      <c r="MQ88" s="3"/>
      <c r="MR88" s="3"/>
      <c r="MS88" s="3"/>
      <c r="MT88" s="3"/>
      <c r="MU88" s="3"/>
      <c r="MV88" s="3"/>
      <c r="MW88" s="3"/>
      <c r="MX88" s="3"/>
      <c r="MY88" s="3"/>
      <c r="MZ88" s="3"/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3"/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3"/>
      <c r="PB88" s="3"/>
      <c r="PC88" s="3"/>
      <c r="PD88" s="3"/>
      <c r="PE88" s="3"/>
      <c r="PF88" s="3"/>
      <c r="PG88" s="3"/>
      <c r="PH88" s="3"/>
      <c r="PI88" s="3"/>
      <c r="PJ88" s="3"/>
      <c r="PK88" s="3"/>
      <c r="PL88" s="3"/>
      <c r="PM88" s="3"/>
      <c r="PN88" s="3"/>
      <c r="PO88" s="3"/>
      <c r="PP88" s="3"/>
      <c r="PQ88" s="3"/>
      <c r="PR88" s="3"/>
      <c r="PS88" s="3"/>
      <c r="PT88" s="3"/>
      <c r="PU88" s="3"/>
      <c r="PV88" s="3"/>
      <c r="PW88" s="3"/>
      <c r="PX88" s="3"/>
      <c r="PY88" s="3"/>
      <c r="PZ88" s="3"/>
      <c r="QA88" s="3"/>
      <c r="QB88" s="3"/>
      <c r="QC88" s="3"/>
      <c r="QD88" s="3"/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3"/>
      <c r="QU88" s="3"/>
      <c r="QV88" s="3"/>
      <c r="QW88" s="3"/>
      <c r="QX88" s="3"/>
      <c r="QY88" s="3"/>
      <c r="QZ88" s="3"/>
      <c r="RA88" s="3"/>
      <c r="RB88" s="3"/>
      <c r="RC88" s="3"/>
      <c r="RD88" s="3"/>
      <c r="RE88" s="3"/>
      <c r="RF88" s="3"/>
      <c r="RG88" s="3"/>
      <c r="RH88" s="3"/>
      <c r="RI88" s="3"/>
      <c r="RJ88" s="3"/>
      <c r="RK88" s="3"/>
      <c r="RL88" s="3"/>
      <c r="RM88" s="3"/>
      <c r="RN88" s="3"/>
      <c r="RO88" s="3"/>
      <c r="RP88" s="3"/>
      <c r="RQ88" s="3"/>
      <c r="RR88" s="3"/>
      <c r="RS88" s="3"/>
      <c r="RT88" s="3"/>
      <c r="RU88" s="3"/>
      <c r="RV88" s="3"/>
      <c r="RW88" s="3"/>
      <c r="RX88" s="3"/>
      <c r="RY88" s="3"/>
      <c r="RZ88" s="3"/>
      <c r="SA88" s="3"/>
      <c r="SB88" s="3"/>
      <c r="SC88" s="3"/>
      <c r="SD88" s="3"/>
      <c r="SE88" s="3"/>
      <c r="SF88" s="3"/>
      <c r="SG88" s="3"/>
      <c r="SH88" s="3"/>
      <c r="SI88" s="3"/>
      <c r="SJ88" s="3"/>
      <c r="SK88" s="3"/>
      <c r="SL88" s="3"/>
      <c r="SM88" s="3"/>
      <c r="SN88" s="3"/>
      <c r="SO88" s="3"/>
      <c r="SP88" s="3"/>
      <c r="SQ88" s="3"/>
      <c r="SR88" s="3"/>
      <c r="SS88" s="3"/>
      <c r="ST88" s="3"/>
      <c r="SU88" s="3"/>
      <c r="SV88" s="3"/>
      <c r="SW88" s="3"/>
      <c r="SX88" s="3"/>
      <c r="SY88" s="3"/>
      <c r="SZ88" s="3"/>
      <c r="TA88" s="3"/>
      <c r="TB88" s="3"/>
      <c r="TC88" s="3"/>
      <c r="TD88" s="3"/>
      <c r="TE88" s="3"/>
      <c r="TF88" s="3"/>
      <c r="TG88" s="3"/>
      <c r="TH88" s="3"/>
      <c r="TI88" s="3"/>
      <c r="TJ88" s="3"/>
      <c r="TK88" s="3"/>
      <c r="TL88" s="3"/>
      <c r="TM88" s="3"/>
      <c r="TN88" s="3"/>
      <c r="TO88" s="3"/>
      <c r="TP88" s="3"/>
      <c r="TQ88" s="3"/>
      <c r="TR88" s="3"/>
      <c r="TS88" s="3"/>
      <c r="TT88" s="3"/>
      <c r="TU88" s="3"/>
      <c r="TV88" s="3"/>
      <c r="TW88" s="3"/>
      <c r="TX88" s="3"/>
      <c r="TY88" s="3"/>
      <c r="TZ88" s="3"/>
      <c r="UA88" s="3"/>
      <c r="UB88" s="3"/>
      <c r="UC88" s="3"/>
      <c r="UD88" s="3"/>
      <c r="UE88" s="3"/>
      <c r="UF88" s="3"/>
      <c r="UG88" s="3"/>
      <c r="UH88" s="3"/>
      <c r="UI88" s="3"/>
      <c r="UJ88" s="3"/>
      <c r="UK88" s="3"/>
      <c r="UL88" s="3"/>
      <c r="UM88" s="3"/>
      <c r="UN88" s="3"/>
      <c r="UO88" s="3"/>
      <c r="UP88" s="3"/>
      <c r="UQ88" s="3"/>
      <c r="UR88" s="3"/>
      <c r="US88" s="3"/>
      <c r="UT88" s="3"/>
      <c r="UU88" s="3"/>
      <c r="UV88" s="3"/>
      <c r="UW88" s="3"/>
      <c r="UX88" s="3"/>
      <c r="UY88" s="3"/>
      <c r="UZ88" s="3"/>
      <c r="VA88" s="3"/>
      <c r="VB88" s="3"/>
      <c r="VC88" s="3"/>
      <c r="VD88" s="3"/>
      <c r="VE88" s="3"/>
      <c r="VF88" s="3"/>
      <c r="VG88" s="3"/>
      <c r="VH88" s="3"/>
      <c r="VI88" s="3"/>
      <c r="VJ88" s="3"/>
      <c r="VK88" s="3"/>
      <c r="VL88" s="3"/>
      <c r="VM88" s="3"/>
      <c r="VN88" s="3"/>
      <c r="VO88" s="3"/>
      <c r="VP88" s="3"/>
      <c r="VQ88" s="3"/>
      <c r="VR88" s="3"/>
      <c r="VS88" s="3"/>
      <c r="VT88" s="3"/>
      <c r="VU88" s="3"/>
      <c r="VV88" s="3"/>
      <c r="VW88" s="3"/>
      <c r="VX88" s="3"/>
      <c r="VY88" s="3"/>
      <c r="VZ88" s="3"/>
      <c r="WA88" s="3"/>
      <c r="WB88" s="3"/>
      <c r="WC88" s="3"/>
      <c r="WD88" s="3"/>
      <c r="WE88" s="3"/>
      <c r="WF88" s="3"/>
      <c r="WG88" s="3"/>
      <c r="WH88" s="3"/>
      <c r="WI88" s="3"/>
      <c r="WJ88" s="3"/>
      <c r="WK88" s="3"/>
      <c r="WL88" s="3"/>
      <c r="WM88" s="3"/>
      <c r="WN88" s="3"/>
      <c r="WO88" s="3"/>
      <c r="WP88" s="3"/>
      <c r="WQ88" s="3"/>
      <c r="WR88" s="3"/>
      <c r="WS88" s="3"/>
      <c r="WT88" s="3"/>
      <c r="WU88" s="3"/>
      <c r="WV88" s="3"/>
      <c r="WW88" s="3"/>
      <c r="WX88" s="3"/>
      <c r="WY88" s="3"/>
      <c r="WZ88" s="3"/>
      <c r="XA88" s="3"/>
      <c r="XB88" s="3"/>
      <c r="XC88" s="3"/>
      <c r="XD88" s="3"/>
      <c r="XE88" s="3"/>
      <c r="XF88" s="3"/>
      <c r="XG88" s="3"/>
      <c r="XH88" s="3"/>
      <c r="XI88" s="3"/>
      <c r="XJ88" s="3"/>
      <c r="XK88" s="3"/>
      <c r="XL88" s="3"/>
      <c r="XM88" s="3"/>
      <c r="XN88" s="3"/>
      <c r="XO88" s="3"/>
      <c r="XP88" s="3"/>
      <c r="XQ88" s="3"/>
      <c r="XR88" s="3"/>
      <c r="XS88" s="3"/>
      <c r="XT88" s="3"/>
      <c r="XU88" s="3"/>
      <c r="XV88" s="3"/>
      <c r="XW88" s="3"/>
      <c r="XX88" s="3"/>
      <c r="XY88" s="3"/>
      <c r="XZ88" s="3"/>
      <c r="YA88" s="3"/>
      <c r="YB88" s="3"/>
      <c r="YC88" s="3"/>
      <c r="YD88" s="3"/>
      <c r="YE88" s="3"/>
      <c r="YF88" s="3"/>
      <c r="YG88" s="3"/>
      <c r="YH88" s="3"/>
      <c r="YI88" s="3"/>
      <c r="YJ88" s="3"/>
      <c r="YK88" s="3"/>
      <c r="YL88" s="3"/>
      <c r="YM88" s="3"/>
      <c r="YN88" s="3"/>
      <c r="YO88" s="3"/>
      <c r="YP88" s="3"/>
      <c r="YQ88" s="3"/>
      <c r="YR88" s="3"/>
      <c r="YS88" s="3"/>
      <c r="YT88" s="3"/>
      <c r="YU88" s="3"/>
      <c r="YV88" s="3"/>
      <c r="YW88" s="3"/>
      <c r="YX88" s="3"/>
      <c r="YY88" s="3"/>
      <c r="YZ88" s="3"/>
      <c r="ZA88" s="3"/>
      <c r="ZB88" s="3"/>
      <c r="ZC88" s="3"/>
      <c r="ZD88" s="3"/>
      <c r="ZE88" s="3"/>
      <c r="ZF88" s="3"/>
      <c r="ZG88" s="3"/>
      <c r="ZH88" s="3"/>
      <c r="ZI88" s="3"/>
      <c r="ZJ88" s="3"/>
      <c r="ZK88" s="3"/>
      <c r="ZL88" s="3"/>
      <c r="ZM88" s="3"/>
      <c r="ZN88" s="3"/>
      <c r="ZO88" s="3"/>
      <c r="ZP88" s="3"/>
      <c r="ZQ88" s="3"/>
      <c r="ZR88" s="3"/>
      <c r="ZS88" s="3"/>
      <c r="ZT88" s="3"/>
      <c r="ZU88" s="3"/>
      <c r="ZV88" s="3"/>
      <c r="ZW88" s="3"/>
      <c r="ZX88" s="3"/>
      <c r="ZY88" s="3"/>
      <c r="ZZ88" s="3"/>
    </row>
    <row r="89" spans="1:702" ht="36" customHeight="1">
      <c r="A89" s="200" t="s">
        <v>95</v>
      </c>
      <c r="B89" s="200" t="s">
        <v>202</v>
      </c>
      <c r="C89" s="200" t="s">
        <v>204</v>
      </c>
      <c r="D89" s="175" t="str">
        <f t="shared" si="3"/>
        <v/>
      </c>
      <c r="E89" s="201" t="str">
        <f t="array" ref="E89">IF(B89="","",IF(B89&lt;&gt;B88,SUMPRODUCT(($B$5:B89&lt;&gt;$B$4:B88)*($B$5:B89&lt;&gt;"")),""))</f>
        <v/>
      </c>
      <c r="F89" s="201" t="str">
        <f t="shared" si="4"/>
        <v/>
      </c>
      <c r="G89" s="201">
        <f t="shared" si="5"/>
        <v>2</v>
      </c>
      <c r="H89" s="175" t="str">
        <f t="shared" si="6"/>
        <v>先行検証時の処理遅延・件数異常確認手順作成</v>
      </c>
      <c r="I89" s="200"/>
      <c r="J89" s="200"/>
      <c r="K89" s="200"/>
      <c r="L89" s="176" t="str">
        <f t="shared" si="7"/>
        <v>【Salesforceデータ連携（1販社先行検証）】15-2_先行検証運用・障害対応設計_先行検証時の処理遅延・件数異常確認手順作成</v>
      </c>
      <c r="M89" s="202"/>
      <c r="N89" s="202"/>
      <c r="O89" s="167" t="s">
        <v>98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WZ89" s="3"/>
      <c r="XA89" s="3"/>
      <c r="XB89" s="3"/>
      <c r="XC89" s="3"/>
      <c r="XD89" s="3"/>
      <c r="XE89" s="3"/>
      <c r="XF89" s="3"/>
      <c r="XG89" s="3"/>
      <c r="XH89" s="3"/>
      <c r="XI89" s="3"/>
      <c r="XJ89" s="3"/>
      <c r="XK89" s="3"/>
      <c r="XL89" s="3"/>
      <c r="XM89" s="3"/>
      <c r="XN89" s="3"/>
      <c r="XO89" s="3"/>
      <c r="XP89" s="3"/>
      <c r="XQ89" s="3"/>
      <c r="XR89" s="3"/>
      <c r="XS89" s="3"/>
      <c r="XT89" s="3"/>
      <c r="XU89" s="3"/>
      <c r="XV89" s="3"/>
      <c r="XW89" s="3"/>
      <c r="XX89" s="3"/>
      <c r="XY89" s="3"/>
      <c r="XZ89" s="3"/>
      <c r="YA89" s="3"/>
      <c r="YB89" s="3"/>
      <c r="YC89" s="3"/>
      <c r="YD89" s="3"/>
      <c r="YE89" s="3"/>
      <c r="YF89" s="3"/>
      <c r="YG89" s="3"/>
      <c r="YH89" s="3"/>
      <c r="YI89" s="3"/>
      <c r="YJ89" s="3"/>
      <c r="YK89" s="3"/>
      <c r="YL89" s="3"/>
      <c r="YM89" s="3"/>
      <c r="YN89" s="3"/>
      <c r="YO89" s="3"/>
      <c r="YP89" s="3"/>
      <c r="YQ89" s="3"/>
      <c r="YR89" s="3"/>
      <c r="YS89" s="3"/>
      <c r="YT89" s="3"/>
      <c r="YU89" s="3"/>
      <c r="YV89" s="3"/>
      <c r="YW89" s="3"/>
      <c r="YX89" s="3"/>
      <c r="YY89" s="3"/>
      <c r="YZ89" s="3"/>
      <c r="ZA89" s="3"/>
      <c r="ZB89" s="3"/>
      <c r="ZC89" s="3"/>
      <c r="ZD89" s="3"/>
      <c r="ZE89" s="3"/>
      <c r="ZF89" s="3"/>
      <c r="ZG89" s="3"/>
      <c r="ZH89" s="3"/>
      <c r="ZI89" s="3"/>
      <c r="ZJ89" s="3"/>
      <c r="ZK89" s="3"/>
      <c r="ZL89" s="3"/>
      <c r="ZM89" s="3"/>
      <c r="ZN89" s="3"/>
      <c r="ZO89" s="3"/>
      <c r="ZP89" s="3"/>
      <c r="ZQ89" s="3"/>
      <c r="ZR89" s="3"/>
      <c r="ZS89" s="3"/>
      <c r="ZT89" s="3"/>
      <c r="ZU89" s="3"/>
      <c r="ZV89" s="3"/>
      <c r="ZW89" s="3"/>
      <c r="ZX89" s="3"/>
      <c r="ZY89" s="3"/>
      <c r="ZZ89" s="3"/>
    </row>
    <row r="90" spans="1:702" ht="36" customHeight="1">
      <c r="A90" s="200" t="s">
        <v>95</v>
      </c>
      <c r="B90" s="200" t="s">
        <v>202</v>
      </c>
      <c r="C90" s="200" t="s">
        <v>205</v>
      </c>
      <c r="D90" s="175" t="str">
        <f t="shared" si="3"/>
        <v/>
      </c>
      <c r="E90" s="201" t="str">
        <f t="array" ref="E90">IF(B90="","",IF(B90&lt;&gt;B89,SUMPRODUCT(($B$5:B90&lt;&gt;$B$4:B89)*($B$5:B90&lt;&gt;"")),""))</f>
        <v/>
      </c>
      <c r="F90" s="201" t="str">
        <f t="shared" si="4"/>
        <v/>
      </c>
      <c r="G90" s="201">
        <f t="shared" si="5"/>
        <v>3</v>
      </c>
      <c r="H90" s="175" t="str">
        <f t="shared" si="6"/>
        <v>NiFi・Salesforce API障害時の検証対応手順作成</v>
      </c>
      <c r="I90" s="200"/>
      <c r="J90" s="200"/>
      <c r="K90" s="200"/>
      <c r="L90" s="176" t="str">
        <f t="shared" si="7"/>
        <v>【Salesforceデータ連携（1販社先行検証）】15-3_先行検証運用・障害対応設計_NiFi・Salesforce API障害時の検証対応手順作成</v>
      </c>
      <c r="M90" s="202"/>
      <c r="N90" s="202"/>
      <c r="O90" s="167" t="s">
        <v>98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  <c r="TF90" s="3"/>
      <c r="TG90" s="3"/>
      <c r="TH90" s="3"/>
      <c r="TI90" s="3"/>
      <c r="TJ90" s="3"/>
      <c r="TK90" s="3"/>
      <c r="TL90" s="3"/>
      <c r="TM90" s="3"/>
      <c r="TN90" s="3"/>
      <c r="TO90" s="3"/>
      <c r="TP90" s="3"/>
      <c r="TQ90" s="3"/>
      <c r="TR90" s="3"/>
      <c r="TS90" s="3"/>
      <c r="TT90" s="3"/>
      <c r="TU90" s="3"/>
      <c r="TV90" s="3"/>
      <c r="TW90" s="3"/>
      <c r="TX90" s="3"/>
      <c r="TY90" s="3"/>
      <c r="TZ90" s="3"/>
      <c r="UA90" s="3"/>
      <c r="UB90" s="3"/>
      <c r="UC90" s="3"/>
      <c r="UD90" s="3"/>
      <c r="UE90" s="3"/>
      <c r="UF90" s="3"/>
      <c r="UG90" s="3"/>
      <c r="UH90" s="3"/>
      <c r="UI90" s="3"/>
      <c r="UJ90" s="3"/>
      <c r="UK90" s="3"/>
      <c r="UL90" s="3"/>
      <c r="UM90" s="3"/>
      <c r="UN90" s="3"/>
      <c r="UO90" s="3"/>
      <c r="UP90" s="3"/>
      <c r="UQ90" s="3"/>
      <c r="UR90" s="3"/>
      <c r="US90" s="3"/>
      <c r="UT90" s="3"/>
      <c r="UU90" s="3"/>
      <c r="UV90" s="3"/>
      <c r="UW90" s="3"/>
      <c r="UX90" s="3"/>
      <c r="UY90" s="3"/>
      <c r="UZ90" s="3"/>
      <c r="VA90" s="3"/>
      <c r="VB90" s="3"/>
      <c r="VC90" s="3"/>
      <c r="VD90" s="3"/>
      <c r="VE90" s="3"/>
      <c r="VF90" s="3"/>
      <c r="VG90" s="3"/>
      <c r="VH90" s="3"/>
      <c r="VI90" s="3"/>
      <c r="VJ90" s="3"/>
      <c r="VK90" s="3"/>
      <c r="VL90" s="3"/>
      <c r="VM90" s="3"/>
      <c r="VN90" s="3"/>
      <c r="VO90" s="3"/>
      <c r="VP90" s="3"/>
      <c r="VQ90" s="3"/>
      <c r="VR90" s="3"/>
      <c r="VS90" s="3"/>
      <c r="VT90" s="3"/>
      <c r="VU90" s="3"/>
      <c r="VV90" s="3"/>
      <c r="VW90" s="3"/>
      <c r="VX90" s="3"/>
      <c r="VY90" s="3"/>
      <c r="VZ90" s="3"/>
      <c r="WA90" s="3"/>
      <c r="WB90" s="3"/>
      <c r="WC90" s="3"/>
      <c r="WD90" s="3"/>
      <c r="WE90" s="3"/>
      <c r="WF90" s="3"/>
      <c r="WG90" s="3"/>
      <c r="WH90" s="3"/>
      <c r="WI90" s="3"/>
      <c r="WJ90" s="3"/>
      <c r="WK90" s="3"/>
      <c r="WL90" s="3"/>
      <c r="WM90" s="3"/>
      <c r="WN90" s="3"/>
      <c r="WO90" s="3"/>
      <c r="WP90" s="3"/>
      <c r="WQ90" s="3"/>
      <c r="WR90" s="3"/>
      <c r="WS90" s="3"/>
      <c r="WT90" s="3"/>
      <c r="WU90" s="3"/>
      <c r="WV90" s="3"/>
      <c r="WW90" s="3"/>
      <c r="WX90" s="3"/>
      <c r="WY90" s="3"/>
      <c r="WZ90" s="3"/>
      <c r="XA90" s="3"/>
      <c r="XB90" s="3"/>
      <c r="XC90" s="3"/>
      <c r="XD90" s="3"/>
      <c r="XE90" s="3"/>
      <c r="XF90" s="3"/>
      <c r="XG90" s="3"/>
      <c r="XH90" s="3"/>
      <c r="XI90" s="3"/>
      <c r="XJ90" s="3"/>
      <c r="XK90" s="3"/>
      <c r="XL90" s="3"/>
      <c r="XM90" s="3"/>
      <c r="XN90" s="3"/>
      <c r="XO90" s="3"/>
      <c r="XP90" s="3"/>
      <c r="XQ90" s="3"/>
      <c r="XR90" s="3"/>
      <c r="XS90" s="3"/>
      <c r="XT90" s="3"/>
      <c r="XU90" s="3"/>
      <c r="XV90" s="3"/>
      <c r="XW90" s="3"/>
      <c r="XX90" s="3"/>
      <c r="XY90" s="3"/>
      <c r="XZ90" s="3"/>
      <c r="YA90" s="3"/>
      <c r="YB90" s="3"/>
      <c r="YC90" s="3"/>
      <c r="YD90" s="3"/>
      <c r="YE90" s="3"/>
      <c r="YF90" s="3"/>
      <c r="YG90" s="3"/>
      <c r="YH90" s="3"/>
      <c r="YI90" s="3"/>
      <c r="YJ90" s="3"/>
      <c r="YK90" s="3"/>
      <c r="YL90" s="3"/>
      <c r="YM90" s="3"/>
      <c r="YN90" s="3"/>
      <c r="YO90" s="3"/>
      <c r="YP90" s="3"/>
      <c r="YQ90" s="3"/>
      <c r="YR90" s="3"/>
      <c r="YS90" s="3"/>
      <c r="YT90" s="3"/>
      <c r="YU90" s="3"/>
      <c r="YV90" s="3"/>
      <c r="YW90" s="3"/>
      <c r="YX90" s="3"/>
      <c r="YY90" s="3"/>
      <c r="YZ90" s="3"/>
      <c r="ZA90" s="3"/>
      <c r="ZB90" s="3"/>
      <c r="ZC90" s="3"/>
      <c r="ZD90" s="3"/>
      <c r="ZE90" s="3"/>
      <c r="ZF90" s="3"/>
      <c r="ZG90" s="3"/>
      <c r="ZH90" s="3"/>
      <c r="ZI90" s="3"/>
      <c r="ZJ90" s="3"/>
      <c r="ZK90" s="3"/>
      <c r="ZL90" s="3"/>
      <c r="ZM90" s="3"/>
      <c r="ZN90" s="3"/>
      <c r="ZO90" s="3"/>
      <c r="ZP90" s="3"/>
      <c r="ZQ90" s="3"/>
      <c r="ZR90" s="3"/>
      <c r="ZS90" s="3"/>
      <c r="ZT90" s="3"/>
      <c r="ZU90" s="3"/>
      <c r="ZV90" s="3"/>
      <c r="ZW90" s="3"/>
      <c r="ZX90" s="3"/>
      <c r="ZY90" s="3"/>
      <c r="ZZ90" s="3"/>
    </row>
    <row r="91" spans="1:702" ht="36" customHeight="1">
      <c r="A91" s="200" t="s">
        <v>95</v>
      </c>
      <c r="B91" s="200" t="s">
        <v>202</v>
      </c>
      <c r="C91" s="200" t="s">
        <v>206</v>
      </c>
      <c r="D91" s="175" t="str">
        <f t="shared" si="3"/>
        <v/>
      </c>
      <c r="E91" s="201" t="str">
        <f t="array" ref="E91">IF(B91="","",IF(B91&lt;&gt;B90,SUMPRODUCT(($B$5:B91&lt;&gt;$B$4:B90)*($B$5:B91&lt;&gt;"")),""))</f>
        <v/>
      </c>
      <c r="F91" s="201" t="str">
        <f t="shared" si="4"/>
        <v/>
      </c>
      <c r="G91" s="201">
        <f t="shared" si="5"/>
        <v>4</v>
      </c>
      <c r="H91" s="175" t="str">
        <f t="shared" si="6"/>
        <v>先行検証データの再処理手順作成</v>
      </c>
      <c r="I91" s="200"/>
      <c r="J91" s="200"/>
      <c r="K91" s="200"/>
      <c r="L91" s="176" t="str">
        <f t="shared" si="7"/>
        <v>【Salesforceデータ連携（1販社先行検証）】15-4_先行検証運用・障害対応設計_先行検証データの再処理手順作成</v>
      </c>
      <c r="M91" s="202"/>
      <c r="N91" s="202"/>
      <c r="O91" s="167" t="s">
        <v>98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  <c r="IY91" s="3"/>
      <c r="IZ91" s="3"/>
      <c r="JA91" s="3"/>
      <c r="JB91" s="3"/>
      <c r="JC91" s="3"/>
      <c r="JD91" s="3"/>
      <c r="JE91" s="3"/>
      <c r="JF91" s="3"/>
      <c r="JG91" s="3"/>
      <c r="JH91" s="3"/>
      <c r="JI91" s="3"/>
      <c r="JJ91" s="3"/>
      <c r="JK91" s="3"/>
      <c r="JL91" s="3"/>
      <c r="JM91" s="3"/>
      <c r="JN91" s="3"/>
      <c r="JO91" s="3"/>
      <c r="JP91" s="3"/>
      <c r="JQ91" s="3"/>
      <c r="JR91" s="3"/>
      <c r="JS91" s="3"/>
      <c r="JT91" s="3"/>
      <c r="JU91" s="3"/>
      <c r="JV91" s="3"/>
      <c r="JW91" s="3"/>
      <c r="JX91" s="3"/>
      <c r="JY91" s="3"/>
      <c r="JZ91" s="3"/>
      <c r="KA91" s="3"/>
      <c r="KB91" s="3"/>
      <c r="KC91" s="3"/>
      <c r="KD91" s="3"/>
      <c r="KE91" s="3"/>
      <c r="KF91" s="3"/>
      <c r="KG91" s="3"/>
      <c r="KH91" s="3"/>
      <c r="KI91" s="3"/>
      <c r="KJ91" s="3"/>
      <c r="KK91" s="3"/>
      <c r="KL91" s="3"/>
      <c r="KM91" s="3"/>
      <c r="KN91" s="3"/>
      <c r="KO91" s="3"/>
      <c r="KP91" s="3"/>
      <c r="KQ91" s="3"/>
      <c r="KR91" s="3"/>
      <c r="KS91" s="3"/>
      <c r="KT91" s="3"/>
      <c r="KU91" s="3"/>
      <c r="KV91" s="3"/>
      <c r="KW91" s="3"/>
      <c r="KX91" s="3"/>
      <c r="KY91" s="3"/>
      <c r="KZ91" s="3"/>
      <c r="LA91" s="3"/>
      <c r="LB91" s="3"/>
      <c r="LC91" s="3"/>
      <c r="LD91" s="3"/>
      <c r="LE91" s="3"/>
      <c r="LF91" s="3"/>
      <c r="LG91" s="3"/>
      <c r="LH91" s="3"/>
      <c r="LI91" s="3"/>
      <c r="LJ91" s="3"/>
      <c r="LK91" s="3"/>
      <c r="LL91" s="3"/>
      <c r="LM91" s="3"/>
      <c r="LN91" s="3"/>
      <c r="LO91" s="3"/>
      <c r="LP91" s="3"/>
      <c r="LQ91" s="3"/>
      <c r="LR91" s="3"/>
      <c r="LS91" s="3"/>
      <c r="LT91" s="3"/>
      <c r="LU91" s="3"/>
      <c r="LV91" s="3"/>
      <c r="LW91" s="3"/>
      <c r="LX91" s="3"/>
      <c r="LY91" s="3"/>
      <c r="LZ91" s="3"/>
      <c r="MA91" s="3"/>
      <c r="MB91" s="3"/>
      <c r="MC91" s="3"/>
      <c r="MD91" s="3"/>
      <c r="ME91" s="3"/>
      <c r="MF91" s="3"/>
      <c r="MG91" s="3"/>
      <c r="MH91" s="3"/>
      <c r="MI91" s="3"/>
      <c r="MJ91" s="3"/>
      <c r="MK91" s="3"/>
      <c r="ML91" s="3"/>
      <c r="MM91" s="3"/>
      <c r="MN91" s="3"/>
      <c r="MO91" s="3"/>
      <c r="MP91" s="3"/>
      <c r="MQ91" s="3"/>
      <c r="MR91" s="3"/>
      <c r="MS91" s="3"/>
      <c r="MT91" s="3"/>
      <c r="MU91" s="3"/>
      <c r="MV91" s="3"/>
      <c r="MW91" s="3"/>
      <c r="MX91" s="3"/>
      <c r="MY91" s="3"/>
      <c r="MZ91" s="3"/>
      <c r="NA91" s="3"/>
      <c r="NB91" s="3"/>
      <c r="NC91" s="3"/>
      <c r="ND91" s="3"/>
      <c r="NE91" s="3"/>
      <c r="NF91" s="3"/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/>
      <c r="PD91" s="3"/>
      <c r="PE91" s="3"/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O91" s="3"/>
      <c r="RP91" s="3"/>
      <c r="RQ91" s="3"/>
      <c r="RR91" s="3"/>
      <c r="RS91" s="3"/>
      <c r="RT91" s="3"/>
      <c r="RU91" s="3"/>
      <c r="RV91" s="3"/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/>
      <c r="SP91" s="3"/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/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WZ91" s="3"/>
      <c r="XA91" s="3"/>
      <c r="XB91" s="3"/>
      <c r="XC91" s="3"/>
      <c r="XD91" s="3"/>
      <c r="XE91" s="3"/>
      <c r="XF91" s="3"/>
      <c r="XG91" s="3"/>
      <c r="XH91" s="3"/>
      <c r="XI91" s="3"/>
      <c r="XJ91" s="3"/>
      <c r="XK91" s="3"/>
      <c r="XL91" s="3"/>
      <c r="XM91" s="3"/>
      <c r="XN91" s="3"/>
      <c r="XO91" s="3"/>
      <c r="XP91" s="3"/>
      <c r="XQ91" s="3"/>
      <c r="XR91" s="3"/>
      <c r="XS91" s="3"/>
      <c r="XT91" s="3"/>
      <c r="XU91" s="3"/>
      <c r="XV91" s="3"/>
      <c r="XW91" s="3"/>
      <c r="XX91" s="3"/>
      <c r="XY91" s="3"/>
      <c r="XZ91" s="3"/>
      <c r="YA91" s="3"/>
      <c r="YB91" s="3"/>
      <c r="YC91" s="3"/>
      <c r="YD91" s="3"/>
      <c r="YE91" s="3"/>
      <c r="YF91" s="3"/>
      <c r="YG91" s="3"/>
      <c r="YH91" s="3"/>
      <c r="YI91" s="3"/>
      <c r="YJ91" s="3"/>
      <c r="YK91" s="3"/>
      <c r="YL91" s="3"/>
      <c r="YM91" s="3"/>
      <c r="YN91" s="3"/>
      <c r="YO91" s="3"/>
      <c r="YP91" s="3"/>
      <c r="YQ91" s="3"/>
      <c r="YR91" s="3"/>
      <c r="YS91" s="3"/>
      <c r="YT91" s="3"/>
      <c r="YU91" s="3"/>
      <c r="YV91" s="3"/>
      <c r="YW91" s="3"/>
      <c r="YX91" s="3"/>
      <c r="YY91" s="3"/>
      <c r="YZ91" s="3"/>
      <c r="ZA91" s="3"/>
      <c r="ZB91" s="3"/>
      <c r="ZC91" s="3"/>
      <c r="ZD91" s="3"/>
      <c r="ZE91" s="3"/>
      <c r="ZF91" s="3"/>
      <c r="ZG91" s="3"/>
      <c r="ZH91" s="3"/>
      <c r="ZI91" s="3"/>
      <c r="ZJ91" s="3"/>
      <c r="ZK91" s="3"/>
      <c r="ZL91" s="3"/>
      <c r="ZM91" s="3"/>
      <c r="ZN91" s="3"/>
      <c r="ZO91" s="3"/>
      <c r="ZP91" s="3"/>
      <c r="ZQ91" s="3"/>
      <c r="ZR91" s="3"/>
      <c r="ZS91" s="3"/>
      <c r="ZT91" s="3"/>
      <c r="ZU91" s="3"/>
      <c r="ZV91" s="3"/>
      <c r="ZW91" s="3"/>
      <c r="ZX91" s="3"/>
      <c r="ZY91" s="3"/>
      <c r="ZZ91" s="3"/>
    </row>
    <row r="92" spans="1:702" ht="36" customHeight="1">
      <c r="A92" s="200" t="s">
        <v>95</v>
      </c>
      <c r="B92" s="200" t="s">
        <v>202</v>
      </c>
      <c r="C92" s="200" t="s">
        <v>207</v>
      </c>
      <c r="D92" s="175" t="str">
        <f t="shared" si="3"/>
        <v/>
      </c>
      <c r="E92" s="201" t="str">
        <f t="array" ref="E92">IF(B92="","",IF(B92&lt;&gt;B91,SUMPRODUCT(($B$5:B92&lt;&gt;$B$4:B91)*($B$5:B92&lt;&gt;"")),""))</f>
        <v/>
      </c>
      <c r="F92" s="201" t="str">
        <f t="shared" si="4"/>
        <v/>
      </c>
      <c r="G92" s="201">
        <f t="shared" si="5"/>
        <v>5</v>
      </c>
      <c r="H92" s="175" t="str">
        <f t="shared" si="6"/>
        <v>一次切り分け・エスカレーション手順作成</v>
      </c>
      <c r="I92" s="200"/>
      <c r="J92" s="200"/>
      <c r="K92" s="200"/>
      <c r="L92" s="176" t="str">
        <f t="shared" si="7"/>
        <v>【Salesforceデータ連携（1販社先行検証）】15-5_先行検証運用・障害対応設計_一次切り分け・エスカレーション手順作成</v>
      </c>
      <c r="M92" s="202"/>
      <c r="N92" s="202"/>
      <c r="O92" s="167" t="s">
        <v>98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3"/>
      <c r="JM92" s="3"/>
      <c r="JN92" s="3"/>
      <c r="JO92" s="3"/>
      <c r="JP92" s="3"/>
      <c r="JQ92" s="3"/>
      <c r="JR92" s="3"/>
      <c r="JS92" s="3"/>
      <c r="JT92" s="3"/>
      <c r="JU92" s="3"/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3"/>
      <c r="KI92" s="3"/>
      <c r="KJ92" s="3"/>
      <c r="KK92" s="3"/>
      <c r="KL92" s="3"/>
      <c r="KM92" s="3"/>
      <c r="KN92" s="3"/>
      <c r="KO92" s="3"/>
      <c r="KP92" s="3"/>
      <c r="KQ92" s="3"/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3"/>
      <c r="LT92" s="3"/>
      <c r="LU92" s="3"/>
      <c r="LV92" s="3"/>
      <c r="LW92" s="3"/>
      <c r="LX92" s="3"/>
      <c r="LY92" s="3"/>
      <c r="LZ92" s="3"/>
      <c r="MA92" s="3"/>
      <c r="MB92" s="3"/>
      <c r="MC92" s="3"/>
      <c r="MD92" s="3"/>
      <c r="ME92" s="3"/>
      <c r="MF92" s="3"/>
      <c r="MG92" s="3"/>
      <c r="MH92" s="3"/>
      <c r="MI92" s="3"/>
      <c r="MJ92" s="3"/>
      <c r="MK92" s="3"/>
      <c r="ML92" s="3"/>
      <c r="MM92" s="3"/>
      <c r="MN92" s="3"/>
      <c r="MO92" s="3"/>
      <c r="MP92" s="3"/>
      <c r="MQ92" s="3"/>
      <c r="MR92" s="3"/>
      <c r="MS92" s="3"/>
      <c r="MT92" s="3"/>
      <c r="MU92" s="3"/>
      <c r="MV92" s="3"/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E92" s="3"/>
      <c r="RF92" s="3"/>
      <c r="RG92" s="3"/>
      <c r="RH92" s="3"/>
      <c r="RI92" s="3"/>
      <c r="RJ92" s="3"/>
      <c r="RK92" s="3"/>
      <c r="RL92" s="3"/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/>
      <c r="SF92" s="3"/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/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WP92" s="3"/>
      <c r="WQ92" s="3"/>
      <c r="WR92" s="3"/>
      <c r="WS92" s="3"/>
      <c r="WT92" s="3"/>
      <c r="WU92" s="3"/>
      <c r="WV92" s="3"/>
      <c r="WW92" s="3"/>
      <c r="WX92" s="3"/>
      <c r="WY92" s="3"/>
      <c r="WZ92" s="3"/>
      <c r="XA92" s="3"/>
      <c r="XB92" s="3"/>
      <c r="XC92" s="3"/>
      <c r="XD92" s="3"/>
      <c r="XE92" s="3"/>
      <c r="XF92" s="3"/>
      <c r="XG92" s="3"/>
      <c r="XH92" s="3"/>
      <c r="XI92" s="3"/>
      <c r="XJ92" s="3"/>
      <c r="XK92" s="3"/>
      <c r="XL92" s="3"/>
      <c r="XM92" s="3"/>
      <c r="XN92" s="3"/>
      <c r="XO92" s="3"/>
      <c r="XP92" s="3"/>
      <c r="XQ92" s="3"/>
      <c r="XR92" s="3"/>
      <c r="XS92" s="3"/>
      <c r="XT92" s="3"/>
      <c r="XU92" s="3"/>
      <c r="XV92" s="3"/>
      <c r="XW92" s="3"/>
      <c r="XX92" s="3"/>
      <c r="XY92" s="3"/>
      <c r="XZ92" s="3"/>
      <c r="YA92" s="3"/>
      <c r="YB92" s="3"/>
      <c r="YC92" s="3"/>
      <c r="YD92" s="3"/>
      <c r="YE92" s="3"/>
      <c r="YF92" s="3"/>
      <c r="YG92" s="3"/>
      <c r="YH92" s="3"/>
      <c r="YI92" s="3"/>
      <c r="YJ92" s="3"/>
      <c r="YK92" s="3"/>
      <c r="YL92" s="3"/>
      <c r="YM92" s="3"/>
      <c r="YN92" s="3"/>
      <c r="YO92" s="3"/>
      <c r="YP92" s="3"/>
      <c r="YQ92" s="3"/>
      <c r="YR92" s="3"/>
      <c r="YS92" s="3"/>
      <c r="YT92" s="3"/>
      <c r="YU92" s="3"/>
      <c r="YV92" s="3"/>
      <c r="YW92" s="3"/>
      <c r="YX92" s="3"/>
      <c r="YY92" s="3"/>
      <c r="YZ92" s="3"/>
      <c r="ZA92" s="3"/>
      <c r="ZB92" s="3"/>
      <c r="ZC92" s="3"/>
      <c r="ZD92" s="3"/>
      <c r="ZE92" s="3"/>
      <c r="ZF92" s="3"/>
      <c r="ZG92" s="3"/>
      <c r="ZH92" s="3"/>
      <c r="ZI92" s="3"/>
      <c r="ZJ92" s="3"/>
      <c r="ZK92" s="3"/>
      <c r="ZL92" s="3"/>
      <c r="ZM92" s="3"/>
      <c r="ZN92" s="3"/>
      <c r="ZO92" s="3"/>
      <c r="ZP92" s="3"/>
      <c r="ZQ92" s="3"/>
      <c r="ZR92" s="3"/>
      <c r="ZS92" s="3"/>
      <c r="ZT92" s="3"/>
      <c r="ZU92" s="3"/>
      <c r="ZV92" s="3"/>
      <c r="ZW92" s="3"/>
      <c r="ZX92" s="3"/>
      <c r="ZY92" s="3"/>
      <c r="ZZ92" s="3"/>
    </row>
    <row r="93" spans="1:702" ht="36" customHeight="1">
      <c r="A93" s="200" t="s">
        <v>95</v>
      </c>
      <c r="B93" s="200" t="s">
        <v>202</v>
      </c>
      <c r="C93" s="200" t="s">
        <v>208</v>
      </c>
      <c r="D93" s="175" t="str">
        <f t="shared" si="3"/>
        <v/>
      </c>
      <c r="E93" s="201" t="str">
        <f t="array" ref="E93">IF(B93="","",IF(B93&lt;&gt;B92,SUMPRODUCT(($B$5:B93&lt;&gt;$B$4:B92)*($B$5:B93&lt;&gt;"")),""))</f>
        <v/>
      </c>
      <c r="F93" s="201" t="str">
        <f t="shared" si="4"/>
        <v/>
      </c>
      <c r="G93" s="201">
        <f t="shared" si="5"/>
        <v>6</v>
      </c>
      <c r="H93" s="175" t="str">
        <f t="shared" si="6"/>
        <v>先行検証運用・障害対応手順書の作成・レビュー</v>
      </c>
      <c r="I93" s="200"/>
      <c r="J93" s="200"/>
      <c r="K93" s="200"/>
      <c r="L93" s="176" t="str">
        <f t="shared" si="7"/>
        <v>【Salesforceデータ連携（1販社先行検証）】15-6_先行検証運用・障害対応設計_先行検証運用・障害対応手順書の作成・レビュー</v>
      </c>
      <c r="M93" s="202"/>
      <c r="N93" s="202"/>
      <c r="O93" s="167" t="s">
        <v>98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/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WZ93" s="3"/>
      <c r="XA93" s="3"/>
      <c r="XB93" s="3"/>
      <c r="XC93" s="3"/>
      <c r="XD93" s="3"/>
      <c r="XE93" s="3"/>
      <c r="XF93" s="3"/>
      <c r="XG93" s="3"/>
      <c r="XH93" s="3"/>
      <c r="XI93" s="3"/>
      <c r="XJ93" s="3"/>
      <c r="XK93" s="3"/>
      <c r="XL93" s="3"/>
      <c r="XM93" s="3"/>
      <c r="XN93" s="3"/>
      <c r="XO93" s="3"/>
      <c r="XP93" s="3"/>
      <c r="XQ93" s="3"/>
      <c r="XR93" s="3"/>
      <c r="XS93" s="3"/>
      <c r="XT93" s="3"/>
      <c r="XU93" s="3"/>
      <c r="XV93" s="3"/>
      <c r="XW93" s="3"/>
      <c r="XX93" s="3"/>
      <c r="XY93" s="3"/>
      <c r="XZ93" s="3"/>
      <c r="YA93" s="3"/>
      <c r="YB93" s="3"/>
      <c r="YC93" s="3"/>
      <c r="YD93" s="3"/>
      <c r="YE93" s="3"/>
      <c r="YF93" s="3"/>
      <c r="YG93" s="3"/>
      <c r="YH93" s="3"/>
      <c r="YI93" s="3"/>
      <c r="YJ93" s="3"/>
      <c r="YK93" s="3"/>
      <c r="YL93" s="3"/>
      <c r="YM93" s="3"/>
      <c r="YN93" s="3"/>
      <c r="YO93" s="3"/>
      <c r="YP93" s="3"/>
      <c r="YQ93" s="3"/>
      <c r="YR93" s="3"/>
      <c r="YS93" s="3"/>
      <c r="YT93" s="3"/>
      <c r="YU93" s="3"/>
      <c r="YV93" s="3"/>
      <c r="YW93" s="3"/>
      <c r="YX93" s="3"/>
      <c r="YY93" s="3"/>
      <c r="YZ93" s="3"/>
      <c r="ZA93" s="3"/>
      <c r="ZB93" s="3"/>
      <c r="ZC93" s="3"/>
      <c r="ZD93" s="3"/>
      <c r="ZE93" s="3"/>
      <c r="ZF93" s="3"/>
      <c r="ZG93" s="3"/>
      <c r="ZH93" s="3"/>
      <c r="ZI93" s="3"/>
      <c r="ZJ93" s="3"/>
      <c r="ZK93" s="3"/>
      <c r="ZL93" s="3"/>
      <c r="ZM93" s="3"/>
      <c r="ZN93" s="3"/>
      <c r="ZO93" s="3"/>
      <c r="ZP93" s="3"/>
      <c r="ZQ93" s="3"/>
      <c r="ZR93" s="3"/>
      <c r="ZS93" s="3"/>
      <c r="ZT93" s="3"/>
      <c r="ZU93" s="3"/>
      <c r="ZV93" s="3"/>
      <c r="ZW93" s="3"/>
      <c r="ZX93" s="3"/>
      <c r="ZY93" s="3"/>
      <c r="ZZ93" s="3"/>
    </row>
    <row r="94" spans="1:702" ht="39.75" customHeight="1">
      <c r="A94" s="197" t="s">
        <v>95</v>
      </c>
      <c r="B94" s="197" t="s">
        <v>209</v>
      </c>
      <c r="C94" s="197" t="s">
        <v>210</v>
      </c>
      <c r="D94" s="197" t="str">
        <f t="shared" si="3"/>
        <v/>
      </c>
      <c r="E94" s="198">
        <f t="array" ref="E94">IF(B94="","",IF(B94&lt;&gt;B93,SUMPRODUCT(($B$5:B94&lt;&gt;$B$4:B93)*($B$5:B94&lt;&gt;"")),""))</f>
        <v>16</v>
      </c>
      <c r="F94" s="198" t="str">
        <f t="shared" si="4"/>
        <v>号口反映・後続展開（条件付き）</v>
      </c>
      <c r="G94" s="198">
        <f t="shared" si="5"/>
        <v>1</v>
      </c>
      <c r="H94" s="164" t="str">
        <f t="shared" si="6"/>
        <v>号口反映・後続展開の実施可否判定と計画作成</v>
      </c>
      <c r="I94" s="197"/>
      <c r="J94" s="197"/>
      <c r="K94" s="197"/>
      <c r="L94" s="165" t="str">
        <f t="shared" si="7"/>
        <v>【Salesforceデータ連携（1販社先行検証）】16-1_号口反映・後続展開（条件付き）_号口反映・後続展開の実施可否判定と計画作成</v>
      </c>
      <c r="M94" s="199"/>
      <c r="N94" s="199"/>
      <c r="O94" s="167" t="s">
        <v>98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  <c r="IY94" s="3"/>
      <c r="IZ94" s="3"/>
      <c r="JA94" s="3"/>
      <c r="JB94" s="3"/>
      <c r="JC94" s="3"/>
      <c r="JD94" s="3"/>
      <c r="JE94" s="3"/>
      <c r="JF94" s="3"/>
      <c r="JG94" s="3"/>
      <c r="JH94" s="3"/>
      <c r="JI94" s="3"/>
      <c r="JJ94" s="3"/>
      <c r="JK94" s="3"/>
      <c r="JL94" s="3"/>
      <c r="JM94" s="3"/>
      <c r="JN94" s="3"/>
      <c r="JO94" s="3"/>
      <c r="JP94" s="3"/>
      <c r="JQ94" s="3"/>
      <c r="JR94" s="3"/>
      <c r="JS94" s="3"/>
      <c r="JT94" s="3"/>
      <c r="JU94" s="3"/>
      <c r="JV94" s="3"/>
      <c r="JW94" s="3"/>
      <c r="JX94" s="3"/>
      <c r="JY94" s="3"/>
      <c r="JZ94" s="3"/>
      <c r="KA94" s="3"/>
      <c r="KB94" s="3"/>
      <c r="KC94" s="3"/>
      <c r="KD94" s="3"/>
      <c r="KE94" s="3"/>
      <c r="KF94" s="3"/>
      <c r="KG94" s="3"/>
      <c r="KH94" s="3"/>
      <c r="KI94" s="3"/>
      <c r="KJ94" s="3"/>
      <c r="KK94" s="3"/>
      <c r="KL94" s="3"/>
      <c r="KM94" s="3"/>
      <c r="KN94" s="3"/>
      <c r="KO94" s="3"/>
      <c r="KP94" s="3"/>
      <c r="KQ94" s="3"/>
      <c r="KR94" s="3"/>
      <c r="KS94" s="3"/>
      <c r="KT94" s="3"/>
      <c r="KU94" s="3"/>
      <c r="KV94" s="3"/>
      <c r="KW94" s="3"/>
      <c r="KX94" s="3"/>
      <c r="KY94" s="3"/>
      <c r="KZ94" s="3"/>
      <c r="LA94" s="3"/>
      <c r="LB94" s="3"/>
      <c r="LC94" s="3"/>
      <c r="LD94" s="3"/>
      <c r="LE94" s="3"/>
      <c r="LF94" s="3"/>
      <c r="LG94" s="3"/>
      <c r="LH94" s="3"/>
      <c r="LI94" s="3"/>
      <c r="LJ94" s="3"/>
      <c r="LK94" s="3"/>
      <c r="LL94" s="3"/>
      <c r="LM94" s="3"/>
      <c r="LN94" s="3"/>
      <c r="LO94" s="3"/>
      <c r="LP94" s="3"/>
      <c r="LQ94" s="3"/>
      <c r="LR94" s="3"/>
      <c r="LS94" s="3"/>
      <c r="LT94" s="3"/>
      <c r="LU94" s="3"/>
      <c r="LV94" s="3"/>
      <c r="LW94" s="3"/>
      <c r="LX94" s="3"/>
      <c r="LY94" s="3"/>
      <c r="LZ94" s="3"/>
      <c r="MA94" s="3"/>
      <c r="MB94" s="3"/>
      <c r="MC94" s="3"/>
      <c r="MD94" s="3"/>
      <c r="ME94" s="3"/>
      <c r="MF94" s="3"/>
      <c r="MG94" s="3"/>
      <c r="MH94" s="3"/>
      <c r="MI94" s="3"/>
      <c r="MJ94" s="3"/>
      <c r="MK94" s="3"/>
      <c r="ML94" s="3"/>
      <c r="MM94" s="3"/>
      <c r="MN94" s="3"/>
      <c r="MO94" s="3"/>
      <c r="MP94" s="3"/>
      <c r="MQ94" s="3"/>
      <c r="MR94" s="3"/>
      <c r="MS94" s="3"/>
      <c r="MT94" s="3"/>
      <c r="MU94" s="3"/>
      <c r="MV94" s="3"/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E94" s="3"/>
      <c r="RF94" s="3"/>
      <c r="RG94" s="3"/>
      <c r="RH94" s="3"/>
      <c r="RI94" s="3"/>
      <c r="RJ94" s="3"/>
      <c r="RK94" s="3"/>
      <c r="RL94" s="3"/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/>
      <c r="SF94" s="3"/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/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WP94" s="3"/>
      <c r="WQ94" s="3"/>
      <c r="WR94" s="3"/>
      <c r="WS94" s="3"/>
      <c r="WT94" s="3"/>
      <c r="WU94" s="3"/>
      <c r="WV94" s="3"/>
      <c r="WW94" s="3"/>
      <c r="WX94" s="3"/>
      <c r="WY94" s="3"/>
      <c r="WZ94" s="3"/>
      <c r="XA94" s="3"/>
      <c r="XB94" s="3"/>
      <c r="XC94" s="3"/>
      <c r="XD94" s="3"/>
      <c r="XE94" s="3"/>
      <c r="XF94" s="3"/>
      <c r="XG94" s="3"/>
      <c r="XH94" s="3"/>
      <c r="XI94" s="3"/>
      <c r="XJ94" s="3"/>
      <c r="XK94" s="3"/>
      <c r="XL94" s="3"/>
      <c r="XM94" s="3"/>
      <c r="XN94" s="3"/>
      <c r="XO94" s="3"/>
      <c r="XP94" s="3"/>
      <c r="XQ94" s="3"/>
      <c r="XR94" s="3"/>
      <c r="XS94" s="3"/>
      <c r="XT94" s="3"/>
      <c r="XU94" s="3"/>
      <c r="XV94" s="3"/>
      <c r="XW94" s="3"/>
      <c r="XX94" s="3"/>
      <c r="XY94" s="3"/>
      <c r="XZ94" s="3"/>
      <c r="YA94" s="3"/>
      <c r="YB94" s="3"/>
      <c r="YC94" s="3"/>
      <c r="YD94" s="3"/>
      <c r="YE94" s="3"/>
      <c r="YF94" s="3"/>
      <c r="YG94" s="3"/>
      <c r="YH94" s="3"/>
      <c r="YI94" s="3"/>
      <c r="YJ94" s="3"/>
      <c r="YK94" s="3"/>
      <c r="YL94" s="3"/>
      <c r="YM94" s="3"/>
      <c r="YN94" s="3"/>
      <c r="YO94" s="3"/>
      <c r="YP94" s="3"/>
      <c r="YQ94" s="3"/>
      <c r="YR94" s="3"/>
      <c r="YS94" s="3"/>
      <c r="YT94" s="3"/>
      <c r="YU94" s="3"/>
      <c r="YV94" s="3"/>
      <c r="YW94" s="3"/>
      <c r="YX94" s="3"/>
      <c r="YY94" s="3"/>
      <c r="YZ94" s="3"/>
      <c r="ZA94" s="3"/>
      <c r="ZB94" s="3"/>
      <c r="ZC94" s="3"/>
      <c r="ZD94" s="3"/>
      <c r="ZE94" s="3"/>
      <c r="ZF94" s="3"/>
      <c r="ZG94" s="3"/>
      <c r="ZH94" s="3"/>
      <c r="ZI94" s="3"/>
      <c r="ZJ94" s="3"/>
      <c r="ZK94" s="3"/>
      <c r="ZL94" s="3"/>
      <c r="ZM94" s="3"/>
      <c r="ZN94" s="3"/>
      <c r="ZO94" s="3"/>
      <c r="ZP94" s="3"/>
      <c r="ZQ94" s="3"/>
      <c r="ZR94" s="3"/>
      <c r="ZS94" s="3"/>
      <c r="ZT94" s="3"/>
      <c r="ZU94" s="3"/>
      <c r="ZV94" s="3"/>
      <c r="ZW94" s="3"/>
      <c r="ZX94" s="3"/>
      <c r="ZY94" s="3"/>
      <c r="ZZ94" s="3"/>
    </row>
    <row r="95" spans="1:702" ht="36" customHeight="1">
      <c r="A95" s="200" t="s">
        <v>95</v>
      </c>
      <c r="B95" s="200" t="s">
        <v>209</v>
      </c>
      <c r="C95" s="200" t="s">
        <v>211</v>
      </c>
      <c r="D95" s="175" t="str">
        <f t="shared" si="3"/>
        <v/>
      </c>
      <c r="E95" s="201" t="str">
        <f t="array" ref="E95">IF(B95="","",IF(B95&lt;&gt;B94,SUMPRODUCT(($B$5:B95&lt;&gt;$B$4:B94)*($B$5:B95&lt;&gt;"")),""))</f>
        <v/>
      </c>
      <c r="F95" s="201" t="str">
        <f t="shared" si="4"/>
        <v/>
      </c>
      <c r="G95" s="201">
        <f t="shared" si="5"/>
        <v>2</v>
      </c>
      <c r="H95" s="175" t="str">
        <f t="shared" si="6"/>
        <v>号口反映時の切り戻し・Recovery手順作成</v>
      </c>
      <c r="I95" s="200"/>
      <c r="J95" s="200"/>
      <c r="K95" s="200"/>
      <c r="L95" s="176" t="str">
        <f t="shared" si="7"/>
        <v>【Salesforceデータ連携（1販社先行検証）】16-2_号口反映・後続展開（条件付き）_号口反映時の切り戻し・Recovery手順作成</v>
      </c>
      <c r="M95" s="202"/>
      <c r="N95" s="202"/>
      <c r="O95" s="167" t="s">
        <v>98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WZ95" s="3"/>
      <c r="XA95" s="3"/>
      <c r="XB95" s="3"/>
      <c r="XC95" s="3"/>
      <c r="XD95" s="3"/>
      <c r="XE95" s="3"/>
      <c r="XF95" s="3"/>
      <c r="XG95" s="3"/>
      <c r="XH95" s="3"/>
      <c r="XI95" s="3"/>
      <c r="XJ95" s="3"/>
      <c r="XK95" s="3"/>
      <c r="XL95" s="3"/>
      <c r="XM95" s="3"/>
      <c r="XN95" s="3"/>
      <c r="XO95" s="3"/>
      <c r="XP95" s="3"/>
      <c r="XQ95" s="3"/>
      <c r="XR95" s="3"/>
      <c r="XS95" s="3"/>
      <c r="XT95" s="3"/>
      <c r="XU95" s="3"/>
      <c r="XV95" s="3"/>
      <c r="XW95" s="3"/>
      <c r="XX95" s="3"/>
      <c r="XY95" s="3"/>
      <c r="XZ95" s="3"/>
      <c r="YA95" s="3"/>
      <c r="YB95" s="3"/>
      <c r="YC95" s="3"/>
      <c r="YD95" s="3"/>
      <c r="YE95" s="3"/>
      <c r="YF95" s="3"/>
      <c r="YG95" s="3"/>
      <c r="YH95" s="3"/>
      <c r="YI95" s="3"/>
      <c r="YJ95" s="3"/>
      <c r="YK95" s="3"/>
      <c r="YL95" s="3"/>
      <c r="YM95" s="3"/>
      <c r="YN95" s="3"/>
      <c r="YO95" s="3"/>
      <c r="YP95" s="3"/>
      <c r="YQ95" s="3"/>
      <c r="YR95" s="3"/>
      <c r="YS95" s="3"/>
      <c r="YT95" s="3"/>
      <c r="YU95" s="3"/>
      <c r="YV95" s="3"/>
      <c r="YW95" s="3"/>
      <c r="YX95" s="3"/>
      <c r="YY95" s="3"/>
      <c r="YZ95" s="3"/>
      <c r="ZA95" s="3"/>
      <c r="ZB95" s="3"/>
      <c r="ZC95" s="3"/>
      <c r="ZD95" s="3"/>
      <c r="ZE95" s="3"/>
      <c r="ZF95" s="3"/>
      <c r="ZG95" s="3"/>
      <c r="ZH95" s="3"/>
      <c r="ZI95" s="3"/>
      <c r="ZJ95" s="3"/>
      <c r="ZK95" s="3"/>
      <c r="ZL95" s="3"/>
      <c r="ZM95" s="3"/>
      <c r="ZN95" s="3"/>
      <c r="ZO95" s="3"/>
      <c r="ZP95" s="3"/>
      <c r="ZQ95" s="3"/>
      <c r="ZR95" s="3"/>
      <c r="ZS95" s="3"/>
      <c r="ZT95" s="3"/>
      <c r="ZU95" s="3"/>
      <c r="ZV95" s="3"/>
      <c r="ZW95" s="3"/>
      <c r="ZX95" s="3"/>
      <c r="ZY95" s="3"/>
      <c r="ZZ95" s="3"/>
    </row>
    <row r="96" spans="1:702" ht="36" customHeight="1">
      <c r="A96" s="200" t="s">
        <v>95</v>
      </c>
      <c r="B96" s="200" t="s">
        <v>209</v>
      </c>
      <c r="C96" s="200" t="s">
        <v>212</v>
      </c>
      <c r="D96" s="175" t="str">
        <f t="shared" si="3"/>
        <v/>
      </c>
      <c r="E96" s="201" t="str">
        <f t="array" ref="E96">IF(B96="","",IF(B96&lt;&gt;B95,SUMPRODUCT(($B$5:B96&lt;&gt;$B$4:B95)*($B$5:B96&lt;&gt;"")),""))</f>
        <v/>
      </c>
      <c r="F96" s="201" t="str">
        <f t="shared" si="4"/>
        <v/>
      </c>
      <c r="G96" s="201">
        <f t="shared" si="5"/>
        <v>3</v>
      </c>
      <c r="H96" s="175" t="str">
        <f t="shared" si="6"/>
        <v>号口環境Credential・Connection設定（条件付き）</v>
      </c>
      <c r="I96" s="200"/>
      <c r="J96" s="200"/>
      <c r="K96" s="200"/>
      <c r="L96" s="176" t="str">
        <f t="shared" si="7"/>
        <v>【Salesforceデータ連携（1販社先行検証）】16-3_号口反映・後続展開（条件付き）_号口環境Credential・Connection設定（条件付き）</v>
      </c>
      <c r="M96" s="202"/>
      <c r="N96" s="202"/>
      <c r="O96" s="167" t="s">
        <v>98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  <c r="TF96" s="3"/>
      <c r="TG96" s="3"/>
      <c r="TH96" s="3"/>
      <c r="TI96" s="3"/>
      <c r="TJ96" s="3"/>
      <c r="TK96" s="3"/>
      <c r="TL96" s="3"/>
      <c r="TM96" s="3"/>
      <c r="TN96" s="3"/>
      <c r="TO96" s="3"/>
      <c r="TP96" s="3"/>
      <c r="TQ96" s="3"/>
      <c r="TR96" s="3"/>
      <c r="TS96" s="3"/>
      <c r="TT96" s="3"/>
      <c r="TU96" s="3"/>
      <c r="TV96" s="3"/>
      <c r="TW96" s="3"/>
      <c r="TX96" s="3"/>
      <c r="TY96" s="3"/>
      <c r="TZ96" s="3"/>
      <c r="UA96" s="3"/>
      <c r="UB96" s="3"/>
      <c r="UC96" s="3"/>
      <c r="UD96" s="3"/>
      <c r="UE96" s="3"/>
      <c r="UF96" s="3"/>
      <c r="UG96" s="3"/>
      <c r="UH96" s="3"/>
      <c r="UI96" s="3"/>
      <c r="UJ96" s="3"/>
      <c r="UK96" s="3"/>
      <c r="UL96" s="3"/>
      <c r="UM96" s="3"/>
      <c r="UN96" s="3"/>
      <c r="UO96" s="3"/>
      <c r="UP96" s="3"/>
      <c r="UQ96" s="3"/>
      <c r="UR96" s="3"/>
      <c r="US96" s="3"/>
      <c r="UT96" s="3"/>
      <c r="UU96" s="3"/>
      <c r="UV96" s="3"/>
      <c r="UW96" s="3"/>
      <c r="UX96" s="3"/>
      <c r="UY96" s="3"/>
      <c r="UZ96" s="3"/>
      <c r="VA96" s="3"/>
      <c r="VB96" s="3"/>
      <c r="VC96" s="3"/>
      <c r="VD96" s="3"/>
      <c r="VE96" s="3"/>
      <c r="VF96" s="3"/>
      <c r="VG96" s="3"/>
      <c r="VH96" s="3"/>
      <c r="VI96" s="3"/>
      <c r="VJ96" s="3"/>
      <c r="VK96" s="3"/>
      <c r="VL96" s="3"/>
      <c r="VM96" s="3"/>
      <c r="VN96" s="3"/>
      <c r="VO96" s="3"/>
      <c r="VP96" s="3"/>
      <c r="VQ96" s="3"/>
      <c r="VR96" s="3"/>
      <c r="VS96" s="3"/>
      <c r="VT96" s="3"/>
      <c r="VU96" s="3"/>
      <c r="VV96" s="3"/>
      <c r="VW96" s="3"/>
      <c r="VX96" s="3"/>
      <c r="VY96" s="3"/>
      <c r="VZ96" s="3"/>
      <c r="WA96" s="3"/>
      <c r="WB96" s="3"/>
      <c r="WC96" s="3"/>
      <c r="WD96" s="3"/>
      <c r="WE96" s="3"/>
      <c r="WF96" s="3"/>
      <c r="WG96" s="3"/>
      <c r="WH96" s="3"/>
      <c r="WI96" s="3"/>
      <c r="WJ96" s="3"/>
      <c r="WK96" s="3"/>
      <c r="WL96" s="3"/>
      <c r="WM96" s="3"/>
      <c r="WN96" s="3"/>
      <c r="WO96" s="3"/>
      <c r="WP96" s="3"/>
      <c r="WQ96" s="3"/>
      <c r="WR96" s="3"/>
      <c r="WS96" s="3"/>
      <c r="WT96" s="3"/>
      <c r="WU96" s="3"/>
      <c r="WV96" s="3"/>
      <c r="WW96" s="3"/>
      <c r="WX96" s="3"/>
      <c r="WY96" s="3"/>
      <c r="WZ96" s="3"/>
      <c r="XA96" s="3"/>
      <c r="XB96" s="3"/>
      <c r="XC96" s="3"/>
      <c r="XD96" s="3"/>
      <c r="XE96" s="3"/>
      <c r="XF96" s="3"/>
      <c r="XG96" s="3"/>
      <c r="XH96" s="3"/>
      <c r="XI96" s="3"/>
      <c r="XJ96" s="3"/>
      <c r="XK96" s="3"/>
      <c r="XL96" s="3"/>
      <c r="XM96" s="3"/>
      <c r="XN96" s="3"/>
      <c r="XO96" s="3"/>
      <c r="XP96" s="3"/>
      <c r="XQ96" s="3"/>
      <c r="XR96" s="3"/>
      <c r="XS96" s="3"/>
      <c r="XT96" s="3"/>
      <c r="XU96" s="3"/>
      <c r="XV96" s="3"/>
      <c r="XW96" s="3"/>
      <c r="XX96" s="3"/>
      <c r="XY96" s="3"/>
      <c r="XZ96" s="3"/>
      <c r="YA96" s="3"/>
      <c r="YB96" s="3"/>
      <c r="YC96" s="3"/>
      <c r="YD96" s="3"/>
      <c r="YE96" s="3"/>
      <c r="YF96" s="3"/>
      <c r="YG96" s="3"/>
      <c r="YH96" s="3"/>
      <c r="YI96" s="3"/>
      <c r="YJ96" s="3"/>
      <c r="YK96" s="3"/>
      <c r="YL96" s="3"/>
      <c r="YM96" s="3"/>
      <c r="YN96" s="3"/>
      <c r="YO96" s="3"/>
      <c r="YP96" s="3"/>
      <c r="YQ96" s="3"/>
      <c r="YR96" s="3"/>
      <c r="YS96" s="3"/>
      <c r="YT96" s="3"/>
      <c r="YU96" s="3"/>
      <c r="YV96" s="3"/>
      <c r="YW96" s="3"/>
      <c r="YX96" s="3"/>
      <c r="YY96" s="3"/>
      <c r="YZ96" s="3"/>
      <c r="ZA96" s="3"/>
      <c r="ZB96" s="3"/>
      <c r="ZC96" s="3"/>
      <c r="ZD96" s="3"/>
      <c r="ZE96" s="3"/>
      <c r="ZF96" s="3"/>
      <c r="ZG96" s="3"/>
      <c r="ZH96" s="3"/>
      <c r="ZI96" s="3"/>
      <c r="ZJ96" s="3"/>
      <c r="ZK96" s="3"/>
      <c r="ZL96" s="3"/>
      <c r="ZM96" s="3"/>
      <c r="ZN96" s="3"/>
      <c r="ZO96" s="3"/>
      <c r="ZP96" s="3"/>
      <c r="ZQ96" s="3"/>
      <c r="ZR96" s="3"/>
      <c r="ZS96" s="3"/>
      <c r="ZT96" s="3"/>
      <c r="ZU96" s="3"/>
      <c r="ZV96" s="3"/>
      <c r="ZW96" s="3"/>
      <c r="ZX96" s="3"/>
      <c r="ZY96" s="3"/>
      <c r="ZZ96" s="3"/>
    </row>
    <row r="97" spans="1:702" ht="36" customHeight="1">
      <c r="A97" s="200" t="s">
        <v>95</v>
      </c>
      <c r="B97" s="200" t="s">
        <v>209</v>
      </c>
      <c r="C97" s="200" t="s">
        <v>213</v>
      </c>
      <c r="D97" s="175" t="str">
        <f t="shared" si="3"/>
        <v/>
      </c>
      <c r="E97" s="201" t="str">
        <f t="array" ref="E97">IF(B97="","",IF(B97&lt;&gt;B96,SUMPRODUCT(($B$5:B97&lt;&gt;$B$4:B96)*($B$5:B97&lt;&gt;"")),""))</f>
        <v/>
      </c>
      <c r="F97" s="201" t="str">
        <f t="shared" si="4"/>
        <v/>
      </c>
      <c r="G97" s="201">
        <f t="shared" si="5"/>
        <v>4</v>
      </c>
      <c r="H97" s="175" t="str">
        <f t="shared" si="6"/>
        <v>NiFi連携・Kudu参照用TB保存処理の号口反映（条件付き）</v>
      </c>
      <c r="I97" s="200"/>
      <c r="J97" s="200"/>
      <c r="K97" s="200"/>
      <c r="L97" s="176" t="str">
        <f t="shared" si="7"/>
        <v>【Salesforceデータ連携（1販社先行検証）】16-4_号口反映・後続展開（条件付き）_NiFi連携・Kudu参照用TB保存処理の号口反映（条件付き）</v>
      </c>
      <c r="M97" s="202"/>
      <c r="N97" s="202"/>
      <c r="O97" s="167" t="s">
        <v>98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  <c r="IY97" s="3"/>
      <c r="IZ97" s="3"/>
      <c r="JA97" s="3"/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3"/>
      <c r="JM97" s="3"/>
      <c r="JN97" s="3"/>
      <c r="JO97" s="3"/>
      <c r="JP97" s="3"/>
      <c r="JQ97" s="3"/>
      <c r="JR97" s="3"/>
      <c r="JS97" s="3"/>
      <c r="JT97" s="3"/>
      <c r="JU97" s="3"/>
      <c r="JV97" s="3"/>
      <c r="JW97" s="3"/>
      <c r="JX97" s="3"/>
      <c r="JY97" s="3"/>
      <c r="JZ97" s="3"/>
      <c r="KA97" s="3"/>
      <c r="KB97" s="3"/>
      <c r="KC97" s="3"/>
      <c r="KD97" s="3"/>
      <c r="KE97" s="3"/>
      <c r="KF97" s="3"/>
      <c r="KG97" s="3"/>
      <c r="KH97" s="3"/>
      <c r="KI97" s="3"/>
      <c r="KJ97" s="3"/>
      <c r="KK97" s="3"/>
      <c r="KL97" s="3"/>
      <c r="KM97" s="3"/>
      <c r="KN97" s="3"/>
      <c r="KO97" s="3"/>
      <c r="KP97" s="3"/>
      <c r="KQ97" s="3"/>
      <c r="KR97" s="3"/>
      <c r="KS97" s="3"/>
      <c r="KT97" s="3"/>
      <c r="KU97" s="3"/>
      <c r="KV97" s="3"/>
      <c r="KW97" s="3"/>
      <c r="KX97" s="3"/>
      <c r="KY97" s="3"/>
      <c r="KZ97" s="3"/>
      <c r="LA97" s="3"/>
      <c r="LB97" s="3"/>
      <c r="LC97" s="3"/>
      <c r="LD97" s="3"/>
      <c r="LE97" s="3"/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3"/>
      <c r="LQ97" s="3"/>
      <c r="LR97" s="3"/>
      <c r="LS97" s="3"/>
      <c r="LT97" s="3"/>
      <c r="LU97" s="3"/>
      <c r="LV97" s="3"/>
      <c r="LW97" s="3"/>
      <c r="LX97" s="3"/>
      <c r="LY97" s="3"/>
      <c r="LZ97" s="3"/>
      <c r="MA97" s="3"/>
      <c r="MB97" s="3"/>
      <c r="MC97" s="3"/>
      <c r="MD97" s="3"/>
      <c r="ME97" s="3"/>
      <c r="MF97" s="3"/>
      <c r="MG97" s="3"/>
      <c r="MH97" s="3"/>
      <c r="MI97" s="3"/>
      <c r="MJ97" s="3"/>
      <c r="MK97" s="3"/>
      <c r="ML97" s="3"/>
      <c r="MM97" s="3"/>
      <c r="MN97" s="3"/>
      <c r="MO97" s="3"/>
      <c r="MP97" s="3"/>
      <c r="MQ97" s="3"/>
      <c r="MR97" s="3"/>
      <c r="MS97" s="3"/>
      <c r="MT97" s="3"/>
      <c r="MU97" s="3"/>
      <c r="MV97" s="3"/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WZ97" s="3"/>
      <c r="XA97" s="3"/>
      <c r="XB97" s="3"/>
      <c r="XC97" s="3"/>
      <c r="XD97" s="3"/>
      <c r="XE97" s="3"/>
      <c r="XF97" s="3"/>
      <c r="XG97" s="3"/>
      <c r="XH97" s="3"/>
      <c r="XI97" s="3"/>
      <c r="XJ97" s="3"/>
      <c r="XK97" s="3"/>
      <c r="XL97" s="3"/>
      <c r="XM97" s="3"/>
      <c r="XN97" s="3"/>
      <c r="XO97" s="3"/>
      <c r="XP97" s="3"/>
      <c r="XQ97" s="3"/>
      <c r="XR97" s="3"/>
      <c r="XS97" s="3"/>
      <c r="XT97" s="3"/>
      <c r="XU97" s="3"/>
      <c r="XV97" s="3"/>
      <c r="XW97" s="3"/>
      <c r="XX97" s="3"/>
      <c r="XY97" s="3"/>
      <c r="XZ97" s="3"/>
      <c r="YA97" s="3"/>
      <c r="YB97" s="3"/>
      <c r="YC97" s="3"/>
      <c r="YD97" s="3"/>
      <c r="YE97" s="3"/>
      <c r="YF97" s="3"/>
      <c r="YG97" s="3"/>
      <c r="YH97" s="3"/>
      <c r="YI97" s="3"/>
      <c r="YJ97" s="3"/>
      <c r="YK97" s="3"/>
      <c r="YL97" s="3"/>
      <c r="YM97" s="3"/>
      <c r="YN97" s="3"/>
      <c r="YO97" s="3"/>
      <c r="YP97" s="3"/>
      <c r="YQ97" s="3"/>
      <c r="YR97" s="3"/>
      <c r="YS97" s="3"/>
      <c r="YT97" s="3"/>
      <c r="YU97" s="3"/>
      <c r="YV97" s="3"/>
      <c r="YW97" s="3"/>
      <c r="YX97" s="3"/>
      <c r="YY97" s="3"/>
      <c r="YZ97" s="3"/>
      <c r="ZA97" s="3"/>
      <c r="ZB97" s="3"/>
      <c r="ZC97" s="3"/>
      <c r="ZD97" s="3"/>
      <c r="ZE97" s="3"/>
      <c r="ZF97" s="3"/>
      <c r="ZG97" s="3"/>
      <c r="ZH97" s="3"/>
      <c r="ZI97" s="3"/>
      <c r="ZJ97" s="3"/>
      <c r="ZK97" s="3"/>
      <c r="ZL97" s="3"/>
      <c r="ZM97" s="3"/>
      <c r="ZN97" s="3"/>
      <c r="ZO97" s="3"/>
      <c r="ZP97" s="3"/>
      <c r="ZQ97" s="3"/>
      <c r="ZR97" s="3"/>
      <c r="ZS97" s="3"/>
      <c r="ZT97" s="3"/>
      <c r="ZU97" s="3"/>
      <c r="ZV97" s="3"/>
      <c r="ZW97" s="3"/>
      <c r="ZX97" s="3"/>
      <c r="ZY97" s="3"/>
      <c r="ZZ97" s="3"/>
    </row>
    <row r="98" spans="1:702" ht="36" customHeight="1">
      <c r="A98" s="200" t="s">
        <v>95</v>
      </c>
      <c r="B98" s="200" t="s">
        <v>209</v>
      </c>
      <c r="C98" s="200" t="s">
        <v>214</v>
      </c>
      <c r="D98" s="175" t="str">
        <f t="shared" si="3"/>
        <v/>
      </c>
      <c r="E98" s="201" t="str">
        <f t="array" ref="E98">IF(B98="","",IF(B98&lt;&gt;B97,SUMPRODUCT(($B$5:B98&lt;&gt;$B$4:B97)*($B$5:B98&lt;&gt;"")),""))</f>
        <v/>
      </c>
      <c r="F98" s="201" t="str">
        <f t="shared" si="4"/>
        <v/>
      </c>
      <c r="G98" s="201">
        <f t="shared" si="5"/>
        <v>5</v>
      </c>
      <c r="H98" s="175" t="str">
        <f t="shared" si="6"/>
        <v>号口環境での初回データ取得（条件付き）</v>
      </c>
      <c r="I98" s="200"/>
      <c r="J98" s="200"/>
      <c r="K98" s="200"/>
      <c r="L98" s="176" t="str">
        <f t="shared" si="7"/>
        <v>【Salesforceデータ連携（1販社先行検証）】16-5_号口反映・後続展開（条件付き）_号口環境での初回データ取得（条件付き）</v>
      </c>
      <c r="M98" s="202"/>
      <c r="N98" s="202"/>
      <c r="O98" s="167" t="s">
        <v>98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  <c r="TF98" s="3"/>
      <c r="TG98" s="3"/>
      <c r="TH98" s="3"/>
      <c r="TI98" s="3"/>
      <c r="TJ98" s="3"/>
      <c r="TK98" s="3"/>
      <c r="TL98" s="3"/>
      <c r="TM98" s="3"/>
      <c r="TN98" s="3"/>
      <c r="TO98" s="3"/>
      <c r="TP98" s="3"/>
      <c r="TQ98" s="3"/>
      <c r="TR98" s="3"/>
      <c r="TS98" s="3"/>
      <c r="TT98" s="3"/>
      <c r="TU98" s="3"/>
      <c r="TV98" s="3"/>
      <c r="TW98" s="3"/>
      <c r="TX98" s="3"/>
      <c r="TY98" s="3"/>
      <c r="TZ98" s="3"/>
      <c r="UA98" s="3"/>
      <c r="UB98" s="3"/>
      <c r="UC98" s="3"/>
      <c r="UD98" s="3"/>
      <c r="UE98" s="3"/>
      <c r="UF98" s="3"/>
      <c r="UG98" s="3"/>
      <c r="UH98" s="3"/>
      <c r="UI98" s="3"/>
      <c r="UJ98" s="3"/>
      <c r="UK98" s="3"/>
      <c r="UL98" s="3"/>
      <c r="UM98" s="3"/>
      <c r="UN98" s="3"/>
      <c r="UO98" s="3"/>
      <c r="UP98" s="3"/>
      <c r="UQ98" s="3"/>
      <c r="UR98" s="3"/>
      <c r="US98" s="3"/>
      <c r="UT98" s="3"/>
      <c r="UU98" s="3"/>
      <c r="UV98" s="3"/>
      <c r="UW98" s="3"/>
      <c r="UX98" s="3"/>
      <c r="UY98" s="3"/>
      <c r="UZ98" s="3"/>
      <c r="VA98" s="3"/>
      <c r="VB98" s="3"/>
      <c r="VC98" s="3"/>
      <c r="VD98" s="3"/>
      <c r="VE98" s="3"/>
      <c r="VF98" s="3"/>
      <c r="VG98" s="3"/>
      <c r="VH98" s="3"/>
      <c r="VI98" s="3"/>
      <c r="VJ98" s="3"/>
      <c r="VK98" s="3"/>
      <c r="VL98" s="3"/>
      <c r="VM98" s="3"/>
      <c r="VN98" s="3"/>
      <c r="VO98" s="3"/>
      <c r="VP98" s="3"/>
      <c r="VQ98" s="3"/>
      <c r="VR98" s="3"/>
      <c r="VS98" s="3"/>
      <c r="VT98" s="3"/>
      <c r="VU98" s="3"/>
      <c r="VV98" s="3"/>
      <c r="VW98" s="3"/>
      <c r="VX98" s="3"/>
      <c r="VY98" s="3"/>
      <c r="VZ98" s="3"/>
      <c r="WA98" s="3"/>
      <c r="WB98" s="3"/>
      <c r="WC98" s="3"/>
      <c r="WD98" s="3"/>
      <c r="WE98" s="3"/>
      <c r="WF98" s="3"/>
      <c r="WG98" s="3"/>
      <c r="WH98" s="3"/>
      <c r="WI98" s="3"/>
      <c r="WJ98" s="3"/>
      <c r="WK98" s="3"/>
      <c r="WL98" s="3"/>
      <c r="WM98" s="3"/>
      <c r="WN98" s="3"/>
      <c r="WO98" s="3"/>
      <c r="WP98" s="3"/>
      <c r="WQ98" s="3"/>
      <c r="WR98" s="3"/>
      <c r="WS98" s="3"/>
      <c r="WT98" s="3"/>
      <c r="WU98" s="3"/>
      <c r="WV98" s="3"/>
      <c r="WW98" s="3"/>
      <c r="WX98" s="3"/>
      <c r="WY98" s="3"/>
      <c r="WZ98" s="3"/>
      <c r="XA98" s="3"/>
      <c r="XB98" s="3"/>
      <c r="XC98" s="3"/>
      <c r="XD98" s="3"/>
      <c r="XE98" s="3"/>
      <c r="XF98" s="3"/>
      <c r="XG98" s="3"/>
      <c r="XH98" s="3"/>
      <c r="XI98" s="3"/>
      <c r="XJ98" s="3"/>
      <c r="XK98" s="3"/>
      <c r="XL98" s="3"/>
      <c r="XM98" s="3"/>
      <c r="XN98" s="3"/>
      <c r="XO98" s="3"/>
      <c r="XP98" s="3"/>
      <c r="XQ98" s="3"/>
      <c r="XR98" s="3"/>
      <c r="XS98" s="3"/>
      <c r="XT98" s="3"/>
      <c r="XU98" s="3"/>
      <c r="XV98" s="3"/>
      <c r="XW98" s="3"/>
      <c r="XX98" s="3"/>
      <c r="XY98" s="3"/>
      <c r="XZ98" s="3"/>
      <c r="YA98" s="3"/>
      <c r="YB98" s="3"/>
      <c r="YC98" s="3"/>
      <c r="YD98" s="3"/>
      <c r="YE98" s="3"/>
      <c r="YF98" s="3"/>
      <c r="YG98" s="3"/>
      <c r="YH98" s="3"/>
      <c r="YI98" s="3"/>
      <c r="YJ98" s="3"/>
      <c r="YK98" s="3"/>
      <c r="YL98" s="3"/>
      <c r="YM98" s="3"/>
      <c r="YN98" s="3"/>
      <c r="YO98" s="3"/>
      <c r="YP98" s="3"/>
      <c r="YQ98" s="3"/>
      <c r="YR98" s="3"/>
      <c r="YS98" s="3"/>
      <c r="YT98" s="3"/>
      <c r="YU98" s="3"/>
      <c r="YV98" s="3"/>
      <c r="YW98" s="3"/>
      <c r="YX98" s="3"/>
      <c r="YY98" s="3"/>
      <c r="YZ98" s="3"/>
      <c r="ZA98" s="3"/>
      <c r="ZB98" s="3"/>
      <c r="ZC98" s="3"/>
      <c r="ZD98" s="3"/>
      <c r="ZE98" s="3"/>
      <c r="ZF98" s="3"/>
      <c r="ZG98" s="3"/>
      <c r="ZH98" s="3"/>
      <c r="ZI98" s="3"/>
      <c r="ZJ98" s="3"/>
      <c r="ZK98" s="3"/>
      <c r="ZL98" s="3"/>
      <c r="ZM98" s="3"/>
      <c r="ZN98" s="3"/>
      <c r="ZO98" s="3"/>
      <c r="ZP98" s="3"/>
      <c r="ZQ98" s="3"/>
      <c r="ZR98" s="3"/>
      <c r="ZS98" s="3"/>
      <c r="ZT98" s="3"/>
      <c r="ZU98" s="3"/>
      <c r="ZV98" s="3"/>
      <c r="ZW98" s="3"/>
      <c r="ZX98" s="3"/>
      <c r="ZY98" s="3"/>
      <c r="ZZ98" s="3"/>
    </row>
    <row r="99" spans="1:702" ht="36" customHeight="1">
      <c r="A99" s="200" t="s">
        <v>95</v>
      </c>
      <c r="B99" s="200" t="s">
        <v>209</v>
      </c>
      <c r="C99" s="200" t="s">
        <v>215</v>
      </c>
      <c r="D99" s="175" t="str">
        <f t="shared" si="3"/>
        <v/>
      </c>
      <c r="E99" s="201" t="str">
        <f t="array" ref="E99">IF(B99="","",IF(B99&lt;&gt;B98,SUMPRODUCT(($B$5:B99&lt;&gt;$B$4:B98)*($B$5:B99&lt;&gt;"")),""))</f>
        <v/>
      </c>
      <c r="F99" s="201" t="str">
        <f t="shared" si="4"/>
        <v/>
      </c>
      <c r="G99" s="201">
        <f t="shared" si="5"/>
        <v>6</v>
      </c>
      <c r="H99" s="175" t="str">
        <f t="shared" si="6"/>
        <v>号口Kudu参照用TBの件数・主要項目確認（条件付き）</v>
      </c>
      <c r="I99" s="200"/>
      <c r="J99" s="200"/>
      <c r="K99" s="200"/>
      <c r="L99" s="176" t="str">
        <f t="shared" si="7"/>
        <v>【Salesforceデータ連携（1販社先行検証）】16-6_号口反映・後続展開（条件付き）_号口Kudu参照用TBの件数・主要項目確認（条件付き）</v>
      </c>
      <c r="M99" s="202"/>
      <c r="N99" s="202"/>
      <c r="O99" s="167" t="s">
        <v>98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  <c r="IY99" s="3"/>
      <c r="IZ99" s="3"/>
      <c r="JA99" s="3"/>
      <c r="JB99" s="3"/>
      <c r="JC99" s="3"/>
      <c r="JD99" s="3"/>
      <c r="JE99" s="3"/>
      <c r="JF99" s="3"/>
      <c r="JG99" s="3"/>
      <c r="JH99" s="3"/>
      <c r="JI99" s="3"/>
      <c r="JJ99" s="3"/>
      <c r="JK99" s="3"/>
      <c r="JL99" s="3"/>
      <c r="JM99" s="3"/>
      <c r="JN99" s="3"/>
      <c r="JO99" s="3"/>
      <c r="JP99" s="3"/>
      <c r="JQ99" s="3"/>
      <c r="JR99" s="3"/>
      <c r="JS99" s="3"/>
      <c r="JT99" s="3"/>
      <c r="JU99" s="3"/>
      <c r="JV99" s="3"/>
      <c r="JW99" s="3"/>
      <c r="JX99" s="3"/>
      <c r="JY99" s="3"/>
      <c r="JZ99" s="3"/>
      <c r="KA99" s="3"/>
      <c r="KB99" s="3"/>
      <c r="KC99" s="3"/>
      <c r="KD99" s="3"/>
      <c r="KE99" s="3"/>
      <c r="KF99" s="3"/>
      <c r="KG99" s="3"/>
      <c r="KH99" s="3"/>
      <c r="KI99" s="3"/>
      <c r="KJ99" s="3"/>
      <c r="KK99" s="3"/>
      <c r="KL99" s="3"/>
      <c r="KM99" s="3"/>
      <c r="KN99" s="3"/>
      <c r="KO99" s="3"/>
      <c r="KP99" s="3"/>
      <c r="KQ99" s="3"/>
      <c r="KR99" s="3"/>
      <c r="KS99" s="3"/>
      <c r="KT99" s="3"/>
      <c r="KU99" s="3"/>
      <c r="KV99" s="3"/>
      <c r="KW99" s="3"/>
      <c r="KX99" s="3"/>
      <c r="KY99" s="3"/>
      <c r="KZ99" s="3"/>
      <c r="LA99" s="3"/>
      <c r="LB99" s="3"/>
      <c r="LC99" s="3"/>
      <c r="LD99" s="3"/>
      <c r="LE99" s="3"/>
      <c r="LF99" s="3"/>
      <c r="LG99" s="3"/>
      <c r="LH99" s="3"/>
      <c r="LI99" s="3"/>
      <c r="LJ99" s="3"/>
      <c r="LK99" s="3"/>
      <c r="LL99" s="3"/>
      <c r="LM99" s="3"/>
      <c r="LN99" s="3"/>
      <c r="LO99" s="3"/>
      <c r="LP99" s="3"/>
      <c r="LQ99" s="3"/>
      <c r="LR99" s="3"/>
      <c r="LS99" s="3"/>
      <c r="LT99" s="3"/>
      <c r="LU99" s="3"/>
      <c r="LV99" s="3"/>
      <c r="LW99" s="3"/>
      <c r="LX99" s="3"/>
      <c r="LY99" s="3"/>
      <c r="LZ99" s="3"/>
      <c r="MA99" s="3"/>
      <c r="MB99" s="3"/>
      <c r="MC99" s="3"/>
      <c r="MD99" s="3"/>
      <c r="ME99" s="3"/>
      <c r="MF99" s="3"/>
      <c r="MG99" s="3"/>
      <c r="MH99" s="3"/>
      <c r="MI99" s="3"/>
      <c r="MJ99" s="3"/>
      <c r="MK99" s="3"/>
      <c r="ML99" s="3"/>
      <c r="MM99" s="3"/>
      <c r="MN99" s="3"/>
      <c r="MO99" s="3"/>
      <c r="MP99" s="3"/>
      <c r="MQ99" s="3"/>
      <c r="MR99" s="3"/>
      <c r="MS99" s="3"/>
      <c r="MT99" s="3"/>
      <c r="MU99" s="3"/>
      <c r="MV99" s="3"/>
      <c r="MW99" s="3"/>
      <c r="MX99" s="3"/>
      <c r="MY99" s="3"/>
      <c r="MZ99" s="3"/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/>
      <c r="PD99" s="3"/>
      <c r="PE99" s="3"/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O99" s="3"/>
      <c r="RP99" s="3"/>
      <c r="RQ99" s="3"/>
      <c r="RR99" s="3"/>
      <c r="RS99" s="3"/>
      <c r="RT99" s="3"/>
      <c r="RU99" s="3"/>
      <c r="RV99" s="3"/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/>
      <c r="SP99" s="3"/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/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WZ99" s="3"/>
      <c r="XA99" s="3"/>
      <c r="XB99" s="3"/>
      <c r="XC99" s="3"/>
      <c r="XD99" s="3"/>
      <c r="XE99" s="3"/>
      <c r="XF99" s="3"/>
      <c r="XG99" s="3"/>
      <c r="XH99" s="3"/>
      <c r="XI99" s="3"/>
      <c r="XJ99" s="3"/>
      <c r="XK99" s="3"/>
      <c r="XL99" s="3"/>
      <c r="XM99" s="3"/>
      <c r="XN99" s="3"/>
      <c r="XO99" s="3"/>
      <c r="XP99" s="3"/>
      <c r="XQ99" s="3"/>
      <c r="XR99" s="3"/>
      <c r="XS99" s="3"/>
      <c r="XT99" s="3"/>
      <c r="XU99" s="3"/>
      <c r="XV99" s="3"/>
      <c r="XW99" s="3"/>
      <c r="XX99" s="3"/>
      <c r="XY99" s="3"/>
      <c r="XZ99" s="3"/>
      <c r="YA99" s="3"/>
      <c r="YB99" s="3"/>
      <c r="YC99" s="3"/>
      <c r="YD99" s="3"/>
      <c r="YE99" s="3"/>
      <c r="YF99" s="3"/>
      <c r="YG99" s="3"/>
      <c r="YH99" s="3"/>
      <c r="YI99" s="3"/>
      <c r="YJ99" s="3"/>
      <c r="YK99" s="3"/>
      <c r="YL99" s="3"/>
      <c r="YM99" s="3"/>
      <c r="YN99" s="3"/>
      <c r="YO99" s="3"/>
      <c r="YP99" s="3"/>
      <c r="YQ99" s="3"/>
      <c r="YR99" s="3"/>
      <c r="YS99" s="3"/>
      <c r="YT99" s="3"/>
      <c r="YU99" s="3"/>
      <c r="YV99" s="3"/>
      <c r="YW99" s="3"/>
      <c r="YX99" s="3"/>
      <c r="YY99" s="3"/>
      <c r="YZ99" s="3"/>
      <c r="ZA99" s="3"/>
      <c r="ZB99" s="3"/>
      <c r="ZC99" s="3"/>
      <c r="ZD99" s="3"/>
      <c r="ZE99" s="3"/>
      <c r="ZF99" s="3"/>
      <c r="ZG99" s="3"/>
      <c r="ZH99" s="3"/>
      <c r="ZI99" s="3"/>
      <c r="ZJ99" s="3"/>
      <c r="ZK99" s="3"/>
      <c r="ZL99" s="3"/>
      <c r="ZM99" s="3"/>
      <c r="ZN99" s="3"/>
      <c r="ZO99" s="3"/>
      <c r="ZP99" s="3"/>
      <c r="ZQ99" s="3"/>
      <c r="ZR99" s="3"/>
      <c r="ZS99" s="3"/>
      <c r="ZT99" s="3"/>
      <c r="ZU99" s="3"/>
      <c r="ZV99" s="3"/>
      <c r="ZW99" s="3"/>
      <c r="ZX99" s="3"/>
      <c r="ZY99" s="3"/>
      <c r="ZZ99" s="3"/>
    </row>
    <row r="100" spans="1:702" ht="36" customHeight="1">
      <c r="A100" s="200" t="s">
        <v>95</v>
      </c>
      <c r="B100" s="200" t="s">
        <v>209</v>
      </c>
      <c r="C100" s="200" t="s">
        <v>216</v>
      </c>
      <c r="D100" s="175" t="str">
        <f t="shared" si="3"/>
        <v/>
      </c>
      <c r="E100" s="201" t="str">
        <f t="array" ref="E100">IF(B100="","",IF(B100&lt;&gt;B99,SUMPRODUCT(($B$5:B100&lt;&gt;$B$4:B99)*($B$5:B100&lt;&gt;"")),""))</f>
        <v/>
      </c>
      <c r="F100" s="201" t="str">
        <f t="shared" si="4"/>
        <v/>
      </c>
      <c r="G100" s="201">
        <f t="shared" si="5"/>
        <v>7</v>
      </c>
      <c r="H100" s="175" t="str">
        <f t="shared" si="6"/>
        <v>定期実行スケジュールの有効化（条件付き）</v>
      </c>
      <c r="I100" s="200"/>
      <c r="J100" s="200"/>
      <c r="K100" s="200"/>
      <c r="L100" s="176" t="str">
        <f t="shared" si="7"/>
        <v>【Salesforceデータ連携（1販社先行検証）】16-7_号口反映・後続展開（条件付き）_定期実行スケジュールの有効化（条件付き）</v>
      </c>
      <c r="M100" s="202"/>
      <c r="N100" s="202"/>
      <c r="O100" s="167" t="s">
        <v>98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/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WP100" s="3"/>
      <c r="WQ100" s="3"/>
      <c r="WR100" s="3"/>
      <c r="WS100" s="3"/>
      <c r="WT100" s="3"/>
      <c r="WU100" s="3"/>
      <c r="WV100" s="3"/>
      <c r="WW100" s="3"/>
      <c r="WX100" s="3"/>
      <c r="WY100" s="3"/>
      <c r="WZ100" s="3"/>
      <c r="XA100" s="3"/>
      <c r="XB100" s="3"/>
      <c r="XC100" s="3"/>
      <c r="XD100" s="3"/>
      <c r="XE100" s="3"/>
      <c r="XF100" s="3"/>
      <c r="XG100" s="3"/>
      <c r="XH100" s="3"/>
      <c r="XI100" s="3"/>
      <c r="XJ100" s="3"/>
      <c r="XK100" s="3"/>
      <c r="XL100" s="3"/>
      <c r="XM100" s="3"/>
      <c r="XN100" s="3"/>
      <c r="XO100" s="3"/>
      <c r="XP100" s="3"/>
      <c r="XQ100" s="3"/>
      <c r="XR100" s="3"/>
      <c r="XS100" s="3"/>
      <c r="XT100" s="3"/>
      <c r="XU100" s="3"/>
      <c r="XV100" s="3"/>
      <c r="XW100" s="3"/>
      <c r="XX100" s="3"/>
      <c r="XY100" s="3"/>
      <c r="XZ100" s="3"/>
      <c r="YA100" s="3"/>
      <c r="YB100" s="3"/>
      <c r="YC100" s="3"/>
      <c r="YD100" s="3"/>
      <c r="YE100" s="3"/>
      <c r="YF100" s="3"/>
      <c r="YG100" s="3"/>
      <c r="YH100" s="3"/>
      <c r="YI100" s="3"/>
      <c r="YJ100" s="3"/>
      <c r="YK100" s="3"/>
      <c r="YL100" s="3"/>
      <c r="YM100" s="3"/>
      <c r="YN100" s="3"/>
      <c r="YO100" s="3"/>
      <c r="YP100" s="3"/>
      <c r="YQ100" s="3"/>
      <c r="YR100" s="3"/>
      <c r="YS100" s="3"/>
      <c r="YT100" s="3"/>
      <c r="YU100" s="3"/>
      <c r="YV100" s="3"/>
      <c r="YW100" s="3"/>
      <c r="YX100" s="3"/>
      <c r="YY100" s="3"/>
      <c r="YZ100" s="3"/>
      <c r="ZA100" s="3"/>
      <c r="ZB100" s="3"/>
      <c r="ZC100" s="3"/>
      <c r="ZD100" s="3"/>
      <c r="ZE100" s="3"/>
      <c r="ZF100" s="3"/>
      <c r="ZG100" s="3"/>
      <c r="ZH100" s="3"/>
      <c r="ZI100" s="3"/>
      <c r="ZJ100" s="3"/>
      <c r="ZK100" s="3"/>
      <c r="ZL100" s="3"/>
      <c r="ZM100" s="3"/>
      <c r="ZN100" s="3"/>
      <c r="ZO100" s="3"/>
      <c r="ZP100" s="3"/>
      <c r="ZQ100" s="3"/>
      <c r="ZR100" s="3"/>
      <c r="ZS100" s="3"/>
      <c r="ZT100" s="3"/>
      <c r="ZU100" s="3"/>
      <c r="ZV100" s="3"/>
      <c r="ZW100" s="3"/>
      <c r="ZX100" s="3"/>
      <c r="ZY100" s="3"/>
      <c r="ZZ100" s="3"/>
    </row>
    <row r="101" spans="1:702" ht="36" customHeight="1">
      <c r="A101" s="200" t="s">
        <v>95</v>
      </c>
      <c r="B101" s="200" t="s">
        <v>209</v>
      </c>
      <c r="C101" s="200" t="s">
        <v>217</v>
      </c>
      <c r="D101" s="175" t="str">
        <f t="shared" si="3"/>
        <v/>
      </c>
      <c r="E101" s="201" t="str">
        <f t="array" ref="E101">IF(B101="","",IF(B101&lt;&gt;B100,SUMPRODUCT(($B$5:B101&lt;&gt;$B$4:B100)*($B$5:B101&lt;&gt;"")),""))</f>
        <v/>
      </c>
      <c r="F101" s="201" t="str">
        <f t="shared" si="4"/>
        <v/>
      </c>
      <c r="G101" s="201">
        <f t="shared" si="5"/>
        <v>8</v>
      </c>
      <c r="H101" s="175" t="str">
        <f t="shared" si="6"/>
        <v>号口反映後の初期監視（条件付き）</v>
      </c>
      <c r="I101" s="200"/>
      <c r="J101" s="200"/>
      <c r="K101" s="200"/>
      <c r="L101" s="176" t="str">
        <f t="shared" si="7"/>
        <v>【Salesforceデータ連携（1販社先行検証）】16-8_号口反映・後続展開（条件付き）_号口反映後の初期監視（条件付き）</v>
      </c>
      <c r="M101" s="202"/>
      <c r="N101" s="202"/>
      <c r="O101" s="167" t="s">
        <v>98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3"/>
      <c r="MT101" s="3"/>
      <c r="MU101" s="3"/>
      <c r="MV101" s="3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</row>
    <row r="102" spans="1:702" ht="36" customHeight="1">
      <c r="A102" s="194" t="s">
        <v>95</v>
      </c>
      <c r="B102" s="194" t="s">
        <v>218</v>
      </c>
      <c r="C102" s="194" t="s">
        <v>219</v>
      </c>
      <c r="D102" s="194" t="str">
        <f t="shared" si="3"/>
        <v/>
      </c>
      <c r="E102" s="195">
        <f t="array" ref="E102">IF(B102="","",IF(B102&lt;&gt;B101,SUMPRODUCT(($B$5:B102&lt;&gt;$B$4:B101)*($B$5:B102&lt;&gt;"")),""))</f>
        <v>17</v>
      </c>
      <c r="F102" s="195" t="str">
        <f t="shared" si="4"/>
        <v>先行検証評価・後続展開判定</v>
      </c>
      <c r="G102" s="195">
        <f t="shared" si="5"/>
        <v>1</v>
      </c>
      <c r="H102" s="164" t="str">
        <f t="shared" si="6"/>
        <v>先行検証完了・号口／追加販社展開判定</v>
      </c>
      <c r="I102" s="194"/>
      <c r="J102" s="194"/>
      <c r="K102" s="194"/>
      <c r="L102" s="165" t="str">
        <f t="shared" si="7"/>
        <v>【Salesforceデータ連携（1販社先行検証）】17-1_先行検証評価・後続展開判定_先行検証完了・号口／追加販社展開判定</v>
      </c>
      <c r="M102" s="196">
        <v>46302</v>
      </c>
      <c r="N102" s="196">
        <v>46302</v>
      </c>
      <c r="O102" s="167" t="s">
        <v>98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</row>
    <row r="103" spans="1:702" ht="39.75" customHeight="1">
      <c r="A103" s="254" t="s">
        <v>95</v>
      </c>
      <c r="B103" s="254" t="s">
        <v>220</v>
      </c>
      <c r="C103" s="254" t="s">
        <v>221</v>
      </c>
      <c r="D103" s="254" t="str">
        <f t="shared" si="3"/>
        <v/>
      </c>
      <c r="E103" s="255">
        <f t="array" ref="E103">IF(B103="","",IF(B103&lt;&gt;B102,SUMPRODUCT(($B$5:B103&lt;&gt;$B$4:B102)*($B$5:B103&lt;&gt;"")),""))</f>
        <v>18</v>
      </c>
      <c r="F103" s="255" t="str">
        <f t="shared" si="4"/>
        <v>条件付き作業</v>
      </c>
      <c r="G103" s="255">
        <f t="shared" si="5"/>
        <v>1</v>
      </c>
      <c r="H103" s="164" t="str">
        <f t="shared" si="6"/>
        <v>Watermark項目・管理方式の設計</v>
      </c>
      <c r="I103" s="254"/>
      <c r="J103" s="254"/>
      <c r="K103" s="254"/>
      <c r="L103" s="165" t="str">
        <f t="shared" si="7"/>
        <v>【Salesforceデータ連携（1販社先行検証）】18-1_条件付き作業_Watermark項目・管理方式の設計</v>
      </c>
      <c r="M103" s="256"/>
      <c r="N103" s="256"/>
      <c r="O103" s="167" t="s">
        <v>98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</row>
    <row r="104" spans="1:702" ht="36" customHeight="1">
      <c r="A104" s="257" t="s">
        <v>95</v>
      </c>
      <c r="B104" s="257" t="s">
        <v>220</v>
      </c>
      <c r="C104" s="257" t="s">
        <v>222</v>
      </c>
      <c r="D104" s="257" t="str">
        <f t="shared" si="3"/>
        <v/>
      </c>
      <c r="E104" s="258" t="str">
        <f t="array" ref="E104">IF(B104="","",IF(B104&lt;&gt;B103,SUMPRODUCT(($B$5:B104&lt;&gt;$B$4:B103)*($B$5:B104&lt;&gt;"")),""))</f>
        <v/>
      </c>
      <c r="F104" s="258" t="str">
        <f t="shared" si="4"/>
        <v/>
      </c>
      <c r="G104" s="258">
        <f t="shared" si="5"/>
        <v>2</v>
      </c>
      <c r="H104" s="175" t="str">
        <f t="shared" si="6"/>
        <v>Overlap・取得期間境界の設計</v>
      </c>
      <c r="I104" s="257"/>
      <c r="J104" s="257"/>
      <c r="K104" s="257"/>
      <c r="L104" s="176" t="str">
        <f t="shared" si="7"/>
        <v>【Salesforceデータ連携（1販社先行検証）】18-2_条件付き作業_Overlap・取得期間境界の設計</v>
      </c>
      <c r="M104" s="259"/>
      <c r="N104" s="259"/>
      <c r="O104" s="167" t="s">
        <v>98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</row>
    <row r="105" spans="1:702" ht="36" customHeight="1">
      <c r="A105" s="257" t="s">
        <v>95</v>
      </c>
      <c r="B105" s="257" t="s">
        <v>220</v>
      </c>
      <c r="C105" s="257" t="s">
        <v>223</v>
      </c>
      <c r="D105" s="257" t="str">
        <f t="shared" si="3"/>
        <v/>
      </c>
      <c r="E105" s="258" t="str">
        <f t="array" ref="E105">IF(B105="","",IF(B105&lt;&gt;B104,SUMPRODUCT(($B$5:B105&lt;&gt;$B$4:B104)*($B$5:B105&lt;&gt;"")),""))</f>
        <v/>
      </c>
      <c r="F105" s="258" t="str">
        <f t="shared" si="4"/>
        <v/>
      </c>
      <c r="G105" s="258">
        <f t="shared" si="5"/>
        <v>3</v>
      </c>
      <c r="H105" s="175" t="str">
        <f t="shared" si="6"/>
        <v>Initial Full Load処理の実装</v>
      </c>
      <c r="I105" s="257"/>
      <c r="J105" s="257"/>
      <c r="K105" s="257"/>
      <c r="L105" s="176" t="str">
        <f t="shared" si="7"/>
        <v>【Salesforceデータ連携（1販社先行検証）】18-3_条件付き作業_Initial Full Load処理の実装</v>
      </c>
      <c r="M105" s="259"/>
      <c r="N105" s="259"/>
      <c r="O105" s="167" t="s">
        <v>98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</row>
    <row r="106" spans="1:702" ht="36" customHeight="1">
      <c r="A106" s="257" t="s">
        <v>95</v>
      </c>
      <c r="B106" s="257" t="s">
        <v>220</v>
      </c>
      <c r="C106" s="257" t="s">
        <v>224</v>
      </c>
      <c r="D106" s="257" t="str">
        <f t="shared" si="3"/>
        <v/>
      </c>
      <c r="E106" s="258" t="str">
        <f t="array" ref="E106">IF(B106="","",IF(B106&lt;&gt;B105,SUMPRODUCT(($B$5:B106&lt;&gt;$B$4:B105)*($B$5:B106&lt;&gt;"")),""))</f>
        <v/>
      </c>
      <c r="F106" s="258" t="str">
        <f t="shared" si="4"/>
        <v/>
      </c>
      <c r="G106" s="258">
        <f t="shared" si="5"/>
        <v>4</v>
      </c>
      <c r="H106" s="175" t="str">
        <f t="shared" si="6"/>
        <v>Incremental Load処理の実装</v>
      </c>
      <c r="I106" s="257"/>
      <c r="J106" s="257"/>
      <c r="K106" s="257"/>
      <c r="L106" s="176" t="str">
        <f t="shared" si="7"/>
        <v>【Salesforceデータ連携（1販社先行検証）】18-4_条件付き作業_Incremental Load処理の実装</v>
      </c>
      <c r="M106" s="259"/>
      <c r="N106" s="259"/>
      <c r="O106" s="167" t="s">
        <v>98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  <c r="XX106" s="3"/>
      <c r="XY106" s="3"/>
      <c r="XZ106" s="3"/>
      <c r="YA106" s="3"/>
      <c r="YB106" s="3"/>
      <c r="YC106" s="3"/>
      <c r="YD106" s="3"/>
      <c r="YE106" s="3"/>
      <c r="YF106" s="3"/>
      <c r="YG106" s="3"/>
      <c r="YH106" s="3"/>
      <c r="YI106" s="3"/>
      <c r="YJ106" s="3"/>
      <c r="YK106" s="3"/>
      <c r="YL106" s="3"/>
      <c r="YM106" s="3"/>
      <c r="YN106" s="3"/>
      <c r="YO106" s="3"/>
      <c r="YP106" s="3"/>
      <c r="YQ106" s="3"/>
      <c r="YR106" s="3"/>
      <c r="YS106" s="3"/>
      <c r="YT106" s="3"/>
      <c r="YU106" s="3"/>
      <c r="YV106" s="3"/>
      <c r="YW106" s="3"/>
      <c r="YX106" s="3"/>
      <c r="YY106" s="3"/>
      <c r="YZ106" s="3"/>
      <c r="ZA106" s="3"/>
      <c r="ZB106" s="3"/>
      <c r="ZC106" s="3"/>
      <c r="ZD106" s="3"/>
      <c r="ZE106" s="3"/>
      <c r="ZF106" s="3"/>
      <c r="ZG106" s="3"/>
      <c r="ZH106" s="3"/>
      <c r="ZI106" s="3"/>
      <c r="ZJ106" s="3"/>
      <c r="ZK106" s="3"/>
      <c r="ZL106" s="3"/>
      <c r="ZM106" s="3"/>
      <c r="ZN106" s="3"/>
      <c r="ZO106" s="3"/>
      <c r="ZP106" s="3"/>
      <c r="ZQ106" s="3"/>
      <c r="ZR106" s="3"/>
      <c r="ZS106" s="3"/>
      <c r="ZT106" s="3"/>
      <c r="ZU106" s="3"/>
      <c r="ZV106" s="3"/>
      <c r="ZW106" s="3"/>
      <c r="ZX106" s="3"/>
      <c r="ZY106" s="3"/>
      <c r="ZZ106" s="3"/>
    </row>
    <row r="107" spans="1:702" ht="36" customHeight="1">
      <c r="A107" s="257" t="s">
        <v>95</v>
      </c>
      <c r="B107" s="257" t="s">
        <v>220</v>
      </c>
      <c r="C107" s="257" t="s">
        <v>225</v>
      </c>
      <c r="D107" s="257" t="str">
        <f t="shared" si="3"/>
        <v/>
      </c>
      <c r="E107" s="258" t="str">
        <f t="array" ref="E107">IF(B107="","",IF(B107&lt;&gt;B106,SUMPRODUCT(($B$5:B107&lt;&gt;$B$4:B106)*($B$5:B107&lt;&gt;"")),""))</f>
        <v/>
      </c>
      <c r="F107" s="258" t="str">
        <f t="shared" si="4"/>
        <v/>
      </c>
      <c r="G107" s="258">
        <f t="shared" si="5"/>
        <v>5</v>
      </c>
      <c r="H107" s="175" t="str">
        <f t="shared" si="6"/>
        <v>Watermark正常・異常時制御の実装</v>
      </c>
      <c r="I107" s="257"/>
      <c r="J107" s="257"/>
      <c r="K107" s="257"/>
      <c r="L107" s="176" t="str">
        <f t="shared" si="7"/>
        <v>【Salesforceデータ連携（1販社先行検証）】18-5_条件付き作業_Watermark正常・異常時制御の実装</v>
      </c>
      <c r="M107" s="259"/>
      <c r="N107" s="259"/>
      <c r="O107" s="167" t="s">
        <v>98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  <c r="XX107" s="3"/>
      <c r="XY107" s="3"/>
      <c r="XZ107" s="3"/>
      <c r="YA107" s="3"/>
      <c r="YB107" s="3"/>
      <c r="YC107" s="3"/>
      <c r="YD107" s="3"/>
      <c r="YE107" s="3"/>
      <c r="YF107" s="3"/>
      <c r="YG107" s="3"/>
      <c r="YH107" s="3"/>
      <c r="YI107" s="3"/>
      <c r="YJ107" s="3"/>
      <c r="YK107" s="3"/>
      <c r="YL107" s="3"/>
      <c r="YM107" s="3"/>
      <c r="YN107" s="3"/>
      <c r="YO107" s="3"/>
      <c r="YP107" s="3"/>
      <c r="YQ107" s="3"/>
      <c r="YR107" s="3"/>
      <c r="YS107" s="3"/>
      <c r="YT107" s="3"/>
      <c r="YU107" s="3"/>
      <c r="YV107" s="3"/>
      <c r="YW107" s="3"/>
      <c r="YX107" s="3"/>
      <c r="YY107" s="3"/>
      <c r="YZ107" s="3"/>
      <c r="ZA107" s="3"/>
      <c r="ZB107" s="3"/>
      <c r="ZC107" s="3"/>
      <c r="ZD107" s="3"/>
      <c r="ZE107" s="3"/>
      <c r="ZF107" s="3"/>
      <c r="ZG107" s="3"/>
      <c r="ZH107" s="3"/>
      <c r="ZI107" s="3"/>
      <c r="ZJ107" s="3"/>
      <c r="ZK107" s="3"/>
      <c r="ZL107" s="3"/>
      <c r="ZM107" s="3"/>
      <c r="ZN107" s="3"/>
      <c r="ZO107" s="3"/>
      <c r="ZP107" s="3"/>
      <c r="ZQ107" s="3"/>
      <c r="ZR107" s="3"/>
      <c r="ZS107" s="3"/>
      <c r="ZT107" s="3"/>
      <c r="ZU107" s="3"/>
      <c r="ZV107" s="3"/>
      <c r="ZW107" s="3"/>
      <c r="ZX107" s="3"/>
      <c r="ZY107" s="3"/>
      <c r="ZZ107" s="3"/>
    </row>
    <row r="108" spans="1:702" ht="36" customHeight="1">
      <c r="A108" s="257" t="s">
        <v>95</v>
      </c>
      <c r="B108" s="257" t="s">
        <v>220</v>
      </c>
      <c r="C108" s="257" t="s">
        <v>226</v>
      </c>
      <c r="D108" s="257" t="str">
        <f t="shared" si="3"/>
        <v/>
      </c>
      <c r="E108" s="258" t="str">
        <f t="array" ref="E108">IF(B108="","",IF(B108&lt;&gt;B107,SUMPRODUCT(($B$5:B108&lt;&gt;$B$4:B107)*($B$5:B108&lt;&gt;"")),""))</f>
        <v/>
      </c>
      <c r="F108" s="258" t="str">
        <f t="shared" si="4"/>
        <v/>
      </c>
      <c r="G108" s="258">
        <f t="shared" si="5"/>
        <v>6</v>
      </c>
      <c r="H108" s="175" t="str">
        <f t="shared" si="6"/>
        <v>増分データ反映試験</v>
      </c>
      <c r="I108" s="257"/>
      <c r="J108" s="257"/>
      <c r="K108" s="257"/>
      <c r="L108" s="176" t="str">
        <f t="shared" si="7"/>
        <v>【Salesforceデータ連携（1販社先行検証）】18-6_条件付き作業_増分データ反映試験</v>
      </c>
      <c r="M108" s="259"/>
      <c r="N108" s="259"/>
      <c r="O108" s="167" t="s">
        <v>98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  <c r="XX108" s="3"/>
      <c r="XY108" s="3"/>
      <c r="XZ108" s="3"/>
      <c r="YA108" s="3"/>
      <c r="YB108" s="3"/>
      <c r="YC108" s="3"/>
      <c r="YD108" s="3"/>
      <c r="YE108" s="3"/>
      <c r="YF108" s="3"/>
      <c r="YG108" s="3"/>
      <c r="YH108" s="3"/>
      <c r="YI108" s="3"/>
      <c r="YJ108" s="3"/>
      <c r="YK108" s="3"/>
      <c r="YL108" s="3"/>
      <c r="YM108" s="3"/>
      <c r="YN108" s="3"/>
      <c r="YO108" s="3"/>
      <c r="YP108" s="3"/>
      <c r="YQ108" s="3"/>
      <c r="YR108" s="3"/>
      <c r="YS108" s="3"/>
      <c r="YT108" s="3"/>
      <c r="YU108" s="3"/>
      <c r="YV108" s="3"/>
      <c r="YW108" s="3"/>
      <c r="YX108" s="3"/>
      <c r="YY108" s="3"/>
      <c r="YZ108" s="3"/>
      <c r="ZA108" s="3"/>
      <c r="ZB108" s="3"/>
      <c r="ZC108" s="3"/>
      <c r="ZD108" s="3"/>
      <c r="ZE108" s="3"/>
      <c r="ZF108" s="3"/>
      <c r="ZG108" s="3"/>
      <c r="ZH108" s="3"/>
      <c r="ZI108" s="3"/>
      <c r="ZJ108" s="3"/>
      <c r="ZK108" s="3"/>
      <c r="ZL108" s="3"/>
      <c r="ZM108" s="3"/>
      <c r="ZN108" s="3"/>
      <c r="ZO108" s="3"/>
      <c r="ZP108" s="3"/>
      <c r="ZQ108" s="3"/>
      <c r="ZR108" s="3"/>
      <c r="ZS108" s="3"/>
      <c r="ZT108" s="3"/>
      <c r="ZU108" s="3"/>
      <c r="ZV108" s="3"/>
      <c r="ZW108" s="3"/>
      <c r="ZX108" s="3"/>
      <c r="ZY108" s="3"/>
      <c r="ZZ108" s="3"/>
    </row>
    <row r="109" spans="1:702" ht="36" customHeight="1">
      <c r="A109" s="257" t="s">
        <v>95</v>
      </c>
      <c r="B109" s="257" t="s">
        <v>220</v>
      </c>
      <c r="C109" s="257" t="s">
        <v>227</v>
      </c>
      <c r="D109" s="257" t="str">
        <f t="shared" si="3"/>
        <v/>
      </c>
      <c r="E109" s="258" t="str">
        <f t="array" ref="E109">IF(B109="","",IF(B109&lt;&gt;B108,SUMPRODUCT(($B$5:B109&lt;&gt;$B$4:B108)*($B$5:B109&lt;&gt;"")),""))</f>
        <v/>
      </c>
      <c r="F109" s="258" t="str">
        <f t="shared" si="4"/>
        <v/>
      </c>
      <c r="G109" s="258">
        <f t="shared" si="5"/>
        <v>7</v>
      </c>
      <c r="H109" s="175" t="str">
        <f t="shared" si="6"/>
        <v>削除データ取得・反映方式の設計</v>
      </c>
      <c r="I109" s="257"/>
      <c r="J109" s="257"/>
      <c r="K109" s="257"/>
      <c r="L109" s="176" t="str">
        <f t="shared" si="7"/>
        <v>【Salesforceデータ連携（1販社先行検証）】18-7_条件付き作業_削除データ取得・反映方式の設計</v>
      </c>
      <c r="M109" s="259"/>
      <c r="N109" s="259"/>
      <c r="O109" s="167" t="s">
        <v>98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  <c r="XX109" s="3"/>
      <c r="XY109" s="3"/>
      <c r="XZ109" s="3"/>
      <c r="YA109" s="3"/>
      <c r="YB109" s="3"/>
      <c r="YC109" s="3"/>
      <c r="YD109" s="3"/>
      <c r="YE109" s="3"/>
      <c r="YF109" s="3"/>
      <c r="YG109" s="3"/>
      <c r="YH109" s="3"/>
      <c r="YI109" s="3"/>
      <c r="YJ109" s="3"/>
      <c r="YK109" s="3"/>
      <c r="YL109" s="3"/>
      <c r="YM109" s="3"/>
      <c r="YN109" s="3"/>
      <c r="YO109" s="3"/>
      <c r="YP109" s="3"/>
      <c r="YQ109" s="3"/>
      <c r="YR109" s="3"/>
      <c r="YS109" s="3"/>
      <c r="YT109" s="3"/>
      <c r="YU109" s="3"/>
      <c r="YV109" s="3"/>
      <c r="YW109" s="3"/>
      <c r="YX109" s="3"/>
      <c r="YY109" s="3"/>
      <c r="YZ109" s="3"/>
      <c r="ZA109" s="3"/>
      <c r="ZB109" s="3"/>
      <c r="ZC109" s="3"/>
      <c r="ZD109" s="3"/>
      <c r="ZE109" s="3"/>
      <c r="ZF109" s="3"/>
      <c r="ZG109" s="3"/>
      <c r="ZH109" s="3"/>
      <c r="ZI109" s="3"/>
      <c r="ZJ109" s="3"/>
      <c r="ZK109" s="3"/>
      <c r="ZL109" s="3"/>
      <c r="ZM109" s="3"/>
      <c r="ZN109" s="3"/>
      <c r="ZO109" s="3"/>
      <c r="ZP109" s="3"/>
      <c r="ZQ109" s="3"/>
      <c r="ZR109" s="3"/>
      <c r="ZS109" s="3"/>
      <c r="ZT109" s="3"/>
      <c r="ZU109" s="3"/>
      <c r="ZV109" s="3"/>
      <c r="ZW109" s="3"/>
      <c r="ZX109" s="3"/>
      <c r="ZY109" s="3"/>
      <c r="ZZ109" s="3"/>
    </row>
    <row r="110" spans="1:702" ht="36" customHeight="1">
      <c r="A110" s="257" t="s">
        <v>95</v>
      </c>
      <c r="B110" s="257" t="s">
        <v>220</v>
      </c>
      <c r="C110" s="257" t="s">
        <v>228</v>
      </c>
      <c r="D110" s="257" t="str">
        <f t="shared" si="3"/>
        <v/>
      </c>
      <c r="E110" s="258" t="str">
        <f t="array" ref="E110">IF(B110="","",IF(B110&lt;&gt;B109,SUMPRODUCT(($B$5:B110&lt;&gt;$B$4:B109)*($B$5:B110&lt;&gt;"")),""))</f>
        <v/>
      </c>
      <c r="F110" s="258" t="str">
        <f t="shared" si="4"/>
        <v/>
      </c>
      <c r="G110" s="258">
        <f t="shared" si="5"/>
        <v>8</v>
      </c>
      <c r="H110" s="175" t="str">
        <f t="shared" si="6"/>
        <v>削除データ取得処理の実装</v>
      </c>
      <c r="I110" s="257"/>
      <c r="J110" s="257"/>
      <c r="K110" s="257"/>
      <c r="L110" s="176" t="str">
        <f t="shared" si="7"/>
        <v>【Salesforceデータ連携（1販社先行検証）】18-8_条件付き作業_削除データ取得処理の実装</v>
      </c>
      <c r="M110" s="259"/>
      <c r="N110" s="259"/>
      <c r="O110" s="167" t="s">
        <v>98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WZ110" s="3"/>
      <c r="XA110" s="3"/>
      <c r="XB110" s="3"/>
      <c r="XC110" s="3"/>
      <c r="XD110" s="3"/>
      <c r="XE110" s="3"/>
      <c r="XF110" s="3"/>
      <c r="XG110" s="3"/>
      <c r="XH110" s="3"/>
      <c r="XI110" s="3"/>
      <c r="XJ110" s="3"/>
      <c r="XK110" s="3"/>
      <c r="XL110" s="3"/>
      <c r="XM110" s="3"/>
      <c r="XN110" s="3"/>
      <c r="XO110" s="3"/>
      <c r="XP110" s="3"/>
      <c r="XQ110" s="3"/>
      <c r="XR110" s="3"/>
      <c r="XS110" s="3"/>
      <c r="XT110" s="3"/>
      <c r="XU110" s="3"/>
      <c r="XV110" s="3"/>
      <c r="XW110" s="3"/>
      <c r="XX110" s="3"/>
      <c r="XY110" s="3"/>
      <c r="XZ110" s="3"/>
      <c r="YA110" s="3"/>
      <c r="YB110" s="3"/>
      <c r="YC110" s="3"/>
      <c r="YD110" s="3"/>
      <c r="YE110" s="3"/>
      <c r="YF110" s="3"/>
      <c r="YG110" s="3"/>
      <c r="YH110" s="3"/>
      <c r="YI110" s="3"/>
      <c r="YJ110" s="3"/>
      <c r="YK110" s="3"/>
      <c r="YL110" s="3"/>
      <c r="YM110" s="3"/>
      <c r="YN110" s="3"/>
      <c r="YO110" s="3"/>
      <c r="YP110" s="3"/>
      <c r="YQ110" s="3"/>
      <c r="YR110" s="3"/>
      <c r="YS110" s="3"/>
      <c r="YT110" s="3"/>
      <c r="YU110" s="3"/>
      <c r="YV110" s="3"/>
      <c r="YW110" s="3"/>
      <c r="YX110" s="3"/>
      <c r="YY110" s="3"/>
      <c r="YZ110" s="3"/>
      <c r="ZA110" s="3"/>
      <c r="ZB110" s="3"/>
      <c r="ZC110" s="3"/>
      <c r="ZD110" s="3"/>
      <c r="ZE110" s="3"/>
      <c r="ZF110" s="3"/>
      <c r="ZG110" s="3"/>
      <c r="ZH110" s="3"/>
      <c r="ZI110" s="3"/>
      <c r="ZJ110" s="3"/>
      <c r="ZK110" s="3"/>
      <c r="ZL110" s="3"/>
      <c r="ZM110" s="3"/>
      <c r="ZN110" s="3"/>
      <c r="ZO110" s="3"/>
      <c r="ZP110" s="3"/>
      <c r="ZQ110" s="3"/>
      <c r="ZR110" s="3"/>
      <c r="ZS110" s="3"/>
      <c r="ZT110" s="3"/>
      <c r="ZU110" s="3"/>
      <c r="ZV110" s="3"/>
      <c r="ZW110" s="3"/>
      <c r="ZX110" s="3"/>
      <c r="ZY110" s="3"/>
      <c r="ZZ110" s="3"/>
    </row>
    <row r="111" spans="1:702" ht="36" customHeight="1">
      <c r="A111" s="257" t="s">
        <v>95</v>
      </c>
      <c r="B111" s="257" t="s">
        <v>220</v>
      </c>
      <c r="C111" s="257" t="s">
        <v>229</v>
      </c>
      <c r="D111" s="257" t="str">
        <f t="shared" si="3"/>
        <v/>
      </c>
      <c r="E111" s="258" t="str">
        <f t="array" ref="E111">IF(B111="","",IF(B111&lt;&gt;B110,SUMPRODUCT(($B$5:B111&lt;&gt;$B$4:B110)*($B$5:B111&lt;&gt;"")),""))</f>
        <v/>
      </c>
      <c r="F111" s="258" t="str">
        <f t="shared" si="4"/>
        <v/>
      </c>
      <c r="G111" s="258">
        <f t="shared" si="5"/>
        <v>9</v>
      </c>
      <c r="H111" s="175" t="str">
        <f t="shared" si="6"/>
        <v>削除データ反映試験</v>
      </c>
      <c r="I111" s="257"/>
      <c r="J111" s="257"/>
      <c r="K111" s="257"/>
      <c r="L111" s="176" t="str">
        <f t="shared" si="7"/>
        <v>【Salesforceデータ連携（1販社先行検証）】18-9_条件付き作業_削除データ反映試験</v>
      </c>
      <c r="M111" s="259"/>
      <c r="N111" s="259"/>
      <c r="O111" s="167" t="s">
        <v>98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</row>
    <row r="112" spans="1:702" ht="36" customHeight="1">
      <c r="A112" s="257" t="s">
        <v>95</v>
      </c>
      <c r="B112" s="257" t="s">
        <v>220</v>
      </c>
      <c r="C112" s="257" t="s">
        <v>230</v>
      </c>
      <c r="D112" s="257" t="str">
        <f t="shared" si="3"/>
        <v/>
      </c>
      <c r="E112" s="258" t="str">
        <f t="array" ref="E112">IF(B112="","",IF(B112&lt;&gt;B111,SUMPRODUCT(($B$5:B112&lt;&gt;$B$4:B111)*($B$5:B112&lt;&gt;"")),""))</f>
        <v/>
      </c>
      <c r="F112" s="258" t="str">
        <f t="shared" si="4"/>
        <v/>
      </c>
      <c r="G112" s="258">
        <f t="shared" si="5"/>
        <v>10</v>
      </c>
      <c r="H112" s="175" t="str">
        <f t="shared" si="6"/>
        <v>Private接続追加設計</v>
      </c>
      <c r="I112" s="257"/>
      <c r="J112" s="257"/>
      <c r="K112" s="257"/>
      <c r="L112" s="176" t="str">
        <f t="shared" si="7"/>
        <v>【Salesforceデータ連携（1販社先行検証）】18-10_条件付き作業_Private接続追加設計</v>
      </c>
      <c r="M112" s="259"/>
      <c r="N112" s="259"/>
      <c r="O112" s="167" t="s">
        <v>98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</row>
    <row r="113" spans="1:702" ht="36" customHeight="1">
      <c r="A113" s="257" t="s">
        <v>95</v>
      </c>
      <c r="B113" s="257" t="s">
        <v>220</v>
      </c>
      <c r="C113" s="257" t="s">
        <v>231</v>
      </c>
      <c r="D113" s="257" t="str">
        <f t="shared" si="3"/>
        <v/>
      </c>
      <c r="E113" s="258" t="str">
        <f t="array" ref="E113">IF(B113="","",IF(B113&lt;&gt;B112,SUMPRODUCT(($B$5:B113&lt;&gt;$B$4:B112)*($B$5:B113&lt;&gt;"")),""))</f>
        <v/>
      </c>
      <c r="F113" s="258" t="str">
        <f t="shared" si="4"/>
        <v/>
      </c>
      <c r="G113" s="258">
        <f t="shared" si="5"/>
        <v>11</v>
      </c>
      <c r="H113" s="175" t="str">
        <f t="shared" si="6"/>
        <v>Firewall・NSG等の追加設定確認</v>
      </c>
      <c r="I113" s="257"/>
      <c r="J113" s="257"/>
      <c r="K113" s="257"/>
      <c r="L113" s="176" t="str">
        <f t="shared" si="7"/>
        <v>【Salesforceデータ連携（1販社先行検証）】18-11_条件付き作業_Firewall・NSG等の追加設定確認</v>
      </c>
      <c r="M113" s="259"/>
      <c r="N113" s="259"/>
      <c r="O113" s="167" t="s">
        <v>98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</row>
    <row r="114" spans="1:702" ht="39.75" customHeight="1">
      <c r="A114" s="197" t="s">
        <v>95</v>
      </c>
      <c r="B114" s="197" t="s">
        <v>232</v>
      </c>
      <c r="C114" s="197" t="s">
        <v>233</v>
      </c>
      <c r="D114" s="197" t="str">
        <f t="shared" si="3"/>
        <v/>
      </c>
      <c r="E114" s="198">
        <f t="array" ref="E114">IF(B114="","",IF(B114&lt;&gt;B113,SUMPRODUCT(($B$5:B114&lt;&gt;$B$4:B113)*($B$5:B114&lt;&gt;"")),""))</f>
        <v>19</v>
      </c>
      <c r="F114" s="198" t="str">
        <f t="shared" si="4"/>
        <v>今回スコープ外：データ加工基盤</v>
      </c>
      <c r="G114" s="198">
        <f t="shared" si="5"/>
        <v>1</v>
      </c>
      <c r="H114" s="164" t="str">
        <f t="shared" si="6"/>
        <v>ADLS Landing／Raw（今回スコープ外）</v>
      </c>
      <c r="I114" s="197"/>
      <c r="J114" s="197"/>
      <c r="K114" s="197"/>
      <c r="L114" s="165" t="str">
        <f t="shared" si="7"/>
        <v>【Salesforceデータ連携（1販社先行検証）】19-1_今回スコープ外：データ加工基盤_ADLS Landing／Raw（今回スコープ外）</v>
      </c>
      <c r="M114" s="199"/>
      <c r="N114" s="199"/>
      <c r="O114" s="167" t="s">
        <v>98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  <c r="XX114" s="3"/>
      <c r="XY114" s="3"/>
      <c r="XZ114" s="3"/>
      <c r="YA114" s="3"/>
      <c r="YB114" s="3"/>
      <c r="YC114" s="3"/>
      <c r="YD114" s="3"/>
      <c r="YE114" s="3"/>
      <c r="YF114" s="3"/>
      <c r="YG114" s="3"/>
      <c r="YH114" s="3"/>
      <c r="YI114" s="3"/>
      <c r="YJ114" s="3"/>
      <c r="YK114" s="3"/>
      <c r="YL114" s="3"/>
      <c r="YM114" s="3"/>
      <c r="YN114" s="3"/>
      <c r="YO114" s="3"/>
      <c r="YP114" s="3"/>
      <c r="YQ114" s="3"/>
      <c r="YR114" s="3"/>
      <c r="YS114" s="3"/>
      <c r="YT114" s="3"/>
      <c r="YU114" s="3"/>
      <c r="YV114" s="3"/>
      <c r="YW114" s="3"/>
      <c r="YX114" s="3"/>
      <c r="YY114" s="3"/>
      <c r="YZ114" s="3"/>
      <c r="ZA114" s="3"/>
      <c r="ZB114" s="3"/>
      <c r="ZC114" s="3"/>
      <c r="ZD114" s="3"/>
      <c r="ZE114" s="3"/>
      <c r="ZF114" s="3"/>
      <c r="ZG114" s="3"/>
      <c r="ZH114" s="3"/>
      <c r="ZI114" s="3"/>
      <c r="ZJ114" s="3"/>
      <c r="ZK114" s="3"/>
      <c r="ZL114" s="3"/>
      <c r="ZM114" s="3"/>
      <c r="ZN114" s="3"/>
      <c r="ZO114" s="3"/>
      <c r="ZP114" s="3"/>
      <c r="ZQ114" s="3"/>
      <c r="ZR114" s="3"/>
      <c r="ZS114" s="3"/>
      <c r="ZT114" s="3"/>
      <c r="ZU114" s="3"/>
      <c r="ZV114" s="3"/>
      <c r="ZW114" s="3"/>
      <c r="ZX114" s="3"/>
      <c r="ZY114" s="3"/>
      <c r="ZZ114" s="3"/>
    </row>
    <row r="115" spans="1:702" ht="36" customHeight="1">
      <c r="A115" s="260" t="s">
        <v>95</v>
      </c>
      <c r="B115" s="260" t="s">
        <v>232</v>
      </c>
      <c r="C115" s="260" t="s">
        <v>234</v>
      </c>
      <c r="D115" s="260" t="str">
        <f t="shared" si="3"/>
        <v/>
      </c>
      <c r="E115" s="261" t="str">
        <f t="array" ref="E115">IF(B115="","",IF(B115&lt;&gt;B114,SUMPRODUCT(($B$5:B115&lt;&gt;$B$4:B114)*($B$5:B115&lt;&gt;"")),""))</f>
        <v/>
      </c>
      <c r="F115" s="261" t="str">
        <f t="shared" si="4"/>
        <v/>
      </c>
      <c r="G115" s="261">
        <f t="shared" si="5"/>
        <v>2</v>
      </c>
      <c r="H115" s="175" t="str">
        <f t="shared" si="6"/>
        <v>Bronze構築（今回スコープ外）</v>
      </c>
      <c r="I115" s="260"/>
      <c r="J115" s="260"/>
      <c r="K115" s="260"/>
      <c r="L115" s="176" t="str">
        <f t="shared" si="7"/>
        <v>【Salesforceデータ連携（1販社先行検証）】19-2_今回スコープ外：データ加工基盤_Bronze構築（今回スコープ外）</v>
      </c>
      <c r="M115" s="262"/>
      <c r="N115" s="262"/>
      <c r="O115" s="167" t="s">
        <v>98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  <c r="XX115" s="3"/>
      <c r="XY115" s="3"/>
      <c r="XZ115" s="3"/>
      <c r="YA115" s="3"/>
      <c r="YB115" s="3"/>
      <c r="YC115" s="3"/>
      <c r="YD115" s="3"/>
      <c r="YE115" s="3"/>
      <c r="YF115" s="3"/>
      <c r="YG115" s="3"/>
      <c r="YH115" s="3"/>
      <c r="YI115" s="3"/>
      <c r="YJ115" s="3"/>
      <c r="YK115" s="3"/>
      <c r="YL115" s="3"/>
      <c r="YM115" s="3"/>
      <c r="YN115" s="3"/>
      <c r="YO115" s="3"/>
      <c r="YP115" s="3"/>
      <c r="YQ115" s="3"/>
      <c r="YR115" s="3"/>
      <c r="YS115" s="3"/>
      <c r="YT115" s="3"/>
      <c r="YU115" s="3"/>
      <c r="YV115" s="3"/>
      <c r="YW115" s="3"/>
      <c r="YX115" s="3"/>
      <c r="YY115" s="3"/>
      <c r="YZ115" s="3"/>
      <c r="ZA115" s="3"/>
      <c r="ZB115" s="3"/>
      <c r="ZC115" s="3"/>
      <c r="ZD115" s="3"/>
      <c r="ZE115" s="3"/>
      <c r="ZF115" s="3"/>
      <c r="ZG115" s="3"/>
      <c r="ZH115" s="3"/>
      <c r="ZI115" s="3"/>
      <c r="ZJ115" s="3"/>
      <c r="ZK115" s="3"/>
      <c r="ZL115" s="3"/>
      <c r="ZM115" s="3"/>
      <c r="ZN115" s="3"/>
      <c r="ZO115" s="3"/>
      <c r="ZP115" s="3"/>
      <c r="ZQ115" s="3"/>
      <c r="ZR115" s="3"/>
      <c r="ZS115" s="3"/>
      <c r="ZT115" s="3"/>
      <c r="ZU115" s="3"/>
      <c r="ZV115" s="3"/>
      <c r="ZW115" s="3"/>
      <c r="ZX115" s="3"/>
      <c r="ZY115" s="3"/>
      <c r="ZZ115" s="3"/>
    </row>
    <row r="116" spans="1:702" ht="36" customHeight="1">
      <c r="A116" s="260" t="s">
        <v>95</v>
      </c>
      <c r="B116" s="260" t="s">
        <v>232</v>
      </c>
      <c r="C116" s="260" t="s">
        <v>235</v>
      </c>
      <c r="D116" s="260" t="str">
        <f t="shared" si="3"/>
        <v/>
      </c>
      <c r="E116" s="261" t="str">
        <f t="array" ref="E116">IF(B116="","",IF(B116&lt;&gt;B115,SUMPRODUCT(($B$5:B116&lt;&gt;$B$4:B115)*($B$5:B116&lt;&gt;"")),""))</f>
        <v/>
      </c>
      <c r="F116" s="261" t="str">
        <f t="shared" si="4"/>
        <v/>
      </c>
      <c r="G116" s="261">
        <f t="shared" si="5"/>
        <v>3</v>
      </c>
      <c r="H116" s="175" t="str">
        <f t="shared" si="6"/>
        <v>Silver構築（今回スコープ外）</v>
      </c>
      <c r="I116" s="260"/>
      <c r="J116" s="260"/>
      <c r="K116" s="260"/>
      <c r="L116" s="176" t="str">
        <f t="shared" si="7"/>
        <v>【Salesforceデータ連携（1販社先行検証）】19-3_今回スコープ外：データ加工基盤_Silver構築（今回スコープ外）</v>
      </c>
      <c r="M116" s="262"/>
      <c r="N116" s="262"/>
      <c r="O116" s="167" t="s">
        <v>98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</row>
    <row r="117" spans="1:702" ht="36" customHeight="1">
      <c r="A117" s="260" t="s">
        <v>95</v>
      </c>
      <c r="B117" s="260" t="s">
        <v>232</v>
      </c>
      <c r="C117" s="260" t="s">
        <v>236</v>
      </c>
      <c r="D117" s="260" t="str">
        <f t="shared" si="3"/>
        <v/>
      </c>
      <c r="E117" s="261" t="str">
        <f t="array" ref="E117">IF(B117="","",IF(B117&lt;&gt;B116,SUMPRODUCT(($B$5:B117&lt;&gt;$B$4:B116)*($B$5:B117&lt;&gt;"")),""))</f>
        <v/>
      </c>
      <c r="F117" s="261" t="str">
        <f t="shared" si="4"/>
        <v/>
      </c>
      <c r="G117" s="261">
        <f t="shared" si="5"/>
        <v>4</v>
      </c>
      <c r="H117" s="175" t="str">
        <f t="shared" si="6"/>
        <v>Gold構築（今回スコープ外）</v>
      </c>
      <c r="I117" s="260"/>
      <c r="J117" s="260"/>
      <c r="K117" s="260"/>
      <c r="L117" s="176" t="str">
        <f t="shared" si="7"/>
        <v>【Salesforceデータ連携（1販社先行検証）】19-4_今回スコープ外：データ加工基盤_Gold構築（今回スコープ外）</v>
      </c>
      <c r="M117" s="262"/>
      <c r="N117" s="262"/>
      <c r="O117" s="167" t="s">
        <v>98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</row>
    <row r="118" spans="1:702" ht="39.75" customHeight="1">
      <c r="A118" s="197" t="s">
        <v>95</v>
      </c>
      <c r="B118" s="197" t="s">
        <v>237</v>
      </c>
      <c r="C118" s="197" t="s">
        <v>238</v>
      </c>
      <c r="D118" s="197" t="str">
        <f t="shared" si="3"/>
        <v/>
      </c>
      <c r="E118" s="198">
        <f t="array" ref="E118">IF(B118="","",IF(B118&lt;&gt;B117,SUMPRODUCT(($B$5:B118&lt;&gt;$B$4:B117)*($B$5:B118&lt;&gt;"")),""))</f>
        <v>20</v>
      </c>
      <c r="F118" s="198" t="str">
        <f t="shared" si="4"/>
        <v>今回スコープ外：Power BI</v>
      </c>
      <c r="G118" s="198">
        <f t="shared" si="5"/>
        <v>1</v>
      </c>
      <c r="H118" s="164" t="str">
        <f t="shared" si="6"/>
        <v>Power BI接続（今回スコープ外）</v>
      </c>
      <c r="I118" s="197"/>
      <c r="J118" s="197"/>
      <c r="K118" s="197"/>
      <c r="L118" s="165" t="str">
        <f t="shared" si="7"/>
        <v>【Salesforceデータ連携（1販社先行検証）】20-1_今回スコープ外：Power BI_Power BI接続（今回スコープ外）</v>
      </c>
      <c r="M118" s="199"/>
      <c r="N118" s="199"/>
      <c r="O118" s="167" t="s">
        <v>98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</row>
    <row r="119" spans="1:702" ht="36" customHeight="1">
      <c r="A119" s="260" t="s">
        <v>95</v>
      </c>
      <c r="B119" s="260" t="s">
        <v>237</v>
      </c>
      <c r="C119" s="260" t="s">
        <v>239</v>
      </c>
      <c r="D119" s="260" t="str">
        <f t="shared" si="3"/>
        <v/>
      </c>
      <c r="E119" s="261" t="str">
        <f t="array" ref="E119">IF(B119="","",IF(B119&lt;&gt;B118,SUMPRODUCT(($B$5:B119&lt;&gt;$B$4:B118)*($B$5:B119&lt;&gt;"")),""))</f>
        <v/>
      </c>
      <c r="F119" s="261" t="str">
        <f t="shared" si="4"/>
        <v/>
      </c>
      <c r="G119" s="261">
        <f t="shared" si="5"/>
        <v>2</v>
      </c>
      <c r="H119" s="175" t="str">
        <f t="shared" si="6"/>
        <v>Semantic Model・KPI（今回スコープ外）</v>
      </c>
      <c r="I119" s="260"/>
      <c r="J119" s="260"/>
      <c r="K119" s="260"/>
      <c r="L119" s="176" t="str">
        <f t="shared" si="7"/>
        <v>【Salesforceデータ連携（1販社先行検証）】20-2_今回スコープ外：Power BI_Semantic Model・KPI（今回スコープ外）</v>
      </c>
      <c r="M119" s="262"/>
      <c r="N119" s="262"/>
      <c r="O119" s="167" t="s">
        <v>98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</row>
    <row r="120" spans="1:702" ht="36" customHeight="1">
      <c r="A120" s="260" t="s">
        <v>95</v>
      </c>
      <c r="B120" s="260" t="s">
        <v>237</v>
      </c>
      <c r="C120" s="260" t="s">
        <v>240</v>
      </c>
      <c r="D120" s="260" t="str">
        <f t="shared" si="3"/>
        <v/>
      </c>
      <c r="E120" s="261" t="str">
        <f t="array" ref="E120">IF(B120="","",IF(B120&lt;&gt;B119,SUMPRODUCT(($B$5:B120&lt;&gt;$B$4:B119)*($B$5:B120&lt;&gt;"")),""))</f>
        <v/>
      </c>
      <c r="F120" s="261" t="str">
        <f t="shared" si="4"/>
        <v/>
      </c>
      <c r="G120" s="261">
        <f t="shared" si="5"/>
        <v>3</v>
      </c>
      <c r="H120" s="175" t="str">
        <f t="shared" si="6"/>
        <v>Power BIレポート作成（今回スコープ外）</v>
      </c>
      <c r="I120" s="260"/>
      <c r="J120" s="260"/>
      <c r="K120" s="260"/>
      <c r="L120" s="176" t="str">
        <f t="shared" si="7"/>
        <v>【Salesforceデータ連携（1販社先行検証）】20-3_今回スコープ外：Power BI_Power BIレポート作成（今回スコープ外）</v>
      </c>
      <c r="M120" s="262"/>
      <c r="N120" s="262"/>
      <c r="O120" s="167" t="s">
        <v>98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</row>
    <row r="121" spans="1:702" ht="36" customHeight="1">
      <c r="A121" s="260" t="s">
        <v>95</v>
      </c>
      <c r="B121" s="260" t="s">
        <v>237</v>
      </c>
      <c r="C121" s="260" t="s">
        <v>241</v>
      </c>
      <c r="D121" s="260" t="str">
        <f t="shared" si="3"/>
        <v/>
      </c>
      <c r="E121" s="261" t="str">
        <f t="array" ref="E121">IF(B121="","",IF(B121&lt;&gt;B120,SUMPRODUCT(($B$5:B121&lt;&gt;$B$4:B120)*($B$5:B121&lt;&gt;"")),""))</f>
        <v/>
      </c>
      <c r="F121" s="261" t="str">
        <f t="shared" si="4"/>
        <v/>
      </c>
      <c r="G121" s="261">
        <f t="shared" si="5"/>
        <v>4</v>
      </c>
      <c r="H121" s="175" t="str">
        <f t="shared" si="6"/>
        <v>Power BI本番反映（今回スコープ外）</v>
      </c>
      <c r="I121" s="260"/>
      <c r="J121" s="260"/>
      <c r="K121" s="260"/>
      <c r="L121" s="176" t="str">
        <f t="shared" si="7"/>
        <v>【Salesforceデータ連携（1販社先行検証）】20-4_今回スコープ外：Power BI_Power BI本番反映（今回スコープ外）</v>
      </c>
      <c r="M121" s="262"/>
      <c r="N121" s="262"/>
      <c r="O121" s="167" t="s">
        <v>98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</row>
    <row r="122" spans="1:702" ht="39.75" customHeight="1">
      <c r="A122" s="194" t="s">
        <v>95</v>
      </c>
      <c r="B122" s="194" t="s">
        <v>242</v>
      </c>
      <c r="C122" s="194" t="s">
        <v>243</v>
      </c>
      <c r="D122" s="194" t="str">
        <f t="shared" si="3"/>
        <v/>
      </c>
      <c r="E122" s="195">
        <f t="array" ref="E122">IF(B122="","",IF(B122&lt;&gt;B121,SUMPRODUCT(($B$5:B122&lt;&gt;$B$4:B121)*($B$5:B122&lt;&gt;"")),""))</f>
        <v>21</v>
      </c>
      <c r="F122" s="195" t="str">
        <f t="shared" si="4"/>
        <v>将来対応</v>
      </c>
      <c r="G122" s="195">
        <f t="shared" si="5"/>
        <v>1</v>
      </c>
      <c r="H122" s="164" t="str">
        <f t="shared" si="6"/>
        <v>CDCへの拡張方針整理</v>
      </c>
      <c r="I122" s="194"/>
      <c r="J122" s="194"/>
      <c r="K122" s="194"/>
      <c r="L122" s="165" t="str">
        <f t="shared" si="7"/>
        <v>【Salesforceデータ連携（1販社先行検証）】21-1_将来対応_CDCへの拡張方針整理</v>
      </c>
      <c r="M122" s="196"/>
      <c r="N122" s="196"/>
      <c r="O122" s="167" t="s">
        <v>98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</row>
    <row r="123" spans="1:702" ht="36" customHeight="1">
      <c r="A123" s="263" t="s">
        <v>95</v>
      </c>
      <c r="B123" s="263" t="s">
        <v>242</v>
      </c>
      <c r="C123" s="263" t="s">
        <v>244</v>
      </c>
      <c r="D123" s="263" t="str">
        <f t="shared" si="3"/>
        <v/>
      </c>
      <c r="E123" s="264" t="str">
        <f t="array" ref="E123">IF(B123="","",IF(B123&lt;&gt;B122,SUMPRODUCT(($B$5:B123&lt;&gt;$B$4:B122)*($B$5:B123&lt;&gt;"")),""))</f>
        <v/>
      </c>
      <c r="F123" s="264" t="str">
        <f t="shared" si="4"/>
        <v/>
      </c>
      <c r="G123" s="264">
        <f t="shared" si="5"/>
        <v>2</v>
      </c>
      <c r="H123" s="175" t="str">
        <f t="shared" si="6"/>
        <v>Streamingへの拡張方針整理</v>
      </c>
      <c r="I123" s="263"/>
      <c r="J123" s="263"/>
      <c r="K123" s="263"/>
      <c r="L123" s="176" t="str">
        <f t="shared" si="7"/>
        <v>【Salesforceデータ連携（1販社先行検証）】21-2_将来対応_Streamingへの拡張方針整理</v>
      </c>
      <c r="M123" s="265"/>
      <c r="N123" s="265"/>
      <c r="O123" s="167" t="s">
        <v>98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  <c r="XX123" s="3"/>
      <c r="XY123" s="3"/>
      <c r="XZ123" s="3"/>
      <c r="YA123" s="3"/>
      <c r="YB123" s="3"/>
      <c r="YC123" s="3"/>
      <c r="YD123" s="3"/>
      <c r="YE123" s="3"/>
      <c r="YF123" s="3"/>
      <c r="YG123" s="3"/>
      <c r="YH123" s="3"/>
      <c r="YI123" s="3"/>
      <c r="YJ123" s="3"/>
      <c r="YK123" s="3"/>
      <c r="YL123" s="3"/>
      <c r="YM123" s="3"/>
      <c r="YN123" s="3"/>
      <c r="YO123" s="3"/>
      <c r="YP123" s="3"/>
      <c r="YQ123" s="3"/>
      <c r="YR123" s="3"/>
      <c r="YS123" s="3"/>
      <c r="YT123" s="3"/>
      <c r="YU123" s="3"/>
      <c r="YV123" s="3"/>
      <c r="YW123" s="3"/>
      <c r="YX123" s="3"/>
      <c r="YY123" s="3"/>
      <c r="YZ123" s="3"/>
      <c r="ZA123" s="3"/>
      <c r="ZB123" s="3"/>
      <c r="ZC123" s="3"/>
      <c r="ZD123" s="3"/>
      <c r="ZE123" s="3"/>
      <c r="ZF123" s="3"/>
      <c r="ZG123" s="3"/>
      <c r="ZH123" s="3"/>
      <c r="ZI123" s="3"/>
      <c r="ZJ123" s="3"/>
      <c r="ZK123" s="3"/>
      <c r="ZL123" s="3"/>
      <c r="ZM123" s="3"/>
      <c r="ZN123" s="3"/>
      <c r="ZO123" s="3"/>
      <c r="ZP123" s="3"/>
      <c r="ZQ123" s="3"/>
      <c r="ZR123" s="3"/>
      <c r="ZS123" s="3"/>
      <c r="ZT123" s="3"/>
      <c r="ZU123" s="3"/>
      <c r="ZV123" s="3"/>
      <c r="ZW123" s="3"/>
      <c r="ZX123" s="3"/>
      <c r="ZY123" s="3"/>
      <c r="ZZ123" s="3"/>
    </row>
    <row r="124" spans="1:702" ht="36" customHeight="1">
      <c r="A124" s="263" t="s">
        <v>95</v>
      </c>
      <c r="B124" s="263" t="s">
        <v>242</v>
      </c>
      <c r="C124" s="263" t="s">
        <v>245</v>
      </c>
      <c r="D124" s="263" t="str">
        <f t="shared" si="3"/>
        <v/>
      </c>
      <c r="E124" s="264" t="str">
        <f t="array" ref="E124">IF(B124="","",IF(B124&lt;&gt;B123,SUMPRODUCT(($B$5:B124&lt;&gt;$B$4:B123)*($B$5:B124&lt;&gt;"")),""))</f>
        <v/>
      </c>
      <c r="F124" s="264" t="str">
        <f t="shared" si="4"/>
        <v/>
      </c>
      <c r="G124" s="264">
        <f t="shared" si="5"/>
        <v>3</v>
      </c>
      <c r="H124" s="175" t="str">
        <f t="shared" si="6"/>
        <v>先行検証結果を基にした追加販社展開方式の改善・標準化</v>
      </c>
      <c r="I124" s="263"/>
      <c r="J124" s="263"/>
      <c r="K124" s="263"/>
      <c r="L124" s="176" t="str">
        <f t="shared" si="7"/>
        <v>【Salesforceデータ連携（1販社先行検証）】21-3_将来対応_先行検証結果を基にした追加販社展開方式の改善・標準化</v>
      </c>
      <c r="M124" s="265"/>
      <c r="N124" s="265"/>
      <c r="O124" s="167" t="s">
        <v>98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</row>
    <row r="125" spans="1:702" ht="36" customHeight="1">
      <c r="A125" s="263" t="s">
        <v>95</v>
      </c>
      <c r="B125" s="263" t="s">
        <v>242</v>
      </c>
      <c r="C125" s="263" t="s">
        <v>246</v>
      </c>
      <c r="D125" s="263" t="str">
        <f t="shared" si="3"/>
        <v/>
      </c>
      <c r="E125" s="264" t="str">
        <f t="array" ref="E125">IF(B125="","",IF(B125&lt;&gt;B124,SUMPRODUCT(($B$5:B125&lt;&gt;$B$4:B124)*($B$5:B125&lt;&gt;"")),""))</f>
        <v/>
      </c>
      <c r="F125" s="264" t="str">
        <f t="shared" si="4"/>
        <v/>
      </c>
      <c r="G125" s="264">
        <f t="shared" si="5"/>
        <v>4</v>
      </c>
      <c r="H125" s="175" t="str">
        <f t="shared" si="6"/>
        <v>先行検証の課題・改善事項を後続展開へ引継ぎ</v>
      </c>
      <c r="I125" s="263"/>
      <c r="J125" s="263"/>
      <c r="K125" s="263"/>
      <c r="L125" s="176" t="str">
        <f t="shared" si="7"/>
        <v>【Salesforceデータ連携（1販社先行検証）】21-4_将来対応_先行検証の課題・改善事項を後続展開へ引継ぎ</v>
      </c>
      <c r="M125" s="265"/>
      <c r="N125" s="265"/>
      <c r="O125" s="167" t="s">
        <v>98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</row>
    <row r="126" spans="1:702" ht="19.5" customHeight="1">
      <c r="A126" s="9"/>
      <c r="B126" s="9"/>
      <c r="C126" s="9"/>
      <c r="D126" s="9" t="str">
        <f t="shared" si="3"/>
        <v/>
      </c>
      <c r="E126" s="266" t="str">
        <f t="array" ref="E126">IF(B126="","",IF(B126&lt;&gt;B125,SUMPRODUCT(($B$5:B126&lt;&gt;$B$4:B125)*($B$5:B126&lt;&gt;"")),""))</f>
        <v/>
      </c>
      <c r="F126" s="9" t="str">
        <f t="shared" si="4"/>
        <v/>
      </c>
      <c r="G126" s="9" t="str">
        <f t="shared" si="5"/>
        <v/>
      </c>
      <c r="H126" s="267" t="str">
        <f t="shared" si="6"/>
        <v/>
      </c>
      <c r="I126" s="9"/>
      <c r="J126" s="9"/>
      <c r="K126" s="9"/>
      <c r="L126" s="9" t="str">
        <f t="shared" si="7"/>
        <v/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/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WP126" s="3"/>
      <c r="WQ126" s="3"/>
      <c r="WR126" s="3"/>
      <c r="WS126" s="3"/>
      <c r="WT126" s="3"/>
      <c r="WU126" s="3"/>
      <c r="WV126" s="3"/>
      <c r="WW126" s="3"/>
      <c r="WX126" s="3"/>
      <c r="WY126" s="3"/>
      <c r="WZ126" s="3"/>
      <c r="XA126" s="3"/>
      <c r="XB126" s="3"/>
      <c r="XC126" s="3"/>
      <c r="XD126" s="3"/>
      <c r="XE126" s="3"/>
      <c r="XF126" s="3"/>
      <c r="XG126" s="3"/>
      <c r="XH126" s="3"/>
      <c r="XI126" s="3"/>
      <c r="XJ126" s="3"/>
      <c r="XK126" s="3"/>
      <c r="XL126" s="3"/>
      <c r="XM126" s="3"/>
      <c r="XN126" s="3"/>
      <c r="XO126" s="3"/>
      <c r="XP126" s="3"/>
      <c r="XQ126" s="3"/>
      <c r="XR126" s="3"/>
      <c r="XS126" s="3"/>
      <c r="XT126" s="3"/>
      <c r="XU126" s="3"/>
      <c r="XV126" s="3"/>
      <c r="XW126" s="3"/>
      <c r="XX126" s="3"/>
      <c r="XY126" s="3"/>
      <c r="XZ126" s="3"/>
      <c r="YA126" s="3"/>
      <c r="YB126" s="3"/>
      <c r="YC126" s="3"/>
      <c r="YD126" s="3"/>
      <c r="YE126" s="3"/>
      <c r="YF126" s="3"/>
      <c r="YG126" s="3"/>
      <c r="YH126" s="3"/>
      <c r="YI126" s="3"/>
      <c r="YJ126" s="3"/>
      <c r="YK126" s="3"/>
      <c r="YL126" s="3"/>
      <c r="YM126" s="3"/>
      <c r="YN126" s="3"/>
      <c r="YO126" s="3"/>
      <c r="YP126" s="3"/>
      <c r="YQ126" s="3"/>
      <c r="YR126" s="3"/>
      <c r="YS126" s="3"/>
      <c r="YT126" s="3"/>
      <c r="YU126" s="3"/>
      <c r="YV126" s="3"/>
      <c r="YW126" s="3"/>
      <c r="YX126" s="3"/>
      <c r="YY126" s="3"/>
      <c r="YZ126" s="3"/>
      <c r="ZA126" s="3"/>
      <c r="ZB126" s="3"/>
      <c r="ZC126" s="3"/>
      <c r="ZD126" s="3"/>
      <c r="ZE126" s="3"/>
      <c r="ZF126" s="3"/>
      <c r="ZG126" s="3"/>
      <c r="ZH126" s="3"/>
      <c r="ZI126" s="3"/>
      <c r="ZJ126" s="3"/>
      <c r="ZK126" s="3"/>
      <c r="ZL126" s="3"/>
      <c r="ZM126" s="3"/>
      <c r="ZN126" s="3"/>
      <c r="ZO126" s="3"/>
      <c r="ZP126" s="3"/>
      <c r="ZQ126" s="3"/>
      <c r="ZR126" s="3"/>
      <c r="ZS126" s="3"/>
      <c r="ZT126" s="3"/>
      <c r="ZU126" s="3"/>
      <c r="ZV126" s="3"/>
      <c r="ZW126" s="3"/>
      <c r="ZX126" s="3"/>
      <c r="ZY126" s="3"/>
      <c r="ZZ126" s="3"/>
    </row>
    <row r="127" spans="1:702" ht="19.5" customHeight="1">
      <c r="A127" s="9"/>
      <c r="B127" s="9"/>
      <c r="C127" s="9"/>
      <c r="D127" s="9" t="str">
        <f t="shared" si="3"/>
        <v/>
      </c>
      <c r="E127" s="266" t="str">
        <f t="array" ref="E127">IF(B127="","",IF(B127&lt;&gt;B126,SUMPRODUCT(($B$5:B127&lt;&gt;$B$4:B126)*($B$5:B127&lt;&gt;"")),""))</f>
        <v/>
      </c>
      <c r="F127" s="9" t="str">
        <f t="shared" si="4"/>
        <v/>
      </c>
      <c r="G127" s="9" t="str">
        <f t="shared" si="5"/>
        <v/>
      </c>
      <c r="H127" s="267" t="str">
        <f t="shared" si="6"/>
        <v/>
      </c>
      <c r="I127" s="9"/>
      <c r="J127" s="9"/>
      <c r="K127" s="9"/>
      <c r="L127" s="9" t="str">
        <f t="shared" si="7"/>
        <v/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</row>
    <row r="128" spans="1:702" ht="19.5" customHeight="1">
      <c r="A128" s="9"/>
      <c r="B128" s="9"/>
      <c r="C128" s="9"/>
      <c r="D128" s="9" t="str">
        <f t="shared" si="3"/>
        <v/>
      </c>
      <c r="E128" s="266" t="str">
        <f t="array" ref="E128">IF(B128="","",IF(B128&lt;&gt;B127,SUMPRODUCT(($B$5:B128&lt;&gt;$B$4:B127)*($B$5:B128&lt;&gt;"")),""))</f>
        <v/>
      </c>
      <c r="F128" s="9" t="str">
        <f t="shared" si="4"/>
        <v/>
      </c>
      <c r="G128" s="9" t="str">
        <f t="shared" si="5"/>
        <v/>
      </c>
      <c r="H128" s="267" t="str">
        <f t="shared" si="6"/>
        <v/>
      </c>
      <c r="I128" s="9"/>
      <c r="J128" s="9"/>
      <c r="K128" s="9"/>
      <c r="L128" s="9" t="str">
        <f t="shared" si="7"/>
        <v/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  <c r="TF128" s="3"/>
      <c r="TG128" s="3"/>
      <c r="TH128" s="3"/>
      <c r="TI128" s="3"/>
      <c r="TJ128" s="3"/>
      <c r="TK128" s="3"/>
      <c r="TL128" s="3"/>
      <c r="TM128" s="3"/>
      <c r="TN128" s="3"/>
      <c r="TO128" s="3"/>
      <c r="TP128" s="3"/>
      <c r="TQ128" s="3"/>
      <c r="TR128" s="3"/>
      <c r="TS128" s="3"/>
      <c r="TT128" s="3"/>
      <c r="TU128" s="3"/>
      <c r="TV128" s="3"/>
      <c r="TW128" s="3"/>
      <c r="TX128" s="3"/>
      <c r="TY128" s="3"/>
      <c r="TZ128" s="3"/>
      <c r="UA128" s="3"/>
      <c r="UB128" s="3"/>
      <c r="UC128" s="3"/>
      <c r="UD128" s="3"/>
      <c r="UE128" s="3"/>
      <c r="UF128" s="3"/>
      <c r="UG128" s="3"/>
      <c r="UH128" s="3"/>
      <c r="UI128" s="3"/>
      <c r="UJ128" s="3"/>
      <c r="UK128" s="3"/>
      <c r="UL128" s="3"/>
      <c r="UM128" s="3"/>
      <c r="UN128" s="3"/>
      <c r="UO128" s="3"/>
      <c r="UP128" s="3"/>
      <c r="UQ128" s="3"/>
      <c r="UR128" s="3"/>
      <c r="US128" s="3"/>
      <c r="UT128" s="3"/>
      <c r="UU128" s="3"/>
      <c r="UV128" s="3"/>
      <c r="UW128" s="3"/>
      <c r="UX128" s="3"/>
      <c r="UY128" s="3"/>
      <c r="UZ128" s="3"/>
      <c r="VA128" s="3"/>
      <c r="VB128" s="3"/>
      <c r="VC128" s="3"/>
      <c r="VD128" s="3"/>
      <c r="VE128" s="3"/>
      <c r="VF128" s="3"/>
      <c r="VG128" s="3"/>
      <c r="VH128" s="3"/>
      <c r="VI128" s="3"/>
      <c r="VJ128" s="3"/>
      <c r="VK128" s="3"/>
      <c r="VL128" s="3"/>
      <c r="VM128" s="3"/>
      <c r="VN128" s="3"/>
      <c r="VO128" s="3"/>
      <c r="VP128" s="3"/>
      <c r="VQ128" s="3"/>
      <c r="VR128" s="3"/>
      <c r="VS128" s="3"/>
      <c r="VT128" s="3"/>
      <c r="VU128" s="3"/>
      <c r="VV128" s="3"/>
      <c r="VW128" s="3"/>
      <c r="VX128" s="3"/>
      <c r="VY128" s="3"/>
      <c r="VZ128" s="3"/>
      <c r="WA128" s="3"/>
      <c r="WB128" s="3"/>
      <c r="WC128" s="3"/>
      <c r="WD128" s="3"/>
      <c r="WE128" s="3"/>
      <c r="WF128" s="3"/>
      <c r="WG128" s="3"/>
      <c r="WH128" s="3"/>
      <c r="WI128" s="3"/>
      <c r="WJ128" s="3"/>
      <c r="WK128" s="3"/>
      <c r="WL128" s="3"/>
      <c r="WM128" s="3"/>
      <c r="WN128" s="3"/>
      <c r="WO128" s="3"/>
      <c r="WP128" s="3"/>
      <c r="WQ128" s="3"/>
      <c r="WR128" s="3"/>
      <c r="WS128" s="3"/>
      <c r="WT128" s="3"/>
      <c r="WU128" s="3"/>
      <c r="WV128" s="3"/>
      <c r="WW128" s="3"/>
      <c r="WX128" s="3"/>
      <c r="WY128" s="3"/>
      <c r="WZ128" s="3"/>
      <c r="XA128" s="3"/>
      <c r="XB128" s="3"/>
      <c r="XC128" s="3"/>
      <c r="XD128" s="3"/>
      <c r="XE128" s="3"/>
      <c r="XF128" s="3"/>
      <c r="XG128" s="3"/>
      <c r="XH128" s="3"/>
      <c r="XI128" s="3"/>
      <c r="XJ128" s="3"/>
      <c r="XK128" s="3"/>
      <c r="XL128" s="3"/>
      <c r="XM128" s="3"/>
      <c r="XN128" s="3"/>
      <c r="XO128" s="3"/>
      <c r="XP128" s="3"/>
      <c r="XQ128" s="3"/>
      <c r="XR128" s="3"/>
      <c r="XS128" s="3"/>
      <c r="XT128" s="3"/>
      <c r="XU128" s="3"/>
      <c r="XV128" s="3"/>
      <c r="XW128" s="3"/>
      <c r="XX128" s="3"/>
      <c r="XY128" s="3"/>
      <c r="XZ128" s="3"/>
      <c r="YA128" s="3"/>
      <c r="YB128" s="3"/>
      <c r="YC128" s="3"/>
      <c r="YD128" s="3"/>
      <c r="YE128" s="3"/>
      <c r="YF128" s="3"/>
      <c r="YG128" s="3"/>
      <c r="YH128" s="3"/>
      <c r="YI128" s="3"/>
      <c r="YJ128" s="3"/>
      <c r="YK128" s="3"/>
      <c r="YL128" s="3"/>
      <c r="YM128" s="3"/>
      <c r="YN128" s="3"/>
      <c r="YO128" s="3"/>
      <c r="YP128" s="3"/>
      <c r="YQ128" s="3"/>
      <c r="YR128" s="3"/>
      <c r="YS128" s="3"/>
      <c r="YT128" s="3"/>
      <c r="YU128" s="3"/>
      <c r="YV128" s="3"/>
      <c r="YW128" s="3"/>
      <c r="YX128" s="3"/>
      <c r="YY128" s="3"/>
      <c r="YZ128" s="3"/>
      <c r="ZA128" s="3"/>
      <c r="ZB128" s="3"/>
      <c r="ZC128" s="3"/>
      <c r="ZD128" s="3"/>
      <c r="ZE128" s="3"/>
      <c r="ZF128" s="3"/>
      <c r="ZG128" s="3"/>
      <c r="ZH128" s="3"/>
      <c r="ZI128" s="3"/>
      <c r="ZJ128" s="3"/>
      <c r="ZK128" s="3"/>
      <c r="ZL128" s="3"/>
      <c r="ZM128" s="3"/>
      <c r="ZN128" s="3"/>
      <c r="ZO128" s="3"/>
      <c r="ZP128" s="3"/>
      <c r="ZQ128" s="3"/>
      <c r="ZR128" s="3"/>
      <c r="ZS128" s="3"/>
      <c r="ZT128" s="3"/>
      <c r="ZU128" s="3"/>
      <c r="ZV128" s="3"/>
      <c r="ZW128" s="3"/>
      <c r="ZX128" s="3"/>
      <c r="ZY128" s="3"/>
      <c r="ZZ128" s="3"/>
    </row>
    <row r="129" spans="1:702" ht="19.5" customHeight="1">
      <c r="A129" s="9"/>
      <c r="B129" s="9"/>
      <c r="C129" s="9"/>
      <c r="D129" s="9" t="str">
        <f t="shared" si="3"/>
        <v/>
      </c>
      <c r="E129" s="266" t="str">
        <f t="array" ref="E129">IF(B129="","",IF(B129&lt;&gt;B128,SUMPRODUCT(($B$5:B129&lt;&gt;$B$4:B128)*($B$5:B129&lt;&gt;"")),""))</f>
        <v/>
      </c>
      <c r="F129" s="9" t="str">
        <f t="shared" si="4"/>
        <v/>
      </c>
      <c r="G129" s="9" t="str">
        <f t="shared" si="5"/>
        <v/>
      </c>
      <c r="H129" s="267" t="str">
        <f t="shared" si="6"/>
        <v/>
      </c>
      <c r="I129" s="9"/>
      <c r="J129" s="9"/>
      <c r="K129" s="9"/>
      <c r="L129" s="9" t="str">
        <f t="shared" si="7"/>
        <v/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WZ129" s="3"/>
      <c r="XA129" s="3"/>
      <c r="XB129" s="3"/>
      <c r="XC129" s="3"/>
      <c r="XD129" s="3"/>
      <c r="XE129" s="3"/>
      <c r="XF129" s="3"/>
      <c r="XG129" s="3"/>
      <c r="XH129" s="3"/>
      <c r="XI129" s="3"/>
      <c r="XJ129" s="3"/>
      <c r="XK129" s="3"/>
      <c r="XL129" s="3"/>
      <c r="XM129" s="3"/>
      <c r="XN129" s="3"/>
      <c r="XO129" s="3"/>
      <c r="XP129" s="3"/>
      <c r="XQ129" s="3"/>
      <c r="XR129" s="3"/>
      <c r="XS129" s="3"/>
      <c r="XT129" s="3"/>
      <c r="XU129" s="3"/>
      <c r="XV129" s="3"/>
      <c r="XW129" s="3"/>
      <c r="XX129" s="3"/>
      <c r="XY129" s="3"/>
      <c r="XZ129" s="3"/>
      <c r="YA129" s="3"/>
      <c r="YB129" s="3"/>
      <c r="YC129" s="3"/>
      <c r="YD129" s="3"/>
      <c r="YE129" s="3"/>
      <c r="YF129" s="3"/>
      <c r="YG129" s="3"/>
      <c r="YH129" s="3"/>
      <c r="YI129" s="3"/>
      <c r="YJ129" s="3"/>
      <c r="YK129" s="3"/>
      <c r="YL129" s="3"/>
      <c r="YM129" s="3"/>
      <c r="YN129" s="3"/>
      <c r="YO129" s="3"/>
      <c r="YP129" s="3"/>
      <c r="YQ129" s="3"/>
      <c r="YR129" s="3"/>
      <c r="YS129" s="3"/>
      <c r="YT129" s="3"/>
      <c r="YU129" s="3"/>
      <c r="YV129" s="3"/>
      <c r="YW129" s="3"/>
      <c r="YX129" s="3"/>
      <c r="YY129" s="3"/>
      <c r="YZ129" s="3"/>
      <c r="ZA129" s="3"/>
      <c r="ZB129" s="3"/>
      <c r="ZC129" s="3"/>
      <c r="ZD129" s="3"/>
      <c r="ZE129" s="3"/>
      <c r="ZF129" s="3"/>
      <c r="ZG129" s="3"/>
      <c r="ZH129" s="3"/>
      <c r="ZI129" s="3"/>
      <c r="ZJ129" s="3"/>
      <c r="ZK129" s="3"/>
      <c r="ZL129" s="3"/>
      <c r="ZM129" s="3"/>
      <c r="ZN129" s="3"/>
      <c r="ZO129" s="3"/>
      <c r="ZP129" s="3"/>
      <c r="ZQ129" s="3"/>
      <c r="ZR129" s="3"/>
      <c r="ZS129" s="3"/>
      <c r="ZT129" s="3"/>
      <c r="ZU129" s="3"/>
      <c r="ZV129" s="3"/>
      <c r="ZW129" s="3"/>
      <c r="ZX129" s="3"/>
      <c r="ZY129" s="3"/>
      <c r="ZZ129" s="3"/>
    </row>
    <row r="130" spans="1:702" ht="19.5" customHeight="1">
      <c r="A130" s="9"/>
      <c r="B130" s="9"/>
      <c r="C130" s="9"/>
      <c r="D130" s="9" t="str">
        <f t="shared" si="3"/>
        <v/>
      </c>
      <c r="E130" s="266" t="str">
        <f t="array" ref="E130">IF(B130="","",IF(B130&lt;&gt;B129,SUMPRODUCT(($B$5:B130&lt;&gt;$B$4:B129)*($B$5:B130&lt;&gt;"")),""))</f>
        <v/>
      </c>
      <c r="F130" s="9" t="str">
        <f t="shared" si="4"/>
        <v/>
      </c>
      <c r="G130" s="9" t="str">
        <f t="shared" si="5"/>
        <v/>
      </c>
      <c r="H130" s="267" t="str">
        <f t="shared" si="6"/>
        <v/>
      </c>
      <c r="I130" s="9"/>
      <c r="J130" s="9"/>
      <c r="K130" s="9"/>
      <c r="L130" s="9" t="str">
        <f t="shared" si="7"/>
        <v/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F130" s="3"/>
      <c r="XG130" s="3"/>
      <c r="XH130" s="3"/>
      <c r="XI130" s="3"/>
      <c r="XJ130" s="3"/>
      <c r="XK130" s="3"/>
      <c r="XL130" s="3"/>
      <c r="XM130" s="3"/>
      <c r="XN130" s="3"/>
      <c r="XO130" s="3"/>
      <c r="XP130" s="3"/>
      <c r="XQ130" s="3"/>
      <c r="XR130" s="3"/>
      <c r="XS130" s="3"/>
      <c r="XT130" s="3"/>
      <c r="XU130" s="3"/>
      <c r="XV130" s="3"/>
      <c r="XW130" s="3"/>
      <c r="XX130" s="3"/>
      <c r="XY130" s="3"/>
      <c r="XZ130" s="3"/>
      <c r="YA130" s="3"/>
      <c r="YB130" s="3"/>
      <c r="YC130" s="3"/>
      <c r="YD130" s="3"/>
      <c r="YE130" s="3"/>
      <c r="YF130" s="3"/>
      <c r="YG130" s="3"/>
      <c r="YH130" s="3"/>
      <c r="YI130" s="3"/>
      <c r="YJ130" s="3"/>
      <c r="YK130" s="3"/>
      <c r="YL130" s="3"/>
      <c r="YM130" s="3"/>
      <c r="YN130" s="3"/>
      <c r="YO130" s="3"/>
      <c r="YP130" s="3"/>
      <c r="YQ130" s="3"/>
      <c r="YR130" s="3"/>
      <c r="YS130" s="3"/>
      <c r="YT130" s="3"/>
      <c r="YU130" s="3"/>
      <c r="YV130" s="3"/>
      <c r="YW130" s="3"/>
      <c r="YX130" s="3"/>
      <c r="YY130" s="3"/>
      <c r="YZ130" s="3"/>
      <c r="ZA130" s="3"/>
      <c r="ZB130" s="3"/>
      <c r="ZC130" s="3"/>
      <c r="ZD130" s="3"/>
      <c r="ZE130" s="3"/>
      <c r="ZF130" s="3"/>
      <c r="ZG130" s="3"/>
      <c r="ZH130" s="3"/>
      <c r="ZI130" s="3"/>
      <c r="ZJ130" s="3"/>
      <c r="ZK130" s="3"/>
      <c r="ZL130" s="3"/>
      <c r="ZM130" s="3"/>
      <c r="ZN130" s="3"/>
      <c r="ZO130" s="3"/>
      <c r="ZP130" s="3"/>
      <c r="ZQ130" s="3"/>
      <c r="ZR130" s="3"/>
      <c r="ZS130" s="3"/>
      <c r="ZT130" s="3"/>
      <c r="ZU130" s="3"/>
      <c r="ZV130" s="3"/>
      <c r="ZW130" s="3"/>
      <c r="ZX130" s="3"/>
      <c r="ZY130" s="3"/>
      <c r="ZZ130" s="3"/>
    </row>
    <row r="131" spans="1:702" ht="19.5" customHeight="1">
      <c r="A131" s="9"/>
      <c r="B131" s="9"/>
      <c r="C131" s="9"/>
      <c r="D131" s="9" t="str">
        <f t="shared" si="3"/>
        <v/>
      </c>
      <c r="E131" s="266" t="str">
        <f t="array" ref="E131">IF(B131="","",IF(B131&lt;&gt;B130,SUMPRODUCT(($B$5:B131&lt;&gt;$B$4:B130)*($B$5:B131&lt;&gt;"")),""))</f>
        <v/>
      </c>
      <c r="F131" s="9" t="str">
        <f t="shared" si="4"/>
        <v/>
      </c>
      <c r="G131" s="9" t="str">
        <f t="shared" si="5"/>
        <v/>
      </c>
      <c r="H131" s="267" t="str">
        <f t="shared" si="6"/>
        <v/>
      </c>
      <c r="I131" s="9"/>
      <c r="J131" s="9"/>
      <c r="K131" s="9"/>
      <c r="L131" s="9" t="str">
        <f t="shared" si="7"/>
        <v/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WZ131" s="3"/>
      <c r="XA131" s="3"/>
      <c r="XB131" s="3"/>
      <c r="XC131" s="3"/>
      <c r="XD131" s="3"/>
      <c r="XE131" s="3"/>
      <c r="XF131" s="3"/>
      <c r="XG131" s="3"/>
      <c r="XH131" s="3"/>
      <c r="XI131" s="3"/>
      <c r="XJ131" s="3"/>
      <c r="XK131" s="3"/>
      <c r="XL131" s="3"/>
      <c r="XM131" s="3"/>
      <c r="XN131" s="3"/>
      <c r="XO131" s="3"/>
      <c r="XP131" s="3"/>
      <c r="XQ131" s="3"/>
      <c r="XR131" s="3"/>
      <c r="XS131" s="3"/>
      <c r="XT131" s="3"/>
      <c r="XU131" s="3"/>
      <c r="XV131" s="3"/>
      <c r="XW131" s="3"/>
      <c r="XX131" s="3"/>
      <c r="XY131" s="3"/>
      <c r="XZ131" s="3"/>
      <c r="YA131" s="3"/>
      <c r="YB131" s="3"/>
      <c r="YC131" s="3"/>
      <c r="YD131" s="3"/>
      <c r="YE131" s="3"/>
      <c r="YF131" s="3"/>
      <c r="YG131" s="3"/>
      <c r="YH131" s="3"/>
      <c r="YI131" s="3"/>
      <c r="YJ131" s="3"/>
      <c r="YK131" s="3"/>
      <c r="YL131" s="3"/>
      <c r="YM131" s="3"/>
      <c r="YN131" s="3"/>
      <c r="YO131" s="3"/>
      <c r="YP131" s="3"/>
      <c r="YQ131" s="3"/>
      <c r="YR131" s="3"/>
      <c r="YS131" s="3"/>
      <c r="YT131" s="3"/>
      <c r="YU131" s="3"/>
      <c r="YV131" s="3"/>
      <c r="YW131" s="3"/>
      <c r="YX131" s="3"/>
      <c r="YY131" s="3"/>
      <c r="YZ131" s="3"/>
      <c r="ZA131" s="3"/>
      <c r="ZB131" s="3"/>
      <c r="ZC131" s="3"/>
      <c r="ZD131" s="3"/>
      <c r="ZE131" s="3"/>
      <c r="ZF131" s="3"/>
      <c r="ZG131" s="3"/>
      <c r="ZH131" s="3"/>
      <c r="ZI131" s="3"/>
      <c r="ZJ131" s="3"/>
      <c r="ZK131" s="3"/>
      <c r="ZL131" s="3"/>
      <c r="ZM131" s="3"/>
      <c r="ZN131" s="3"/>
      <c r="ZO131" s="3"/>
      <c r="ZP131" s="3"/>
      <c r="ZQ131" s="3"/>
      <c r="ZR131" s="3"/>
      <c r="ZS131" s="3"/>
      <c r="ZT131" s="3"/>
      <c r="ZU131" s="3"/>
      <c r="ZV131" s="3"/>
      <c r="ZW131" s="3"/>
      <c r="ZX131" s="3"/>
      <c r="ZY131" s="3"/>
      <c r="ZZ131" s="3"/>
    </row>
    <row r="132" spans="1:702" ht="19.5" customHeight="1">
      <c r="A132" s="9"/>
      <c r="B132" s="9"/>
      <c r="C132" s="9"/>
      <c r="D132" s="9" t="str">
        <f t="shared" si="3"/>
        <v/>
      </c>
      <c r="E132" s="266" t="str">
        <f t="array" ref="E132">IF(B132="","",IF(B132&lt;&gt;B131,SUMPRODUCT(($B$5:B132&lt;&gt;$B$4:B131)*($B$5:B132&lt;&gt;"")),""))</f>
        <v/>
      </c>
      <c r="F132" s="9" t="str">
        <f t="shared" si="4"/>
        <v/>
      </c>
      <c r="G132" s="9" t="str">
        <f t="shared" si="5"/>
        <v/>
      </c>
      <c r="H132" s="267" t="str">
        <f t="shared" si="6"/>
        <v/>
      </c>
      <c r="I132" s="9"/>
      <c r="J132" s="9"/>
      <c r="K132" s="9"/>
      <c r="L132" s="9" t="str">
        <f t="shared" si="7"/>
        <v/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</row>
    <row r="133" spans="1:702" ht="19.5" customHeight="1">
      <c r="A133" s="9"/>
      <c r="B133" s="9"/>
      <c r="C133" s="9"/>
      <c r="D133" s="9" t="str">
        <f t="shared" si="3"/>
        <v/>
      </c>
      <c r="E133" s="266" t="str">
        <f t="array" ref="E133">IF(B133="","",IF(B133&lt;&gt;B132,SUMPRODUCT(($B$5:B133&lt;&gt;$B$4:B132)*($B$5:B133&lt;&gt;"")),""))</f>
        <v/>
      </c>
      <c r="F133" s="9" t="str">
        <f t="shared" si="4"/>
        <v/>
      </c>
      <c r="G133" s="9" t="str">
        <f t="shared" si="5"/>
        <v/>
      </c>
      <c r="H133" s="267" t="str">
        <f t="shared" si="6"/>
        <v/>
      </c>
      <c r="I133" s="9"/>
      <c r="J133" s="9"/>
      <c r="K133" s="9"/>
      <c r="L133" s="9" t="str">
        <f t="shared" si="7"/>
        <v/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  <c r="IY133" s="3"/>
      <c r="IZ133" s="3"/>
      <c r="JA133" s="3"/>
      <c r="JB133" s="3"/>
      <c r="JC133" s="3"/>
      <c r="JD133" s="3"/>
      <c r="JE133" s="3"/>
      <c r="JF133" s="3"/>
      <c r="JG133" s="3"/>
      <c r="JH133" s="3"/>
      <c r="JI133" s="3"/>
      <c r="JJ133" s="3"/>
      <c r="JK133" s="3"/>
      <c r="JL133" s="3"/>
      <c r="JM133" s="3"/>
      <c r="JN133" s="3"/>
      <c r="JO133" s="3"/>
      <c r="JP133" s="3"/>
      <c r="JQ133" s="3"/>
      <c r="JR133" s="3"/>
      <c r="JS133" s="3"/>
      <c r="JT133" s="3"/>
      <c r="JU133" s="3"/>
      <c r="JV133" s="3"/>
      <c r="JW133" s="3"/>
      <c r="JX133" s="3"/>
      <c r="JY133" s="3"/>
      <c r="JZ133" s="3"/>
      <c r="KA133" s="3"/>
      <c r="KB133" s="3"/>
      <c r="KC133" s="3"/>
      <c r="KD133" s="3"/>
      <c r="KE133" s="3"/>
      <c r="KF133" s="3"/>
      <c r="KG133" s="3"/>
      <c r="KH133" s="3"/>
      <c r="KI133" s="3"/>
      <c r="KJ133" s="3"/>
      <c r="KK133" s="3"/>
      <c r="KL133" s="3"/>
      <c r="KM133" s="3"/>
      <c r="KN133" s="3"/>
      <c r="KO133" s="3"/>
      <c r="KP133" s="3"/>
      <c r="KQ133" s="3"/>
      <c r="KR133" s="3"/>
      <c r="KS133" s="3"/>
      <c r="KT133" s="3"/>
      <c r="KU133" s="3"/>
      <c r="KV133" s="3"/>
      <c r="KW133" s="3"/>
      <c r="KX133" s="3"/>
      <c r="KY133" s="3"/>
      <c r="KZ133" s="3"/>
      <c r="LA133" s="3"/>
      <c r="LB133" s="3"/>
      <c r="LC133" s="3"/>
      <c r="LD133" s="3"/>
      <c r="LE133" s="3"/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3"/>
      <c r="LQ133" s="3"/>
      <c r="LR133" s="3"/>
      <c r="LS133" s="3"/>
      <c r="LT133" s="3"/>
      <c r="LU133" s="3"/>
      <c r="LV133" s="3"/>
      <c r="LW133" s="3"/>
      <c r="LX133" s="3"/>
      <c r="LY133" s="3"/>
      <c r="LZ133" s="3"/>
      <c r="MA133" s="3"/>
      <c r="MB133" s="3"/>
      <c r="MC133" s="3"/>
      <c r="MD133" s="3"/>
      <c r="ME133" s="3"/>
      <c r="MF133" s="3"/>
      <c r="MG133" s="3"/>
      <c r="MH133" s="3"/>
      <c r="MI133" s="3"/>
      <c r="MJ133" s="3"/>
      <c r="MK133" s="3"/>
      <c r="ML133" s="3"/>
      <c r="MM133" s="3"/>
      <c r="MN133" s="3"/>
      <c r="MO133" s="3"/>
      <c r="MP133" s="3"/>
      <c r="MQ133" s="3"/>
      <c r="MR133" s="3"/>
      <c r="MS133" s="3"/>
      <c r="MT133" s="3"/>
      <c r="MU133" s="3"/>
      <c r="MV133" s="3"/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WZ133" s="3"/>
      <c r="XA133" s="3"/>
      <c r="XB133" s="3"/>
      <c r="XC133" s="3"/>
      <c r="XD133" s="3"/>
      <c r="XE133" s="3"/>
      <c r="XF133" s="3"/>
      <c r="XG133" s="3"/>
      <c r="XH133" s="3"/>
      <c r="XI133" s="3"/>
      <c r="XJ133" s="3"/>
      <c r="XK133" s="3"/>
      <c r="XL133" s="3"/>
      <c r="XM133" s="3"/>
      <c r="XN133" s="3"/>
      <c r="XO133" s="3"/>
      <c r="XP133" s="3"/>
      <c r="XQ133" s="3"/>
      <c r="XR133" s="3"/>
      <c r="XS133" s="3"/>
      <c r="XT133" s="3"/>
      <c r="XU133" s="3"/>
      <c r="XV133" s="3"/>
      <c r="XW133" s="3"/>
      <c r="XX133" s="3"/>
      <c r="XY133" s="3"/>
      <c r="XZ133" s="3"/>
      <c r="YA133" s="3"/>
      <c r="YB133" s="3"/>
      <c r="YC133" s="3"/>
      <c r="YD133" s="3"/>
      <c r="YE133" s="3"/>
      <c r="YF133" s="3"/>
      <c r="YG133" s="3"/>
      <c r="YH133" s="3"/>
      <c r="YI133" s="3"/>
      <c r="YJ133" s="3"/>
      <c r="YK133" s="3"/>
      <c r="YL133" s="3"/>
      <c r="YM133" s="3"/>
      <c r="YN133" s="3"/>
      <c r="YO133" s="3"/>
      <c r="YP133" s="3"/>
      <c r="YQ133" s="3"/>
      <c r="YR133" s="3"/>
      <c r="YS133" s="3"/>
      <c r="YT133" s="3"/>
      <c r="YU133" s="3"/>
      <c r="YV133" s="3"/>
      <c r="YW133" s="3"/>
      <c r="YX133" s="3"/>
      <c r="YY133" s="3"/>
      <c r="YZ133" s="3"/>
      <c r="ZA133" s="3"/>
      <c r="ZB133" s="3"/>
      <c r="ZC133" s="3"/>
      <c r="ZD133" s="3"/>
      <c r="ZE133" s="3"/>
      <c r="ZF133" s="3"/>
      <c r="ZG133" s="3"/>
      <c r="ZH133" s="3"/>
      <c r="ZI133" s="3"/>
      <c r="ZJ133" s="3"/>
      <c r="ZK133" s="3"/>
      <c r="ZL133" s="3"/>
      <c r="ZM133" s="3"/>
      <c r="ZN133" s="3"/>
      <c r="ZO133" s="3"/>
      <c r="ZP133" s="3"/>
      <c r="ZQ133" s="3"/>
      <c r="ZR133" s="3"/>
      <c r="ZS133" s="3"/>
      <c r="ZT133" s="3"/>
      <c r="ZU133" s="3"/>
      <c r="ZV133" s="3"/>
      <c r="ZW133" s="3"/>
      <c r="ZX133" s="3"/>
      <c r="ZY133" s="3"/>
      <c r="ZZ133" s="3"/>
    </row>
    <row r="134" spans="1:702" ht="19.5" customHeight="1">
      <c r="A134" s="9"/>
      <c r="B134" s="9"/>
      <c r="C134" s="9"/>
      <c r="D134" s="9" t="str">
        <f t="shared" si="3"/>
        <v/>
      </c>
      <c r="E134" s="266" t="str">
        <f t="array" ref="E134">IF(B134="","",IF(B134&lt;&gt;B133,SUMPRODUCT(($B$5:B134&lt;&gt;$B$4:B133)*($B$5:B134&lt;&gt;"")),""))</f>
        <v/>
      </c>
      <c r="F134" s="9" t="str">
        <f t="shared" si="4"/>
        <v/>
      </c>
      <c r="G134" s="9" t="str">
        <f t="shared" si="5"/>
        <v/>
      </c>
      <c r="H134" s="267" t="str">
        <f t="shared" si="6"/>
        <v/>
      </c>
      <c r="I134" s="9"/>
      <c r="J134" s="9"/>
      <c r="K134" s="9"/>
      <c r="L134" s="9" t="str">
        <f t="shared" si="7"/>
        <v/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</row>
    <row r="135" spans="1:702" ht="19.5" customHeight="1">
      <c r="A135" s="9"/>
      <c r="B135" s="9"/>
      <c r="C135" s="9"/>
      <c r="D135" s="9" t="str">
        <f t="shared" si="3"/>
        <v/>
      </c>
      <c r="E135" s="266" t="str">
        <f t="array" ref="E135">IF(B135="","",IF(B135&lt;&gt;B134,SUMPRODUCT(($B$5:B135&lt;&gt;$B$4:B134)*($B$5:B135&lt;&gt;"")),""))</f>
        <v/>
      </c>
      <c r="F135" s="9" t="str">
        <f t="shared" si="4"/>
        <v/>
      </c>
      <c r="G135" s="9" t="str">
        <f t="shared" si="5"/>
        <v/>
      </c>
      <c r="H135" s="267" t="str">
        <f t="shared" si="6"/>
        <v/>
      </c>
      <c r="I135" s="9"/>
      <c r="J135" s="9"/>
      <c r="K135" s="9"/>
      <c r="L135" s="9" t="str">
        <f t="shared" si="7"/>
        <v/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3"/>
      <c r="JB135" s="3"/>
      <c r="JC135" s="3"/>
      <c r="JD135" s="3"/>
      <c r="JE135" s="3"/>
      <c r="JF135" s="3"/>
      <c r="JG135" s="3"/>
      <c r="JH135" s="3"/>
      <c r="JI135" s="3"/>
      <c r="JJ135" s="3"/>
      <c r="JK135" s="3"/>
      <c r="JL135" s="3"/>
      <c r="JM135" s="3"/>
      <c r="JN135" s="3"/>
      <c r="JO135" s="3"/>
      <c r="JP135" s="3"/>
      <c r="JQ135" s="3"/>
      <c r="JR135" s="3"/>
      <c r="JS135" s="3"/>
      <c r="JT135" s="3"/>
      <c r="JU135" s="3"/>
      <c r="JV135" s="3"/>
      <c r="JW135" s="3"/>
      <c r="JX135" s="3"/>
      <c r="JY135" s="3"/>
      <c r="JZ135" s="3"/>
      <c r="KA135" s="3"/>
      <c r="KB135" s="3"/>
      <c r="KC135" s="3"/>
      <c r="KD135" s="3"/>
      <c r="KE135" s="3"/>
      <c r="KF135" s="3"/>
      <c r="KG135" s="3"/>
      <c r="KH135" s="3"/>
      <c r="KI135" s="3"/>
      <c r="KJ135" s="3"/>
      <c r="KK135" s="3"/>
      <c r="KL135" s="3"/>
      <c r="KM135" s="3"/>
      <c r="KN135" s="3"/>
      <c r="KO135" s="3"/>
      <c r="KP135" s="3"/>
      <c r="KQ135" s="3"/>
      <c r="KR135" s="3"/>
      <c r="KS135" s="3"/>
      <c r="KT135" s="3"/>
      <c r="KU135" s="3"/>
      <c r="KV135" s="3"/>
      <c r="KW135" s="3"/>
      <c r="KX135" s="3"/>
      <c r="KY135" s="3"/>
      <c r="KZ135" s="3"/>
      <c r="LA135" s="3"/>
      <c r="LB135" s="3"/>
      <c r="LC135" s="3"/>
      <c r="LD135" s="3"/>
      <c r="LE135" s="3"/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3"/>
      <c r="LQ135" s="3"/>
      <c r="LR135" s="3"/>
      <c r="LS135" s="3"/>
      <c r="LT135" s="3"/>
      <c r="LU135" s="3"/>
      <c r="LV135" s="3"/>
      <c r="LW135" s="3"/>
      <c r="LX135" s="3"/>
      <c r="LY135" s="3"/>
      <c r="LZ135" s="3"/>
      <c r="MA135" s="3"/>
      <c r="MB135" s="3"/>
      <c r="MC135" s="3"/>
      <c r="MD135" s="3"/>
      <c r="ME135" s="3"/>
      <c r="MF135" s="3"/>
      <c r="MG135" s="3"/>
      <c r="MH135" s="3"/>
      <c r="MI135" s="3"/>
      <c r="MJ135" s="3"/>
      <c r="MK135" s="3"/>
      <c r="ML135" s="3"/>
      <c r="MM135" s="3"/>
      <c r="MN135" s="3"/>
      <c r="MO135" s="3"/>
      <c r="MP135" s="3"/>
      <c r="MQ135" s="3"/>
      <c r="MR135" s="3"/>
      <c r="MS135" s="3"/>
      <c r="MT135" s="3"/>
      <c r="MU135" s="3"/>
      <c r="MV135" s="3"/>
      <c r="MW135" s="3"/>
      <c r="MX135" s="3"/>
      <c r="MY135" s="3"/>
      <c r="MZ135" s="3"/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/>
      <c r="PD135" s="3"/>
      <c r="PE135" s="3"/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O135" s="3"/>
      <c r="RP135" s="3"/>
      <c r="RQ135" s="3"/>
      <c r="RR135" s="3"/>
      <c r="RS135" s="3"/>
      <c r="RT135" s="3"/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/>
      <c r="SP135" s="3"/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/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WZ135" s="3"/>
      <c r="XA135" s="3"/>
      <c r="XB135" s="3"/>
      <c r="XC135" s="3"/>
      <c r="XD135" s="3"/>
      <c r="XE135" s="3"/>
      <c r="XF135" s="3"/>
      <c r="XG135" s="3"/>
      <c r="XH135" s="3"/>
      <c r="XI135" s="3"/>
      <c r="XJ135" s="3"/>
      <c r="XK135" s="3"/>
      <c r="XL135" s="3"/>
      <c r="XM135" s="3"/>
      <c r="XN135" s="3"/>
      <c r="XO135" s="3"/>
      <c r="XP135" s="3"/>
      <c r="XQ135" s="3"/>
      <c r="XR135" s="3"/>
      <c r="XS135" s="3"/>
      <c r="XT135" s="3"/>
      <c r="XU135" s="3"/>
      <c r="XV135" s="3"/>
      <c r="XW135" s="3"/>
      <c r="XX135" s="3"/>
      <c r="XY135" s="3"/>
      <c r="XZ135" s="3"/>
      <c r="YA135" s="3"/>
      <c r="YB135" s="3"/>
      <c r="YC135" s="3"/>
      <c r="YD135" s="3"/>
      <c r="YE135" s="3"/>
      <c r="YF135" s="3"/>
      <c r="YG135" s="3"/>
      <c r="YH135" s="3"/>
      <c r="YI135" s="3"/>
      <c r="YJ135" s="3"/>
      <c r="YK135" s="3"/>
      <c r="YL135" s="3"/>
      <c r="YM135" s="3"/>
      <c r="YN135" s="3"/>
      <c r="YO135" s="3"/>
      <c r="YP135" s="3"/>
      <c r="YQ135" s="3"/>
      <c r="YR135" s="3"/>
      <c r="YS135" s="3"/>
      <c r="YT135" s="3"/>
      <c r="YU135" s="3"/>
      <c r="YV135" s="3"/>
      <c r="YW135" s="3"/>
      <c r="YX135" s="3"/>
      <c r="YY135" s="3"/>
      <c r="YZ135" s="3"/>
      <c r="ZA135" s="3"/>
      <c r="ZB135" s="3"/>
      <c r="ZC135" s="3"/>
      <c r="ZD135" s="3"/>
      <c r="ZE135" s="3"/>
      <c r="ZF135" s="3"/>
      <c r="ZG135" s="3"/>
      <c r="ZH135" s="3"/>
      <c r="ZI135" s="3"/>
      <c r="ZJ135" s="3"/>
      <c r="ZK135" s="3"/>
      <c r="ZL135" s="3"/>
      <c r="ZM135" s="3"/>
      <c r="ZN135" s="3"/>
      <c r="ZO135" s="3"/>
      <c r="ZP135" s="3"/>
      <c r="ZQ135" s="3"/>
      <c r="ZR135" s="3"/>
      <c r="ZS135" s="3"/>
      <c r="ZT135" s="3"/>
      <c r="ZU135" s="3"/>
      <c r="ZV135" s="3"/>
      <c r="ZW135" s="3"/>
      <c r="ZX135" s="3"/>
      <c r="ZY135" s="3"/>
      <c r="ZZ135" s="3"/>
    </row>
    <row r="136" spans="1:702" ht="19.5" customHeight="1">
      <c r="A136" s="9"/>
      <c r="B136" s="9"/>
      <c r="C136" s="9"/>
      <c r="D136" s="9" t="str">
        <f t="shared" si="3"/>
        <v/>
      </c>
      <c r="E136" s="266" t="str">
        <f t="array" ref="E136">IF(B136="","",IF(B136&lt;&gt;B135,SUMPRODUCT(($B$5:B136&lt;&gt;$B$4:B135)*($B$5:B136&lt;&gt;"")),""))</f>
        <v/>
      </c>
      <c r="F136" s="9" t="str">
        <f t="shared" si="4"/>
        <v/>
      </c>
      <c r="G136" s="9" t="str">
        <f t="shared" si="5"/>
        <v/>
      </c>
      <c r="H136" s="267" t="str">
        <f t="shared" si="6"/>
        <v/>
      </c>
      <c r="I136" s="9"/>
      <c r="J136" s="9"/>
      <c r="K136" s="9"/>
      <c r="L136" s="9" t="str">
        <f t="shared" si="7"/>
        <v/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F136" s="3"/>
      <c r="XG136" s="3"/>
      <c r="XH136" s="3"/>
      <c r="XI136" s="3"/>
      <c r="XJ136" s="3"/>
      <c r="XK136" s="3"/>
      <c r="XL136" s="3"/>
      <c r="XM136" s="3"/>
      <c r="XN136" s="3"/>
      <c r="XO136" s="3"/>
      <c r="XP136" s="3"/>
      <c r="XQ136" s="3"/>
      <c r="XR136" s="3"/>
      <c r="XS136" s="3"/>
      <c r="XT136" s="3"/>
      <c r="XU136" s="3"/>
      <c r="XV136" s="3"/>
      <c r="XW136" s="3"/>
      <c r="XX136" s="3"/>
      <c r="XY136" s="3"/>
      <c r="XZ136" s="3"/>
      <c r="YA136" s="3"/>
      <c r="YB136" s="3"/>
      <c r="YC136" s="3"/>
      <c r="YD136" s="3"/>
      <c r="YE136" s="3"/>
      <c r="YF136" s="3"/>
      <c r="YG136" s="3"/>
      <c r="YH136" s="3"/>
      <c r="YI136" s="3"/>
      <c r="YJ136" s="3"/>
      <c r="YK136" s="3"/>
      <c r="YL136" s="3"/>
      <c r="YM136" s="3"/>
      <c r="YN136" s="3"/>
      <c r="YO136" s="3"/>
      <c r="YP136" s="3"/>
      <c r="YQ136" s="3"/>
      <c r="YR136" s="3"/>
      <c r="YS136" s="3"/>
      <c r="YT136" s="3"/>
      <c r="YU136" s="3"/>
      <c r="YV136" s="3"/>
      <c r="YW136" s="3"/>
      <c r="YX136" s="3"/>
      <c r="YY136" s="3"/>
      <c r="YZ136" s="3"/>
      <c r="ZA136" s="3"/>
      <c r="ZB136" s="3"/>
      <c r="ZC136" s="3"/>
      <c r="ZD136" s="3"/>
      <c r="ZE136" s="3"/>
      <c r="ZF136" s="3"/>
      <c r="ZG136" s="3"/>
      <c r="ZH136" s="3"/>
      <c r="ZI136" s="3"/>
      <c r="ZJ136" s="3"/>
      <c r="ZK136" s="3"/>
      <c r="ZL136" s="3"/>
      <c r="ZM136" s="3"/>
      <c r="ZN136" s="3"/>
      <c r="ZO136" s="3"/>
      <c r="ZP136" s="3"/>
      <c r="ZQ136" s="3"/>
      <c r="ZR136" s="3"/>
      <c r="ZS136" s="3"/>
      <c r="ZT136" s="3"/>
      <c r="ZU136" s="3"/>
      <c r="ZV136" s="3"/>
      <c r="ZW136" s="3"/>
      <c r="ZX136" s="3"/>
      <c r="ZY136" s="3"/>
      <c r="ZZ136" s="3"/>
    </row>
    <row r="137" spans="1:702" ht="19.5" customHeight="1">
      <c r="A137" s="9"/>
      <c r="B137" s="9"/>
      <c r="C137" s="9"/>
      <c r="D137" s="9" t="str">
        <f t="shared" si="3"/>
        <v/>
      </c>
      <c r="E137" s="266" t="str">
        <f t="array" ref="E137">IF(B137="","",IF(B137&lt;&gt;B136,SUMPRODUCT(($B$5:B137&lt;&gt;$B$4:B136)*($B$5:B137&lt;&gt;"")),""))</f>
        <v/>
      </c>
      <c r="F137" s="9" t="str">
        <f t="shared" si="4"/>
        <v/>
      </c>
      <c r="G137" s="9" t="str">
        <f t="shared" si="5"/>
        <v/>
      </c>
      <c r="H137" s="267" t="str">
        <f t="shared" si="6"/>
        <v/>
      </c>
      <c r="I137" s="9"/>
      <c r="J137" s="9"/>
      <c r="K137" s="9"/>
      <c r="L137" s="9" t="str">
        <f t="shared" si="7"/>
        <v/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  <c r="IY137" s="3"/>
      <c r="IZ137" s="3"/>
      <c r="JA137" s="3"/>
      <c r="JB137" s="3"/>
      <c r="JC137" s="3"/>
      <c r="JD137" s="3"/>
      <c r="JE137" s="3"/>
      <c r="JF137" s="3"/>
      <c r="JG137" s="3"/>
      <c r="JH137" s="3"/>
      <c r="JI137" s="3"/>
      <c r="JJ137" s="3"/>
      <c r="JK137" s="3"/>
      <c r="JL137" s="3"/>
      <c r="JM137" s="3"/>
      <c r="JN137" s="3"/>
      <c r="JO137" s="3"/>
      <c r="JP137" s="3"/>
      <c r="JQ137" s="3"/>
      <c r="JR137" s="3"/>
      <c r="JS137" s="3"/>
      <c r="JT137" s="3"/>
      <c r="JU137" s="3"/>
      <c r="JV137" s="3"/>
      <c r="JW137" s="3"/>
      <c r="JX137" s="3"/>
      <c r="JY137" s="3"/>
      <c r="JZ137" s="3"/>
      <c r="KA137" s="3"/>
      <c r="KB137" s="3"/>
      <c r="KC137" s="3"/>
      <c r="KD137" s="3"/>
      <c r="KE137" s="3"/>
      <c r="KF137" s="3"/>
      <c r="KG137" s="3"/>
      <c r="KH137" s="3"/>
      <c r="KI137" s="3"/>
      <c r="KJ137" s="3"/>
      <c r="KK137" s="3"/>
      <c r="KL137" s="3"/>
      <c r="KM137" s="3"/>
      <c r="KN137" s="3"/>
      <c r="KO137" s="3"/>
      <c r="KP137" s="3"/>
      <c r="KQ137" s="3"/>
      <c r="KR137" s="3"/>
      <c r="KS137" s="3"/>
      <c r="KT137" s="3"/>
      <c r="KU137" s="3"/>
      <c r="KV137" s="3"/>
      <c r="KW137" s="3"/>
      <c r="KX137" s="3"/>
      <c r="KY137" s="3"/>
      <c r="KZ137" s="3"/>
      <c r="LA137" s="3"/>
      <c r="LB137" s="3"/>
      <c r="LC137" s="3"/>
      <c r="LD137" s="3"/>
      <c r="LE137" s="3"/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3"/>
      <c r="LQ137" s="3"/>
      <c r="LR137" s="3"/>
      <c r="LS137" s="3"/>
      <c r="LT137" s="3"/>
      <c r="LU137" s="3"/>
      <c r="LV137" s="3"/>
      <c r="LW137" s="3"/>
      <c r="LX137" s="3"/>
      <c r="LY137" s="3"/>
      <c r="LZ137" s="3"/>
      <c r="MA137" s="3"/>
      <c r="MB137" s="3"/>
      <c r="MC137" s="3"/>
      <c r="MD137" s="3"/>
      <c r="ME137" s="3"/>
      <c r="MF137" s="3"/>
      <c r="MG137" s="3"/>
      <c r="MH137" s="3"/>
      <c r="MI137" s="3"/>
      <c r="MJ137" s="3"/>
      <c r="MK137" s="3"/>
      <c r="ML137" s="3"/>
      <c r="MM137" s="3"/>
      <c r="MN137" s="3"/>
      <c r="MO137" s="3"/>
      <c r="MP137" s="3"/>
      <c r="MQ137" s="3"/>
      <c r="MR137" s="3"/>
      <c r="MS137" s="3"/>
      <c r="MT137" s="3"/>
      <c r="MU137" s="3"/>
      <c r="MV137" s="3"/>
      <c r="MW137" s="3"/>
      <c r="MX137" s="3"/>
      <c r="MY137" s="3"/>
      <c r="MZ137" s="3"/>
      <c r="NA137" s="3"/>
      <c r="NB137" s="3"/>
      <c r="NC137" s="3"/>
      <c r="ND137" s="3"/>
      <c r="NE137" s="3"/>
      <c r="NF137" s="3"/>
      <c r="NG137" s="3"/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3"/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3"/>
      <c r="PB137" s="3"/>
      <c r="PC137" s="3"/>
      <c r="PD137" s="3"/>
      <c r="PE137" s="3"/>
      <c r="PF137" s="3"/>
      <c r="PG137" s="3"/>
      <c r="PH137" s="3"/>
      <c r="PI137" s="3"/>
      <c r="PJ137" s="3"/>
      <c r="PK137" s="3"/>
      <c r="PL137" s="3"/>
      <c r="PM137" s="3"/>
      <c r="PN137" s="3"/>
      <c r="PO137" s="3"/>
      <c r="PP137" s="3"/>
      <c r="PQ137" s="3"/>
      <c r="PR137" s="3"/>
      <c r="PS137" s="3"/>
      <c r="PT137" s="3"/>
      <c r="PU137" s="3"/>
      <c r="PV137" s="3"/>
      <c r="PW137" s="3"/>
      <c r="PX137" s="3"/>
      <c r="PY137" s="3"/>
      <c r="PZ137" s="3"/>
      <c r="QA137" s="3"/>
      <c r="QB137" s="3"/>
      <c r="QC137" s="3"/>
      <c r="QD137" s="3"/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3"/>
      <c r="QU137" s="3"/>
      <c r="QV137" s="3"/>
      <c r="QW137" s="3"/>
      <c r="QX137" s="3"/>
      <c r="QY137" s="3"/>
      <c r="QZ137" s="3"/>
      <c r="RA137" s="3"/>
      <c r="RB137" s="3"/>
      <c r="RC137" s="3"/>
      <c r="RD137" s="3"/>
      <c r="RE137" s="3"/>
      <c r="RF137" s="3"/>
      <c r="RG137" s="3"/>
      <c r="RH137" s="3"/>
      <c r="RI137" s="3"/>
      <c r="RJ137" s="3"/>
      <c r="RK137" s="3"/>
      <c r="RL137" s="3"/>
      <c r="RM137" s="3"/>
      <c r="RN137" s="3"/>
      <c r="RO137" s="3"/>
      <c r="RP137" s="3"/>
      <c r="RQ137" s="3"/>
      <c r="RR137" s="3"/>
      <c r="RS137" s="3"/>
      <c r="RT137" s="3"/>
      <c r="RU137" s="3"/>
      <c r="RV137" s="3"/>
      <c r="RW137" s="3"/>
      <c r="RX137" s="3"/>
      <c r="RY137" s="3"/>
      <c r="RZ137" s="3"/>
      <c r="SA137" s="3"/>
      <c r="SB137" s="3"/>
      <c r="SC137" s="3"/>
      <c r="SD137" s="3"/>
      <c r="SE137" s="3"/>
      <c r="SF137" s="3"/>
      <c r="SG137" s="3"/>
      <c r="SH137" s="3"/>
      <c r="SI137" s="3"/>
      <c r="SJ137" s="3"/>
      <c r="SK137" s="3"/>
      <c r="SL137" s="3"/>
      <c r="SM137" s="3"/>
      <c r="SN137" s="3"/>
      <c r="SO137" s="3"/>
      <c r="SP137" s="3"/>
      <c r="SQ137" s="3"/>
      <c r="SR137" s="3"/>
      <c r="SS137" s="3"/>
      <c r="ST137" s="3"/>
      <c r="SU137" s="3"/>
      <c r="SV137" s="3"/>
      <c r="SW137" s="3"/>
      <c r="SX137" s="3"/>
      <c r="SY137" s="3"/>
      <c r="SZ137" s="3"/>
      <c r="TA137" s="3"/>
      <c r="TB137" s="3"/>
      <c r="TC137" s="3"/>
      <c r="TD137" s="3"/>
      <c r="TE137" s="3"/>
      <c r="TF137" s="3"/>
      <c r="TG137" s="3"/>
      <c r="TH137" s="3"/>
      <c r="TI137" s="3"/>
      <c r="TJ137" s="3"/>
      <c r="TK137" s="3"/>
      <c r="TL137" s="3"/>
      <c r="TM137" s="3"/>
      <c r="TN137" s="3"/>
      <c r="TO137" s="3"/>
      <c r="TP137" s="3"/>
      <c r="TQ137" s="3"/>
      <c r="TR137" s="3"/>
      <c r="TS137" s="3"/>
      <c r="TT137" s="3"/>
      <c r="TU137" s="3"/>
      <c r="TV137" s="3"/>
      <c r="TW137" s="3"/>
      <c r="TX137" s="3"/>
      <c r="TY137" s="3"/>
      <c r="TZ137" s="3"/>
      <c r="UA137" s="3"/>
      <c r="UB137" s="3"/>
      <c r="UC137" s="3"/>
      <c r="UD137" s="3"/>
      <c r="UE137" s="3"/>
      <c r="UF137" s="3"/>
      <c r="UG137" s="3"/>
      <c r="UH137" s="3"/>
      <c r="UI137" s="3"/>
      <c r="UJ137" s="3"/>
      <c r="UK137" s="3"/>
      <c r="UL137" s="3"/>
      <c r="UM137" s="3"/>
      <c r="UN137" s="3"/>
      <c r="UO137" s="3"/>
      <c r="UP137" s="3"/>
      <c r="UQ137" s="3"/>
      <c r="UR137" s="3"/>
      <c r="US137" s="3"/>
      <c r="UT137" s="3"/>
      <c r="UU137" s="3"/>
      <c r="UV137" s="3"/>
      <c r="UW137" s="3"/>
      <c r="UX137" s="3"/>
      <c r="UY137" s="3"/>
      <c r="UZ137" s="3"/>
      <c r="VA137" s="3"/>
      <c r="VB137" s="3"/>
      <c r="VC137" s="3"/>
      <c r="VD137" s="3"/>
      <c r="VE137" s="3"/>
      <c r="VF137" s="3"/>
      <c r="VG137" s="3"/>
      <c r="VH137" s="3"/>
      <c r="VI137" s="3"/>
      <c r="VJ137" s="3"/>
      <c r="VK137" s="3"/>
      <c r="VL137" s="3"/>
      <c r="VM137" s="3"/>
      <c r="VN137" s="3"/>
      <c r="VO137" s="3"/>
      <c r="VP137" s="3"/>
      <c r="VQ137" s="3"/>
      <c r="VR137" s="3"/>
      <c r="VS137" s="3"/>
      <c r="VT137" s="3"/>
      <c r="VU137" s="3"/>
      <c r="VV137" s="3"/>
      <c r="VW137" s="3"/>
      <c r="VX137" s="3"/>
      <c r="VY137" s="3"/>
      <c r="VZ137" s="3"/>
      <c r="WA137" s="3"/>
      <c r="WB137" s="3"/>
      <c r="WC137" s="3"/>
      <c r="WD137" s="3"/>
      <c r="WE137" s="3"/>
      <c r="WF137" s="3"/>
      <c r="WG137" s="3"/>
      <c r="WH137" s="3"/>
      <c r="WI137" s="3"/>
      <c r="WJ137" s="3"/>
      <c r="WK137" s="3"/>
      <c r="WL137" s="3"/>
      <c r="WM137" s="3"/>
      <c r="WN137" s="3"/>
      <c r="WO137" s="3"/>
      <c r="WP137" s="3"/>
      <c r="WQ137" s="3"/>
      <c r="WR137" s="3"/>
      <c r="WS137" s="3"/>
      <c r="WT137" s="3"/>
      <c r="WU137" s="3"/>
      <c r="WV137" s="3"/>
      <c r="WW137" s="3"/>
      <c r="WX137" s="3"/>
      <c r="WY137" s="3"/>
      <c r="WZ137" s="3"/>
      <c r="XA137" s="3"/>
      <c r="XB137" s="3"/>
      <c r="XC137" s="3"/>
      <c r="XD137" s="3"/>
      <c r="XE137" s="3"/>
      <c r="XF137" s="3"/>
      <c r="XG137" s="3"/>
      <c r="XH137" s="3"/>
      <c r="XI137" s="3"/>
      <c r="XJ137" s="3"/>
      <c r="XK137" s="3"/>
      <c r="XL137" s="3"/>
      <c r="XM137" s="3"/>
      <c r="XN137" s="3"/>
      <c r="XO137" s="3"/>
      <c r="XP137" s="3"/>
      <c r="XQ137" s="3"/>
      <c r="XR137" s="3"/>
      <c r="XS137" s="3"/>
      <c r="XT137" s="3"/>
      <c r="XU137" s="3"/>
      <c r="XV137" s="3"/>
      <c r="XW137" s="3"/>
      <c r="XX137" s="3"/>
      <c r="XY137" s="3"/>
      <c r="XZ137" s="3"/>
      <c r="YA137" s="3"/>
      <c r="YB137" s="3"/>
      <c r="YC137" s="3"/>
      <c r="YD137" s="3"/>
      <c r="YE137" s="3"/>
      <c r="YF137" s="3"/>
      <c r="YG137" s="3"/>
      <c r="YH137" s="3"/>
      <c r="YI137" s="3"/>
      <c r="YJ137" s="3"/>
      <c r="YK137" s="3"/>
      <c r="YL137" s="3"/>
      <c r="YM137" s="3"/>
      <c r="YN137" s="3"/>
      <c r="YO137" s="3"/>
      <c r="YP137" s="3"/>
      <c r="YQ137" s="3"/>
      <c r="YR137" s="3"/>
      <c r="YS137" s="3"/>
      <c r="YT137" s="3"/>
      <c r="YU137" s="3"/>
      <c r="YV137" s="3"/>
      <c r="YW137" s="3"/>
      <c r="YX137" s="3"/>
      <c r="YY137" s="3"/>
      <c r="YZ137" s="3"/>
      <c r="ZA137" s="3"/>
      <c r="ZB137" s="3"/>
      <c r="ZC137" s="3"/>
      <c r="ZD137" s="3"/>
      <c r="ZE137" s="3"/>
      <c r="ZF137" s="3"/>
      <c r="ZG137" s="3"/>
      <c r="ZH137" s="3"/>
      <c r="ZI137" s="3"/>
      <c r="ZJ137" s="3"/>
      <c r="ZK137" s="3"/>
      <c r="ZL137" s="3"/>
      <c r="ZM137" s="3"/>
      <c r="ZN137" s="3"/>
      <c r="ZO137" s="3"/>
      <c r="ZP137" s="3"/>
      <c r="ZQ137" s="3"/>
      <c r="ZR137" s="3"/>
      <c r="ZS137" s="3"/>
      <c r="ZT137" s="3"/>
      <c r="ZU137" s="3"/>
      <c r="ZV137" s="3"/>
      <c r="ZW137" s="3"/>
      <c r="ZX137" s="3"/>
      <c r="ZY137" s="3"/>
      <c r="ZZ137" s="3"/>
    </row>
    <row r="138" spans="1:702" ht="19.5" customHeight="1">
      <c r="A138" s="9"/>
      <c r="B138" s="9"/>
      <c r="C138" s="9"/>
      <c r="D138" s="9" t="str">
        <f t="shared" si="3"/>
        <v/>
      </c>
      <c r="E138" s="266" t="str">
        <f t="array" ref="E138">IF(B138="","",IF(B138&lt;&gt;B137,SUMPRODUCT(($B$5:B138&lt;&gt;$B$4:B137)*($B$5:B138&lt;&gt;"")),""))</f>
        <v/>
      </c>
      <c r="F138" s="9" t="str">
        <f t="shared" si="4"/>
        <v/>
      </c>
      <c r="G138" s="9" t="str">
        <f t="shared" si="5"/>
        <v/>
      </c>
      <c r="H138" s="267" t="str">
        <f t="shared" si="6"/>
        <v/>
      </c>
      <c r="I138" s="9"/>
      <c r="J138" s="9"/>
      <c r="K138" s="9"/>
      <c r="L138" s="9" t="str">
        <f t="shared" si="7"/>
        <v/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  <c r="XX138" s="3"/>
      <c r="XY138" s="3"/>
      <c r="XZ138" s="3"/>
      <c r="YA138" s="3"/>
      <c r="YB138" s="3"/>
      <c r="YC138" s="3"/>
      <c r="YD138" s="3"/>
      <c r="YE138" s="3"/>
      <c r="YF138" s="3"/>
      <c r="YG138" s="3"/>
      <c r="YH138" s="3"/>
      <c r="YI138" s="3"/>
      <c r="YJ138" s="3"/>
      <c r="YK138" s="3"/>
      <c r="YL138" s="3"/>
      <c r="YM138" s="3"/>
      <c r="YN138" s="3"/>
      <c r="YO138" s="3"/>
      <c r="YP138" s="3"/>
      <c r="YQ138" s="3"/>
      <c r="YR138" s="3"/>
      <c r="YS138" s="3"/>
      <c r="YT138" s="3"/>
      <c r="YU138" s="3"/>
      <c r="YV138" s="3"/>
      <c r="YW138" s="3"/>
      <c r="YX138" s="3"/>
      <c r="YY138" s="3"/>
      <c r="YZ138" s="3"/>
      <c r="ZA138" s="3"/>
      <c r="ZB138" s="3"/>
      <c r="ZC138" s="3"/>
      <c r="ZD138" s="3"/>
      <c r="ZE138" s="3"/>
      <c r="ZF138" s="3"/>
      <c r="ZG138" s="3"/>
      <c r="ZH138" s="3"/>
      <c r="ZI138" s="3"/>
      <c r="ZJ138" s="3"/>
      <c r="ZK138" s="3"/>
      <c r="ZL138" s="3"/>
      <c r="ZM138" s="3"/>
      <c r="ZN138" s="3"/>
      <c r="ZO138" s="3"/>
      <c r="ZP138" s="3"/>
      <c r="ZQ138" s="3"/>
      <c r="ZR138" s="3"/>
      <c r="ZS138" s="3"/>
      <c r="ZT138" s="3"/>
      <c r="ZU138" s="3"/>
      <c r="ZV138" s="3"/>
      <c r="ZW138" s="3"/>
      <c r="ZX138" s="3"/>
      <c r="ZY138" s="3"/>
      <c r="ZZ138" s="3"/>
    </row>
    <row r="139" spans="1:702" ht="19.5" customHeight="1">
      <c r="A139" s="9"/>
      <c r="B139" s="9"/>
      <c r="C139" s="9"/>
      <c r="D139" s="9" t="str">
        <f t="shared" si="3"/>
        <v/>
      </c>
      <c r="E139" s="266" t="str">
        <f t="array" ref="E139">IF(B139="","",IF(B139&lt;&gt;B138,SUMPRODUCT(($B$5:B139&lt;&gt;$B$4:B138)*($B$5:B139&lt;&gt;"")),""))</f>
        <v/>
      </c>
      <c r="F139" s="9" t="str">
        <f t="shared" si="4"/>
        <v/>
      </c>
      <c r="G139" s="9" t="str">
        <f t="shared" si="5"/>
        <v/>
      </c>
      <c r="H139" s="267" t="str">
        <f t="shared" si="6"/>
        <v/>
      </c>
      <c r="I139" s="9"/>
      <c r="J139" s="9"/>
      <c r="K139" s="9"/>
      <c r="L139" s="9" t="str">
        <f t="shared" si="7"/>
        <v/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  <c r="IY139" s="3"/>
      <c r="IZ139" s="3"/>
      <c r="JA139" s="3"/>
      <c r="JB139" s="3"/>
      <c r="JC139" s="3"/>
      <c r="JD139" s="3"/>
      <c r="JE139" s="3"/>
      <c r="JF139" s="3"/>
      <c r="JG139" s="3"/>
      <c r="JH139" s="3"/>
      <c r="JI139" s="3"/>
      <c r="JJ139" s="3"/>
      <c r="JK139" s="3"/>
      <c r="JL139" s="3"/>
      <c r="JM139" s="3"/>
      <c r="JN139" s="3"/>
      <c r="JO139" s="3"/>
      <c r="JP139" s="3"/>
      <c r="JQ139" s="3"/>
      <c r="JR139" s="3"/>
      <c r="JS139" s="3"/>
      <c r="JT139" s="3"/>
      <c r="JU139" s="3"/>
      <c r="JV139" s="3"/>
      <c r="JW139" s="3"/>
      <c r="JX139" s="3"/>
      <c r="JY139" s="3"/>
      <c r="JZ139" s="3"/>
      <c r="KA139" s="3"/>
      <c r="KB139" s="3"/>
      <c r="KC139" s="3"/>
      <c r="KD139" s="3"/>
      <c r="KE139" s="3"/>
      <c r="KF139" s="3"/>
      <c r="KG139" s="3"/>
      <c r="KH139" s="3"/>
      <c r="KI139" s="3"/>
      <c r="KJ139" s="3"/>
      <c r="KK139" s="3"/>
      <c r="KL139" s="3"/>
      <c r="KM139" s="3"/>
      <c r="KN139" s="3"/>
      <c r="KO139" s="3"/>
      <c r="KP139" s="3"/>
      <c r="KQ139" s="3"/>
      <c r="KR139" s="3"/>
      <c r="KS139" s="3"/>
      <c r="KT139" s="3"/>
      <c r="KU139" s="3"/>
      <c r="KV139" s="3"/>
      <c r="KW139" s="3"/>
      <c r="KX139" s="3"/>
      <c r="KY139" s="3"/>
      <c r="KZ139" s="3"/>
      <c r="LA139" s="3"/>
      <c r="LB139" s="3"/>
      <c r="LC139" s="3"/>
      <c r="LD139" s="3"/>
      <c r="LE139" s="3"/>
      <c r="LF139" s="3"/>
      <c r="LG139" s="3"/>
      <c r="LH139" s="3"/>
      <c r="LI139" s="3"/>
      <c r="LJ139" s="3"/>
      <c r="LK139" s="3"/>
      <c r="LL139" s="3"/>
      <c r="LM139" s="3"/>
      <c r="LN139" s="3"/>
      <c r="LO139" s="3"/>
      <c r="LP139" s="3"/>
      <c r="LQ139" s="3"/>
      <c r="LR139" s="3"/>
      <c r="LS139" s="3"/>
      <c r="LT139" s="3"/>
      <c r="LU139" s="3"/>
      <c r="LV139" s="3"/>
      <c r="LW139" s="3"/>
      <c r="LX139" s="3"/>
      <c r="LY139" s="3"/>
      <c r="LZ139" s="3"/>
      <c r="MA139" s="3"/>
      <c r="MB139" s="3"/>
      <c r="MC139" s="3"/>
      <c r="MD139" s="3"/>
      <c r="ME139" s="3"/>
      <c r="MF139" s="3"/>
      <c r="MG139" s="3"/>
      <c r="MH139" s="3"/>
      <c r="MI139" s="3"/>
      <c r="MJ139" s="3"/>
      <c r="MK139" s="3"/>
      <c r="ML139" s="3"/>
      <c r="MM139" s="3"/>
      <c r="MN139" s="3"/>
      <c r="MO139" s="3"/>
      <c r="MP139" s="3"/>
      <c r="MQ139" s="3"/>
      <c r="MR139" s="3"/>
      <c r="MS139" s="3"/>
      <c r="MT139" s="3"/>
      <c r="MU139" s="3"/>
      <c r="MV139" s="3"/>
      <c r="MW139" s="3"/>
      <c r="MX139" s="3"/>
      <c r="MY139" s="3"/>
      <c r="MZ139" s="3"/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/>
      <c r="PD139" s="3"/>
      <c r="PE139" s="3"/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O139" s="3"/>
      <c r="RP139" s="3"/>
      <c r="RQ139" s="3"/>
      <c r="RR139" s="3"/>
      <c r="RS139" s="3"/>
      <c r="RT139" s="3"/>
      <c r="RU139" s="3"/>
      <c r="RV139" s="3"/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/>
      <c r="SP139" s="3"/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/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WZ139" s="3"/>
      <c r="XA139" s="3"/>
      <c r="XB139" s="3"/>
      <c r="XC139" s="3"/>
      <c r="XD139" s="3"/>
      <c r="XE139" s="3"/>
      <c r="XF139" s="3"/>
      <c r="XG139" s="3"/>
      <c r="XH139" s="3"/>
      <c r="XI139" s="3"/>
      <c r="XJ139" s="3"/>
      <c r="XK139" s="3"/>
      <c r="XL139" s="3"/>
      <c r="XM139" s="3"/>
      <c r="XN139" s="3"/>
      <c r="XO139" s="3"/>
      <c r="XP139" s="3"/>
      <c r="XQ139" s="3"/>
      <c r="XR139" s="3"/>
      <c r="XS139" s="3"/>
      <c r="XT139" s="3"/>
      <c r="XU139" s="3"/>
      <c r="XV139" s="3"/>
      <c r="XW139" s="3"/>
      <c r="XX139" s="3"/>
      <c r="XY139" s="3"/>
      <c r="XZ139" s="3"/>
      <c r="YA139" s="3"/>
      <c r="YB139" s="3"/>
      <c r="YC139" s="3"/>
      <c r="YD139" s="3"/>
      <c r="YE139" s="3"/>
      <c r="YF139" s="3"/>
      <c r="YG139" s="3"/>
      <c r="YH139" s="3"/>
      <c r="YI139" s="3"/>
      <c r="YJ139" s="3"/>
      <c r="YK139" s="3"/>
      <c r="YL139" s="3"/>
      <c r="YM139" s="3"/>
      <c r="YN139" s="3"/>
      <c r="YO139" s="3"/>
      <c r="YP139" s="3"/>
      <c r="YQ139" s="3"/>
      <c r="YR139" s="3"/>
      <c r="YS139" s="3"/>
      <c r="YT139" s="3"/>
      <c r="YU139" s="3"/>
      <c r="YV139" s="3"/>
      <c r="YW139" s="3"/>
      <c r="YX139" s="3"/>
      <c r="YY139" s="3"/>
      <c r="YZ139" s="3"/>
      <c r="ZA139" s="3"/>
      <c r="ZB139" s="3"/>
      <c r="ZC139" s="3"/>
      <c r="ZD139" s="3"/>
      <c r="ZE139" s="3"/>
      <c r="ZF139" s="3"/>
      <c r="ZG139" s="3"/>
      <c r="ZH139" s="3"/>
      <c r="ZI139" s="3"/>
      <c r="ZJ139" s="3"/>
      <c r="ZK139" s="3"/>
      <c r="ZL139" s="3"/>
      <c r="ZM139" s="3"/>
      <c r="ZN139" s="3"/>
      <c r="ZO139" s="3"/>
      <c r="ZP139" s="3"/>
      <c r="ZQ139" s="3"/>
      <c r="ZR139" s="3"/>
      <c r="ZS139" s="3"/>
      <c r="ZT139" s="3"/>
      <c r="ZU139" s="3"/>
      <c r="ZV139" s="3"/>
      <c r="ZW139" s="3"/>
      <c r="ZX139" s="3"/>
      <c r="ZY139" s="3"/>
      <c r="ZZ139" s="3"/>
    </row>
    <row r="140" spans="1:702" ht="19.5" customHeight="1">
      <c r="A140" s="9"/>
      <c r="B140" s="9"/>
      <c r="C140" s="9"/>
      <c r="D140" s="9" t="str">
        <f t="shared" si="3"/>
        <v/>
      </c>
      <c r="E140" s="266" t="str">
        <f t="array" ref="E140">IF(B140="","",IF(B140&lt;&gt;B139,SUMPRODUCT(($B$5:B140&lt;&gt;$B$4:B139)*($B$5:B140&lt;&gt;"")),""))</f>
        <v/>
      </c>
      <c r="F140" s="9" t="str">
        <f t="shared" si="4"/>
        <v/>
      </c>
      <c r="G140" s="9" t="str">
        <f t="shared" si="5"/>
        <v/>
      </c>
      <c r="H140" s="267" t="str">
        <f t="shared" si="6"/>
        <v/>
      </c>
      <c r="I140" s="9"/>
      <c r="J140" s="9"/>
      <c r="K140" s="9"/>
      <c r="L140" s="9" t="str">
        <f t="shared" si="7"/>
        <v/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  <c r="WQ140" s="3"/>
      <c r="WR140" s="3"/>
      <c r="WS140" s="3"/>
      <c r="WT140" s="3"/>
      <c r="WU140" s="3"/>
      <c r="WV140" s="3"/>
      <c r="WW140" s="3"/>
      <c r="WX140" s="3"/>
      <c r="WY140" s="3"/>
      <c r="WZ140" s="3"/>
      <c r="XA140" s="3"/>
      <c r="XB140" s="3"/>
      <c r="XC140" s="3"/>
      <c r="XD140" s="3"/>
      <c r="XE140" s="3"/>
      <c r="XF140" s="3"/>
      <c r="XG140" s="3"/>
      <c r="XH140" s="3"/>
      <c r="XI140" s="3"/>
      <c r="XJ140" s="3"/>
      <c r="XK140" s="3"/>
      <c r="XL140" s="3"/>
      <c r="XM140" s="3"/>
      <c r="XN140" s="3"/>
      <c r="XO140" s="3"/>
      <c r="XP140" s="3"/>
      <c r="XQ140" s="3"/>
      <c r="XR140" s="3"/>
      <c r="XS140" s="3"/>
      <c r="XT140" s="3"/>
      <c r="XU140" s="3"/>
      <c r="XV140" s="3"/>
      <c r="XW140" s="3"/>
      <c r="XX140" s="3"/>
      <c r="XY140" s="3"/>
      <c r="XZ140" s="3"/>
      <c r="YA140" s="3"/>
      <c r="YB140" s="3"/>
      <c r="YC140" s="3"/>
      <c r="YD140" s="3"/>
      <c r="YE140" s="3"/>
      <c r="YF140" s="3"/>
      <c r="YG140" s="3"/>
      <c r="YH140" s="3"/>
      <c r="YI140" s="3"/>
      <c r="YJ140" s="3"/>
      <c r="YK140" s="3"/>
      <c r="YL140" s="3"/>
      <c r="YM140" s="3"/>
      <c r="YN140" s="3"/>
      <c r="YO140" s="3"/>
      <c r="YP140" s="3"/>
      <c r="YQ140" s="3"/>
      <c r="YR140" s="3"/>
      <c r="YS140" s="3"/>
      <c r="YT140" s="3"/>
      <c r="YU140" s="3"/>
      <c r="YV140" s="3"/>
      <c r="YW140" s="3"/>
      <c r="YX140" s="3"/>
      <c r="YY140" s="3"/>
      <c r="YZ140" s="3"/>
      <c r="ZA140" s="3"/>
      <c r="ZB140" s="3"/>
      <c r="ZC140" s="3"/>
      <c r="ZD140" s="3"/>
      <c r="ZE140" s="3"/>
      <c r="ZF140" s="3"/>
      <c r="ZG140" s="3"/>
      <c r="ZH140" s="3"/>
      <c r="ZI140" s="3"/>
      <c r="ZJ140" s="3"/>
      <c r="ZK140" s="3"/>
      <c r="ZL140" s="3"/>
      <c r="ZM140" s="3"/>
      <c r="ZN140" s="3"/>
      <c r="ZO140" s="3"/>
      <c r="ZP140" s="3"/>
      <c r="ZQ140" s="3"/>
      <c r="ZR140" s="3"/>
      <c r="ZS140" s="3"/>
      <c r="ZT140" s="3"/>
      <c r="ZU140" s="3"/>
      <c r="ZV140" s="3"/>
      <c r="ZW140" s="3"/>
      <c r="ZX140" s="3"/>
      <c r="ZY140" s="3"/>
      <c r="ZZ140" s="3"/>
    </row>
    <row r="141" spans="1:702" ht="19.5" customHeight="1">
      <c r="A141" s="9"/>
      <c r="B141" s="9"/>
      <c r="C141" s="9"/>
      <c r="D141" s="9" t="str">
        <f t="shared" si="3"/>
        <v/>
      </c>
      <c r="E141" s="266" t="str">
        <f t="array" ref="E141">IF(B141="","",IF(B141&lt;&gt;B140,SUMPRODUCT(($B$5:B141&lt;&gt;$B$4:B140)*($B$5:B141&lt;&gt;"")),""))</f>
        <v/>
      </c>
      <c r="F141" s="9" t="str">
        <f t="shared" si="4"/>
        <v/>
      </c>
      <c r="G141" s="9" t="str">
        <f t="shared" si="5"/>
        <v/>
      </c>
      <c r="H141" s="267" t="str">
        <f t="shared" si="6"/>
        <v/>
      </c>
      <c r="I141" s="9"/>
      <c r="J141" s="9"/>
      <c r="K141" s="9"/>
      <c r="L141" s="9" t="str">
        <f t="shared" si="7"/>
        <v/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3"/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3"/>
      <c r="JM141" s="3"/>
      <c r="JN141" s="3"/>
      <c r="JO141" s="3"/>
      <c r="JP141" s="3"/>
      <c r="JQ141" s="3"/>
      <c r="JR141" s="3"/>
      <c r="JS141" s="3"/>
      <c r="JT141" s="3"/>
      <c r="JU141" s="3"/>
      <c r="JV141" s="3"/>
      <c r="JW141" s="3"/>
      <c r="JX141" s="3"/>
      <c r="JY141" s="3"/>
      <c r="JZ141" s="3"/>
      <c r="KA141" s="3"/>
      <c r="KB141" s="3"/>
      <c r="KC141" s="3"/>
      <c r="KD141" s="3"/>
      <c r="KE141" s="3"/>
      <c r="KF141" s="3"/>
      <c r="KG141" s="3"/>
      <c r="KH141" s="3"/>
      <c r="KI141" s="3"/>
      <c r="KJ141" s="3"/>
      <c r="KK141" s="3"/>
      <c r="KL141" s="3"/>
      <c r="KM141" s="3"/>
      <c r="KN141" s="3"/>
      <c r="KO141" s="3"/>
      <c r="KP141" s="3"/>
      <c r="KQ141" s="3"/>
      <c r="KR141" s="3"/>
      <c r="KS141" s="3"/>
      <c r="KT141" s="3"/>
      <c r="KU141" s="3"/>
      <c r="KV141" s="3"/>
      <c r="KW141" s="3"/>
      <c r="KX141" s="3"/>
      <c r="KY141" s="3"/>
      <c r="KZ141" s="3"/>
      <c r="LA141" s="3"/>
      <c r="LB141" s="3"/>
      <c r="LC141" s="3"/>
      <c r="LD141" s="3"/>
      <c r="LE141" s="3"/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3"/>
      <c r="LQ141" s="3"/>
      <c r="LR141" s="3"/>
      <c r="LS141" s="3"/>
      <c r="LT141" s="3"/>
      <c r="LU141" s="3"/>
      <c r="LV141" s="3"/>
      <c r="LW141" s="3"/>
      <c r="LX141" s="3"/>
      <c r="LY141" s="3"/>
      <c r="LZ141" s="3"/>
      <c r="MA141" s="3"/>
      <c r="MB141" s="3"/>
      <c r="MC141" s="3"/>
      <c r="MD141" s="3"/>
      <c r="ME141" s="3"/>
      <c r="MF141" s="3"/>
      <c r="MG141" s="3"/>
      <c r="MH141" s="3"/>
      <c r="MI141" s="3"/>
      <c r="MJ141" s="3"/>
      <c r="MK141" s="3"/>
      <c r="ML141" s="3"/>
      <c r="MM141" s="3"/>
      <c r="MN141" s="3"/>
      <c r="MO141" s="3"/>
      <c r="MP141" s="3"/>
      <c r="MQ141" s="3"/>
      <c r="MR141" s="3"/>
      <c r="MS141" s="3"/>
      <c r="MT141" s="3"/>
      <c r="MU141" s="3"/>
      <c r="MV141" s="3"/>
      <c r="MW141" s="3"/>
      <c r="MX141" s="3"/>
      <c r="MY141" s="3"/>
      <c r="MZ141" s="3"/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/>
      <c r="PD141" s="3"/>
      <c r="PE141" s="3"/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O141" s="3"/>
      <c r="RP141" s="3"/>
      <c r="RQ141" s="3"/>
      <c r="RR141" s="3"/>
      <c r="RS141" s="3"/>
      <c r="RT141" s="3"/>
      <c r="RU141" s="3"/>
      <c r="RV141" s="3"/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/>
      <c r="SP141" s="3"/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/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WZ141" s="3"/>
      <c r="XA141" s="3"/>
      <c r="XB141" s="3"/>
      <c r="XC141" s="3"/>
      <c r="XD141" s="3"/>
      <c r="XE141" s="3"/>
      <c r="XF141" s="3"/>
      <c r="XG141" s="3"/>
      <c r="XH141" s="3"/>
      <c r="XI141" s="3"/>
      <c r="XJ141" s="3"/>
      <c r="XK141" s="3"/>
      <c r="XL141" s="3"/>
      <c r="XM141" s="3"/>
      <c r="XN141" s="3"/>
      <c r="XO141" s="3"/>
      <c r="XP141" s="3"/>
      <c r="XQ141" s="3"/>
      <c r="XR141" s="3"/>
      <c r="XS141" s="3"/>
      <c r="XT141" s="3"/>
      <c r="XU141" s="3"/>
      <c r="XV141" s="3"/>
      <c r="XW141" s="3"/>
      <c r="XX141" s="3"/>
      <c r="XY141" s="3"/>
      <c r="XZ141" s="3"/>
      <c r="YA141" s="3"/>
      <c r="YB141" s="3"/>
      <c r="YC141" s="3"/>
      <c r="YD141" s="3"/>
      <c r="YE141" s="3"/>
      <c r="YF141" s="3"/>
      <c r="YG141" s="3"/>
      <c r="YH141" s="3"/>
      <c r="YI141" s="3"/>
      <c r="YJ141" s="3"/>
      <c r="YK141" s="3"/>
      <c r="YL141" s="3"/>
      <c r="YM141" s="3"/>
      <c r="YN141" s="3"/>
      <c r="YO141" s="3"/>
      <c r="YP141" s="3"/>
      <c r="YQ141" s="3"/>
      <c r="YR141" s="3"/>
      <c r="YS141" s="3"/>
      <c r="YT141" s="3"/>
      <c r="YU141" s="3"/>
      <c r="YV141" s="3"/>
      <c r="YW141" s="3"/>
      <c r="YX141" s="3"/>
      <c r="YY141" s="3"/>
      <c r="YZ141" s="3"/>
      <c r="ZA141" s="3"/>
      <c r="ZB141" s="3"/>
      <c r="ZC141" s="3"/>
      <c r="ZD141" s="3"/>
      <c r="ZE141" s="3"/>
      <c r="ZF141" s="3"/>
      <c r="ZG141" s="3"/>
      <c r="ZH141" s="3"/>
      <c r="ZI141" s="3"/>
      <c r="ZJ141" s="3"/>
      <c r="ZK141" s="3"/>
      <c r="ZL141" s="3"/>
      <c r="ZM141" s="3"/>
      <c r="ZN141" s="3"/>
      <c r="ZO141" s="3"/>
      <c r="ZP141" s="3"/>
      <c r="ZQ141" s="3"/>
      <c r="ZR141" s="3"/>
      <c r="ZS141" s="3"/>
      <c r="ZT141" s="3"/>
      <c r="ZU141" s="3"/>
      <c r="ZV141" s="3"/>
      <c r="ZW141" s="3"/>
      <c r="ZX141" s="3"/>
      <c r="ZY141" s="3"/>
      <c r="ZZ141" s="3"/>
    </row>
    <row r="142" spans="1:702" ht="19.5" customHeight="1">
      <c r="A142" s="9"/>
      <c r="B142" s="9"/>
      <c r="C142" s="9"/>
      <c r="D142" s="9" t="str">
        <f t="shared" si="3"/>
        <v/>
      </c>
      <c r="E142" s="266" t="str">
        <f t="array" ref="E142">IF(B142="","",IF(B142&lt;&gt;B141,SUMPRODUCT(($B$5:B142&lt;&gt;$B$4:B141)*($B$5:B142&lt;&gt;"")),""))</f>
        <v/>
      </c>
      <c r="F142" s="9" t="str">
        <f t="shared" si="4"/>
        <v/>
      </c>
      <c r="G142" s="9" t="str">
        <f t="shared" si="5"/>
        <v/>
      </c>
      <c r="H142" s="267" t="str">
        <f t="shared" si="6"/>
        <v/>
      </c>
      <c r="I142" s="9"/>
      <c r="J142" s="9"/>
      <c r="K142" s="9"/>
      <c r="L142" s="9" t="str">
        <f t="shared" si="7"/>
        <v/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</row>
    <row r="143" spans="1:702" ht="19.5" customHeight="1">
      <c r="A143" s="9"/>
      <c r="B143" s="9"/>
      <c r="C143" s="9"/>
      <c r="D143" s="9" t="str">
        <f t="shared" si="3"/>
        <v/>
      </c>
      <c r="E143" s="266" t="str">
        <f t="array" ref="E143">IF(B143="","",IF(B143&lt;&gt;B142,SUMPRODUCT(($B$5:B143&lt;&gt;$B$4:B142)*($B$5:B143&lt;&gt;"")),""))</f>
        <v/>
      </c>
      <c r="F143" s="9" t="str">
        <f t="shared" si="4"/>
        <v/>
      </c>
      <c r="G143" s="9" t="str">
        <f t="shared" si="5"/>
        <v/>
      </c>
      <c r="H143" s="267" t="str">
        <f t="shared" si="6"/>
        <v/>
      </c>
      <c r="I143" s="9"/>
      <c r="J143" s="9"/>
      <c r="K143" s="9"/>
      <c r="L143" s="9" t="str">
        <f t="shared" si="7"/>
        <v/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/>
      <c r="WN143" s="3"/>
      <c r="WO143" s="3"/>
      <c r="WP143" s="3"/>
      <c r="WQ143" s="3"/>
      <c r="WR143" s="3"/>
      <c r="WS143" s="3"/>
      <c r="WT143" s="3"/>
      <c r="WU143" s="3"/>
      <c r="WV143" s="3"/>
      <c r="WW143" s="3"/>
      <c r="WX143" s="3"/>
      <c r="WY143" s="3"/>
      <c r="WZ143" s="3"/>
      <c r="XA143" s="3"/>
      <c r="XB143" s="3"/>
      <c r="XC143" s="3"/>
      <c r="XD143" s="3"/>
      <c r="XE143" s="3"/>
      <c r="XF143" s="3"/>
      <c r="XG143" s="3"/>
      <c r="XH143" s="3"/>
      <c r="XI143" s="3"/>
      <c r="XJ143" s="3"/>
      <c r="XK143" s="3"/>
      <c r="XL143" s="3"/>
      <c r="XM143" s="3"/>
      <c r="XN143" s="3"/>
      <c r="XO143" s="3"/>
      <c r="XP143" s="3"/>
      <c r="XQ143" s="3"/>
      <c r="XR143" s="3"/>
      <c r="XS143" s="3"/>
      <c r="XT143" s="3"/>
      <c r="XU143" s="3"/>
      <c r="XV143" s="3"/>
      <c r="XW143" s="3"/>
      <c r="XX143" s="3"/>
      <c r="XY143" s="3"/>
      <c r="XZ143" s="3"/>
      <c r="YA143" s="3"/>
      <c r="YB143" s="3"/>
      <c r="YC143" s="3"/>
      <c r="YD143" s="3"/>
      <c r="YE143" s="3"/>
      <c r="YF143" s="3"/>
      <c r="YG143" s="3"/>
      <c r="YH143" s="3"/>
      <c r="YI143" s="3"/>
      <c r="YJ143" s="3"/>
      <c r="YK143" s="3"/>
      <c r="YL143" s="3"/>
      <c r="YM143" s="3"/>
      <c r="YN143" s="3"/>
      <c r="YO143" s="3"/>
      <c r="YP143" s="3"/>
      <c r="YQ143" s="3"/>
      <c r="YR143" s="3"/>
      <c r="YS143" s="3"/>
      <c r="YT143" s="3"/>
      <c r="YU143" s="3"/>
      <c r="YV143" s="3"/>
      <c r="YW143" s="3"/>
      <c r="YX143" s="3"/>
      <c r="YY143" s="3"/>
      <c r="YZ143" s="3"/>
      <c r="ZA143" s="3"/>
      <c r="ZB143" s="3"/>
      <c r="ZC143" s="3"/>
      <c r="ZD143" s="3"/>
      <c r="ZE143" s="3"/>
      <c r="ZF143" s="3"/>
      <c r="ZG143" s="3"/>
      <c r="ZH143" s="3"/>
      <c r="ZI143" s="3"/>
      <c r="ZJ143" s="3"/>
      <c r="ZK143" s="3"/>
      <c r="ZL143" s="3"/>
      <c r="ZM143" s="3"/>
      <c r="ZN143" s="3"/>
      <c r="ZO143" s="3"/>
      <c r="ZP143" s="3"/>
      <c r="ZQ143" s="3"/>
      <c r="ZR143" s="3"/>
      <c r="ZS143" s="3"/>
      <c r="ZT143" s="3"/>
      <c r="ZU143" s="3"/>
      <c r="ZV143" s="3"/>
      <c r="ZW143" s="3"/>
      <c r="ZX143" s="3"/>
      <c r="ZY143" s="3"/>
      <c r="ZZ143" s="3"/>
    </row>
    <row r="144" spans="1:702" ht="19.5" customHeight="1">
      <c r="A144" s="9"/>
      <c r="B144" s="9"/>
      <c r="C144" s="9"/>
      <c r="D144" s="9" t="str">
        <f t="shared" si="3"/>
        <v/>
      </c>
      <c r="E144" s="266" t="str">
        <f t="array" ref="E144">IF(B144="","",IF(B144&lt;&gt;B143,SUMPRODUCT(($B$5:B144&lt;&gt;$B$4:B143)*($B$5:B144&lt;&gt;"")),""))</f>
        <v/>
      </c>
      <c r="F144" s="9" t="str">
        <f t="shared" si="4"/>
        <v/>
      </c>
      <c r="G144" s="9" t="str">
        <f t="shared" si="5"/>
        <v/>
      </c>
      <c r="H144" s="267" t="str">
        <f t="shared" si="6"/>
        <v/>
      </c>
      <c r="I144" s="9"/>
      <c r="J144" s="9"/>
      <c r="K144" s="9"/>
      <c r="L144" s="9" t="str">
        <f t="shared" si="7"/>
        <v/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  <c r="WQ144" s="3"/>
      <c r="WR144" s="3"/>
      <c r="WS144" s="3"/>
      <c r="WT144" s="3"/>
      <c r="WU144" s="3"/>
      <c r="WV144" s="3"/>
      <c r="WW144" s="3"/>
      <c r="WX144" s="3"/>
      <c r="WY144" s="3"/>
      <c r="WZ144" s="3"/>
      <c r="XA144" s="3"/>
      <c r="XB144" s="3"/>
      <c r="XC144" s="3"/>
      <c r="XD144" s="3"/>
      <c r="XE144" s="3"/>
      <c r="XF144" s="3"/>
      <c r="XG144" s="3"/>
      <c r="XH144" s="3"/>
      <c r="XI144" s="3"/>
      <c r="XJ144" s="3"/>
      <c r="XK144" s="3"/>
      <c r="XL144" s="3"/>
      <c r="XM144" s="3"/>
      <c r="XN144" s="3"/>
      <c r="XO144" s="3"/>
      <c r="XP144" s="3"/>
      <c r="XQ144" s="3"/>
      <c r="XR144" s="3"/>
      <c r="XS144" s="3"/>
      <c r="XT144" s="3"/>
      <c r="XU144" s="3"/>
      <c r="XV144" s="3"/>
      <c r="XW144" s="3"/>
      <c r="XX144" s="3"/>
      <c r="XY144" s="3"/>
      <c r="XZ144" s="3"/>
      <c r="YA144" s="3"/>
      <c r="YB144" s="3"/>
      <c r="YC144" s="3"/>
      <c r="YD144" s="3"/>
      <c r="YE144" s="3"/>
      <c r="YF144" s="3"/>
      <c r="YG144" s="3"/>
      <c r="YH144" s="3"/>
      <c r="YI144" s="3"/>
      <c r="YJ144" s="3"/>
      <c r="YK144" s="3"/>
      <c r="YL144" s="3"/>
      <c r="YM144" s="3"/>
      <c r="YN144" s="3"/>
      <c r="YO144" s="3"/>
      <c r="YP144" s="3"/>
      <c r="YQ144" s="3"/>
      <c r="YR144" s="3"/>
      <c r="YS144" s="3"/>
      <c r="YT144" s="3"/>
      <c r="YU144" s="3"/>
      <c r="YV144" s="3"/>
      <c r="YW144" s="3"/>
      <c r="YX144" s="3"/>
      <c r="YY144" s="3"/>
      <c r="YZ144" s="3"/>
      <c r="ZA144" s="3"/>
      <c r="ZB144" s="3"/>
      <c r="ZC144" s="3"/>
      <c r="ZD144" s="3"/>
      <c r="ZE144" s="3"/>
      <c r="ZF144" s="3"/>
      <c r="ZG144" s="3"/>
      <c r="ZH144" s="3"/>
      <c r="ZI144" s="3"/>
      <c r="ZJ144" s="3"/>
      <c r="ZK144" s="3"/>
      <c r="ZL144" s="3"/>
      <c r="ZM144" s="3"/>
      <c r="ZN144" s="3"/>
      <c r="ZO144" s="3"/>
      <c r="ZP144" s="3"/>
      <c r="ZQ144" s="3"/>
      <c r="ZR144" s="3"/>
      <c r="ZS144" s="3"/>
      <c r="ZT144" s="3"/>
      <c r="ZU144" s="3"/>
      <c r="ZV144" s="3"/>
      <c r="ZW144" s="3"/>
      <c r="ZX144" s="3"/>
      <c r="ZY144" s="3"/>
      <c r="ZZ144" s="3"/>
    </row>
    <row r="145" spans="1:702" ht="19.5" customHeight="1">
      <c r="A145" s="9"/>
      <c r="B145" s="9"/>
      <c r="C145" s="9"/>
      <c r="D145" s="9" t="str">
        <f t="shared" si="3"/>
        <v/>
      </c>
      <c r="E145" s="266" t="str">
        <f t="array" ref="E145">IF(B145="","",IF(B145&lt;&gt;B144,SUMPRODUCT(($B$5:B145&lt;&gt;$B$4:B144)*($B$5:B145&lt;&gt;"")),""))</f>
        <v/>
      </c>
      <c r="F145" s="9" t="str">
        <f t="shared" si="4"/>
        <v/>
      </c>
      <c r="G145" s="9" t="str">
        <f t="shared" si="5"/>
        <v/>
      </c>
      <c r="H145" s="267" t="str">
        <f t="shared" si="6"/>
        <v/>
      </c>
      <c r="I145" s="9"/>
      <c r="J145" s="9"/>
      <c r="K145" s="9"/>
      <c r="L145" s="9" t="str">
        <f t="shared" si="7"/>
        <v/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  <c r="XX145" s="3"/>
      <c r="XY145" s="3"/>
      <c r="XZ145" s="3"/>
      <c r="YA145" s="3"/>
      <c r="YB145" s="3"/>
      <c r="YC145" s="3"/>
      <c r="YD145" s="3"/>
      <c r="YE145" s="3"/>
      <c r="YF145" s="3"/>
      <c r="YG145" s="3"/>
      <c r="YH145" s="3"/>
      <c r="YI145" s="3"/>
      <c r="YJ145" s="3"/>
      <c r="YK145" s="3"/>
      <c r="YL145" s="3"/>
      <c r="YM145" s="3"/>
      <c r="YN145" s="3"/>
      <c r="YO145" s="3"/>
      <c r="YP145" s="3"/>
      <c r="YQ145" s="3"/>
      <c r="YR145" s="3"/>
      <c r="YS145" s="3"/>
      <c r="YT145" s="3"/>
      <c r="YU145" s="3"/>
      <c r="YV145" s="3"/>
      <c r="YW145" s="3"/>
      <c r="YX145" s="3"/>
      <c r="YY145" s="3"/>
      <c r="YZ145" s="3"/>
      <c r="ZA145" s="3"/>
      <c r="ZB145" s="3"/>
      <c r="ZC145" s="3"/>
      <c r="ZD145" s="3"/>
      <c r="ZE145" s="3"/>
      <c r="ZF145" s="3"/>
      <c r="ZG145" s="3"/>
      <c r="ZH145" s="3"/>
      <c r="ZI145" s="3"/>
      <c r="ZJ145" s="3"/>
      <c r="ZK145" s="3"/>
      <c r="ZL145" s="3"/>
      <c r="ZM145" s="3"/>
      <c r="ZN145" s="3"/>
      <c r="ZO145" s="3"/>
      <c r="ZP145" s="3"/>
      <c r="ZQ145" s="3"/>
      <c r="ZR145" s="3"/>
      <c r="ZS145" s="3"/>
      <c r="ZT145" s="3"/>
      <c r="ZU145" s="3"/>
      <c r="ZV145" s="3"/>
      <c r="ZW145" s="3"/>
      <c r="ZX145" s="3"/>
      <c r="ZY145" s="3"/>
      <c r="ZZ145" s="3"/>
    </row>
    <row r="146" spans="1:702" ht="19.5" customHeight="1">
      <c r="A146" s="9"/>
      <c r="B146" s="9"/>
      <c r="C146" s="9"/>
      <c r="D146" s="9" t="str">
        <f t="shared" si="3"/>
        <v/>
      </c>
      <c r="E146" s="266" t="str">
        <f t="array" ref="E146">IF(B146="","",IF(B146&lt;&gt;B145,SUMPRODUCT(($B$5:B146&lt;&gt;$B$4:B145)*($B$5:B146&lt;&gt;"")),""))</f>
        <v/>
      </c>
      <c r="F146" s="9" t="str">
        <f t="shared" si="4"/>
        <v/>
      </c>
      <c r="G146" s="9" t="str">
        <f t="shared" si="5"/>
        <v/>
      </c>
      <c r="H146" s="267" t="str">
        <f t="shared" si="6"/>
        <v/>
      </c>
      <c r="I146" s="9"/>
      <c r="J146" s="9"/>
      <c r="K146" s="9"/>
      <c r="L146" s="9" t="str">
        <f t="shared" si="7"/>
        <v/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</row>
    <row r="147" spans="1:702" ht="19.5" customHeight="1">
      <c r="A147" s="9"/>
      <c r="B147" s="9"/>
      <c r="C147" s="9"/>
      <c r="D147" s="9" t="str">
        <f t="shared" si="3"/>
        <v/>
      </c>
      <c r="E147" s="266" t="str">
        <f t="array" ref="E147">IF(B147="","",IF(B147&lt;&gt;B146,SUMPRODUCT(($B$5:B147&lt;&gt;$B$4:B146)*($B$5:B147&lt;&gt;"")),""))</f>
        <v/>
      </c>
      <c r="F147" s="9" t="str">
        <f t="shared" si="4"/>
        <v/>
      </c>
      <c r="G147" s="9" t="str">
        <f t="shared" si="5"/>
        <v/>
      </c>
      <c r="H147" s="267" t="str">
        <f t="shared" si="6"/>
        <v/>
      </c>
      <c r="I147" s="9"/>
      <c r="J147" s="9"/>
      <c r="K147" s="9"/>
      <c r="L147" s="9" t="str">
        <f t="shared" si="7"/>
        <v/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</row>
    <row r="148" spans="1:702" ht="19.5" customHeight="1">
      <c r="A148" s="9"/>
      <c r="B148" s="9"/>
      <c r="C148" s="9"/>
      <c r="D148" s="9" t="str">
        <f t="shared" si="3"/>
        <v/>
      </c>
      <c r="E148" s="266" t="str">
        <f t="array" ref="E148">IF(B148="","",IF(B148&lt;&gt;B147,SUMPRODUCT(($B$5:B148&lt;&gt;$B$4:B147)*($B$5:B148&lt;&gt;"")),""))</f>
        <v/>
      </c>
      <c r="F148" s="9" t="str">
        <f t="shared" si="4"/>
        <v/>
      </c>
      <c r="G148" s="9" t="str">
        <f t="shared" si="5"/>
        <v/>
      </c>
      <c r="H148" s="267" t="str">
        <f t="shared" si="6"/>
        <v/>
      </c>
      <c r="I148" s="9"/>
      <c r="J148" s="9"/>
      <c r="K148" s="9"/>
      <c r="L148" s="9" t="str">
        <f t="shared" si="7"/>
        <v/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</row>
    <row r="149" spans="1:702" ht="19.5" customHeight="1">
      <c r="A149" s="9"/>
      <c r="B149" s="9"/>
      <c r="C149" s="9"/>
      <c r="D149" s="9" t="str">
        <f t="shared" si="3"/>
        <v/>
      </c>
      <c r="E149" s="266" t="str">
        <f t="array" ref="E149">IF(B149="","",IF(B149&lt;&gt;B148,SUMPRODUCT(($B$5:B149&lt;&gt;$B$4:B148)*($B$5:B149&lt;&gt;"")),""))</f>
        <v/>
      </c>
      <c r="F149" s="9" t="str">
        <f t="shared" si="4"/>
        <v/>
      </c>
      <c r="G149" s="9" t="str">
        <f t="shared" si="5"/>
        <v/>
      </c>
      <c r="H149" s="267" t="str">
        <f t="shared" si="6"/>
        <v/>
      </c>
      <c r="I149" s="9"/>
      <c r="J149" s="9"/>
      <c r="K149" s="9"/>
      <c r="L149" s="9" t="str">
        <f t="shared" si="7"/>
        <v/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</row>
    <row r="150" spans="1:702" ht="19.5" customHeight="1">
      <c r="A150" s="9"/>
      <c r="B150" s="9"/>
      <c r="C150" s="9"/>
      <c r="D150" s="9" t="str">
        <f t="shared" si="3"/>
        <v/>
      </c>
      <c r="E150" s="266" t="str">
        <f t="array" ref="E150">IF(B150="","",IF(B150&lt;&gt;B149,SUMPRODUCT(($B$5:B150&lt;&gt;$B$4:B149)*($B$5:B150&lt;&gt;"")),""))</f>
        <v/>
      </c>
      <c r="F150" s="9" t="str">
        <f t="shared" si="4"/>
        <v/>
      </c>
      <c r="G150" s="9" t="str">
        <f t="shared" si="5"/>
        <v/>
      </c>
      <c r="H150" s="267" t="str">
        <f t="shared" si="6"/>
        <v/>
      </c>
      <c r="I150" s="9"/>
      <c r="J150" s="9"/>
      <c r="K150" s="9"/>
      <c r="L150" s="9" t="str">
        <f t="shared" si="7"/>
        <v/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</row>
    <row r="151" spans="1:702" ht="19.5" customHeight="1">
      <c r="A151" s="9"/>
      <c r="B151" s="9"/>
      <c r="C151" s="9"/>
      <c r="D151" s="9" t="str">
        <f t="shared" si="3"/>
        <v/>
      </c>
      <c r="E151" s="266" t="str">
        <f t="array" ref="E151">IF(B151="","",IF(B151&lt;&gt;B150,SUMPRODUCT(($B$5:B151&lt;&gt;$B$4:B150)*($B$5:B151&lt;&gt;"")),""))</f>
        <v/>
      </c>
      <c r="F151" s="9" t="str">
        <f t="shared" si="4"/>
        <v/>
      </c>
      <c r="G151" s="9" t="str">
        <f t="shared" si="5"/>
        <v/>
      </c>
      <c r="H151" s="267" t="str">
        <f t="shared" si="6"/>
        <v/>
      </c>
      <c r="I151" s="9"/>
      <c r="J151" s="9"/>
      <c r="K151" s="9"/>
      <c r="L151" s="9" t="str">
        <f t="shared" si="7"/>
        <v/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</row>
    <row r="152" spans="1:702" ht="19.5" customHeight="1">
      <c r="A152" s="9"/>
      <c r="B152" s="9"/>
      <c r="C152" s="9"/>
      <c r="D152" s="9" t="str">
        <f t="shared" si="3"/>
        <v/>
      </c>
      <c r="E152" s="266" t="str">
        <f t="array" ref="E152">IF(B152="","",IF(B152&lt;&gt;B151,SUMPRODUCT(($B$5:B152&lt;&gt;$B$4:B151)*($B$5:B152&lt;&gt;"")),""))</f>
        <v/>
      </c>
      <c r="F152" s="9" t="str">
        <f t="shared" si="4"/>
        <v/>
      </c>
      <c r="G152" s="9" t="str">
        <f t="shared" si="5"/>
        <v/>
      </c>
      <c r="H152" s="267" t="str">
        <f t="shared" si="6"/>
        <v/>
      </c>
      <c r="I152" s="9"/>
      <c r="J152" s="9"/>
      <c r="K152" s="9"/>
      <c r="L152" s="9" t="str">
        <f t="shared" si="7"/>
        <v/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</row>
    <row r="153" spans="1:702" ht="19.5" customHeight="1">
      <c r="A153" s="9"/>
      <c r="B153" s="9"/>
      <c r="C153" s="9"/>
      <c r="D153" s="9" t="str">
        <f t="shared" si="3"/>
        <v/>
      </c>
      <c r="E153" s="266" t="str">
        <f t="array" ref="E153">IF(B153="","",IF(B153&lt;&gt;B152,SUMPRODUCT(($B$5:B153&lt;&gt;$B$4:B152)*($B$5:B153&lt;&gt;"")),""))</f>
        <v/>
      </c>
      <c r="F153" s="9" t="str">
        <f t="shared" si="4"/>
        <v/>
      </c>
      <c r="G153" s="9" t="str">
        <f t="shared" si="5"/>
        <v/>
      </c>
      <c r="H153" s="267" t="str">
        <f t="shared" si="6"/>
        <v/>
      </c>
      <c r="I153" s="9"/>
      <c r="J153" s="9"/>
      <c r="K153" s="9"/>
      <c r="L153" s="9" t="str">
        <f t="shared" si="7"/>
        <v/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</row>
    <row r="154" spans="1:702" ht="19.5" customHeight="1">
      <c r="A154" s="9"/>
      <c r="B154" s="9"/>
      <c r="C154" s="9"/>
      <c r="D154" s="9" t="str">
        <f t="shared" si="3"/>
        <v/>
      </c>
      <c r="E154" s="266" t="str">
        <f t="array" ref="E154">IF(B154="","",IF(B154&lt;&gt;B153,SUMPRODUCT(($B$5:B154&lt;&gt;$B$4:B153)*($B$5:B154&lt;&gt;"")),""))</f>
        <v/>
      </c>
      <c r="F154" s="9" t="str">
        <f t="shared" si="4"/>
        <v/>
      </c>
      <c r="G154" s="9" t="str">
        <f t="shared" si="5"/>
        <v/>
      </c>
      <c r="H154" s="267" t="str">
        <f t="shared" si="6"/>
        <v/>
      </c>
      <c r="I154" s="9"/>
      <c r="J154" s="9"/>
      <c r="K154" s="9"/>
      <c r="L154" s="9" t="str">
        <f t="shared" si="7"/>
        <v/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</row>
    <row r="155" spans="1:702" ht="19.5" customHeight="1">
      <c r="A155" s="9"/>
      <c r="B155" s="9"/>
      <c r="C155" s="9"/>
      <c r="D155" s="9" t="str">
        <f t="shared" si="3"/>
        <v/>
      </c>
      <c r="E155" s="266" t="str">
        <f t="array" ref="E155">IF(B155="","",IF(B155&lt;&gt;B154,SUMPRODUCT(($B$5:B155&lt;&gt;$B$4:B154)*($B$5:B155&lt;&gt;"")),""))</f>
        <v/>
      </c>
      <c r="F155" s="9" t="str">
        <f t="shared" si="4"/>
        <v/>
      </c>
      <c r="G155" s="9" t="str">
        <f t="shared" si="5"/>
        <v/>
      </c>
      <c r="H155" s="267" t="str">
        <f t="shared" si="6"/>
        <v/>
      </c>
      <c r="I155" s="9"/>
      <c r="J155" s="9"/>
      <c r="K155" s="9"/>
      <c r="L155" s="9" t="str">
        <f t="shared" si="7"/>
        <v/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</row>
    <row r="156" spans="1:702" ht="19.5" customHeight="1">
      <c r="A156" s="9"/>
      <c r="B156" s="9"/>
      <c r="C156" s="9"/>
      <c r="D156" s="9" t="str">
        <f t="shared" si="3"/>
        <v/>
      </c>
      <c r="E156" s="266" t="str">
        <f t="array" ref="E156">IF(B156="","",IF(B156&lt;&gt;B155,SUMPRODUCT(($B$5:B156&lt;&gt;$B$4:B155)*($B$5:B156&lt;&gt;"")),""))</f>
        <v/>
      </c>
      <c r="F156" s="9" t="str">
        <f t="shared" si="4"/>
        <v/>
      </c>
      <c r="G156" s="9" t="str">
        <f t="shared" si="5"/>
        <v/>
      </c>
      <c r="H156" s="267" t="str">
        <f t="shared" si="6"/>
        <v/>
      </c>
      <c r="I156" s="9"/>
      <c r="J156" s="9"/>
      <c r="K156" s="9"/>
      <c r="L156" s="9" t="str">
        <f t="shared" si="7"/>
        <v/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  <c r="XX156" s="3"/>
      <c r="XY156" s="3"/>
      <c r="XZ156" s="3"/>
      <c r="YA156" s="3"/>
      <c r="YB156" s="3"/>
      <c r="YC156" s="3"/>
      <c r="YD156" s="3"/>
      <c r="YE156" s="3"/>
      <c r="YF156" s="3"/>
      <c r="YG156" s="3"/>
      <c r="YH156" s="3"/>
      <c r="YI156" s="3"/>
      <c r="YJ156" s="3"/>
      <c r="YK156" s="3"/>
      <c r="YL156" s="3"/>
      <c r="YM156" s="3"/>
      <c r="YN156" s="3"/>
      <c r="YO156" s="3"/>
      <c r="YP156" s="3"/>
      <c r="YQ156" s="3"/>
      <c r="YR156" s="3"/>
      <c r="YS156" s="3"/>
      <c r="YT156" s="3"/>
      <c r="YU156" s="3"/>
      <c r="YV156" s="3"/>
      <c r="YW156" s="3"/>
      <c r="YX156" s="3"/>
      <c r="YY156" s="3"/>
      <c r="YZ156" s="3"/>
      <c r="ZA156" s="3"/>
      <c r="ZB156" s="3"/>
      <c r="ZC156" s="3"/>
      <c r="ZD156" s="3"/>
      <c r="ZE156" s="3"/>
      <c r="ZF156" s="3"/>
      <c r="ZG156" s="3"/>
      <c r="ZH156" s="3"/>
      <c r="ZI156" s="3"/>
      <c r="ZJ156" s="3"/>
      <c r="ZK156" s="3"/>
      <c r="ZL156" s="3"/>
      <c r="ZM156" s="3"/>
      <c r="ZN156" s="3"/>
      <c r="ZO156" s="3"/>
      <c r="ZP156" s="3"/>
      <c r="ZQ156" s="3"/>
      <c r="ZR156" s="3"/>
      <c r="ZS156" s="3"/>
      <c r="ZT156" s="3"/>
      <c r="ZU156" s="3"/>
      <c r="ZV156" s="3"/>
      <c r="ZW156" s="3"/>
      <c r="ZX156" s="3"/>
      <c r="ZY156" s="3"/>
      <c r="ZZ156" s="3"/>
    </row>
    <row r="157" spans="1:702" ht="19.5" customHeight="1">
      <c r="A157" s="9"/>
      <c r="B157" s="9"/>
      <c r="C157" s="9"/>
      <c r="D157" s="9" t="str">
        <f t="shared" si="3"/>
        <v/>
      </c>
      <c r="E157" s="266" t="str">
        <f t="array" ref="E157">IF(B157="","",IF(B157&lt;&gt;B156,SUMPRODUCT(($B$5:B157&lt;&gt;$B$4:B156)*($B$5:B157&lt;&gt;"")),""))</f>
        <v/>
      </c>
      <c r="F157" s="9" t="str">
        <f t="shared" si="4"/>
        <v/>
      </c>
      <c r="G157" s="9" t="str">
        <f t="shared" si="5"/>
        <v/>
      </c>
      <c r="H157" s="267" t="str">
        <f t="shared" si="6"/>
        <v/>
      </c>
      <c r="I157" s="9"/>
      <c r="J157" s="9"/>
      <c r="K157" s="9"/>
      <c r="L157" s="9" t="str">
        <f t="shared" si="7"/>
        <v/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  <c r="IY157" s="3"/>
      <c r="IZ157" s="3"/>
      <c r="JA157" s="3"/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3"/>
      <c r="JM157" s="3"/>
      <c r="JN157" s="3"/>
      <c r="JO157" s="3"/>
      <c r="JP157" s="3"/>
      <c r="JQ157" s="3"/>
      <c r="JR157" s="3"/>
      <c r="JS157" s="3"/>
      <c r="JT157" s="3"/>
      <c r="JU157" s="3"/>
      <c r="JV157" s="3"/>
      <c r="JW157" s="3"/>
      <c r="JX157" s="3"/>
      <c r="JY157" s="3"/>
      <c r="JZ157" s="3"/>
      <c r="KA157" s="3"/>
      <c r="KB157" s="3"/>
      <c r="KC157" s="3"/>
      <c r="KD157" s="3"/>
      <c r="KE157" s="3"/>
      <c r="KF157" s="3"/>
      <c r="KG157" s="3"/>
      <c r="KH157" s="3"/>
      <c r="KI157" s="3"/>
      <c r="KJ157" s="3"/>
      <c r="KK157" s="3"/>
      <c r="KL157" s="3"/>
      <c r="KM157" s="3"/>
      <c r="KN157" s="3"/>
      <c r="KO157" s="3"/>
      <c r="KP157" s="3"/>
      <c r="KQ157" s="3"/>
      <c r="KR157" s="3"/>
      <c r="KS157" s="3"/>
      <c r="KT157" s="3"/>
      <c r="KU157" s="3"/>
      <c r="KV157" s="3"/>
      <c r="KW157" s="3"/>
      <c r="KX157" s="3"/>
      <c r="KY157" s="3"/>
      <c r="KZ157" s="3"/>
      <c r="LA157" s="3"/>
      <c r="LB157" s="3"/>
      <c r="LC157" s="3"/>
      <c r="LD157" s="3"/>
      <c r="LE157" s="3"/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3"/>
      <c r="MB157" s="3"/>
      <c r="MC157" s="3"/>
      <c r="MD157" s="3"/>
      <c r="ME157" s="3"/>
      <c r="MF157" s="3"/>
      <c r="MG157" s="3"/>
      <c r="MH157" s="3"/>
      <c r="MI157" s="3"/>
      <c r="MJ157" s="3"/>
      <c r="MK157" s="3"/>
      <c r="ML157" s="3"/>
      <c r="MM157" s="3"/>
      <c r="MN157" s="3"/>
      <c r="MO157" s="3"/>
      <c r="MP157" s="3"/>
      <c r="MQ157" s="3"/>
      <c r="MR157" s="3"/>
      <c r="MS157" s="3"/>
      <c r="MT157" s="3"/>
      <c r="MU157" s="3"/>
      <c r="MV157" s="3"/>
      <c r="MW157" s="3"/>
      <c r="MX157" s="3"/>
      <c r="MY157" s="3"/>
      <c r="MZ157" s="3"/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/>
      <c r="PD157" s="3"/>
      <c r="PE157" s="3"/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O157" s="3"/>
      <c r="RP157" s="3"/>
      <c r="RQ157" s="3"/>
      <c r="RR157" s="3"/>
      <c r="RS157" s="3"/>
      <c r="RT157" s="3"/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/>
      <c r="SP157" s="3"/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/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WZ157" s="3"/>
      <c r="XA157" s="3"/>
      <c r="XB157" s="3"/>
      <c r="XC157" s="3"/>
      <c r="XD157" s="3"/>
      <c r="XE157" s="3"/>
      <c r="XF157" s="3"/>
      <c r="XG157" s="3"/>
      <c r="XH157" s="3"/>
      <c r="XI157" s="3"/>
      <c r="XJ157" s="3"/>
      <c r="XK157" s="3"/>
      <c r="XL157" s="3"/>
      <c r="XM157" s="3"/>
      <c r="XN157" s="3"/>
      <c r="XO157" s="3"/>
      <c r="XP157" s="3"/>
      <c r="XQ157" s="3"/>
      <c r="XR157" s="3"/>
      <c r="XS157" s="3"/>
      <c r="XT157" s="3"/>
      <c r="XU157" s="3"/>
      <c r="XV157" s="3"/>
      <c r="XW157" s="3"/>
      <c r="XX157" s="3"/>
      <c r="XY157" s="3"/>
      <c r="XZ157" s="3"/>
      <c r="YA157" s="3"/>
      <c r="YB157" s="3"/>
      <c r="YC157" s="3"/>
      <c r="YD157" s="3"/>
      <c r="YE157" s="3"/>
      <c r="YF157" s="3"/>
      <c r="YG157" s="3"/>
      <c r="YH157" s="3"/>
      <c r="YI157" s="3"/>
      <c r="YJ157" s="3"/>
      <c r="YK157" s="3"/>
      <c r="YL157" s="3"/>
      <c r="YM157" s="3"/>
      <c r="YN157" s="3"/>
      <c r="YO157" s="3"/>
      <c r="YP157" s="3"/>
      <c r="YQ157" s="3"/>
      <c r="YR157" s="3"/>
      <c r="YS157" s="3"/>
      <c r="YT157" s="3"/>
      <c r="YU157" s="3"/>
      <c r="YV157" s="3"/>
      <c r="YW157" s="3"/>
      <c r="YX157" s="3"/>
      <c r="YY157" s="3"/>
      <c r="YZ157" s="3"/>
      <c r="ZA157" s="3"/>
      <c r="ZB157" s="3"/>
      <c r="ZC157" s="3"/>
      <c r="ZD157" s="3"/>
      <c r="ZE157" s="3"/>
      <c r="ZF157" s="3"/>
      <c r="ZG157" s="3"/>
      <c r="ZH157" s="3"/>
      <c r="ZI157" s="3"/>
      <c r="ZJ157" s="3"/>
      <c r="ZK157" s="3"/>
      <c r="ZL157" s="3"/>
      <c r="ZM157" s="3"/>
      <c r="ZN157" s="3"/>
      <c r="ZO157" s="3"/>
      <c r="ZP157" s="3"/>
      <c r="ZQ157" s="3"/>
      <c r="ZR157" s="3"/>
      <c r="ZS157" s="3"/>
      <c r="ZT157" s="3"/>
      <c r="ZU157" s="3"/>
      <c r="ZV157" s="3"/>
      <c r="ZW157" s="3"/>
      <c r="ZX157" s="3"/>
      <c r="ZY157" s="3"/>
      <c r="ZZ157" s="3"/>
    </row>
    <row r="158" spans="1:702" ht="19.5" customHeight="1">
      <c r="A158" s="9"/>
      <c r="B158" s="9"/>
      <c r="C158" s="9"/>
      <c r="D158" s="9" t="str">
        <f t="shared" si="3"/>
        <v/>
      </c>
      <c r="E158" s="266" t="str">
        <f t="array" ref="E158">IF(B158="","",IF(B158&lt;&gt;B157,SUMPRODUCT(($B$5:B158&lt;&gt;$B$4:B157)*($B$5:B158&lt;&gt;"")),""))</f>
        <v/>
      </c>
      <c r="F158" s="9" t="str">
        <f t="shared" si="4"/>
        <v/>
      </c>
      <c r="G158" s="9" t="str">
        <f t="shared" si="5"/>
        <v/>
      </c>
      <c r="H158" s="267" t="str">
        <f t="shared" si="6"/>
        <v/>
      </c>
      <c r="I158" s="9"/>
      <c r="J158" s="9"/>
      <c r="K158" s="9"/>
      <c r="L158" s="9" t="str">
        <f t="shared" si="7"/>
        <v/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  <c r="WQ158" s="3"/>
      <c r="WR158" s="3"/>
      <c r="WS158" s="3"/>
      <c r="WT158" s="3"/>
      <c r="WU158" s="3"/>
      <c r="WV158" s="3"/>
      <c r="WW158" s="3"/>
      <c r="WX158" s="3"/>
      <c r="WY158" s="3"/>
      <c r="WZ158" s="3"/>
      <c r="XA158" s="3"/>
      <c r="XB158" s="3"/>
      <c r="XC158" s="3"/>
      <c r="XD158" s="3"/>
      <c r="XE158" s="3"/>
      <c r="XF158" s="3"/>
      <c r="XG158" s="3"/>
      <c r="XH158" s="3"/>
      <c r="XI158" s="3"/>
      <c r="XJ158" s="3"/>
      <c r="XK158" s="3"/>
      <c r="XL158" s="3"/>
      <c r="XM158" s="3"/>
      <c r="XN158" s="3"/>
      <c r="XO158" s="3"/>
      <c r="XP158" s="3"/>
      <c r="XQ158" s="3"/>
      <c r="XR158" s="3"/>
      <c r="XS158" s="3"/>
      <c r="XT158" s="3"/>
      <c r="XU158" s="3"/>
      <c r="XV158" s="3"/>
      <c r="XW158" s="3"/>
      <c r="XX158" s="3"/>
      <c r="XY158" s="3"/>
      <c r="XZ158" s="3"/>
      <c r="YA158" s="3"/>
      <c r="YB158" s="3"/>
      <c r="YC158" s="3"/>
      <c r="YD158" s="3"/>
      <c r="YE158" s="3"/>
      <c r="YF158" s="3"/>
      <c r="YG158" s="3"/>
      <c r="YH158" s="3"/>
      <c r="YI158" s="3"/>
      <c r="YJ158" s="3"/>
      <c r="YK158" s="3"/>
      <c r="YL158" s="3"/>
      <c r="YM158" s="3"/>
      <c r="YN158" s="3"/>
      <c r="YO158" s="3"/>
      <c r="YP158" s="3"/>
      <c r="YQ158" s="3"/>
      <c r="YR158" s="3"/>
      <c r="YS158" s="3"/>
      <c r="YT158" s="3"/>
      <c r="YU158" s="3"/>
      <c r="YV158" s="3"/>
      <c r="YW158" s="3"/>
      <c r="YX158" s="3"/>
      <c r="YY158" s="3"/>
      <c r="YZ158" s="3"/>
      <c r="ZA158" s="3"/>
      <c r="ZB158" s="3"/>
      <c r="ZC158" s="3"/>
      <c r="ZD158" s="3"/>
      <c r="ZE158" s="3"/>
      <c r="ZF158" s="3"/>
      <c r="ZG158" s="3"/>
      <c r="ZH158" s="3"/>
      <c r="ZI158" s="3"/>
      <c r="ZJ158" s="3"/>
      <c r="ZK158" s="3"/>
      <c r="ZL158" s="3"/>
      <c r="ZM158" s="3"/>
      <c r="ZN158" s="3"/>
      <c r="ZO158" s="3"/>
      <c r="ZP158" s="3"/>
      <c r="ZQ158" s="3"/>
      <c r="ZR158" s="3"/>
      <c r="ZS158" s="3"/>
      <c r="ZT158" s="3"/>
      <c r="ZU158" s="3"/>
      <c r="ZV158" s="3"/>
      <c r="ZW158" s="3"/>
      <c r="ZX158" s="3"/>
      <c r="ZY158" s="3"/>
      <c r="ZZ158" s="3"/>
    </row>
    <row r="159" spans="1:702" ht="19.5" customHeight="1">
      <c r="A159" s="9"/>
      <c r="B159" s="9"/>
      <c r="C159" s="9"/>
      <c r="D159" s="9" t="str">
        <f t="shared" si="3"/>
        <v/>
      </c>
      <c r="E159" s="266" t="str">
        <f t="array" ref="E159">IF(B159="","",IF(B159&lt;&gt;B158,SUMPRODUCT(($B$5:B159&lt;&gt;$B$4:B158)*($B$5:B159&lt;&gt;"")),""))</f>
        <v/>
      </c>
      <c r="F159" s="9" t="str">
        <f t="shared" si="4"/>
        <v/>
      </c>
      <c r="G159" s="9" t="str">
        <f t="shared" si="5"/>
        <v/>
      </c>
      <c r="H159" s="267" t="str">
        <f t="shared" si="6"/>
        <v/>
      </c>
      <c r="I159" s="9"/>
      <c r="J159" s="9"/>
      <c r="K159" s="9"/>
      <c r="L159" s="9" t="str">
        <f t="shared" si="7"/>
        <v/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  <c r="IY159" s="3"/>
      <c r="IZ159" s="3"/>
      <c r="JA159" s="3"/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3"/>
      <c r="JM159" s="3"/>
      <c r="JN159" s="3"/>
      <c r="JO159" s="3"/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3"/>
      <c r="KQ159" s="3"/>
      <c r="KR159" s="3"/>
      <c r="KS159" s="3"/>
      <c r="KT159" s="3"/>
      <c r="KU159" s="3"/>
      <c r="KV159" s="3"/>
      <c r="KW159" s="3"/>
      <c r="KX159" s="3"/>
      <c r="KY159" s="3"/>
      <c r="KZ159" s="3"/>
      <c r="LA159" s="3"/>
      <c r="LB159" s="3"/>
      <c r="LC159" s="3"/>
      <c r="LD159" s="3"/>
      <c r="LE159" s="3"/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3"/>
      <c r="MB159" s="3"/>
      <c r="MC159" s="3"/>
      <c r="MD159" s="3"/>
      <c r="ME159" s="3"/>
      <c r="MF159" s="3"/>
      <c r="MG159" s="3"/>
      <c r="MH159" s="3"/>
      <c r="MI159" s="3"/>
      <c r="MJ159" s="3"/>
      <c r="MK159" s="3"/>
      <c r="ML159" s="3"/>
      <c r="MM159" s="3"/>
      <c r="MN159" s="3"/>
      <c r="MO159" s="3"/>
      <c r="MP159" s="3"/>
      <c r="MQ159" s="3"/>
      <c r="MR159" s="3"/>
      <c r="MS159" s="3"/>
      <c r="MT159" s="3"/>
      <c r="MU159" s="3"/>
      <c r="MV159" s="3"/>
      <c r="MW159" s="3"/>
      <c r="MX159" s="3"/>
      <c r="MY159" s="3"/>
      <c r="MZ159" s="3"/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/>
      <c r="PD159" s="3"/>
      <c r="PE159" s="3"/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O159" s="3"/>
      <c r="RP159" s="3"/>
      <c r="RQ159" s="3"/>
      <c r="RR159" s="3"/>
      <c r="RS159" s="3"/>
      <c r="RT159" s="3"/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/>
      <c r="SP159" s="3"/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/>
      <c r="WN159" s="3"/>
      <c r="WO159" s="3"/>
      <c r="WP159" s="3"/>
      <c r="WQ159" s="3"/>
      <c r="WR159" s="3"/>
      <c r="WS159" s="3"/>
      <c r="WT159" s="3"/>
      <c r="WU159" s="3"/>
      <c r="WV159" s="3"/>
      <c r="WW159" s="3"/>
      <c r="WX159" s="3"/>
      <c r="WY159" s="3"/>
      <c r="WZ159" s="3"/>
      <c r="XA159" s="3"/>
      <c r="XB159" s="3"/>
      <c r="XC159" s="3"/>
      <c r="XD159" s="3"/>
      <c r="XE159" s="3"/>
      <c r="XF159" s="3"/>
      <c r="XG159" s="3"/>
      <c r="XH159" s="3"/>
      <c r="XI159" s="3"/>
      <c r="XJ159" s="3"/>
      <c r="XK159" s="3"/>
      <c r="XL159" s="3"/>
      <c r="XM159" s="3"/>
      <c r="XN159" s="3"/>
      <c r="XO159" s="3"/>
      <c r="XP159" s="3"/>
      <c r="XQ159" s="3"/>
      <c r="XR159" s="3"/>
      <c r="XS159" s="3"/>
      <c r="XT159" s="3"/>
      <c r="XU159" s="3"/>
      <c r="XV159" s="3"/>
      <c r="XW159" s="3"/>
      <c r="XX159" s="3"/>
      <c r="XY159" s="3"/>
      <c r="XZ159" s="3"/>
      <c r="YA159" s="3"/>
      <c r="YB159" s="3"/>
      <c r="YC159" s="3"/>
      <c r="YD159" s="3"/>
      <c r="YE159" s="3"/>
      <c r="YF159" s="3"/>
      <c r="YG159" s="3"/>
      <c r="YH159" s="3"/>
      <c r="YI159" s="3"/>
      <c r="YJ159" s="3"/>
      <c r="YK159" s="3"/>
      <c r="YL159" s="3"/>
      <c r="YM159" s="3"/>
      <c r="YN159" s="3"/>
      <c r="YO159" s="3"/>
      <c r="YP159" s="3"/>
      <c r="YQ159" s="3"/>
      <c r="YR159" s="3"/>
      <c r="YS159" s="3"/>
      <c r="YT159" s="3"/>
      <c r="YU159" s="3"/>
      <c r="YV159" s="3"/>
      <c r="YW159" s="3"/>
      <c r="YX159" s="3"/>
      <c r="YY159" s="3"/>
      <c r="YZ159" s="3"/>
      <c r="ZA159" s="3"/>
      <c r="ZB159" s="3"/>
      <c r="ZC159" s="3"/>
      <c r="ZD159" s="3"/>
      <c r="ZE159" s="3"/>
      <c r="ZF159" s="3"/>
      <c r="ZG159" s="3"/>
      <c r="ZH159" s="3"/>
      <c r="ZI159" s="3"/>
      <c r="ZJ159" s="3"/>
      <c r="ZK159" s="3"/>
      <c r="ZL159" s="3"/>
      <c r="ZM159" s="3"/>
      <c r="ZN159" s="3"/>
      <c r="ZO159" s="3"/>
      <c r="ZP159" s="3"/>
      <c r="ZQ159" s="3"/>
      <c r="ZR159" s="3"/>
      <c r="ZS159" s="3"/>
      <c r="ZT159" s="3"/>
      <c r="ZU159" s="3"/>
      <c r="ZV159" s="3"/>
      <c r="ZW159" s="3"/>
      <c r="ZX159" s="3"/>
      <c r="ZY159" s="3"/>
      <c r="ZZ159" s="3"/>
    </row>
    <row r="160" spans="1:702" ht="19.5" customHeight="1">
      <c r="A160" s="9"/>
      <c r="B160" s="9"/>
      <c r="C160" s="9"/>
      <c r="D160" s="9" t="str">
        <f t="shared" si="3"/>
        <v/>
      </c>
      <c r="E160" s="266" t="str">
        <f t="array" ref="E160">IF(B160="","",IF(B160&lt;&gt;B159,SUMPRODUCT(($B$5:B160&lt;&gt;$B$4:B159)*($B$5:B160&lt;&gt;"")),""))</f>
        <v/>
      </c>
      <c r="F160" s="9" t="str">
        <f t="shared" si="4"/>
        <v/>
      </c>
      <c r="G160" s="9" t="str">
        <f t="shared" si="5"/>
        <v/>
      </c>
      <c r="H160" s="267" t="str">
        <f t="shared" si="6"/>
        <v/>
      </c>
      <c r="I160" s="9"/>
      <c r="J160" s="9"/>
      <c r="K160" s="9"/>
      <c r="L160" s="9" t="str">
        <f t="shared" si="7"/>
        <v/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  <c r="XX160" s="3"/>
      <c r="XY160" s="3"/>
      <c r="XZ160" s="3"/>
      <c r="YA160" s="3"/>
      <c r="YB160" s="3"/>
      <c r="YC160" s="3"/>
      <c r="YD160" s="3"/>
      <c r="YE160" s="3"/>
      <c r="YF160" s="3"/>
      <c r="YG160" s="3"/>
      <c r="YH160" s="3"/>
      <c r="YI160" s="3"/>
      <c r="YJ160" s="3"/>
      <c r="YK160" s="3"/>
      <c r="YL160" s="3"/>
      <c r="YM160" s="3"/>
      <c r="YN160" s="3"/>
      <c r="YO160" s="3"/>
      <c r="YP160" s="3"/>
      <c r="YQ160" s="3"/>
      <c r="YR160" s="3"/>
      <c r="YS160" s="3"/>
      <c r="YT160" s="3"/>
      <c r="YU160" s="3"/>
      <c r="YV160" s="3"/>
      <c r="YW160" s="3"/>
      <c r="YX160" s="3"/>
      <c r="YY160" s="3"/>
      <c r="YZ160" s="3"/>
      <c r="ZA160" s="3"/>
      <c r="ZB160" s="3"/>
      <c r="ZC160" s="3"/>
      <c r="ZD160" s="3"/>
      <c r="ZE160" s="3"/>
      <c r="ZF160" s="3"/>
      <c r="ZG160" s="3"/>
      <c r="ZH160" s="3"/>
      <c r="ZI160" s="3"/>
      <c r="ZJ160" s="3"/>
      <c r="ZK160" s="3"/>
      <c r="ZL160" s="3"/>
      <c r="ZM160" s="3"/>
      <c r="ZN160" s="3"/>
      <c r="ZO160" s="3"/>
      <c r="ZP160" s="3"/>
      <c r="ZQ160" s="3"/>
      <c r="ZR160" s="3"/>
      <c r="ZS160" s="3"/>
      <c r="ZT160" s="3"/>
      <c r="ZU160" s="3"/>
      <c r="ZV160" s="3"/>
      <c r="ZW160" s="3"/>
      <c r="ZX160" s="3"/>
      <c r="ZY160" s="3"/>
      <c r="ZZ160" s="3"/>
    </row>
    <row r="161" spans="1:702" ht="19.5" customHeight="1">
      <c r="A161" s="9"/>
      <c r="B161" s="9"/>
      <c r="C161" s="9"/>
      <c r="D161" s="9" t="str">
        <f t="shared" si="3"/>
        <v/>
      </c>
      <c r="E161" s="266" t="str">
        <f t="array" ref="E161">IF(B161="","",IF(B161&lt;&gt;B160,SUMPRODUCT(($B$5:B161&lt;&gt;$B$4:B160)*($B$5:B161&lt;&gt;"")),""))</f>
        <v/>
      </c>
      <c r="F161" s="9" t="str">
        <f t="shared" si="4"/>
        <v/>
      </c>
      <c r="G161" s="9" t="str">
        <f t="shared" si="5"/>
        <v/>
      </c>
      <c r="H161" s="267" t="str">
        <f t="shared" si="6"/>
        <v/>
      </c>
      <c r="I161" s="9"/>
      <c r="J161" s="9"/>
      <c r="K161" s="9"/>
      <c r="L161" s="9" t="str">
        <f t="shared" si="7"/>
        <v/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  <c r="IY161" s="3"/>
      <c r="IZ161" s="3"/>
      <c r="JA161" s="3"/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3"/>
      <c r="JM161" s="3"/>
      <c r="JN161" s="3"/>
      <c r="JO161" s="3"/>
      <c r="JP161" s="3"/>
      <c r="JQ161" s="3"/>
      <c r="JR161" s="3"/>
      <c r="JS161" s="3"/>
      <c r="JT161" s="3"/>
      <c r="JU161" s="3"/>
      <c r="JV161" s="3"/>
      <c r="JW161" s="3"/>
      <c r="JX161" s="3"/>
      <c r="JY161" s="3"/>
      <c r="JZ161" s="3"/>
      <c r="KA161" s="3"/>
      <c r="KB161" s="3"/>
      <c r="KC161" s="3"/>
      <c r="KD161" s="3"/>
      <c r="KE161" s="3"/>
      <c r="KF161" s="3"/>
      <c r="KG161" s="3"/>
      <c r="KH161" s="3"/>
      <c r="KI161" s="3"/>
      <c r="KJ161" s="3"/>
      <c r="KK161" s="3"/>
      <c r="KL161" s="3"/>
      <c r="KM161" s="3"/>
      <c r="KN161" s="3"/>
      <c r="KO161" s="3"/>
      <c r="KP161" s="3"/>
      <c r="KQ161" s="3"/>
      <c r="KR161" s="3"/>
      <c r="KS161" s="3"/>
      <c r="KT161" s="3"/>
      <c r="KU161" s="3"/>
      <c r="KV161" s="3"/>
      <c r="KW161" s="3"/>
      <c r="KX161" s="3"/>
      <c r="KY161" s="3"/>
      <c r="KZ161" s="3"/>
      <c r="LA161" s="3"/>
      <c r="LB161" s="3"/>
      <c r="LC161" s="3"/>
      <c r="LD161" s="3"/>
      <c r="LE161" s="3"/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3"/>
      <c r="LQ161" s="3"/>
      <c r="LR161" s="3"/>
      <c r="LS161" s="3"/>
      <c r="LT161" s="3"/>
      <c r="LU161" s="3"/>
      <c r="LV161" s="3"/>
      <c r="LW161" s="3"/>
      <c r="LX161" s="3"/>
      <c r="LY161" s="3"/>
      <c r="LZ161" s="3"/>
      <c r="MA161" s="3"/>
      <c r="MB161" s="3"/>
      <c r="MC161" s="3"/>
      <c r="MD161" s="3"/>
      <c r="ME161" s="3"/>
      <c r="MF161" s="3"/>
      <c r="MG161" s="3"/>
      <c r="MH161" s="3"/>
      <c r="MI161" s="3"/>
      <c r="MJ161" s="3"/>
      <c r="MK161" s="3"/>
      <c r="ML161" s="3"/>
      <c r="MM161" s="3"/>
      <c r="MN161" s="3"/>
      <c r="MO161" s="3"/>
      <c r="MP161" s="3"/>
      <c r="MQ161" s="3"/>
      <c r="MR161" s="3"/>
      <c r="MS161" s="3"/>
      <c r="MT161" s="3"/>
      <c r="MU161" s="3"/>
      <c r="MV161" s="3"/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E161" s="3"/>
      <c r="RF161" s="3"/>
      <c r="RG161" s="3"/>
      <c r="RH161" s="3"/>
      <c r="RI161" s="3"/>
      <c r="RJ161" s="3"/>
      <c r="RK161" s="3"/>
      <c r="RL161" s="3"/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/>
      <c r="SF161" s="3"/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/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WP161" s="3"/>
      <c r="WQ161" s="3"/>
      <c r="WR161" s="3"/>
      <c r="WS161" s="3"/>
      <c r="WT161" s="3"/>
      <c r="WU161" s="3"/>
      <c r="WV161" s="3"/>
      <c r="WW161" s="3"/>
      <c r="WX161" s="3"/>
      <c r="WY161" s="3"/>
      <c r="WZ161" s="3"/>
      <c r="XA161" s="3"/>
      <c r="XB161" s="3"/>
      <c r="XC161" s="3"/>
      <c r="XD161" s="3"/>
      <c r="XE161" s="3"/>
      <c r="XF161" s="3"/>
      <c r="XG161" s="3"/>
      <c r="XH161" s="3"/>
      <c r="XI161" s="3"/>
      <c r="XJ161" s="3"/>
      <c r="XK161" s="3"/>
      <c r="XL161" s="3"/>
      <c r="XM161" s="3"/>
      <c r="XN161" s="3"/>
      <c r="XO161" s="3"/>
      <c r="XP161" s="3"/>
      <c r="XQ161" s="3"/>
      <c r="XR161" s="3"/>
      <c r="XS161" s="3"/>
      <c r="XT161" s="3"/>
      <c r="XU161" s="3"/>
      <c r="XV161" s="3"/>
      <c r="XW161" s="3"/>
      <c r="XX161" s="3"/>
      <c r="XY161" s="3"/>
      <c r="XZ161" s="3"/>
      <c r="YA161" s="3"/>
      <c r="YB161" s="3"/>
      <c r="YC161" s="3"/>
      <c r="YD161" s="3"/>
      <c r="YE161" s="3"/>
      <c r="YF161" s="3"/>
      <c r="YG161" s="3"/>
      <c r="YH161" s="3"/>
      <c r="YI161" s="3"/>
      <c r="YJ161" s="3"/>
      <c r="YK161" s="3"/>
      <c r="YL161" s="3"/>
      <c r="YM161" s="3"/>
      <c r="YN161" s="3"/>
      <c r="YO161" s="3"/>
      <c r="YP161" s="3"/>
      <c r="YQ161" s="3"/>
      <c r="YR161" s="3"/>
      <c r="YS161" s="3"/>
      <c r="YT161" s="3"/>
      <c r="YU161" s="3"/>
      <c r="YV161" s="3"/>
      <c r="YW161" s="3"/>
      <c r="YX161" s="3"/>
      <c r="YY161" s="3"/>
      <c r="YZ161" s="3"/>
      <c r="ZA161" s="3"/>
      <c r="ZB161" s="3"/>
      <c r="ZC161" s="3"/>
      <c r="ZD161" s="3"/>
      <c r="ZE161" s="3"/>
      <c r="ZF161" s="3"/>
      <c r="ZG161" s="3"/>
      <c r="ZH161" s="3"/>
      <c r="ZI161" s="3"/>
      <c r="ZJ161" s="3"/>
      <c r="ZK161" s="3"/>
      <c r="ZL161" s="3"/>
      <c r="ZM161" s="3"/>
      <c r="ZN161" s="3"/>
      <c r="ZO161" s="3"/>
      <c r="ZP161" s="3"/>
      <c r="ZQ161" s="3"/>
      <c r="ZR161" s="3"/>
      <c r="ZS161" s="3"/>
      <c r="ZT161" s="3"/>
      <c r="ZU161" s="3"/>
      <c r="ZV161" s="3"/>
      <c r="ZW161" s="3"/>
      <c r="ZX161" s="3"/>
      <c r="ZY161" s="3"/>
      <c r="ZZ161" s="3"/>
    </row>
    <row r="162" spans="1:702" ht="19.5" customHeight="1">
      <c r="A162" s="9"/>
      <c r="B162" s="9"/>
      <c r="C162" s="9"/>
      <c r="D162" s="9" t="str">
        <f t="shared" si="3"/>
        <v/>
      </c>
      <c r="E162" s="266" t="str">
        <f t="array" ref="E162">IF(B162="","",IF(B162&lt;&gt;B161,SUMPRODUCT(($B$5:B162&lt;&gt;$B$4:B161)*($B$5:B162&lt;&gt;"")),""))</f>
        <v/>
      </c>
      <c r="F162" s="9" t="str">
        <f t="shared" si="4"/>
        <v/>
      </c>
      <c r="G162" s="9" t="str">
        <f t="shared" si="5"/>
        <v/>
      </c>
      <c r="H162" s="267" t="str">
        <f t="shared" si="6"/>
        <v/>
      </c>
      <c r="I162" s="9"/>
      <c r="J162" s="9"/>
      <c r="K162" s="9"/>
      <c r="L162" s="9" t="str">
        <f t="shared" si="7"/>
        <v/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  <c r="WQ162" s="3"/>
      <c r="WR162" s="3"/>
      <c r="WS162" s="3"/>
      <c r="WT162" s="3"/>
      <c r="WU162" s="3"/>
      <c r="WV162" s="3"/>
      <c r="WW162" s="3"/>
      <c r="WX162" s="3"/>
      <c r="WY162" s="3"/>
      <c r="WZ162" s="3"/>
      <c r="XA162" s="3"/>
      <c r="XB162" s="3"/>
      <c r="XC162" s="3"/>
      <c r="XD162" s="3"/>
      <c r="XE162" s="3"/>
      <c r="XF162" s="3"/>
      <c r="XG162" s="3"/>
      <c r="XH162" s="3"/>
      <c r="XI162" s="3"/>
      <c r="XJ162" s="3"/>
      <c r="XK162" s="3"/>
      <c r="XL162" s="3"/>
      <c r="XM162" s="3"/>
      <c r="XN162" s="3"/>
      <c r="XO162" s="3"/>
      <c r="XP162" s="3"/>
      <c r="XQ162" s="3"/>
      <c r="XR162" s="3"/>
      <c r="XS162" s="3"/>
      <c r="XT162" s="3"/>
      <c r="XU162" s="3"/>
      <c r="XV162" s="3"/>
      <c r="XW162" s="3"/>
      <c r="XX162" s="3"/>
      <c r="XY162" s="3"/>
      <c r="XZ162" s="3"/>
      <c r="YA162" s="3"/>
      <c r="YB162" s="3"/>
      <c r="YC162" s="3"/>
      <c r="YD162" s="3"/>
      <c r="YE162" s="3"/>
      <c r="YF162" s="3"/>
      <c r="YG162" s="3"/>
      <c r="YH162" s="3"/>
      <c r="YI162" s="3"/>
      <c r="YJ162" s="3"/>
      <c r="YK162" s="3"/>
      <c r="YL162" s="3"/>
      <c r="YM162" s="3"/>
      <c r="YN162" s="3"/>
      <c r="YO162" s="3"/>
      <c r="YP162" s="3"/>
      <c r="YQ162" s="3"/>
      <c r="YR162" s="3"/>
      <c r="YS162" s="3"/>
      <c r="YT162" s="3"/>
      <c r="YU162" s="3"/>
      <c r="YV162" s="3"/>
      <c r="YW162" s="3"/>
      <c r="YX162" s="3"/>
      <c r="YY162" s="3"/>
      <c r="YZ162" s="3"/>
      <c r="ZA162" s="3"/>
      <c r="ZB162" s="3"/>
      <c r="ZC162" s="3"/>
      <c r="ZD162" s="3"/>
      <c r="ZE162" s="3"/>
      <c r="ZF162" s="3"/>
      <c r="ZG162" s="3"/>
      <c r="ZH162" s="3"/>
      <c r="ZI162" s="3"/>
      <c r="ZJ162" s="3"/>
      <c r="ZK162" s="3"/>
      <c r="ZL162" s="3"/>
      <c r="ZM162" s="3"/>
      <c r="ZN162" s="3"/>
      <c r="ZO162" s="3"/>
      <c r="ZP162" s="3"/>
      <c r="ZQ162" s="3"/>
      <c r="ZR162" s="3"/>
      <c r="ZS162" s="3"/>
      <c r="ZT162" s="3"/>
      <c r="ZU162" s="3"/>
      <c r="ZV162" s="3"/>
      <c r="ZW162" s="3"/>
      <c r="ZX162" s="3"/>
      <c r="ZY162" s="3"/>
      <c r="ZZ162" s="3"/>
    </row>
    <row r="163" spans="1:702" ht="19.5" customHeight="1">
      <c r="A163" s="9"/>
      <c r="B163" s="9"/>
      <c r="C163" s="9"/>
      <c r="D163" s="9" t="str">
        <f t="shared" si="3"/>
        <v/>
      </c>
      <c r="E163" s="266" t="str">
        <f t="array" ref="E163">IF(B163="","",IF(B163&lt;&gt;B162,SUMPRODUCT(($B$5:B163&lt;&gt;$B$4:B162)*($B$5:B163&lt;&gt;"")),""))</f>
        <v/>
      </c>
      <c r="F163" s="9" t="str">
        <f t="shared" si="4"/>
        <v/>
      </c>
      <c r="G163" s="9" t="str">
        <f t="shared" si="5"/>
        <v/>
      </c>
      <c r="H163" s="267" t="str">
        <f t="shared" si="6"/>
        <v/>
      </c>
      <c r="I163" s="9"/>
      <c r="J163" s="9"/>
      <c r="K163" s="9"/>
      <c r="L163" s="9" t="str">
        <f t="shared" si="7"/>
        <v/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WZ163" s="3"/>
      <c r="XA163" s="3"/>
      <c r="XB163" s="3"/>
      <c r="XC163" s="3"/>
      <c r="XD163" s="3"/>
      <c r="XE163" s="3"/>
      <c r="XF163" s="3"/>
      <c r="XG163" s="3"/>
      <c r="XH163" s="3"/>
      <c r="XI163" s="3"/>
      <c r="XJ163" s="3"/>
      <c r="XK163" s="3"/>
      <c r="XL163" s="3"/>
      <c r="XM163" s="3"/>
      <c r="XN163" s="3"/>
      <c r="XO163" s="3"/>
      <c r="XP163" s="3"/>
      <c r="XQ163" s="3"/>
      <c r="XR163" s="3"/>
      <c r="XS163" s="3"/>
      <c r="XT163" s="3"/>
      <c r="XU163" s="3"/>
      <c r="XV163" s="3"/>
      <c r="XW163" s="3"/>
      <c r="XX163" s="3"/>
      <c r="XY163" s="3"/>
      <c r="XZ163" s="3"/>
      <c r="YA163" s="3"/>
      <c r="YB163" s="3"/>
      <c r="YC163" s="3"/>
      <c r="YD163" s="3"/>
      <c r="YE163" s="3"/>
      <c r="YF163" s="3"/>
      <c r="YG163" s="3"/>
      <c r="YH163" s="3"/>
      <c r="YI163" s="3"/>
      <c r="YJ163" s="3"/>
      <c r="YK163" s="3"/>
      <c r="YL163" s="3"/>
      <c r="YM163" s="3"/>
      <c r="YN163" s="3"/>
      <c r="YO163" s="3"/>
      <c r="YP163" s="3"/>
      <c r="YQ163" s="3"/>
      <c r="YR163" s="3"/>
      <c r="YS163" s="3"/>
      <c r="YT163" s="3"/>
      <c r="YU163" s="3"/>
      <c r="YV163" s="3"/>
      <c r="YW163" s="3"/>
      <c r="YX163" s="3"/>
      <c r="YY163" s="3"/>
      <c r="YZ163" s="3"/>
      <c r="ZA163" s="3"/>
      <c r="ZB163" s="3"/>
      <c r="ZC163" s="3"/>
      <c r="ZD163" s="3"/>
      <c r="ZE163" s="3"/>
      <c r="ZF163" s="3"/>
      <c r="ZG163" s="3"/>
      <c r="ZH163" s="3"/>
      <c r="ZI163" s="3"/>
      <c r="ZJ163" s="3"/>
      <c r="ZK163" s="3"/>
      <c r="ZL163" s="3"/>
      <c r="ZM163" s="3"/>
      <c r="ZN163" s="3"/>
      <c r="ZO163" s="3"/>
      <c r="ZP163" s="3"/>
      <c r="ZQ163" s="3"/>
      <c r="ZR163" s="3"/>
      <c r="ZS163" s="3"/>
      <c r="ZT163" s="3"/>
      <c r="ZU163" s="3"/>
      <c r="ZV163" s="3"/>
      <c r="ZW163" s="3"/>
      <c r="ZX163" s="3"/>
      <c r="ZY163" s="3"/>
      <c r="ZZ163" s="3"/>
    </row>
    <row r="164" spans="1:702" ht="19.5" customHeight="1">
      <c r="A164" s="9"/>
      <c r="B164" s="9"/>
      <c r="C164" s="9"/>
      <c r="D164" s="9" t="str">
        <f t="shared" si="3"/>
        <v/>
      </c>
      <c r="E164" s="266" t="str">
        <f t="array" ref="E164">IF(B164="","",IF(B164&lt;&gt;B163,SUMPRODUCT(($B$5:B164&lt;&gt;$B$4:B163)*($B$5:B164&lt;&gt;"")),""))</f>
        <v/>
      </c>
      <c r="F164" s="9" t="str">
        <f t="shared" si="4"/>
        <v/>
      </c>
      <c r="G164" s="9" t="str">
        <f t="shared" si="5"/>
        <v/>
      </c>
      <c r="H164" s="267" t="str">
        <f t="shared" si="6"/>
        <v/>
      </c>
      <c r="I164" s="9"/>
      <c r="J164" s="9"/>
      <c r="K164" s="9"/>
      <c r="L164" s="9" t="str">
        <f t="shared" si="7"/>
        <v/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  <c r="XX164" s="3"/>
      <c r="XY164" s="3"/>
      <c r="XZ164" s="3"/>
      <c r="YA164" s="3"/>
      <c r="YB164" s="3"/>
      <c r="YC164" s="3"/>
      <c r="YD164" s="3"/>
      <c r="YE164" s="3"/>
      <c r="YF164" s="3"/>
      <c r="YG164" s="3"/>
      <c r="YH164" s="3"/>
      <c r="YI164" s="3"/>
      <c r="YJ164" s="3"/>
      <c r="YK164" s="3"/>
      <c r="YL164" s="3"/>
      <c r="YM164" s="3"/>
      <c r="YN164" s="3"/>
      <c r="YO164" s="3"/>
      <c r="YP164" s="3"/>
      <c r="YQ164" s="3"/>
      <c r="YR164" s="3"/>
      <c r="YS164" s="3"/>
      <c r="YT164" s="3"/>
      <c r="YU164" s="3"/>
      <c r="YV164" s="3"/>
      <c r="YW164" s="3"/>
      <c r="YX164" s="3"/>
      <c r="YY164" s="3"/>
      <c r="YZ164" s="3"/>
      <c r="ZA164" s="3"/>
      <c r="ZB164" s="3"/>
      <c r="ZC164" s="3"/>
      <c r="ZD164" s="3"/>
      <c r="ZE164" s="3"/>
      <c r="ZF164" s="3"/>
      <c r="ZG164" s="3"/>
      <c r="ZH164" s="3"/>
      <c r="ZI164" s="3"/>
      <c r="ZJ164" s="3"/>
      <c r="ZK164" s="3"/>
      <c r="ZL164" s="3"/>
      <c r="ZM164" s="3"/>
      <c r="ZN164" s="3"/>
      <c r="ZO164" s="3"/>
      <c r="ZP164" s="3"/>
      <c r="ZQ164" s="3"/>
      <c r="ZR164" s="3"/>
      <c r="ZS164" s="3"/>
      <c r="ZT164" s="3"/>
      <c r="ZU164" s="3"/>
      <c r="ZV164" s="3"/>
      <c r="ZW164" s="3"/>
      <c r="ZX164" s="3"/>
      <c r="ZY164" s="3"/>
      <c r="ZZ164" s="3"/>
    </row>
    <row r="165" spans="1:702" ht="19.5" customHeight="1">
      <c r="A165" s="9"/>
      <c r="B165" s="9"/>
      <c r="C165" s="9"/>
      <c r="D165" s="9" t="str">
        <f t="shared" si="3"/>
        <v/>
      </c>
      <c r="E165" s="266" t="str">
        <f t="array" ref="E165">IF(B165="","",IF(B165&lt;&gt;B164,SUMPRODUCT(($B$5:B165&lt;&gt;$B$4:B164)*($B$5:B165&lt;&gt;"")),""))</f>
        <v/>
      </c>
      <c r="F165" s="9" t="str">
        <f t="shared" si="4"/>
        <v/>
      </c>
      <c r="G165" s="9" t="str">
        <f t="shared" si="5"/>
        <v/>
      </c>
      <c r="H165" s="267" t="str">
        <f t="shared" si="6"/>
        <v/>
      </c>
      <c r="I165" s="9"/>
      <c r="J165" s="9"/>
      <c r="K165" s="9"/>
      <c r="L165" s="9" t="str">
        <f t="shared" si="7"/>
        <v/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  <c r="IY165" s="3"/>
      <c r="IZ165" s="3"/>
      <c r="JA165" s="3"/>
      <c r="JB165" s="3"/>
      <c r="JC165" s="3"/>
      <c r="JD165" s="3"/>
      <c r="JE165" s="3"/>
      <c r="JF165" s="3"/>
      <c r="JG165" s="3"/>
      <c r="JH165" s="3"/>
      <c r="JI165" s="3"/>
      <c r="JJ165" s="3"/>
      <c r="JK165" s="3"/>
      <c r="JL165" s="3"/>
      <c r="JM165" s="3"/>
      <c r="JN165" s="3"/>
      <c r="JO165" s="3"/>
      <c r="JP165" s="3"/>
      <c r="JQ165" s="3"/>
      <c r="JR165" s="3"/>
      <c r="JS165" s="3"/>
      <c r="JT165" s="3"/>
      <c r="JU165" s="3"/>
      <c r="JV165" s="3"/>
      <c r="JW165" s="3"/>
      <c r="JX165" s="3"/>
      <c r="JY165" s="3"/>
      <c r="JZ165" s="3"/>
      <c r="KA165" s="3"/>
      <c r="KB165" s="3"/>
      <c r="KC165" s="3"/>
      <c r="KD165" s="3"/>
      <c r="KE165" s="3"/>
      <c r="KF165" s="3"/>
      <c r="KG165" s="3"/>
      <c r="KH165" s="3"/>
      <c r="KI165" s="3"/>
      <c r="KJ165" s="3"/>
      <c r="KK165" s="3"/>
      <c r="KL165" s="3"/>
      <c r="KM165" s="3"/>
      <c r="KN165" s="3"/>
      <c r="KO165" s="3"/>
      <c r="KP165" s="3"/>
      <c r="KQ165" s="3"/>
      <c r="KR165" s="3"/>
      <c r="KS165" s="3"/>
      <c r="KT165" s="3"/>
      <c r="KU165" s="3"/>
      <c r="KV165" s="3"/>
      <c r="KW165" s="3"/>
      <c r="KX165" s="3"/>
      <c r="KY165" s="3"/>
      <c r="KZ165" s="3"/>
      <c r="LA165" s="3"/>
      <c r="LB165" s="3"/>
      <c r="LC165" s="3"/>
      <c r="LD165" s="3"/>
      <c r="LE165" s="3"/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3"/>
      <c r="LQ165" s="3"/>
      <c r="LR165" s="3"/>
      <c r="LS165" s="3"/>
      <c r="LT165" s="3"/>
      <c r="LU165" s="3"/>
      <c r="LV165" s="3"/>
      <c r="LW165" s="3"/>
      <c r="LX165" s="3"/>
      <c r="LY165" s="3"/>
      <c r="LZ165" s="3"/>
      <c r="MA165" s="3"/>
      <c r="MB165" s="3"/>
      <c r="MC165" s="3"/>
      <c r="MD165" s="3"/>
      <c r="ME165" s="3"/>
      <c r="MF165" s="3"/>
      <c r="MG165" s="3"/>
      <c r="MH165" s="3"/>
      <c r="MI165" s="3"/>
      <c r="MJ165" s="3"/>
      <c r="MK165" s="3"/>
      <c r="ML165" s="3"/>
      <c r="MM165" s="3"/>
      <c r="MN165" s="3"/>
      <c r="MO165" s="3"/>
      <c r="MP165" s="3"/>
      <c r="MQ165" s="3"/>
      <c r="MR165" s="3"/>
      <c r="MS165" s="3"/>
      <c r="MT165" s="3"/>
      <c r="MU165" s="3"/>
      <c r="MV165" s="3"/>
      <c r="MW165" s="3"/>
      <c r="MX165" s="3"/>
      <c r="MY165" s="3"/>
      <c r="MZ165" s="3"/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/>
      <c r="PD165" s="3"/>
      <c r="PE165" s="3"/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O165" s="3"/>
      <c r="RP165" s="3"/>
      <c r="RQ165" s="3"/>
      <c r="RR165" s="3"/>
      <c r="RS165" s="3"/>
      <c r="RT165" s="3"/>
      <c r="RU165" s="3"/>
      <c r="RV165" s="3"/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/>
      <c r="SP165" s="3"/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/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WZ165" s="3"/>
      <c r="XA165" s="3"/>
      <c r="XB165" s="3"/>
      <c r="XC165" s="3"/>
      <c r="XD165" s="3"/>
      <c r="XE165" s="3"/>
      <c r="XF165" s="3"/>
      <c r="XG165" s="3"/>
      <c r="XH165" s="3"/>
      <c r="XI165" s="3"/>
      <c r="XJ165" s="3"/>
      <c r="XK165" s="3"/>
      <c r="XL165" s="3"/>
      <c r="XM165" s="3"/>
      <c r="XN165" s="3"/>
      <c r="XO165" s="3"/>
      <c r="XP165" s="3"/>
      <c r="XQ165" s="3"/>
      <c r="XR165" s="3"/>
      <c r="XS165" s="3"/>
      <c r="XT165" s="3"/>
      <c r="XU165" s="3"/>
      <c r="XV165" s="3"/>
      <c r="XW165" s="3"/>
      <c r="XX165" s="3"/>
      <c r="XY165" s="3"/>
      <c r="XZ165" s="3"/>
      <c r="YA165" s="3"/>
      <c r="YB165" s="3"/>
      <c r="YC165" s="3"/>
      <c r="YD165" s="3"/>
      <c r="YE165" s="3"/>
      <c r="YF165" s="3"/>
      <c r="YG165" s="3"/>
      <c r="YH165" s="3"/>
      <c r="YI165" s="3"/>
      <c r="YJ165" s="3"/>
      <c r="YK165" s="3"/>
      <c r="YL165" s="3"/>
      <c r="YM165" s="3"/>
      <c r="YN165" s="3"/>
      <c r="YO165" s="3"/>
      <c r="YP165" s="3"/>
      <c r="YQ165" s="3"/>
      <c r="YR165" s="3"/>
      <c r="YS165" s="3"/>
      <c r="YT165" s="3"/>
      <c r="YU165" s="3"/>
      <c r="YV165" s="3"/>
      <c r="YW165" s="3"/>
      <c r="YX165" s="3"/>
      <c r="YY165" s="3"/>
      <c r="YZ165" s="3"/>
      <c r="ZA165" s="3"/>
      <c r="ZB165" s="3"/>
      <c r="ZC165" s="3"/>
      <c r="ZD165" s="3"/>
      <c r="ZE165" s="3"/>
      <c r="ZF165" s="3"/>
      <c r="ZG165" s="3"/>
      <c r="ZH165" s="3"/>
      <c r="ZI165" s="3"/>
      <c r="ZJ165" s="3"/>
      <c r="ZK165" s="3"/>
      <c r="ZL165" s="3"/>
      <c r="ZM165" s="3"/>
      <c r="ZN165" s="3"/>
      <c r="ZO165" s="3"/>
      <c r="ZP165" s="3"/>
      <c r="ZQ165" s="3"/>
      <c r="ZR165" s="3"/>
      <c r="ZS165" s="3"/>
      <c r="ZT165" s="3"/>
      <c r="ZU165" s="3"/>
      <c r="ZV165" s="3"/>
      <c r="ZW165" s="3"/>
      <c r="ZX165" s="3"/>
      <c r="ZY165" s="3"/>
      <c r="ZZ165" s="3"/>
    </row>
    <row r="166" spans="1:702" ht="19.5" customHeight="1">
      <c r="A166" s="9"/>
      <c r="B166" s="9"/>
      <c r="C166" s="9"/>
      <c r="D166" s="9" t="str">
        <f t="shared" si="3"/>
        <v/>
      </c>
      <c r="E166" s="266" t="str">
        <f t="array" ref="E166">IF(B166="","",IF(B166&lt;&gt;B165,SUMPRODUCT(($B$5:B166&lt;&gt;$B$4:B165)*($B$5:B166&lt;&gt;"")),""))</f>
        <v/>
      </c>
      <c r="F166" s="9" t="str">
        <f t="shared" si="4"/>
        <v/>
      </c>
      <c r="G166" s="9" t="str">
        <f t="shared" si="5"/>
        <v/>
      </c>
      <c r="H166" s="267" t="str">
        <f t="shared" si="6"/>
        <v/>
      </c>
      <c r="I166" s="9"/>
      <c r="J166" s="9"/>
      <c r="K166" s="9"/>
      <c r="L166" s="9" t="str">
        <f t="shared" si="7"/>
        <v/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</row>
    <row r="167" spans="1:702" ht="19.5" customHeight="1">
      <c r="A167" s="9"/>
      <c r="B167" s="9"/>
      <c r="C167" s="9"/>
      <c r="D167" s="9" t="str">
        <f t="shared" si="3"/>
        <v/>
      </c>
      <c r="E167" s="266" t="str">
        <f t="array" ref="E167">IF(B167="","",IF(B167&lt;&gt;B166,SUMPRODUCT(($B$5:B167&lt;&gt;$B$4:B166)*($B$5:B167&lt;&gt;"")),""))</f>
        <v/>
      </c>
      <c r="F167" s="9" t="str">
        <f t="shared" si="4"/>
        <v/>
      </c>
      <c r="G167" s="9" t="str">
        <f t="shared" si="5"/>
        <v/>
      </c>
      <c r="H167" s="267" t="str">
        <f t="shared" si="6"/>
        <v/>
      </c>
      <c r="I167" s="9"/>
      <c r="J167" s="9"/>
      <c r="K167" s="9"/>
      <c r="L167" s="9" t="str">
        <f t="shared" si="7"/>
        <v/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/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WZ167" s="3"/>
      <c r="XA167" s="3"/>
      <c r="XB167" s="3"/>
      <c r="XC167" s="3"/>
      <c r="XD167" s="3"/>
      <c r="XE167" s="3"/>
      <c r="XF167" s="3"/>
      <c r="XG167" s="3"/>
      <c r="XH167" s="3"/>
      <c r="XI167" s="3"/>
      <c r="XJ167" s="3"/>
      <c r="XK167" s="3"/>
      <c r="XL167" s="3"/>
      <c r="XM167" s="3"/>
      <c r="XN167" s="3"/>
      <c r="XO167" s="3"/>
      <c r="XP167" s="3"/>
      <c r="XQ167" s="3"/>
      <c r="XR167" s="3"/>
      <c r="XS167" s="3"/>
      <c r="XT167" s="3"/>
      <c r="XU167" s="3"/>
      <c r="XV167" s="3"/>
      <c r="XW167" s="3"/>
      <c r="XX167" s="3"/>
      <c r="XY167" s="3"/>
      <c r="XZ167" s="3"/>
      <c r="YA167" s="3"/>
      <c r="YB167" s="3"/>
      <c r="YC167" s="3"/>
      <c r="YD167" s="3"/>
      <c r="YE167" s="3"/>
      <c r="YF167" s="3"/>
      <c r="YG167" s="3"/>
      <c r="YH167" s="3"/>
      <c r="YI167" s="3"/>
      <c r="YJ167" s="3"/>
      <c r="YK167" s="3"/>
      <c r="YL167" s="3"/>
      <c r="YM167" s="3"/>
      <c r="YN167" s="3"/>
      <c r="YO167" s="3"/>
      <c r="YP167" s="3"/>
      <c r="YQ167" s="3"/>
      <c r="YR167" s="3"/>
      <c r="YS167" s="3"/>
      <c r="YT167" s="3"/>
      <c r="YU167" s="3"/>
      <c r="YV167" s="3"/>
      <c r="YW167" s="3"/>
      <c r="YX167" s="3"/>
      <c r="YY167" s="3"/>
      <c r="YZ167" s="3"/>
      <c r="ZA167" s="3"/>
      <c r="ZB167" s="3"/>
      <c r="ZC167" s="3"/>
      <c r="ZD167" s="3"/>
      <c r="ZE167" s="3"/>
      <c r="ZF167" s="3"/>
      <c r="ZG167" s="3"/>
      <c r="ZH167" s="3"/>
      <c r="ZI167" s="3"/>
      <c r="ZJ167" s="3"/>
      <c r="ZK167" s="3"/>
      <c r="ZL167" s="3"/>
      <c r="ZM167" s="3"/>
      <c r="ZN167" s="3"/>
      <c r="ZO167" s="3"/>
      <c r="ZP167" s="3"/>
      <c r="ZQ167" s="3"/>
      <c r="ZR167" s="3"/>
      <c r="ZS167" s="3"/>
      <c r="ZT167" s="3"/>
      <c r="ZU167" s="3"/>
      <c r="ZV167" s="3"/>
      <c r="ZW167" s="3"/>
      <c r="ZX167" s="3"/>
      <c r="ZY167" s="3"/>
      <c r="ZZ167" s="3"/>
    </row>
    <row r="168" spans="1:702" ht="19.5" customHeight="1">
      <c r="A168" s="9"/>
      <c r="B168" s="9"/>
      <c r="C168" s="9"/>
      <c r="D168" s="9" t="str">
        <f t="shared" si="3"/>
        <v/>
      </c>
      <c r="E168" s="266" t="str">
        <f t="array" ref="E168">IF(B168="","",IF(B168&lt;&gt;B167,SUMPRODUCT(($B$5:B168&lt;&gt;$B$4:B167)*($B$5:B168&lt;&gt;"")),""))</f>
        <v/>
      </c>
      <c r="F168" s="9" t="str">
        <f t="shared" si="4"/>
        <v/>
      </c>
      <c r="G168" s="9" t="str">
        <f t="shared" si="5"/>
        <v/>
      </c>
      <c r="H168" s="267" t="str">
        <f t="shared" si="6"/>
        <v/>
      </c>
      <c r="I168" s="9"/>
      <c r="J168" s="9"/>
      <c r="K168" s="9"/>
      <c r="L168" s="9" t="str">
        <f t="shared" si="7"/>
        <v/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  <c r="XX168" s="3"/>
      <c r="XY168" s="3"/>
      <c r="XZ168" s="3"/>
      <c r="YA168" s="3"/>
      <c r="YB168" s="3"/>
      <c r="YC168" s="3"/>
      <c r="YD168" s="3"/>
      <c r="YE168" s="3"/>
      <c r="YF168" s="3"/>
      <c r="YG168" s="3"/>
      <c r="YH168" s="3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3"/>
      <c r="ZF168" s="3"/>
      <c r="ZG168" s="3"/>
      <c r="ZH168" s="3"/>
      <c r="ZI168" s="3"/>
      <c r="ZJ168" s="3"/>
      <c r="ZK168" s="3"/>
      <c r="ZL168" s="3"/>
      <c r="ZM168" s="3"/>
      <c r="ZN168" s="3"/>
      <c r="ZO168" s="3"/>
      <c r="ZP168" s="3"/>
      <c r="ZQ168" s="3"/>
      <c r="ZR168" s="3"/>
      <c r="ZS168" s="3"/>
      <c r="ZT168" s="3"/>
      <c r="ZU168" s="3"/>
      <c r="ZV168" s="3"/>
      <c r="ZW168" s="3"/>
      <c r="ZX168" s="3"/>
      <c r="ZY168" s="3"/>
      <c r="ZZ168" s="3"/>
    </row>
    <row r="169" spans="1:702" ht="19.5" customHeight="1">
      <c r="A169" s="9"/>
      <c r="B169" s="9"/>
      <c r="C169" s="9"/>
      <c r="D169" s="9" t="str">
        <f t="shared" si="3"/>
        <v/>
      </c>
      <c r="E169" s="266" t="str">
        <f t="array" ref="E169">IF(B169="","",IF(B169&lt;&gt;B168,SUMPRODUCT(($B$5:B169&lt;&gt;$B$4:B168)*($B$5:B169&lt;&gt;"")),""))</f>
        <v/>
      </c>
      <c r="F169" s="9" t="str">
        <f t="shared" si="4"/>
        <v/>
      </c>
      <c r="G169" s="9" t="str">
        <f t="shared" si="5"/>
        <v/>
      </c>
      <c r="H169" s="267" t="str">
        <f t="shared" si="6"/>
        <v/>
      </c>
      <c r="I169" s="9"/>
      <c r="J169" s="9"/>
      <c r="K169" s="9"/>
      <c r="L169" s="9" t="str">
        <f t="shared" si="7"/>
        <v/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3"/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3"/>
      <c r="JW169" s="3"/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3"/>
      <c r="KQ169" s="3"/>
      <c r="KR169" s="3"/>
      <c r="KS169" s="3"/>
      <c r="KT169" s="3"/>
      <c r="KU169" s="3"/>
      <c r="KV169" s="3"/>
      <c r="KW169" s="3"/>
      <c r="KX169" s="3"/>
      <c r="KY169" s="3"/>
      <c r="KZ169" s="3"/>
      <c r="LA169" s="3"/>
      <c r="LB169" s="3"/>
      <c r="LC169" s="3"/>
      <c r="LD169" s="3"/>
      <c r="LE169" s="3"/>
      <c r="LF169" s="3"/>
      <c r="LG169" s="3"/>
      <c r="LH169" s="3"/>
      <c r="LI169" s="3"/>
      <c r="LJ169" s="3"/>
      <c r="LK169" s="3"/>
      <c r="LL169" s="3"/>
      <c r="LM169" s="3"/>
      <c r="LN169" s="3"/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3"/>
      <c r="MB169" s="3"/>
      <c r="MC169" s="3"/>
      <c r="MD169" s="3"/>
      <c r="ME169" s="3"/>
      <c r="MF169" s="3"/>
      <c r="MG169" s="3"/>
      <c r="MH169" s="3"/>
      <c r="MI169" s="3"/>
      <c r="MJ169" s="3"/>
      <c r="MK169" s="3"/>
      <c r="ML169" s="3"/>
      <c r="MM169" s="3"/>
      <c r="MN169" s="3"/>
      <c r="MO169" s="3"/>
      <c r="MP169" s="3"/>
      <c r="MQ169" s="3"/>
      <c r="MR169" s="3"/>
      <c r="MS169" s="3"/>
      <c r="MT169" s="3"/>
      <c r="MU169" s="3"/>
      <c r="MV169" s="3"/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WZ169" s="3"/>
      <c r="XA169" s="3"/>
      <c r="XB169" s="3"/>
      <c r="XC169" s="3"/>
      <c r="XD169" s="3"/>
      <c r="XE169" s="3"/>
      <c r="XF169" s="3"/>
      <c r="XG169" s="3"/>
      <c r="XH169" s="3"/>
      <c r="XI169" s="3"/>
      <c r="XJ169" s="3"/>
      <c r="XK169" s="3"/>
      <c r="XL169" s="3"/>
      <c r="XM169" s="3"/>
      <c r="XN169" s="3"/>
      <c r="XO169" s="3"/>
      <c r="XP169" s="3"/>
      <c r="XQ169" s="3"/>
      <c r="XR169" s="3"/>
      <c r="XS169" s="3"/>
      <c r="XT169" s="3"/>
      <c r="XU169" s="3"/>
      <c r="XV169" s="3"/>
      <c r="XW169" s="3"/>
      <c r="XX169" s="3"/>
      <c r="XY169" s="3"/>
      <c r="XZ169" s="3"/>
      <c r="YA169" s="3"/>
      <c r="YB169" s="3"/>
      <c r="YC169" s="3"/>
      <c r="YD169" s="3"/>
      <c r="YE169" s="3"/>
      <c r="YF169" s="3"/>
      <c r="YG169" s="3"/>
      <c r="YH169" s="3"/>
      <c r="YI169" s="3"/>
      <c r="YJ169" s="3"/>
      <c r="YK169" s="3"/>
      <c r="YL169" s="3"/>
      <c r="YM169" s="3"/>
      <c r="YN169" s="3"/>
      <c r="YO169" s="3"/>
      <c r="YP169" s="3"/>
      <c r="YQ169" s="3"/>
      <c r="YR169" s="3"/>
      <c r="YS169" s="3"/>
      <c r="YT169" s="3"/>
      <c r="YU169" s="3"/>
      <c r="YV169" s="3"/>
      <c r="YW169" s="3"/>
      <c r="YX169" s="3"/>
      <c r="YY169" s="3"/>
      <c r="YZ169" s="3"/>
      <c r="ZA169" s="3"/>
      <c r="ZB169" s="3"/>
      <c r="ZC169" s="3"/>
      <c r="ZD169" s="3"/>
      <c r="ZE169" s="3"/>
      <c r="ZF169" s="3"/>
      <c r="ZG169" s="3"/>
      <c r="ZH169" s="3"/>
      <c r="ZI169" s="3"/>
      <c r="ZJ169" s="3"/>
      <c r="ZK169" s="3"/>
      <c r="ZL169" s="3"/>
      <c r="ZM169" s="3"/>
      <c r="ZN169" s="3"/>
      <c r="ZO169" s="3"/>
      <c r="ZP169" s="3"/>
      <c r="ZQ169" s="3"/>
      <c r="ZR169" s="3"/>
      <c r="ZS169" s="3"/>
      <c r="ZT169" s="3"/>
      <c r="ZU169" s="3"/>
      <c r="ZV169" s="3"/>
      <c r="ZW169" s="3"/>
      <c r="ZX169" s="3"/>
      <c r="ZY169" s="3"/>
      <c r="ZZ169" s="3"/>
    </row>
    <row r="170" spans="1:702" ht="19.5" customHeight="1">
      <c r="A170" s="9"/>
      <c r="B170" s="9"/>
      <c r="C170" s="9"/>
      <c r="D170" s="9" t="str">
        <f t="shared" si="3"/>
        <v/>
      </c>
      <c r="E170" s="266" t="str">
        <f t="array" ref="E170">IF(B170="","",IF(B170&lt;&gt;B169,SUMPRODUCT(($B$5:B170&lt;&gt;$B$4:B169)*($B$5:B170&lt;&gt;"")),""))</f>
        <v/>
      </c>
      <c r="F170" s="9" t="str">
        <f t="shared" si="4"/>
        <v/>
      </c>
      <c r="G170" s="9" t="str">
        <f t="shared" si="5"/>
        <v/>
      </c>
      <c r="H170" s="267" t="str">
        <f t="shared" si="6"/>
        <v/>
      </c>
      <c r="I170" s="9"/>
      <c r="J170" s="9"/>
      <c r="K170" s="9"/>
      <c r="L170" s="9" t="str">
        <f t="shared" si="7"/>
        <v/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</row>
    <row r="171" spans="1:702" ht="19.5" customHeight="1">
      <c r="A171" s="9"/>
      <c r="B171" s="9"/>
      <c r="C171" s="9"/>
      <c r="D171" s="9" t="str">
        <f t="shared" si="3"/>
        <v/>
      </c>
      <c r="E171" s="266" t="str">
        <f t="array" ref="E171">IF(B171="","",IF(B171&lt;&gt;B170,SUMPRODUCT(($B$5:B171&lt;&gt;$B$4:B170)*($B$5:B171&lt;&gt;"")),""))</f>
        <v/>
      </c>
      <c r="F171" s="9" t="str">
        <f t="shared" si="4"/>
        <v/>
      </c>
      <c r="G171" s="9" t="str">
        <f t="shared" si="5"/>
        <v/>
      </c>
      <c r="H171" s="267" t="str">
        <f t="shared" si="6"/>
        <v/>
      </c>
      <c r="I171" s="9"/>
      <c r="J171" s="9"/>
      <c r="K171" s="9"/>
      <c r="L171" s="9" t="str">
        <f t="shared" si="7"/>
        <v/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/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WZ171" s="3"/>
      <c r="XA171" s="3"/>
      <c r="XB171" s="3"/>
      <c r="XC171" s="3"/>
      <c r="XD171" s="3"/>
      <c r="XE171" s="3"/>
      <c r="XF171" s="3"/>
      <c r="XG171" s="3"/>
      <c r="XH171" s="3"/>
      <c r="XI171" s="3"/>
      <c r="XJ171" s="3"/>
      <c r="XK171" s="3"/>
      <c r="XL171" s="3"/>
      <c r="XM171" s="3"/>
      <c r="XN171" s="3"/>
      <c r="XO171" s="3"/>
      <c r="XP171" s="3"/>
      <c r="XQ171" s="3"/>
      <c r="XR171" s="3"/>
      <c r="XS171" s="3"/>
      <c r="XT171" s="3"/>
      <c r="XU171" s="3"/>
      <c r="XV171" s="3"/>
      <c r="XW171" s="3"/>
      <c r="XX171" s="3"/>
      <c r="XY171" s="3"/>
      <c r="XZ171" s="3"/>
      <c r="YA171" s="3"/>
      <c r="YB171" s="3"/>
      <c r="YC171" s="3"/>
      <c r="YD171" s="3"/>
      <c r="YE171" s="3"/>
      <c r="YF171" s="3"/>
      <c r="YG171" s="3"/>
      <c r="YH171" s="3"/>
      <c r="YI171" s="3"/>
      <c r="YJ171" s="3"/>
      <c r="YK171" s="3"/>
      <c r="YL171" s="3"/>
      <c r="YM171" s="3"/>
      <c r="YN171" s="3"/>
      <c r="YO171" s="3"/>
      <c r="YP171" s="3"/>
      <c r="YQ171" s="3"/>
      <c r="YR171" s="3"/>
      <c r="YS171" s="3"/>
      <c r="YT171" s="3"/>
      <c r="YU171" s="3"/>
      <c r="YV171" s="3"/>
      <c r="YW171" s="3"/>
      <c r="YX171" s="3"/>
      <c r="YY171" s="3"/>
      <c r="YZ171" s="3"/>
      <c r="ZA171" s="3"/>
      <c r="ZB171" s="3"/>
      <c r="ZC171" s="3"/>
      <c r="ZD171" s="3"/>
      <c r="ZE171" s="3"/>
      <c r="ZF171" s="3"/>
      <c r="ZG171" s="3"/>
      <c r="ZH171" s="3"/>
      <c r="ZI171" s="3"/>
      <c r="ZJ171" s="3"/>
      <c r="ZK171" s="3"/>
      <c r="ZL171" s="3"/>
      <c r="ZM171" s="3"/>
      <c r="ZN171" s="3"/>
      <c r="ZO171" s="3"/>
      <c r="ZP171" s="3"/>
      <c r="ZQ171" s="3"/>
      <c r="ZR171" s="3"/>
      <c r="ZS171" s="3"/>
      <c r="ZT171" s="3"/>
      <c r="ZU171" s="3"/>
      <c r="ZV171" s="3"/>
      <c r="ZW171" s="3"/>
      <c r="ZX171" s="3"/>
      <c r="ZY171" s="3"/>
      <c r="ZZ171" s="3"/>
    </row>
    <row r="172" spans="1:702" ht="19.5" customHeight="1">
      <c r="A172" s="9"/>
      <c r="B172" s="9"/>
      <c r="C172" s="9"/>
      <c r="D172" s="9" t="str">
        <f t="shared" si="3"/>
        <v/>
      </c>
      <c r="E172" s="266" t="str">
        <f t="array" ref="E172">IF(B172="","",IF(B172&lt;&gt;B171,SUMPRODUCT(($B$5:B172&lt;&gt;$B$4:B171)*($B$5:B172&lt;&gt;"")),""))</f>
        <v/>
      </c>
      <c r="F172" s="9" t="str">
        <f t="shared" si="4"/>
        <v/>
      </c>
      <c r="G172" s="9" t="str">
        <f t="shared" si="5"/>
        <v/>
      </c>
      <c r="H172" s="267" t="str">
        <f t="shared" si="6"/>
        <v/>
      </c>
      <c r="I172" s="9"/>
      <c r="J172" s="9"/>
      <c r="K172" s="9"/>
      <c r="L172" s="9" t="str">
        <f t="shared" si="7"/>
        <v/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  <c r="XX172" s="3"/>
      <c r="XY172" s="3"/>
      <c r="XZ172" s="3"/>
      <c r="YA172" s="3"/>
      <c r="YB172" s="3"/>
      <c r="YC172" s="3"/>
      <c r="YD172" s="3"/>
      <c r="YE172" s="3"/>
      <c r="YF172" s="3"/>
      <c r="YG172" s="3"/>
      <c r="YH172" s="3"/>
      <c r="YI172" s="3"/>
      <c r="YJ172" s="3"/>
      <c r="YK172" s="3"/>
      <c r="YL172" s="3"/>
      <c r="YM172" s="3"/>
      <c r="YN172" s="3"/>
      <c r="YO172" s="3"/>
      <c r="YP172" s="3"/>
      <c r="YQ172" s="3"/>
      <c r="YR172" s="3"/>
      <c r="YS172" s="3"/>
      <c r="YT172" s="3"/>
      <c r="YU172" s="3"/>
      <c r="YV172" s="3"/>
      <c r="YW172" s="3"/>
      <c r="YX172" s="3"/>
      <c r="YY172" s="3"/>
      <c r="YZ172" s="3"/>
      <c r="ZA172" s="3"/>
      <c r="ZB172" s="3"/>
      <c r="ZC172" s="3"/>
      <c r="ZD172" s="3"/>
      <c r="ZE172" s="3"/>
      <c r="ZF172" s="3"/>
      <c r="ZG172" s="3"/>
      <c r="ZH172" s="3"/>
      <c r="ZI172" s="3"/>
      <c r="ZJ172" s="3"/>
      <c r="ZK172" s="3"/>
      <c r="ZL172" s="3"/>
      <c r="ZM172" s="3"/>
      <c r="ZN172" s="3"/>
      <c r="ZO172" s="3"/>
      <c r="ZP172" s="3"/>
      <c r="ZQ172" s="3"/>
      <c r="ZR172" s="3"/>
      <c r="ZS172" s="3"/>
      <c r="ZT172" s="3"/>
      <c r="ZU172" s="3"/>
      <c r="ZV172" s="3"/>
      <c r="ZW172" s="3"/>
      <c r="ZX172" s="3"/>
      <c r="ZY172" s="3"/>
      <c r="ZZ172" s="3"/>
    </row>
    <row r="173" spans="1:702" ht="19.5" customHeight="1">
      <c r="A173" s="9"/>
      <c r="B173" s="9"/>
      <c r="C173" s="9"/>
      <c r="D173" s="9" t="str">
        <f t="shared" si="3"/>
        <v/>
      </c>
      <c r="E173" s="266" t="str">
        <f t="array" ref="E173">IF(B173="","",IF(B173&lt;&gt;B172,SUMPRODUCT(($B$5:B173&lt;&gt;$B$4:B172)*($B$5:B173&lt;&gt;"")),""))</f>
        <v/>
      </c>
      <c r="F173" s="9" t="str">
        <f t="shared" si="4"/>
        <v/>
      </c>
      <c r="G173" s="9" t="str">
        <f t="shared" si="5"/>
        <v/>
      </c>
      <c r="H173" s="267" t="str">
        <f t="shared" si="6"/>
        <v/>
      </c>
      <c r="I173" s="9"/>
      <c r="J173" s="9"/>
      <c r="K173" s="9"/>
      <c r="L173" s="9" t="str">
        <f t="shared" si="7"/>
        <v/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/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WZ173" s="3"/>
      <c r="XA173" s="3"/>
      <c r="XB173" s="3"/>
      <c r="XC173" s="3"/>
      <c r="XD173" s="3"/>
      <c r="XE173" s="3"/>
      <c r="XF173" s="3"/>
      <c r="XG173" s="3"/>
      <c r="XH173" s="3"/>
      <c r="XI173" s="3"/>
      <c r="XJ173" s="3"/>
      <c r="XK173" s="3"/>
      <c r="XL173" s="3"/>
      <c r="XM173" s="3"/>
      <c r="XN173" s="3"/>
      <c r="XO173" s="3"/>
      <c r="XP173" s="3"/>
      <c r="XQ173" s="3"/>
      <c r="XR173" s="3"/>
      <c r="XS173" s="3"/>
      <c r="XT173" s="3"/>
      <c r="XU173" s="3"/>
      <c r="XV173" s="3"/>
      <c r="XW173" s="3"/>
      <c r="XX173" s="3"/>
      <c r="XY173" s="3"/>
      <c r="XZ173" s="3"/>
      <c r="YA173" s="3"/>
      <c r="YB173" s="3"/>
      <c r="YC173" s="3"/>
      <c r="YD173" s="3"/>
      <c r="YE173" s="3"/>
      <c r="YF173" s="3"/>
      <c r="YG173" s="3"/>
      <c r="YH173" s="3"/>
      <c r="YI173" s="3"/>
      <c r="YJ173" s="3"/>
      <c r="YK173" s="3"/>
      <c r="YL173" s="3"/>
      <c r="YM173" s="3"/>
      <c r="YN173" s="3"/>
      <c r="YO173" s="3"/>
      <c r="YP173" s="3"/>
      <c r="YQ173" s="3"/>
      <c r="YR173" s="3"/>
      <c r="YS173" s="3"/>
      <c r="YT173" s="3"/>
      <c r="YU173" s="3"/>
      <c r="YV173" s="3"/>
      <c r="YW173" s="3"/>
      <c r="YX173" s="3"/>
      <c r="YY173" s="3"/>
      <c r="YZ173" s="3"/>
      <c r="ZA173" s="3"/>
      <c r="ZB173" s="3"/>
      <c r="ZC173" s="3"/>
      <c r="ZD173" s="3"/>
      <c r="ZE173" s="3"/>
      <c r="ZF173" s="3"/>
      <c r="ZG173" s="3"/>
      <c r="ZH173" s="3"/>
      <c r="ZI173" s="3"/>
      <c r="ZJ173" s="3"/>
      <c r="ZK173" s="3"/>
      <c r="ZL173" s="3"/>
      <c r="ZM173" s="3"/>
      <c r="ZN173" s="3"/>
      <c r="ZO173" s="3"/>
      <c r="ZP173" s="3"/>
      <c r="ZQ173" s="3"/>
      <c r="ZR173" s="3"/>
      <c r="ZS173" s="3"/>
      <c r="ZT173" s="3"/>
      <c r="ZU173" s="3"/>
      <c r="ZV173" s="3"/>
      <c r="ZW173" s="3"/>
      <c r="ZX173" s="3"/>
      <c r="ZY173" s="3"/>
      <c r="ZZ173" s="3"/>
    </row>
    <row r="174" spans="1:702" ht="19.5" customHeight="1">
      <c r="A174" s="9"/>
      <c r="B174" s="9"/>
      <c r="C174" s="9"/>
      <c r="D174" s="9" t="str">
        <f t="shared" si="3"/>
        <v/>
      </c>
      <c r="E174" s="266" t="str">
        <f t="array" ref="E174">IF(B174="","",IF(B174&lt;&gt;B173,SUMPRODUCT(($B$5:B174&lt;&gt;$B$4:B173)*($B$5:B174&lt;&gt;"")),""))</f>
        <v/>
      </c>
      <c r="F174" s="9" t="str">
        <f t="shared" si="4"/>
        <v/>
      </c>
      <c r="G174" s="9" t="str">
        <f t="shared" si="5"/>
        <v/>
      </c>
      <c r="H174" s="267" t="str">
        <f t="shared" si="6"/>
        <v/>
      </c>
      <c r="I174" s="9"/>
      <c r="J174" s="9"/>
      <c r="K174" s="9"/>
      <c r="L174" s="9" t="str">
        <f t="shared" si="7"/>
        <v/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  <c r="XX174" s="3"/>
      <c r="XY174" s="3"/>
      <c r="XZ174" s="3"/>
      <c r="YA174" s="3"/>
      <c r="YB174" s="3"/>
      <c r="YC174" s="3"/>
      <c r="YD174" s="3"/>
      <c r="YE174" s="3"/>
      <c r="YF174" s="3"/>
      <c r="YG174" s="3"/>
      <c r="YH174" s="3"/>
      <c r="YI174" s="3"/>
      <c r="YJ174" s="3"/>
      <c r="YK174" s="3"/>
      <c r="YL174" s="3"/>
      <c r="YM174" s="3"/>
      <c r="YN174" s="3"/>
      <c r="YO174" s="3"/>
      <c r="YP174" s="3"/>
      <c r="YQ174" s="3"/>
      <c r="YR174" s="3"/>
      <c r="YS174" s="3"/>
      <c r="YT174" s="3"/>
      <c r="YU174" s="3"/>
      <c r="YV174" s="3"/>
      <c r="YW174" s="3"/>
      <c r="YX174" s="3"/>
      <c r="YY174" s="3"/>
      <c r="YZ174" s="3"/>
      <c r="ZA174" s="3"/>
      <c r="ZB174" s="3"/>
      <c r="ZC174" s="3"/>
      <c r="ZD174" s="3"/>
      <c r="ZE174" s="3"/>
      <c r="ZF174" s="3"/>
      <c r="ZG174" s="3"/>
      <c r="ZH174" s="3"/>
      <c r="ZI174" s="3"/>
      <c r="ZJ174" s="3"/>
      <c r="ZK174" s="3"/>
      <c r="ZL174" s="3"/>
      <c r="ZM174" s="3"/>
      <c r="ZN174" s="3"/>
      <c r="ZO174" s="3"/>
      <c r="ZP174" s="3"/>
      <c r="ZQ174" s="3"/>
      <c r="ZR174" s="3"/>
      <c r="ZS174" s="3"/>
      <c r="ZT174" s="3"/>
      <c r="ZU174" s="3"/>
      <c r="ZV174" s="3"/>
      <c r="ZW174" s="3"/>
      <c r="ZX174" s="3"/>
      <c r="ZY174" s="3"/>
      <c r="ZZ174" s="3"/>
    </row>
    <row r="175" spans="1:702" ht="19.5" customHeight="1">
      <c r="A175" s="9"/>
      <c r="B175" s="9"/>
      <c r="C175" s="9"/>
      <c r="D175" s="9" t="str">
        <f t="shared" si="3"/>
        <v/>
      </c>
      <c r="E175" s="266" t="str">
        <f t="array" ref="E175">IF(B175="","",IF(B175&lt;&gt;B174,SUMPRODUCT(($B$5:B175&lt;&gt;$B$4:B174)*($B$5:B175&lt;&gt;"")),""))</f>
        <v/>
      </c>
      <c r="F175" s="9" t="str">
        <f t="shared" si="4"/>
        <v/>
      </c>
      <c r="G175" s="9" t="str">
        <f t="shared" si="5"/>
        <v/>
      </c>
      <c r="H175" s="267" t="str">
        <f t="shared" si="6"/>
        <v/>
      </c>
      <c r="I175" s="9"/>
      <c r="J175" s="9"/>
      <c r="K175" s="9"/>
      <c r="L175" s="9" t="str">
        <f t="shared" si="7"/>
        <v/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  <c r="IY175" s="3"/>
      <c r="IZ175" s="3"/>
      <c r="JA175" s="3"/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3"/>
      <c r="JM175" s="3"/>
      <c r="JN175" s="3"/>
      <c r="JO175" s="3"/>
      <c r="JP175" s="3"/>
      <c r="JQ175" s="3"/>
      <c r="JR175" s="3"/>
      <c r="JS175" s="3"/>
      <c r="JT175" s="3"/>
      <c r="JU175" s="3"/>
      <c r="JV175" s="3"/>
      <c r="JW175" s="3"/>
      <c r="JX175" s="3"/>
      <c r="JY175" s="3"/>
      <c r="JZ175" s="3"/>
      <c r="KA175" s="3"/>
      <c r="KB175" s="3"/>
      <c r="KC175" s="3"/>
      <c r="KD175" s="3"/>
      <c r="KE175" s="3"/>
      <c r="KF175" s="3"/>
      <c r="KG175" s="3"/>
      <c r="KH175" s="3"/>
      <c r="KI175" s="3"/>
      <c r="KJ175" s="3"/>
      <c r="KK175" s="3"/>
      <c r="KL175" s="3"/>
      <c r="KM175" s="3"/>
      <c r="KN175" s="3"/>
      <c r="KO175" s="3"/>
      <c r="KP175" s="3"/>
      <c r="KQ175" s="3"/>
      <c r="KR175" s="3"/>
      <c r="KS175" s="3"/>
      <c r="KT175" s="3"/>
      <c r="KU175" s="3"/>
      <c r="KV175" s="3"/>
      <c r="KW175" s="3"/>
      <c r="KX175" s="3"/>
      <c r="KY175" s="3"/>
      <c r="KZ175" s="3"/>
      <c r="LA175" s="3"/>
      <c r="LB175" s="3"/>
      <c r="LC175" s="3"/>
      <c r="LD175" s="3"/>
      <c r="LE175" s="3"/>
      <c r="LF175" s="3"/>
      <c r="LG175" s="3"/>
      <c r="LH175" s="3"/>
      <c r="LI175" s="3"/>
      <c r="LJ175" s="3"/>
      <c r="LK175" s="3"/>
      <c r="LL175" s="3"/>
      <c r="LM175" s="3"/>
      <c r="LN175" s="3"/>
      <c r="LO175" s="3"/>
      <c r="LP175" s="3"/>
      <c r="LQ175" s="3"/>
      <c r="LR175" s="3"/>
      <c r="LS175" s="3"/>
      <c r="LT175" s="3"/>
      <c r="LU175" s="3"/>
      <c r="LV175" s="3"/>
      <c r="LW175" s="3"/>
      <c r="LX175" s="3"/>
      <c r="LY175" s="3"/>
      <c r="LZ175" s="3"/>
      <c r="MA175" s="3"/>
      <c r="MB175" s="3"/>
      <c r="MC175" s="3"/>
      <c r="MD175" s="3"/>
      <c r="ME175" s="3"/>
      <c r="MF175" s="3"/>
      <c r="MG175" s="3"/>
      <c r="MH175" s="3"/>
      <c r="MI175" s="3"/>
      <c r="MJ175" s="3"/>
      <c r="MK175" s="3"/>
      <c r="ML175" s="3"/>
      <c r="MM175" s="3"/>
      <c r="MN175" s="3"/>
      <c r="MO175" s="3"/>
      <c r="MP175" s="3"/>
      <c r="MQ175" s="3"/>
      <c r="MR175" s="3"/>
      <c r="MS175" s="3"/>
      <c r="MT175" s="3"/>
      <c r="MU175" s="3"/>
      <c r="MV175" s="3"/>
      <c r="MW175" s="3"/>
      <c r="MX175" s="3"/>
      <c r="MY175" s="3"/>
      <c r="MZ175" s="3"/>
      <c r="NA175" s="3"/>
      <c r="NB175" s="3"/>
      <c r="NC175" s="3"/>
      <c r="ND175" s="3"/>
      <c r="NE175" s="3"/>
      <c r="NF175" s="3"/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/>
      <c r="PD175" s="3"/>
      <c r="PE175" s="3"/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O175" s="3"/>
      <c r="RP175" s="3"/>
      <c r="RQ175" s="3"/>
      <c r="RR175" s="3"/>
      <c r="RS175" s="3"/>
      <c r="RT175" s="3"/>
      <c r="RU175" s="3"/>
      <c r="RV175" s="3"/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/>
      <c r="SP175" s="3"/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/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WZ175" s="3"/>
      <c r="XA175" s="3"/>
      <c r="XB175" s="3"/>
      <c r="XC175" s="3"/>
      <c r="XD175" s="3"/>
      <c r="XE175" s="3"/>
      <c r="XF175" s="3"/>
      <c r="XG175" s="3"/>
      <c r="XH175" s="3"/>
      <c r="XI175" s="3"/>
      <c r="XJ175" s="3"/>
      <c r="XK175" s="3"/>
      <c r="XL175" s="3"/>
      <c r="XM175" s="3"/>
      <c r="XN175" s="3"/>
      <c r="XO175" s="3"/>
      <c r="XP175" s="3"/>
      <c r="XQ175" s="3"/>
      <c r="XR175" s="3"/>
      <c r="XS175" s="3"/>
      <c r="XT175" s="3"/>
      <c r="XU175" s="3"/>
      <c r="XV175" s="3"/>
      <c r="XW175" s="3"/>
      <c r="XX175" s="3"/>
      <c r="XY175" s="3"/>
      <c r="XZ175" s="3"/>
      <c r="YA175" s="3"/>
      <c r="YB175" s="3"/>
      <c r="YC175" s="3"/>
      <c r="YD175" s="3"/>
      <c r="YE175" s="3"/>
      <c r="YF175" s="3"/>
      <c r="YG175" s="3"/>
      <c r="YH175" s="3"/>
      <c r="YI175" s="3"/>
      <c r="YJ175" s="3"/>
      <c r="YK175" s="3"/>
      <c r="YL175" s="3"/>
      <c r="YM175" s="3"/>
      <c r="YN175" s="3"/>
      <c r="YO175" s="3"/>
      <c r="YP175" s="3"/>
      <c r="YQ175" s="3"/>
      <c r="YR175" s="3"/>
      <c r="YS175" s="3"/>
      <c r="YT175" s="3"/>
      <c r="YU175" s="3"/>
      <c r="YV175" s="3"/>
      <c r="YW175" s="3"/>
      <c r="YX175" s="3"/>
      <c r="YY175" s="3"/>
      <c r="YZ175" s="3"/>
      <c r="ZA175" s="3"/>
      <c r="ZB175" s="3"/>
      <c r="ZC175" s="3"/>
      <c r="ZD175" s="3"/>
      <c r="ZE175" s="3"/>
      <c r="ZF175" s="3"/>
      <c r="ZG175" s="3"/>
      <c r="ZH175" s="3"/>
      <c r="ZI175" s="3"/>
      <c r="ZJ175" s="3"/>
      <c r="ZK175" s="3"/>
      <c r="ZL175" s="3"/>
      <c r="ZM175" s="3"/>
      <c r="ZN175" s="3"/>
      <c r="ZO175" s="3"/>
      <c r="ZP175" s="3"/>
      <c r="ZQ175" s="3"/>
      <c r="ZR175" s="3"/>
      <c r="ZS175" s="3"/>
      <c r="ZT175" s="3"/>
      <c r="ZU175" s="3"/>
      <c r="ZV175" s="3"/>
      <c r="ZW175" s="3"/>
      <c r="ZX175" s="3"/>
      <c r="ZY175" s="3"/>
      <c r="ZZ175" s="3"/>
    </row>
    <row r="176" spans="1:702" ht="19.5" customHeight="1">
      <c r="A176" s="9"/>
      <c r="B176" s="9"/>
      <c r="C176" s="9"/>
      <c r="D176" s="9" t="str">
        <f t="shared" si="3"/>
        <v/>
      </c>
      <c r="E176" s="266" t="str">
        <f t="array" ref="E176">IF(B176="","",IF(B176&lt;&gt;B175,SUMPRODUCT(($B$5:B176&lt;&gt;$B$4:B175)*($B$5:B176&lt;&gt;"")),""))</f>
        <v/>
      </c>
      <c r="F176" s="9" t="str">
        <f t="shared" si="4"/>
        <v/>
      </c>
      <c r="G176" s="9" t="str">
        <f t="shared" si="5"/>
        <v/>
      </c>
      <c r="H176" s="267" t="str">
        <f t="shared" si="6"/>
        <v/>
      </c>
      <c r="I176" s="9"/>
      <c r="J176" s="9"/>
      <c r="K176" s="9"/>
      <c r="L176" s="9" t="str">
        <f t="shared" si="7"/>
        <v/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</row>
    <row r="177" spans="1:702" ht="19.5" customHeight="1">
      <c r="A177" s="9"/>
      <c r="B177" s="9"/>
      <c r="C177" s="9"/>
      <c r="D177" s="9" t="str">
        <f t="shared" si="3"/>
        <v/>
      </c>
      <c r="E177" s="266" t="str">
        <f t="array" ref="E177">IF(B177="","",IF(B177&lt;&gt;B176,SUMPRODUCT(($B$5:B177&lt;&gt;$B$4:B176)*($B$5:B177&lt;&gt;"")),""))</f>
        <v/>
      </c>
      <c r="F177" s="9" t="str">
        <f t="shared" si="4"/>
        <v/>
      </c>
      <c r="G177" s="9" t="str">
        <f t="shared" si="5"/>
        <v/>
      </c>
      <c r="H177" s="267" t="str">
        <f t="shared" si="6"/>
        <v/>
      </c>
      <c r="I177" s="9"/>
      <c r="J177" s="9"/>
      <c r="K177" s="9"/>
      <c r="L177" s="9" t="str">
        <f t="shared" si="7"/>
        <v/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  <c r="XX177" s="3"/>
      <c r="XY177" s="3"/>
      <c r="XZ177" s="3"/>
      <c r="YA177" s="3"/>
      <c r="YB177" s="3"/>
      <c r="YC177" s="3"/>
      <c r="YD177" s="3"/>
      <c r="YE177" s="3"/>
      <c r="YF177" s="3"/>
      <c r="YG177" s="3"/>
      <c r="YH177" s="3"/>
      <c r="YI177" s="3"/>
      <c r="YJ177" s="3"/>
      <c r="YK177" s="3"/>
      <c r="YL177" s="3"/>
      <c r="YM177" s="3"/>
      <c r="YN177" s="3"/>
      <c r="YO177" s="3"/>
      <c r="YP177" s="3"/>
      <c r="YQ177" s="3"/>
      <c r="YR177" s="3"/>
      <c r="YS177" s="3"/>
      <c r="YT177" s="3"/>
      <c r="YU177" s="3"/>
      <c r="YV177" s="3"/>
      <c r="YW177" s="3"/>
      <c r="YX177" s="3"/>
      <c r="YY177" s="3"/>
      <c r="YZ177" s="3"/>
      <c r="ZA177" s="3"/>
      <c r="ZB177" s="3"/>
      <c r="ZC177" s="3"/>
      <c r="ZD177" s="3"/>
      <c r="ZE177" s="3"/>
      <c r="ZF177" s="3"/>
      <c r="ZG177" s="3"/>
      <c r="ZH177" s="3"/>
      <c r="ZI177" s="3"/>
      <c r="ZJ177" s="3"/>
      <c r="ZK177" s="3"/>
      <c r="ZL177" s="3"/>
      <c r="ZM177" s="3"/>
      <c r="ZN177" s="3"/>
      <c r="ZO177" s="3"/>
      <c r="ZP177" s="3"/>
      <c r="ZQ177" s="3"/>
      <c r="ZR177" s="3"/>
      <c r="ZS177" s="3"/>
      <c r="ZT177" s="3"/>
      <c r="ZU177" s="3"/>
      <c r="ZV177" s="3"/>
      <c r="ZW177" s="3"/>
      <c r="ZX177" s="3"/>
      <c r="ZY177" s="3"/>
      <c r="ZZ177" s="3"/>
    </row>
    <row r="178" spans="1:702" ht="19.5" customHeight="1">
      <c r="A178" s="9"/>
      <c r="B178" s="9"/>
      <c r="C178" s="9"/>
      <c r="D178" s="9" t="str">
        <f t="shared" si="3"/>
        <v/>
      </c>
      <c r="E178" s="266" t="str">
        <f t="array" ref="E178">IF(B178="","",IF(B178&lt;&gt;B177,SUMPRODUCT(($B$5:B178&lt;&gt;$B$4:B177)*($B$5:B178&lt;&gt;"")),""))</f>
        <v/>
      </c>
      <c r="F178" s="9" t="str">
        <f t="shared" si="4"/>
        <v/>
      </c>
      <c r="G178" s="9" t="str">
        <f t="shared" si="5"/>
        <v/>
      </c>
      <c r="H178" s="267" t="str">
        <f t="shared" si="6"/>
        <v/>
      </c>
      <c r="I178" s="9"/>
      <c r="J178" s="9"/>
      <c r="K178" s="9"/>
      <c r="L178" s="9" t="str">
        <f t="shared" si="7"/>
        <v/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</row>
    <row r="179" spans="1:702" ht="19.5" customHeight="1">
      <c r="A179" s="9"/>
      <c r="B179" s="9"/>
      <c r="C179" s="9"/>
      <c r="D179" s="9" t="str">
        <f t="shared" si="3"/>
        <v/>
      </c>
      <c r="E179" s="266" t="str">
        <f t="array" ref="E179">IF(B179="","",IF(B179&lt;&gt;B178,SUMPRODUCT(($B$5:B179&lt;&gt;$B$4:B178)*($B$5:B179&lt;&gt;"")),""))</f>
        <v/>
      </c>
      <c r="F179" s="9" t="str">
        <f t="shared" si="4"/>
        <v/>
      </c>
      <c r="G179" s="9" t="str">
        <f t="shared" si="5"/>
        <v/>
      </c>
      <c r="H179" s="267" t="str">
        <f t="shared" si="6"/>
        <v/>
      </c>
      <c r="I179" s="9"/>
      <c r="J179" s="9"/>
      <c r="K179" s="9"/>
      <c r="L179" s="9" t="str">
        <f t="shared" si="7"/>
        <v/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</row>
    <row r="180" spans="1:702" ht="19.5" customHeight="1">
      <c r="A180" s="9"/>
      <c r="B180" s="9"/>
      <c r="C180" s="9"/>
      <c r="D180" s="9" t="str">
        <f t="shared" si="3"/>
        <v/>
      </c>
      <c r="E180" s="266" t="str">
        <f t="array" ref="E180">IF(B180="","",IF(B180&lt;&gt;B179,SUMPRODUCT(($B$5:B180&lt;&gt;$B$4:B179)*($B$5:B180&lt;&gt;"")),""))</f>
        <v/>
      </c>
      <c r="F180" s="9" t="str">
        <f t="shared" si="4"/>
        <v/>
      </c>
      <c r="G180" s="9" t="str">
        <f t="shared" si="5"/>
        <v/>
      </c>
      <c r="H180" s="267" t="str">
        <f t="shared" si="6"/>
        <v/>
      </c>
      <c r="I180" s="9"/>
      <c r="J180" s="9"/>
      <c r="K180" s="9"/>
      <c r="L180" s="9" t="str">
        <f t="shared" si="7"/>
        <v/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</row>
    <row r="181" spans="1:702" ht="19.5" customHeight="1">
      <c r="A181" s="9"/>
      <c r="B181" s="9"/>
      <c r="C181" s="9"/>
      <c r="D181" s="9" t="str">
        <f t="shared" si="3"/>
        <v/>
      </c>
      <c r="E181" s="266" t="str">
        <f t="array" ref="E181">IF(B181="","",IF(B181&lt;&gt;B180,SUMPRODUCT(($B$5:B181&lt;&gt;$B$4:B180)*($B$5:B181&lt;&gt;"")),""))</f>
        <v/>
      </c>
      <c r="F181" s="9" t="str">
        <f t="shared" si="4"/>
        <v/>
      </c>
      <c r="G181" s="9" t="str">
        <f t="shared" si="5"/>
        <v/>
      </c>
      <c r="H181" s="267" t="str">
        <f t="shared" si="6"/>
        <v/>
      </c>
      <c r="I181" s="9"/>
      <c r="J181" s="9"/>
      <c r="K181" s="9"/>
      <c r="L181" s="9" t="str">
        <f t="shared" si="7"/>
        <v/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  <c r="XX181" s="3"/>
      <c r="XY181" s="3"/>
      <c r="XZ181" s="3"/>
      <c r="YA181" s="3"/>
      <c r="YB181" s="3"/>
      <c r="YC181" s="3"/>
      <c r="YD181" s="3"/>
      <c r="YE181" s="3"/>
      <c r="YF181" s="3"/>
      <c r="YG181" s="3"/>
      <c r="YH181" s="3"/>
      <c r="YI181" s="3"/>
      <c r="YJ181" s="3"/>
      <c r="YK181" s="3"/>
      <c r="YL181" s="3"/>
      <c r="YM181" s="3"/>
      <c r="YN181" s="3"/>
      <c r="YO181" s="3"/>
      <c r="YP181" s="3"/>
      <c r="YQ181" s="3"/>
      <c r="YR181" s="3"/>
      <c r="YS181" s="3"/>
      <c r="YT181" s="3"/>
      <c r="YU181" s="3"/>
      <c r="YV181" s="3"/>
      <c r="YW181" s="3"/>
      <c r="YX181" s="3"/>
      <c r="YY181" s="3"/>
      <c r="YZ181" s="3"/>
      <c r="ZA181" s="3"/>
      <c r="ZB181" s="3"/>
      <c r="ZC181" s="3"/>
      <c r="ZD181" s="3"/>
      <c r="ZE181" s="3"/>
      <c r="ZF181" s="3"/>
      <c r="ZG181" s="3"/>
      <c r="ZH181" s="3"/>
      <c r="ZI181" s="3"/>
      <c r="ZJ181" s="3"/>
      <c r="ZK181" s="3"/>
      <c r="ZL181" s="3"/>
      <c r="ZM181" s="3"/>
      <c r="ZN181" s="3"/>
      <c r="ZO181" s="3"/>
      <c r="ZP181" s="3"/>
      <c r="ZQ181" s="3"/>
      <c r="ZR181" s="3"/>
      <c r="ZS181" s="3"/>
      <c r="ZT181" s="3"/>
      <c r="ZU181" s="3"/>
      <c r="ZV181" s="3"/>
      <c r="ZW181" s="3"/>
      <c r="ZX181" s="3"/>
      <c r="ZY181" s="3"/>
      <c r="ZZ181" s="3"/>
    </row>
    <row r="182" spans="1:702" ht="19.5" customHeight="1">
      <c r="A182" s="9"/>
      <c r="B182" s="9"/>
      <c r="C182" s="9"/>
      <c r="D182" s="9" t="str">
        <f t="shared" si="3"/>
        <v/>
      </c>
      <c r="E182" s="266" t="str">
        <f t="array" ref="E182">IF(B182="","",IF(B182&lt;&gt;B181,SUMPRODUCT(($B$5:B182&lt;&gt;$B$4:B181)*($B$5:B182&lt;&gt;"")),""))</f>
        <v/>
      </c>
      <c r="F182" s="9" t="str">
        <f t="shared" si="4"/>
        <v/>
      </c>
      <c r="G182" s="9" t="str">
        <f t="shared" si="5"/>
        <v/>
      </c>
      <c r="H182" s="267" t="str">
        <f t="shared" si="6"/>
        <v/>
      </c>
      <c r="I182" s="9"/>
      <c r="J182" s="9"/>
      <c r="K182" s="9"/>
      <c r="L182" s="9" t="str">
        <f t="shared" si="7"/>
        <v/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</row>
    <row r="183" spans="1:702" ht="19.5" customHeight="1">
      <c r="A183" s="9"/>
      <c r="B183" s="9"/>
      <c r="C183" s="9"/>
      <c r="D183" s="9" t="str">
        <f t="shared" si="3"/>
        <v/>
      </c>
      <c r="E183" s="266" t="str">
        <f t="array" ref="E183">IF(B183="","",IF(B183&lt;&gt;B182,SUMPRODUCT(($B$5:B183&lt;&gt;$B$4:B182)*($B$5:B183&lt;&gt;"")),""))</f>
        <v/>
      </c>
      <c r="F183" s="9" t="str">
        <f t="shared" si="4"/>
        <v/>
      </c>
      <c r="G183" s="9" t="str">
        <f t="shared" si="5"/>
        <v/>
      </c>
      <c r="H183" s="267" t="str">
        <f t="shared" si="6"/>
        <v/>
      </c>
      <c r="I183" s="9"/>
      <c r="J183" s="9"/>
      <c r="K183" s="9"/>
      <c r="L183" s="9" t="str">
        <f t="shared" si="7"/>
        <v/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</row>
    <row r="184" spans="1:702" ht="19.5" customHeight="1">
      <c r="A184" s="9"/>
      <c r="B184" s="9"/>
      <c r="C184" s="9"/>
      <c r="D184" s="9" t="str">
        <f t="shared" si="3"/>
        <v/>
      </c>
      <c r="E184" s="266" t="str">
        <f t="array" ref="E184">IF(B184="","",IF(B184&lt;&gt;B183,SUMPRODUCT(($B$5:B184&lt;&gt;$B$4:B183)*($B$5:B184&lt;&gt;"")),""))</f>
        <v/>
      </c>
      <c r="F184" s="9" t="str">
        <f t="shared" si="4"/>
        <v/>
      </c>
      <c r="G184" s="9" t="str">
        <f t="shared" si="5"/>
        <v/>
      </c>
      <c r="H184" s="267" t="str">
        <f t="shared" si="6"/>
        <v/>
      </c>
      <c r="I184" s="9"/>
      <c r="J184" s="9"/>
      <c r="K184" s="9"/>
      <c r="L184" s="9" t="str">
        <f t="shared" si="7"/>
        <v/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</row>
    <row r="185" spans="1:702" ht="19.5" customHeight="1">
      <c r="A185" s="9"/>
      <c r="B185" s="9"/>
      <c r="C185" s="9"/>
      <c r="D185" s="9" t="str">
        <f t="shared" si="3"/>
        <v/>
      </c>
      <c r="E185" s="266" t="str">
        <f t="array" ref="E185">IF(B185="","",IF(B185&lt;&gt;B184,SUMPRODUCT(($B$5:B185&lt;&gt;$B$4:B184)*($B$5:B185&lt;&gt;"")),""))</f>
        <v/>
      </c>
      <c r="F185" s="9" t="str">
        <f t="shared" si="4"/>
        <v/>
      </c>
      <c r="G185" s="9" t="str">
        <f t="shared" si="5"/>
        <v/>
      </c>
      <c r="H185" s="267" t="str">
        <f t="shared" si="6"/>
        <v/>
      </c>
      <c r="I185" s="9"/>
      <c r="J185" s="9"/>
      <c r="K185" s="9"/>
      <c r="L185" s="9" t="str">
        <f t="shared" si="7"/>
        <v/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WZ185" s="3"/>
      <c r="XA185" s="3"/>
      <c r="XB185" s="3"/>
      <c r="XC185" s="3"/>
      <c r="XD185" s="3"/>
      <c r="XE185" s="3"/>
      <c r="XF185" s="3"/>
      <c r="XG185" s="3"/>
      <c r="XH185" s="3"/>
      <c r="XI185" s="3"/>
      <c r="XJ185" s="3"/>
      <c r="XK185" s="3"/>
      <c r="XL185" s="3"/>
      <c r="XM185" s="3"/>
      <c r="XN185" s="3"/>
      <c r="XO185" s="3"/>
      <c r="XP185" s="3"/>
      <c r="XQ185" s="3"/>
      <c r="XR185" s="3"/>
      <c r="XS185" s="3"/>
      <c r="XT185" s="3"/>
      <c r="XU185" s="3"/>
      <c r="XV185" s="3"/>
      <c r="XW185" s="3"/>
      <c r="XX185" s="3"/>
      <c r="XY185" s="3"/>
      <c r="XZ185" s="3"/>
      <c r="YA185" s="3"/>
      <c r="YB185" s="3"/>
      <c r="YC185" s="3"/>
      <c r="YD185" s="3"/>
      <c r="YE185" s="3"/>
      <c r="YF185" s="3"/>
      <c r="YG185" s="3"/>
      <c r="YH185" s="3"/>
      <c r="YI185" s="3"/>
      <c r="YJ185" s="3"/>
      <c r="YK185" s="3"/>
      <c r="YL185" s="3"/>
      <c r="YM185" s="3"/>
      <c r="YN185" s="3"/>
      <c r="YO185" s="3"/>
      <c r="YP185" s="3"/>
      <c r="YQ185" s="3"/>
      <c r="YR185" s="3"/>
      <c r="YS185" s="3"/>
      <c r="YT185" s="3"/>
      <c r="YU185" s="3"/>
      <c r="YV185" s="3"/>
      <c r="YW185" s="3"/>
      <c r="YX185" s="3"/>
      <c r="YY185" s="3"/>
      <c r="YZ185" s="3"/>
      <c r="ZA185" s="3"/>
      <c r="ZB185" s="3"/>
      <c r="ZC185" s="3"/>
      <c r="ZD185" s="3"/>
      <c r="ZE185" s="3"/>
      <c r="ZF185" s="3"/>
      <c r="ZG185" s="3"/>
      <c r="ZH185" s="3"/>
      <c r="ZI185" s="3"/>
      <c r="ZJ185" s="3"/>
      <c r="ZK185" s="3"/>
      <c r="ZL185" s="3"/>
      <c r="ZM185" s="3"/>
      <c r="ZN185" s="3"/>
      <c r="ZO185" s="3"/>
      <c r="ZP185" s="3"/>
      <c r="ZQ185" s="3"/>
      <c r="ZR185" s="3"/>
      <c r="ZS185" s="3"/>
      <c r="ZT185" s="3"/>
      <c r="ZU185" s="3"/>
      <c r="ZV185" s="3"/>
      <c r="ZW185" s="3"/>
      <c r="ZX185" s="3"/>
      <c r="ZY185" s="3"/>
      <c r="ZZ185" s="3"/>
    </row>
    <row r="186" spans="1:702" ht="19.5" customHeight="1">
      <c r="A186" s="9"/>
      <c r="B186" s="9"/>
      <c r="C186" s="9"/>
      <c r="D186" s="9" t="str">
        <f t="shared" si="3"/>
        <v/>
      </c>
      <c r="E186" s="266" t="str">
        <f t="array" ref="E186">IF(B186="","",IF(B186&lt;&gt;B185,SUMPRODUCT(($B$5:B186&lt;&gt;$B$4:B185)*($B$5:B186&lt;&gt;"")),""))</f>
        <v/>
      </c>
      <c r="F186" s="9" t="str">
        <f t="shared" si="4"/>
        <v/>
      </c>
      <c r="G186" s="9" t="str">
        <f t="shared" si="5"/>
        <v/>
      </c>
      <c r="H186" s="267" t="str">
        <f t="shared" si="6"/>
        <v/>
      </c>
      <c r="I186" s="9"/>
      <c r="J186" s="9"/>
      <c r="K186" s="9"/>
      <c r="L186" s="9" t="str">
        <f t="shared" si="7"/>
        <v/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</row>
    <row r="187" spans="1:702" ht="19.5" customHeight="1">
      <c r="A187" s="9"/>
      <c r="B187" s="9"/>
      <c r="C187" s="9"/>
      <c r="D187" s="9" t="str">
        <f t="shared" si="3"/>
        <v/>
      </c>
      <c r="E187" s="266" t="str">
        <f t="array" ref="E187">IF(B187="","",IF(B187&lt;&gt;B186,SUMPRODUCT(($B$5:B187&lt;&gt;$B$4:B186)*($B$5:B187&lt;&gt;"")),""))</f>
        <v/>
      </c>
      <c r="F187" s="9" t="str">
        <f t="shared" si="4"/>
        <v/>
      </c>
      <c r="G187" s="9" t="str">
        <f t="shared" si="5"/>
        <v/>
      </c>
      <c r="H187" s="267" t="str">
        <f t="shared" si="6"/>
        <v/>
      </c>
      <c r="I187" s="9"/>
      <c r="J187" s="9"/>
      <c r="K187" s="9"/>
      <c r="L187" s="9" t="str">
        <f t="shared" si="7"/>
        <v/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WZ187" s="3"/>
      <c r="XA187" s="3"/>
      <c r="XB187" s="3"/>
      <c r="XC187" s="3"/>
      <c r="XD187" s="3"/>
      <c r="XE187" s="3"/>
      <c r="XF187" s="3"/>
      <c r="XG187" s="3"/>
      <c r="XH187" s="3"/>
      <c r="XI187" s="3"/>
      <c r="XJ187" s="3"/>
      <c r="XK187" s="3"/>
      <c r="XL187" s="3"/>
      <c r="XM187" s="3"/>
      <c r="XN187" s="3"/>
      <c r="XO187" s="3"/>
      <c r="XP187" s="3"/>
      <c r="XQ187" s="3"/>
      <c r="XR187" s="3"/>
      <c r="XS187" s="3"/>
      <c r="XT187" s="3"/>
      <c r="XU187" s="3"/>
      <c r="XV187" s="3"/>
      <c r="XW187" s="3"/>
      <c r="XX187" s="3"/>
      <c r="XY187" s="3"/>
      <c r="XZ187" s="3"/>
      <c r="YA187" s="3"/>
      <c r="YB187" s="3"/>
      <c r="YC187" s="3"/>
      <c r="YD187" s="3"/>
      <c r="YE187" s="3"/>
      <c r="YF187" s="3"/>
      <c r="YG187" s="3"/>
      <c r="YH187" s="3"/>
      <c r="YI187" s="3"/>
      <c r="YJ187" s="3"/>
      <c r="YK187" s="3"/>
      <c r="YL187" s="3"/>
      <c r="YM187" s="3"/>
      <c r="YN187" s="3"/>
      <c r="YO187" s="3"/>
      <c r="YP187" s="3"/>
      <c r="YQ187" s="3"/>
      <c r="YR187" s="3"/>
      <c r="YS187" s="3"/>
      <c r="YT187" s="3"/>
      <c r="YU187" s="3"/>
      <c r="YV187" s="3"/>
      <c r="YW187" s="3"/>
      <c r="YX187" s="3"/>
      <c r="YY187" s="3"/>
      <c r="YZ187" s="3"/>
      <c r="ZA187" s="3"/>
      <c r="ZB187" s="3"/>
      <c r="ZC187" s="3"/>
      <c r="ZD187" s="3"/>
      <c r="ZE187" s="3"/>
      <c r="ZF187" s="3"/>
      <c r="ZG187" s="3"/>
      <c r="ZH187" s="3"/>
      <c r="ZI187" s="3"/>
      <c r="ZJ187" s="3"/>
      <c r="ZK187" s="3"/>
      <c r="ZL187" s="3"/>
      <c r="ZM187" s="3"/>
      <c r="ZN187" s="3"/>
      <c r="ZO187" s="3"/>
      <c r="ZP187" s="3"/>
      <c r="ZQ187" s="3"/>
      <c r="ZR187" s="3"/>
      <c r="ZS187" s="3"/>
      <c r="ZT187" s="3"/>
      <c r="ZU187" s="3"/>
      <c r="ZV187" s="3"/>
      <c r="ZW187" s="3"/>
      <c r="ZX187" s="3"/>
      <c r="ZY187" s="3"/>
      <c r="ZZ187" s="3"/>
    </row>
    <row r="188" spans="1:702" ht="19.5" customHeight="1">
      <c r="A188" s="9"/>
      <c r="B188" s="9"/>
      <c r="C188" s="9"/>
      <c r="D188" s="9" t="str">
        <f t="shared" si="3"/>
        <v/>
      </c>
      <c r="E188" s="266" t="str">
        <f t="array" ref="E188">IF(B188="","",IF(B188&lt;&gt;B187,SUMPRODUCT(($B$5:B188&lt;&gt;$B$4:B187)*($B$5:B188&lt;&gt;"")),""))</f>
        <v/>
      </c>
      <c r="F188" s="9" t="str">
        <f t="shared" si="4"/>
        <v/>
      </c>
      <c r="G188" s="9" t="str">
        <f t="shared" si="5"/>
        <v/>
      </c>
      <c r="H188" s="267" t="str">
        <f t="shared" si="6"/>
        <v/>
      </c>
      <c r="I188" s="9"/>
      <c r="J188" s="9"/>
      <c r="K188" s="9"/>
      <c r="L188" s="9" t="str">
        <f t="shared" si="7"/>
        <v/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</row>
    <row r="189" spans="1:702" ht="19.5" customHeight="1">
      <c r="A189" s="9"/>
      <c r="B189" s="9"/>
      <c r="C189" s="9"/>
      <c r="D189" s="9" t="str">
        <f t="shared" si="3"/>
        <v/>
      </c>
      <c r="E189" s="266" t="str">
        <f t="array" ref="E189">IF(B189="","",IF(B189&lt;&gt;B188,SUMPRODUCT(($B$5:B189&lt;&gt;$B$4:B188)*($B$5:B189&lt;&gt;"")),""))</f>
        <v/>
      </c>
      <c r="F189" s="9" t="str">
        <f t="shared" si="4"/>
        <v/>
      </c>
      <c r="G189" s="9" t="str">
        <f t="shared" si="5"/>
        <v/>
      </c>
      <c r="H189" s="267" t="str">
        <f t="shared" si="6"/>
        <v/>
      </c>
      <c r="I189" s="9"/>
      <c r="J189" s="9"/>
      <c r="K189" s="9"/>
      <c r="L189" s="9" t="str">
        <f t="shared" si="7"/>
        <v/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/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WZ189" s="3"/>
      <c r="XA189" s="3"/>
      <c r="XB189" s="3"/>
      <c r="XC189" s="3"/>
      <c r="XD189" s="3"/>
      <c r="XE189" s="3"/>
      <c r="XF189" s="3"/>
      <c r="XG189" s="3"/>
      <c r="XH189" s="3"/>
      <c r="XI189" s="3"/>
      <c r="XJ189" s="3"/>
      <c r="XK189" s="3"/>
      <c r="XL189" s="3"/>
      <c r="XM189" s="3"/>
      <c r="XN189" s="3"/>
      <c r="XO189" s="3"/>
      <c r="XP189" s="3"/>
      <c r="XQ189" s="3"/>
      <c r="XR189" s="3"/>
      <c r="XS189" s="3"/>
      <c r="XT189" s="3"/>
      <c r="XU189" s="3"/>
      <c r="XV189" s="3"/>
      <c r="XW189" s="3"/>
      <c r="XX189" s="3"/>
      <c r="XY189" s="3"/>
      <c r="XZ189" s="3"/>
      <c r="YA189" s="3"/>
      <c r="YB189" s="3"/>
      <c r="YC189" s="3"/>
      <c r="YD189" s="3"/>
      <c r="YE189" s="3"/>
      <c r="YF189" s="3"/>
      <c r="YG189" s="3"/>
      <c r="YH189" s="3"/>
      <c r="YI189" s="3"/>
      <c r="YJ189" s="3"/>
      <c r="YK189" s="3"/>
      <c r="YL189" s="3"/>
      <c r="YM189" s="3"/>
      <c r="YN189" s="3"/>
      <c r="YO189" s="3"/>
      <c r="YP189" s="3"/>
      <c r="YQ189" s="3"/>
      <c r="YR189" s="3"/>
      <c r="YS189" s="3"/>
      <c r="YT189" s="3"/>
      <c r="YU189" s="3"/>
      <c r="YV189" s="3"/>
      <c r="YW189" s="3"/>
      <c r="YX189" s="3"/>
      <c r="YY189" s="3"/>
      <c r="YZ189" s="3"/>
      <c r="ZA189" s="3"/>
      <c r="ZB189" s="3"/>
      <c r="ZC189" s="3"/>
      <c r="ZD189" s="3"/>
      <c r="ZE189" s="3"/>
      <c r="ZF189" s="3"/>
      <c r="ZG189" s="3"/>
      <c r="ZH189" s="3"/>
      <c r="ZI189" s="3"/>
      <c r="ZJ189" s="3"/>
      <c r="ZK189" s="3"/>
      <c r="ZL189" s="3"/>
      <c r="ZM189" s="3"/>
      <c r="ZN189" s="3"/>
      <c r="ZO189" s="3"/>
      <c r="ZP189" s="3"/>
      <c r="ZQ189" s="3"/>
      <c r="ZR189" s="3"/>
      <c r="ZS189" s="3"/>
      <c r="ZT189" s="3"/>
      <c r="ZU189" s="3"/>
      <c r="ZV189" s="3"/>
      <c r="ZW189" s="3"/>
      <c r="ZX189" s="3"/>
      <c r="ZY189" s="3"/>
      <c r="ZZ189" s="3"/>
    </row>
    <row r="190" spans="1:702" ht="19.5" customHeight="1">
      <c r="A190" s="9"/>
      <c r="B190" s="9"/>
      <c r="C190" s="9"/>
      <c r="D190" s="9" t="str">
        <f t="shared" si="3"/>
        <v/>
      </c>
      <c r="E190" s="266" t="str">
        <f t="array" ref="E190">IF(B190="","",IF(B190&lt;&gt;B189,SUMPRODUCT(($B$5:B190&lt;&gt;$B$4:B189)*($B$5:B190&lt;&gt;"")),""))</f>
        <v/>
      </c>
      <c r="F190" s="9" t="str">
        <f t="shared" si="4"/>
        <v/>
      </c>
      <c r="G190" s="9" t="str">
        <f t="shared" si="5"/>
        <v/>
      </c>
      <c r="H190" s="267" t="str">
        <f t="shared" si="6"/>
        <v/>
      </c>
      <c r="I190" s="9"/>
      <c r="J190" s="9"/>
      <c r="K190" s="9"/>
      <c r="L190" s="9" t="str">
        <f t="shared" si="7"/>
        <v/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</row>
    <row r="191" spans="1:702" ht="19.5" customHeight="1">
      <c r="A191" s="9"/>
      <c r="B191" s="9"/>
      <c r="C191" s="9"/>
      <c r="D191" s="9" t="str">
        <f t="shared" si="3"/>
        <v/>
      </c>
      <c r="E191" s="266" t="str">
        <f t="array" ref="E191">IF(B191="","",IF(B191&lt;&gt;B190,SUMPRODUCT(($B$5:B191&lt;&gt;$B$4:B190)*($B$5:B191&lt;&gt;"")),""))</f>
        <v/>
      </c>
      <c r="F191" s="9" t="str">
        <f t="shared" si="4"/>
        <v/>
      </c>
      <c r="G191" s="9" t="str">
        <f t="shared" si="5"/>
        <v/>
      </c>
      <c r="H191" s="267" t="str">
        <f t="shared" si="6"/>
        <v/>
      </c>
      <c r="I191" s="9"/>
      <c r="J191" s="9"/>
      <c r="K191" s="9"/>
      <c r="L191" s="9" t="str">
        <f t="shared" si="7"/>
        <v/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  <c r="IY191" s="3"/>
      <c r="IZ191" s="3"/>
      <c r="JA191" s="3"/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3"/>
      <c r="JM191" s="3"/>
      <c r="JN191" s="3"/>
      <c r="JO191" s="3"/>
      <c r="JP191" s="3"/>
      <c r="JQ191" s="3"/>
      <c r="JR191" s="3"/>
      <c r="JS191" s="3"/>
      <c r="JT191" s="3"/>
      <c r="JU191" s="3"/>
      <c r="JV191" s="3"/>
      <c r="JW191" s="3"/>
      <c r="JX191" s="3"/>
      <c r="JY191" s="3"/>
      <c r="JZ191" s="3"/>
      <c r="KA191" s="3"/>
      <c r="KB191" s="3"/>
      <c r="KC191" s="3"/>
      <c r="KD191" s="3"/>
      <c r="KE191" s="3"/>
      <c r="KF191" s="3"/>
      <c r="KG191" s="3"/>
      <c r="KH191" s="3"/>
      <c r="KI191" s="3"/>
      <c r="KJ191" s="3"/>
      <c r="KK191" s="3"/>
      <c r="KL191" s="3"/>
      <c r="KM191" s="3"/>
      <c r="KN191" s="3"/>
      <c r="KO191" s="3"/>
      <c r="KP191" s="3"/>
      <c r="KQ191" s="3"/>
      <c r="KR191" s="3"/>
      <c r="KS191" s="3"/>
      <c r="KT191" s="3"/>
      <c r="KU191" s="3"/>
      <c r="KV191" s="3"/>
      <c r="KW191" s="3"/>
      <c r="KX191" s="3"/>
      <c r="KY191" s="3"/>
      <c r="KZ191" s="3"/>
      <c r="LA191" s="3"/>
      <c r="LB191" s="3"/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3"/>
      <c r="LQ191" s="3"/>
      <c r="LR191" s="3"/>
      <c r="LS191" s="3"/>
      <c r="LT191" s="3"/>
      <c r="LU191" s="3"/>
      <c r="LV191" s="3"/>
      <c r="LW191" s="3"/>
      <c r="LX191" s="3"/>
      <c r="LY191" s="3"/>
      <c r="LZ191" s="3"/>
      <c r="MA191" s="3"/>
      <c r="MB191" s="3"/>
      <c r="MC191" s="3"/>
      <c r="MD191" s="3"/>
      <c r="ME191" s="3"/>
      <c r="MF191" s="3"/>
      <c r="MG191" s="3"/>
      <c r="MH191" s="3"/>
      <c r="MI191" s="3"/>
      <c r="MJ191" s="3"/>
      <c r="MK191" s="3"/>
      <c r="ML191" s="3"/>
      <c r="MM191" s="3"/>
      <c r="MN191" s="3"/>
      <c r="MO191" s="3"/>
      <c r="MP191" s="3"/>
      <c r="MQ191" s="3"/>
      <c r="MR191" s="3"/>
      <c r="MS191" s="3"/>
      <c r="MT191" s="3"/>
      <c r="MU191" s="3"/>
      <c r="MV191" s="3"/>
      <c r="MW191" s="3"/>
      <c r="MX191" s="3"/>
      <c r="MY191" s="3"/>
      <c r="MZ191" s="3"/>
      <c r="NA191" s="3"/>
      <c r="NB191" s="3"/>
      <c r="NC191" s="3"/>
      <c r="ND191" s="3"/>
      <c r="NE191" s="3"/>
      <c r="NF191" s="3"/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/>
      <c r="PD191" s="3"/>
      <c r="PE191" s="3"/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O191" s="3"/>
      <c r="RP191" s="3"/>
      <c r="RQ191" s="3"/>
      <c r="RR191" s="3"/>
      <c r="RS191" s="3"/>
      <c r="RT191" s="3"/>
      <c r="RU191" s="3"/>
      <c r="RV191" s="3"/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/>
      <c r="SP191" s="3"/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/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WZ191" s="3"/>
      <c r="XA191" s="3"/>
      <c r="XB191" s="3"/>
      <c r="XC191" s="3"/>
      <c r="XD191" s="3"/>
      <c r="XE191" s="3"/>
      <c r="XF191" s="3"/>
      <c r="XG191" s="3"/>
      <c r="XH191" s="3"/>
      <c r="XI191" s="3"/>
      <c r="XJ191" s="3"/>
      <c r="XK191" s="3"/>
      <c r="XL191" s="3"/>
      <c r="XM191" s="3"/>
      <c r="XN191" s="3"/>
      <c r="XO191" s="3"/>
      <c r="XP191" s="3"/>
      <c r="XQ191" s="3"/>
      <c r="XR191" s="3"/>
      <c r="XS191" s="3"/>
      <c r="XT191" s="3"/>
      <c r="XU191" s="3"/>
      <c r="XV191" s="3"/>
      <c r="XW191" s="3"/>
      <c r="XX191" s="3"/>
      <c r="XY191" s="3"/>
      <c r="XZ191" s="3"/>
      <c r="YA191" s="3"/>
      <c r="YB191" s="3"/>
      <c r="YC191" s="3"/>
      <c r="YD191" s="3"/>
      <c r="YE191" s="3"/>
      <c r="YF191" s="3"/>
      <c r="YG191" s="3"/>
      <c r="YH191" s="3"/>
      <c r="YI191" s="3"/>
      <c r="YJ191" s="3"/>
      <c r="YK191" s="3"/>
      <c r="YL191" s="3"/>
      <c r="YM191" s="3"/>
      <c r="YN191" s="3"/>
      <c r="YO191" s="3"/>
      <c r="YP191" s="3"/>
      <c r="YQ191" s="3"/>
      <c r="YR191" s="3"/>
      <c r="YS191" s="3"/>
      <c r="YT191" s="3"/>
      <c r="YU191" s="3"/>
      <c r="YV191" s="3"/>
      <c r="YW191" s="3"/>
      <c r="YX191" s="3"/>
      <c r="YY191" s="3"/>
      <c r="YZ191" s="3"/>
      <c r="ZA191" s="3"/>
      <c r="ZB191" s="3"/>
      <c r="ZC191" s="3"/>
      <c r="ZD191" s="3"/>
      <c r="ZE191" s="3"/>
      <c r="ZF191" s="3"/>
      <c r="ZG191" s="3"/>
      <c r="ZH191" s="3"/>
      <c r="ZI191" s="3"/>
      <c r="ZJ191" s="3"/>
      <c r="ZK191" s="3"/>
      <c r="ZL191" s="3"/>
      <c r="ZM191" s="3"/>
      <c r="ZN191" s="3"/>
      <c r="ZO191" s="3"/>
      <c r="ZP191" s="3"/>
      <c r="ZQ191" s="3"/>
      <c r="ZR191" s="3"/>
      <c r="ZS191" s="3"/>
      <c r="ZT191" s="3"/>
      <c r="ZU191" s="3"/>
      <c r="ZV191" s="3"/>
      <c r="ZW191" s="3"/>
      <c r="ZX191" s="3"/>
      <c r="ZY191" s="3"/>
      <c r="ZZ191" s="3"/>
    </row>
    <row r="192" spans="1:702" ht="19.5" customHeight="1">
      <c r="A192" s="9"/>
      <c r="B192" s="9"/>
      <c r="C192" s="9"/>
      <c r="D192" s="9" t="str">
        <f t="shared" si="3"/>
        <v/>
      </c>
      <c r="E192" s="266" t="str">
        <f t="array" ref="E192">IF(B192="","",IF(B192&lt;&gt;B191,SUMPRODUCT(($B$5:B192&lt;&gt;$B$4:B191)*($B$5:B192&lt;&gt;"")),""))</f>
        <v/>
      </c>
      <c r="F192" s="9" t="str">
        <f t="shared" si="4"/>
        <v/>
      </c>
      <c r="G192" s="9" t="str">
        <f t="shared" si="5"/>
        <v/>
      </c>
      <c r="H192" s="267" t="str">
        <f t="shared" si="6"/>
        <v/>
      </c>
      <c r="I192" s="9"/>
      <c r="J192" s="9"/>
      <c r="K192" s="9"/>
      <c r="L192" s="9" t="str">
        <f t="shared" si="7"/>
        <v/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</row>
    <row r="193" spans="1:702" ht="19.5" customHeight="1">
      <c r="A193" s="9"/>
      <c r="B193" s="9"/>
      <c r="C193" s="9"/>
      <c r="D193" s="9" t="str">
        <f t="shared" si="3"/>
        <v/>
      </c>
      <c r="E193" s="266" t="str">
        <f t="array" ref="E193">IF(B193="","",IF(B193&lt;&gt;B192,SUMPRODUCT(($B$5:B193&lt;&gt;$B$4:B192)*($B$5:B193&lt;&gt;"")),""))</f>
        <v/>
      </c>
      <c r="F193" s="9" t="str">
        <f t="shared" si="4"/>
        <v/>
      </c>
      <c r="G193" s="9" t="str">
        <f t="shared" si="5"/>
        <v/>
      </c>
      <c r="H193" s="267" t="str">
        <f t="shared" si="6"/>
        <v/>
      </c>
      <c r="I193" s="9"/>
      <c r="J193" s="9"/>
      <c r="K193" s="9"/>
      <c r="L193" s="9" t="str">
        <f t="shared" si="7"/>
        <v/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WZ193" s="3"/>
      <c r="XA193" s="3"/>
      <c r="XB193" s="3"/>
      <c r="XC193" s="3"/>
      <c r="XD193" s="3"/>
      <c r="XE193" s="3"/>
      <c r="XF193" s="3"/>
      <c r="XG193" s="3"/>
      <c r="XH193" s="3"/>
      <c r="XI193" s="3"/>
      <c r="XJ193" s="3"/>
      <c r="XK193" s="3"/>
      <c r="XL193" s="3"/>
      <c r="XM193" s="3"/>
      <c r="XN193" s="3"/>
      <c r="XO193" s="3"/>
      <c r="XP193" s="3"/>
      <c r="XQ193" s="3"/>
      <c r="XR193" s="3"/>
      <c r="XS193" s="3"/>
      <c r="XT193" s="3"/>
      <c r="XU193" s="3"/>
      <c r="XV193" s="3"/>
      <c r="XW193" s="3"/>
      <c r="XX193" s="3"/>
      <c r="XY193" s="3"/>
      <c r="XZ193" s="3"/>
      <c r="YA193" s="3"/>
      <c r="YB193" s="3"/>
      <c r="YC193" s="3"/>
      <c r="YD193" s="3"/>
      <c r="YE193" s="3"/>
      <c r="YF193" s="3"/>
      <c r="YG193" s="3"/>
      <c r="YH193" s="3"/>
      <c r="YI193" s="3"/>
      <c r="YJ193" s="3"/>
      <c r="YK193" s="3"/>
      <c r="YL193" s="3"/>
      <c r="YM193" s="3"/>
      <c r="YN193" s="3"/>
      <c r="YO193" s="3"/>
      <c r="YP193" s="3"/>
      <c r="YQ193" s="3"/>
      <c r="YR193" s="3"/>
      <c r="YS193" s="3"/>
      <c r="YT193" s="3"/>
      <c r="YU193" s="3"/>
      <c r="YV193" s="3"/>
      <c r="YW193" s="3"/>
      <c r="YX193" s="3"/>
      <c r="YY193" s="3"/>
      <c r="YZ193" s="3"/>
      <c r="ZA193" s="3"/>
      <c r="ZB193" s="3"/>
      <c r="ZC193" s="3"/>
      <c r="ZD193" s="3"/>
      <c r="ZE193" s="3"/>
      <c r="ZF193" s="3"/>
      <c r="ZG193" s="3"/>
      <c r="ZH193" s="3"/>
      <c r="ZI193" s="3"/>
      <c r="ZJ193" s="3"/>
      <c r="ZK193" s="3"/>
      <c r="ZL193" s="3"/>
      <c r="ZM193" s="3"/>
      <c r="ZN193" s="3"/>
      <c r="ZO193" s="3"/>
      <c r="ZP193" s="3"/>
      <c r="ZQ193" s="3"/>
      <c r="ZR193" s="3"/>
      <c r="ZS193" s="3"/>
      <c r="ZT193" s="3"/>
      <c r="ZU193" s="3"/>
      <c r="ZV193" s="3"/>
      <c r="ZW193" s="3"/>
      <c r="ZX193" s="3"/>
      <c r="ZY193" s="3"/>
      <c r="ZZ193" s="3"/>
    </row>
    <row r="194" spans="1:702" ht="19.5" customHeight="1">
      <c r="A194" s="9"/>
      <c r="B194" s="9"/>
      <c r="C194" s="9"/>
      <c r="D194" s="9" t="str">
        <f t="shared" si="3"/>
        <v/>
      </c>
      <c r="E194" s="266" t="str">
        <f t="array" ref="E194">IF(B194="","",IF(B194&lt;&gt;B193,SUMPRODUCT(($B$5:B194&lt;&gt;$B$4:B193)*($B$5:B194&lt;&gt;"")),""))</f>
        <v/>
      </c>
      <c r="F194" s="9" t="str">
        <f t="shared" si="4"/>
        <v/>
      </c>
      <c r="G194" s="9" t="str">
        <f t="shared" si="5"/>
        <v/>
      </c>
      <c r="H194" s="267" t="str">
        <f t="shared" si="6"/>
        <v/>
      </c>
      <c r="I194" s="9"/>
      <c r="J194" s="9"/>
      <c r="K194" s="9"/>
      <c r="L194" s="9" t="str">
        <f t="shared" si="7"/>
        <v/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  <c r="XX194" s="3"/>
      <c r="XY194" s="3"/>
      <c r="XZ194" s="3"/>
      <c r="YA194" s="3"/>
      <c r="YB194" s="3"/>
      <c r="YC194" s="3"/>
      <c r="YD194" s="3"/>
      <c r="YE194" s="3"/>
      <c r="YF194" s="3"/>
      <c r="YG194" s="3"/>
      <c r="YH194" s="3"/>
      <c r="YI194" s="3"/>
      <c r="YJ194" s="3"/>
      <c r="YK194" s="3"/>
      <c r="YL194" s="3"/>
      <c r="YM194" s="3"/>
      <c r="YN194" s="3"/>
      <c r="YO194" s="3"/>
      <c r="YP194" s="3"/>
      <c r="YQ194" s="3"/>
      <c r="YR194" s="3"/>
      <c r="YS194" s="3"/>
      <c r="YT194" s="3"/>
      <c r="YU194" s="3"/>
      <c r="YV194" s="3"/>
      <c r="YW194" s="3"/>
      <c r="YX194" s="3"/>
      <c r="YY194" s="3"/>
      <c r="YZ194" s="3"/>
      <c r="ZA194" s="3"/>
      <c r="ZB194" s="3"/>
      <c r="ZC194" s="3"/>
      <c r="ZD194" s="3"/>
      <c r="ZE194" s="3"/>
      <c r="ZF194" s="3"/>
      <c r="ZG194" s="3"/>
      <c r="ZH194" s="3"/>
      <c r="ZI194" s="3"/>
      <c r="ZJ194" s="3"/>
      <c r="ZK194" s="3"/>
      <c r="ZL194" s="3"/>
      <c r="ZM194" s="3"/>
      <c r="ZN194" s="3"/>
      <c r="ZO194" s="3"/>
      <c r="ZP194" s="3"/>
      <c r="ZQ194" s="3"/>
      <c r="ZR194" s="3"/>
      <c r="ZS194" s="3"/>
      <c r="ZT194" s="3"/>
      <c r="ZU194" s="3"/>
      <c r="ZV194" s="3"/>
      <c r="ZW194" s="3"/>
      <c r="ZX194" s="3"/>
      <c r="ZY194" s="3"/>
      <c r="ZZ194" s="3"/>
    </row>
    <row r="195" spans="1:702" ht="19.5" customHeight="1">
      <c r="A195" s="9"/>
      <c r="B195" s="9"/>
      <c r="C195" s="9"/>
      <c r="D195" s="9" t="str">
        <f t="shared" si="3"/>
        <v/>
      </c>
      <c r="E195" s="266" t="str">
        <f t="array" ref="E195">IF(B195="","",IF(B195&lt;&gt;B194,SUMPRODUCT(($B$5:B195&lt;&gt;$B$4:B194)*($B$5:B195&lt;&gt;"")),""))</f>
        <v/>
      </c>
      <c r="F195" s="9" t="str">
        <f t="shared" si="4"/>
        <v/>
      </c>
      <c r="G195" s="9" t="str">
        <f t="shared" si="5"/>
        <v/>
      </c>
      <c r="H195" s="267" t="str">
        <f t="shared" si="6"/>
        <v/>
      </c>
      <c r="I195" s="9"/>
      <c r="J195" s="9"/>
      <c r="K195" s="9"/>
      <c r="L195" s="9" t="str">
        <f t="shared" si="7"/>
        <v/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/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WP195" s="3"/>
      <c r="WQ195" s="3"/>
      <c r="WR195" s="3"/>
      <c r="WS195" s="3"/>
      <c r="WT195" s="3"/>
      <c r="WU195" s="3"/>
      <c r="WV195" s="3"/>
      <c r="WW195" s="3"/>
      <c r="WX195" s="3"/>
      <c r="WY195" s="3"/>
      <c r="WZ195" s="3"/>
      <c r="XA195" s="3"/>
      <c r="XB195" s="3"/>
      <c r="XC195" s="3"/>
      <c r="XD195" s="3"/>
      <c r="XE195" s="3"/>
      <c r="XF195" s="3"/>
      <c r="XG195" s="3"/>
      <c r="XH195" s="3"/>
      <c r="XI195" s="3"/>
      <c r="XJ195" s="3"/>
      <c r="XK195" s="3"/>
      <c r="XL195" s="3"/>
      <c r="XM195" s="3"/>
      <c r="XN195" s="3"/>
      <c r="XO195" s="3"/>
      <c r="XP195" s="3"/>
      <c r="XQ195" s="3"/>
      <c r="XR195" s="3"/>
      <c r="XS195" s="3"/>
      <c r="XT195" s="3"/>
      <c r="XU195" s="3"/>
      <c r="XV195" s="3"/>
      <c r="XW195" s="3"/>
      <c r="XX195" s="3"/>
      <c r="XY195" s="3"/>
      <c r="XZ195" s="3"/>
      <c r="YA195" s="3"/>
      <c r="YB195" s="3"/>
      <c r="YC195" s="3"/>
      <c r="YD195" s="3"/>
      <c r="YE195" s="3"/>
      <c r="YF195" s="3"/>
      <c r="YG195" s="3"/>
      <c r="YH195" s="3"/>
      <c r="YI195" s="3"/>
      <c r="YJ195" s="3"/>
      <c r="YK195" s="3"/>
      <c r="YL195" s="3"/>
      <c r="YM195" s="3"/>
      <c r="YN195" s="3"/>
      <c r="YO195" s="3"/>
      <c r="YP195" s="3"/>
      <c r="YQ195" s="3"/>
      <c r="YR195" s="3"/>
      <c r="YS195" s="3"/>
      <c r="YT195" s="3"/>
      <c r="YU195" s="3"/>
      <c r="YV195" s="3"/>
      <c r="YW195" s="3"/>
      <c r="YX195" s="3"/>
      <c r="YY195" s="3"/>
      <c r="YZ195" s="3"/>
      <c r="ZA195" s="3"/>
      <c r="ZB195" s="3"/>
      <c r="ZC195" s="3"/>
      <c r="ZD195" s="3"/>
      <c r="ZE195" s="3"/>
      <c r="ZF195" s="3"/>
      <c r="ZG195" s="3"/>
      <c r="ZH195" s="3"/>
      <c r="ZI195" s="3"/>
      <c r="ZJ195" s="3"/>
      <c r="ZK195" s="3"/>
      <c r="ZL195" s="3"/>
      <c r="ZM195" s="3"/>
      <c r="ZN195" s="3"/>
      <c r="ZO195" s="3"/>
      <c r="ZP195" s="3"/>
      <c r="ZQ195" s="3"/>
      <c r="ZR195" s="3"/>
      <c r="ZS195" s="3"/>
      <c r="ZT195" s="3"/>
      <c r="ZU195" s="3"/>
      <c r="ZV195" s="3"/>
      <c r="ZW195" s="3"/>
      <c r="ZX195" s="3"/>
      <c r="ZY195" s="3"/>
      <c r="ZZ195" s="3"/>
    </row>
    <row r="196" spans="1:702" ht="19.5" customHeight="1">
      <c r="A196" s="9"/>
      <c r="B196" s="9"/>
      <c r="C196" s="9"/>
      <c r="D196" s="9" t="str">
        <f t="shared" si="3"/>
        <v/>
      </c>
      <c r="E196" s="266" t="str">
        <f t="array" ref="E196">IF(B196="","",IF(B196&lt;&gt;B195,SUMPRODUCT(($B$5:B196&lt;&gt;$B$4:B195)*($B$5:B196&lt;&gt;"")),""))</f>
        <v/>
      </c>
      <c r="F196" s="9" t="str">
        <f t="shared" si="4"/>
        <v/>
      </c>
      <c r="G196" s="9" t="str">
        <f t="shared" si="5"/>
        <v/>
      </c>
      <c r="H196" s="267" t="str">
        <f t="shared" si="6"/>
        <v/>
      </c>
      <c r="I196" s="9"/>
      <c r="J196" s="9"/>
      <c r="K196" s="9"/>
      <c r="L196" s="9" t="str">
        <f t="shared" si="7"/>
        <v/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  <c r="XX196" s="3"/>
      <c r="XY196" s="3"/>
      <c r="XZ196" s="3"/>
      <c r="YA196" s="3"/>
      <c r="YB196" s="3"/>
      <c r="YC196" s="3"/>
      <c r="YD196" s="3"/>
      <c r="YE196" s="3"/>
      <c r="YF196" s="3"/>
      <c r="YG196" s="3"/>
      <c r="YH196" s="3"/>
      <c r="YI196" s="3"/>
      <c r="YJ196" s="3"/>
      <c r="YK196" s="3"/>
      <c r="YL196" s="3"/>
      <c r="YM196" s="3"/>
      <c r="YN196" s="3"/>
      <c r="YO196" s="3"/>
      <c r="YP196" s="3"/>
      <c r="YQ196" s="3"/>
      <c r="YR196" s="3"/>
      <c r="YS196" s="3"/>
      <c r="YT196" s="3"/>
      <c r="YU196" s="3"/>
      <c r="YV196" s="3"/>
      <c r="YW196" s="3"/>
      <c r="YX196" s="3"/>
      <c r="YY196" s="3"/>
      <c r="YZ196" s="3"/>
      <c r="ZA196" s="3"/>
      <c r="ZB196" s="3"/>
      <c r="ZC196" s="3"/>
      <c r="ZD196" s="3"/>
      <c r="ZE196" s="3"/>
      <c r="ZF196" s="3"/>
      <c r="ZG196" s="3"/>
      <c r="ZH196" s="3"/>
      <c r="ZI196" s="3"/>
      <c r="ZJ196" s="3"/>
      <c r="ZK196" s="3"/>
      <c r="ZL196" s="3"/>
      <c r="ZM196" s="3"/>
      <c r="ZN196" s="3"/>
      <c r="ZO196" s="3"/>
      <c r="ZP196" s="3"/>
      <c r="ZQ196" s="3"/>
      <c r="ZR196" s="3"/>
      <c r="ZS196" s="3"/>
      <c r="ZT196" s="3"/>
      <c r="ZU196" s="3"/>
      <c r="ZV196" s="3"/>
      <c r="ZW196" s="3"/>
      <c r="ZX196" s="3"/>
      <c r="ZY196" s="3"/>
      <c r="ZZ196" s="3"/>
    </row>
    <row r="197" spans="1:702" ht="19.5" customHeight="1">
      <c r="A197" s="9"/>
      <c r="B197" s="9"/>
      <c r="C197" s="9"/>
      <c r="D197" s="9" t="str">
        <f t="shared" si="3"/>
        <v/>
      </c>
      <c r="E197" s="266" t="str">
        <f t="array" ref="E197">IF(B197="","",IF(B197&lt;&gt;B196,SUMPRODUCT(($B$5:B197&lt;&gt;$B$4:B196)*($B$5:B197&lt;&gt;"")),""))</f>
        <v/>
      </c>
      <c r="F197" s="9" t="str">
        <f t="shared" si="4"/>
        <v/>
      </c>
      <c r="G197" s="9" t="str">
        <f t="shared" si="5"/>
        <v/>
      </c>
      <c r="H197" s="267" t="str">
        <f t="shared" si="6"/>
        <v/>
      </c>
      <c r="I197" s="9"/>
      <c r="J197" s="9"/>
      <c r="K197" s="9"/>
      <c r="L197" s="9" t="str">
        <f t="shared" si="7"/>
        <v/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  <c r="TF197" s="3"/>
      <c r="TG197" s="3"/>
      <c r="TH197" s="3"/>
      <c r="TI197" s="3"/>
      <c r="TJ197" s="3"/>
      <c r="TK197" s="3"/>
      <c r="TL197" s="3"/>
      <c r="TM197" s="3"/>
      <c r="TN197" s="3"/>
      <c r="TO197" s="3"/>
      <c r="TP197" s="3"/>
      <c r="TQ197" s="3"/>
      <c r="TR197" s="3"/>
      <c r="TS197" s="3"/>
      <c r="TT197" s="3"/>
      <c r="TU197" s="3"/>
      <c r="TV197" s="3"/>
      <c r="TW197" s="3"/>
      <c r="TX197" s="3"/>
      <c r="TY197" s="3"/>
      <c r="TZ197" s="3"/>
      <c r="UA197" s="3"/>
      <c r="UB197" s="3"/>
      <c r="UC197" s="3"/>
      <c r="UD197" s="3"/>
      <c r="UE197" s="3"/>
      <c r="UF197" s="3"/>
      <c r="UG197" s="3"/>
      <c r="UH197" s="3"/>
      <c r="UI197" s="3"/>
      <c r="UJ197" s="3"/>
      <c r="UK197" s="3"/>
      <c r="UL197" s="3"/>
      <c r="UM197" s="3"/>
      <c r="UN197" s="3"/>
      <c r="UO197" s="3"/>
      <c r="UP197" s="3"/>
      <c r="UQ197" s="3"/>
      <c r="UR197" s="3"/>
      <c r="US197" s="3"/>
      <c r="UT197" s="3"/>
      <c r="UU197" s="3"/>
      <c r="UV197" s="3"/>
      <c r="UW197" s="3"/>
      <c r="UX197" s="3"/>
      <c r="UY197" s="3"/>
      <c r="UZ197" s="3"/>
      <c r="VA197" s="3"/>
      <c r="VB197" s="3"/>
      <c r="VC197" s="3"/>
      <c r="VD197" s="3"/>
      <c r="VE197" s="3"/>
      <c r="VF197" s="3"/>
      <c r="VG197" s="3"/>
      <c r="VH197" s="3"/>
      <c r="VI197" s="3"/>
      <c r="VJ197" s="3"/>
      <c r="VK197" s="3"/>
      <c r="VL197" s="3"/>
      <c r="VM197" s="3"/>
      <c r="VN197" s="3"/>
      <c r="VO197" s="3"/>
      <c r="VP197" s="3"/>
      <c r="VQ197" s="3"/>
      <c r="VR197" s="3"/>
      <c r="VS197" s="3"/>
      <c r="VT197" s="3"/>
      <c r="VU197" s="3"/>
      <c r="VV197" s="3"/>
      <c r="VW197" s="3"/>
      <c r="VX197" s="3"/>
      <c r="VY197" s="3"/>
      <c r="VZ197" s="3"/>
      <c r="WA197" s="3"/>
      <c r="WB197" s="3"/>
      <c r="WC197" s="3"/>
      <c r="WD197" s="3"/>
      <c r="WE197" s="3"/>
      <c r="WF197" s="3"/>
      <c r="WG197" s="3"/>
      <c r="WH197" s="3"/>
      <c r="WI197" s="3"/>
      <c r="WJ197" s="3"/>
      <c r="WK197" s="3"/>
      <c r="WL197" s="3"/>
      <c r="WM197" s="3"/>
      <c r="WN197" s="3"/>
      <c r="WO197" s="3"/>
      <c r="WP197" s="3"/>
      <c r="WQ197" s="3"/>
      <c r="WR197" s="3"/>
      <c r="WS197" s="3"/>
      <c r="WT197" s="3"/>
      <c r="WU197" s="3"/>
      <c r="WV197" s="3"/>
      <c r="WW197" s="3"/>
      <c r="WX197" s="3"/>
      <c r="WY197" s="3"/>
      <c r="WZ197" s="3"/>
      <c r="XA197" s="3"/>
      <c r="XB197" s="3"/>
      <c r="XC197" s="3"/>
      <c r="XD197" s="3"/>
      <c r="XE197" s="3"/>
      <c r="XF197" s="3"/>
      <c r="XG197" s="3"/>
      <c r="XH197" s="3"/>
      <c r="XI197" s="3"/>
      <c r="XJ197" s="3"/>
      <c r="XK197" s="3"/>
      <c r="XL197" s="3"/>
      <c r="XM197" s="3"/>
      <c r="XN197" s="3"/>
      <c r="XO197" s="3"/>
      <c r="XP197" s="3"/>
      <c r="XQ197" s="3"/>
      <c r="XR197" s="3"/>
      <c r="XS197" s="3"/>
      <c r="XT197" s="3"/>
      <c r="XU197" s="3"/>
      <c r="XV197" s="3"/>
      <c r="XW197" s="3"/>
      <c r="XX197" s="3"/>
      <c r="XY197" s="3"/>
      <c r="XZ197" s="3"/>
      <c r="YA197" s="3"/>
      <c r="YB197" s="3"/>
      <c r="YC197" s="3"/>
      <c r="YD197" s="3"/>
      <c r="YE197" s="3"/>
      <c r="YF197" s="3"/>
      <c r="YG197" s="3"/>
      <c r="YH197" s="3"/>
      <c r="YI197" s="3"/>
      <c r="YJ197" s="3"/>
      <c r="YK197" s="3"/>
      <c r="YL197" s="3"/>
      <c r="YM197" s="3"/>
      <c r="YN197" s="3"/>
      <c r="YO197" s="3"/>
      <c r="YP197" s="3"/>
      <c r="YQ197" s="3"/>
      <c r="YR197" s="3"/>
      <c r="YS197" s="3"/>
      <c r="YT197" s="3"/>
      <c r="YU197" s="3"/>
      <c r="YV197" s="3"/>
      <c r="YW197" s="3"/>
      <c r="YX197" s="3"/>
      <c r="YY197" s="3"/>
      <c r="YZ197" s="3"/>
      <c r="ZA197" s="3"/>
      <c r="ZB197" s="3"/>
      <c r="ZC197" s="3"/>
      <c r="ZD197" s="3"/>
      <c r="ZE197" s="3"/>
      <c r="ZF197" s="3"/>
      <c r="ZG197" s="3"/>
      <c r="ZH197" s="3"/>
      <c r="ZI197" s="3"/>
      <c r="ZJ197" s="3"/>
      <c r="ZK197" s="3"/>
      <c r="ZL197" s="3"/>
      <c r="ZM197" s="3"/>
      <c r="ZN197" s="3"/>
      <c r="ZO197" s="3"/>
      <c r="ZP197" s="3"/>
      <c r="ZQ197" s="3"/>
      <c r="ZR197" s="3"/>
      <c r="ZS197" s="3"/>
      <c r="ZT197" s="3"/>
      <c r="ZU197" s="3"/>
      <c r="ZV197" s="3"/>
      <c r="ZW197" s="3"/>
      <c r="ZX197" s="3"/>
      <c r="ZY197" s="3"/>
      <c r="ZZ197" s="3"/>
    </row>
    <row r="198" spans="1:702" ht="19.5" customHeight="1">
      <c r="A198" s="9"/>
      <c r="B198" s="9"/>
      <c r="C198" s="9"/>
      <c r="D198" s="9" t="str">
        <f t="shared" si="3"/>
        <v/>
      </c>
      <c r="E198" s="266" t="str">
        <f t="array" ref="E198">IF(B198="","",IF(B198&lt;&gt;B197,SUMPRODUCT(($B$5:B198&lt;&gt;$B$4:B197)*($B$5:B198&lt;&gt;"")),""))</f>
        <v/>
      </c>
      <c r="F198" s="9" t="str">
        <f t="shared" si="4"/>
        <v/>
      </c>
      <c r="G198" s="9" t="str">
        <f t="shared" si="5"/>
        <v/>
      </c>
      <c r="H198" s="267" t="str">
        <f t="shared" si="6"/>
        <v/>
      </c>
      <c r="I198" s="9"/>
      <c r="J198" s="9"/>
      <c r="K198" s="9"/>
      <c r="L198" s="9" t="str">
        <f t="shared" si="7"/>
        <v/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</row>
    <row r="199" spans="1:702" ht="19.5" customHeight="1">
      <c r="A199" s="9"/>
      <c r="B199" s="9"/>
      <c r="C199" s="9"/>
      <c r="D199" s="9" t="str">
        <f t="shared" si="3"/>
        <v/>
      </c>
      <c r="E199" s="266" t="str">
        <f t="array" ref="E199">IF(B199="","",IF(B199&lt;&gt;B198,SUMPRODUCT(($B$5:B199&lt;&gt;$B$4:B198)*($B$5:B199&lt;&gt;"")),""))</f>
        <v/>
      </c>
      <c r="F199" s="9" t="str">
        <f t="shared" si="4"/>
        <v/>
      </c>
      <c r="G199" s="9" t="str">
        <f t="shared" si="5"/>
        <v/>
      </c>
      <c r="H199" s="267" t="str">
        <f t="shared" si="6"/>
        <v/>
      </c>
      <c r="I199" s="9"/>
      <c r="J199" s="9"/>
      <c r="K199" s="9"/>
      <c r="L199" s="9" t="str">
        <f t="shared" si="7"/>
        <v/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  <c r="IY199" s="3"/>
      <c r="IZ199" s="3"/>
      <c r="JA199" s="3"/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3"/>
      <c r="JM199" s="3"/>
      <c r="JN199" s="3"/>
      <c r="JO199" s="3"/>
      <c r="JP199" s="3"/>
      <c r="JQ199" s="3"/>
      <c r="JR199" s="3"/>
      <c r="JS199" s="3"/>
      <c r="JT199" s="3"/>
      <c r="JU199" s="3"/>
      <c r="JV199" s="3"/>
      <c r="JW199" s="3"/>
      <c r="JX199" s="3"/>
      <c r="JY199" s="3"/>
      <c r="JZ199" s="3"/>
      <c r="KA199" s="3"/>
      <c r="KB199" s="3"/>
      <c r="KC199" s="3"/>
      <c r="KD199" s="3"/>
      <c r="KE199" s="3"/>
      <c r="KF199" s="3"/>
      <c r="KG199" s="3"/>
      <c r="KH199" s="3"/>
      <c r="KI199" s="3"/>
      <c r="KJ199" s="3"/>
      <c r="KK199" s="3"/>
      <c r="KL199" s="3"/>
      <c r="KM199" s="3"/>
      <c r="KN199" s="3"/>
      <c r="KO199" s="3"/>
      <c r="KP199" s="3"/>
      <c r="KQ199" s="3"/>
      <c r="KR199" s="3"/>
      <c r="KS199" s="3"/>
      <c r="KT199" s="3"/>
      <c r="KU199" s="3"/>
      <c r="KV199" s="3"/>
      <c r="KW199" s="3"/>
      <c r="KX199" s="3"/>
      <c r="KY199" s="3"/>
      <c r="KZ199" s="3"/>
      <c r="LA199" s="3"/>
      <c r="LB199" s="3"/>
      <c r="LC199" s="3"/>
      <c r="LD199" s="3"/>
      <c r="LE199" s="3"/>
      <c r="LF199" s="3"/>
      <c r="LG199" s="3"/>
      <c r="LH199" s="3"/>
      <c r="LI199" s="3"/>
      <c r="LJ199" s="3"/>
      <c r="LK199" s="3"/>
      <c r="LL199" s="3"/>
      <c r="LM199" s="3"/>
      <c r="LN199" s="3"/>
      <c r="LO199" s="3"/>
      <c r="LP199" s="3"/>
      <c r="LQ199" s="3"/>
      <c r="LR199" s="3"/>
      <c r="LS199" s="3"/>
      <c r="LT199" s="3"/>
      <c r="LU199" s="3"/>
      <c r="LV199" s="3"/>
      <c r="LW199" s="3"/>
      <c r="LX199" s="3"/>
      <c r="LY199" s="3"/>
      <c r="LZ199" s="3"/>
      <c r="MA199" s="3"/>
      <c r="MB199" s="3"/>
      <c r="MC199" s="3"/>
      <c r="MD199" s="3"/>
      <c r="ME199" s="3"/>
      <c r="MF199" s="3"/>
      <c r="MG199" s="3"/>
      <c r="MH199" s="3"/>
      <c r="MI199" s="3"/>
      <c r="MJ199" s="3"/>
      <c r="MK199" s="3"/>
      <c r="ML199" s="3"/>
      <c r="MM199" s="3"/>
      <c r="MN199" s="3"/>
      <c r="MO199" s="3"/>
      <c r="MP199" s="3"/>
      <c r="MQ199" s="3"/>
      <c r="MR199" s="3"/>
      <c r="MS199" s="3"/>
      <c r="MT199" s="3"/>
      <c r="MU199" s="3"/>
      <c r="MV199" s="3"/>
      <c r="MW199" s="3"/>
      <c r="MX199" s="3"/>
      <c r="MY199" s="3"/>
      <c r="MZ199" s="3"/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3"/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3"/>
      <c r="PB199" s="3"/>
      <c r="PC199" s="3"/>
      <c r="PD199" s="3"/>
      <c r="PE199" s="3"/>
      <c r="PF199" s="3"/>
      <c r="PG199" s="3"/>
      <c r="PH199" s="3"/>
      <c r="PI199" s="3"/>
      <c r="PJ199" s="3"/>
      <c r="PK199" s="3"/>
      <c r="PL199" s="3"/>
      <c r="PM199" s="3"/>
      <c r="PN199" s="3"/>
      <c r="PO199" s="3"/>
      <c r="PP199" s="3"/>
      <c r="PQ199" s="3"/>
      <c r="PR199" s="3"/>
      <c r="PS199" s="3"/>
      <c r="PT199" s="3"/>
      <c r="PU199" s="3"/>
      <c r="PV199" s="3"/>
      <c r="PW199" s="3"/>
      <c r="PX199" s="3"/>
      <c r="PY199" s="3"/>
      <c r="PZ199" s="3"/>
      <c r="QA199" s="3"/>
      <c r="QB199" s="3"/>
      <c r="QC199" s="3"/>
      <c r="QD199" s="3"/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3"/>
      <c r="QQ199" s="3"/>
      <c r="QR199" s="3"/>
      <c r="QS199" s="3"/>
      <c r="QT199" s="3"/>
      <c r="QU199" s="3"/>
      <c r="QV199" s="3"/>
      <c r="QW199" s="3"/>
      <c r="QX199" s="3"/>
      <c r="QY199" s="3"/>
      <c r="QZ199" s="3"/>
      <c r="RA199" s="3"/>
      <c r="RB199" s="3"/>
      <c r="RC199" s="3"/>
      <c r="RD199" s="3"/>
      <c r="RE199" s="3"/>
      <c r="RF199" s="3"/>
      <c r="RG199" s="3"/>
      <c r="RH199" s="3"/>
      <c r="RI199" s="3"/>
      <c r="RJ199" s="3"/>
      <c r="RK199" s="3"/>
      <c r="RL199" s="3"/>
      <c r="RM199" s="3"/>
      <c r="RN199" s="3"/>
      <c r="RO199" s="3"/>
      <c r="RP199" s="3"/>
      <c r="RQ199" s="3"/>
      <c r="RR199" s="3"/>
      <c r="RS199" s="3"/>
      <c r="RT199" s="3"/>
      <c r="RU199" s="3"/>
      <c r="RV199" s="3"/>
      <c r="RW199" s="3"/>
      <c r="RX199" s="3"/>
      <c r="RY199" s="3"/>
      <c r="RZ199" s="3"/>
      <c r="SA199" s="3"/>
      <c r="SB199" s="3"/>
      <c r="SC199" s="3"/>
      <c r="SD199" s="3"/>
      <c r="SE199" s="3"/>
      <c r="SF199" s="3"/>
      <c r="SG199" s="3"/>
      <c r="SH199" s="3"/>
      <c r="SI199" s="3"/>
      <c r="SJ199" s="3"/>
      <c r="SK199" s="3"/>
      <c r="SL199" s="3"/>
      <c r="SM199" s="3"/>
      <c r="SN199" s="3"/>
      <c r="SO199" s="3"/>
      <c r="SP199" s="3"/>
      <c r="SQ199" s="3"/>
      <c r="SR199" s="3"/>
      <c r="SS199" s="3"/>
      <c r="ST199" s="3"/>
      <c r="SU199" s="3"/>
      <c r="SV199" s="3"/>
      <c r="SW199" s="3"/>
      <c r="SX199" s="3"/>
      <c r="SY199" s="3"/>
      <c r="SZ199" s="3"/>
      <c r="TA199" s="3"/>
      <c r="TB199" s="3"/>
      <c r="TC199" s="3"/>
      <c r="TD199" s="3"/>
      <c r="TE199" s="3"/>
      <c r="TF199" s="3"/>
      <c r="TG199" s="3"/>
      <c r="TH199" s="3"/>
      <c r="TI199" s="3"/>
      <c r="TJ199" s="3"/>
      <c r="TK199" s="3"/>
      <c r="TL199" s="3"/>
      <c r="TM199" s="3"/>
      <c r="TN199" s="3"/>
      <c r="TO199" s="3"/>
      <c r="TP199" s="3"/>
      <c r="TQ199" s="3"/>
      <c r="TR199" s="3"/>
      <c r="TS199" s="3"/>
      <c r="TT199" s="3"/>
      <c r="TU199" s="3"/>
      <c r="TV199" s="3"/>
      <c r="TW199" s="3"/>
      <c r="TX199" s="3"/>
      <c r="TY199" s="3"/>
      <c r="TZ199" s="3"/>
      <c r="UA199" s="3"/>
      <c r="UB199" s="3"/>
      <c r="UC199" s="3"/>
      <c r="UD199" s="3"/>
      <c r="UE199" s="3"/>
      <c r="UF199" s="3"/>
      <c r="UG199" s="3"/>
      <c r="UH199" s="3"/>
      <c r="UI199" s="3"/>
      <c r="UJ199" s="3"/>
      <c r="UK199" s="3"/>
      <c r="UL199" s="3"/>
      <c r="UM199" s="3"/>
      <c r="UN199" s="3"/>
      <c r="UO199" s="3"/>
      <c r="UP199" s="3"/>
      <c r="UQ199" s="3"/>
      <c r="UR199" s="3"/>
      <c r="US199" s="3"/>
      <c r="UT199" s="3"/>
      <c r="UU199" s="3"/>
      <c r="UV199" s="3"/>
      <c r="UW199" s="3"/>
      <c r="UX199" s="3"/>
      <c r="UY199" s="3"/>
      <c r="UZ199" s="3"/>
      <c r="VA199" s="3"/>
      <c r="VB199" s="3"/>
      <c r="VC199" s="3"/>
      <c r="VD199" s="3"/>
      <c r="VE199" s="3"/>
      <c r="VF199" s="3"/>
      <c r="VG199" s="3"/>
      <c r="VH199" s="3"/>
      <c r="VI199" s="3"/>
      <c r="VJ199" s="3"/>
      <c r="VK199" s="3"/>
      <c r="VL199" s="3"/>
      <c r="VM199" s="3"/>
      <c r="VN199" s="3"/>
      <c r="VO199" s="3"/>
      <c r="VP199" s="3"/>
      <c r="VQ199" s="3"/>
      <c r="VR199" s="3"/>
      <c r="VS199" s="3"/>
      <c r="VT199" s="3"/>
      <c r="VU199" s="3"/>
      <c r="VV199" s="3"/>
      <c r="VW199" s="3"/>
      <c r="VX199" s="3"/>
      <c r="VY199" s="3"/>
      <c r="VZ199" s="3"/>
      <c r="WA199" s="3"/>
      <c r="WB199" s="3"/>
      <c r="WC199" s="3"/>
      <c r="WD199" s="3"/>
      <c r="WE199" s="3"/>
      <c r="WF199" s="3"/>
      <c r="WG199" s="3"/>
      <c r="WH199" s="3"/>
      <c r="WI199" s="3"/>
      <c r="WJ199" s="3"/>
      <c r="WK199" s="3"/>
      <c r="WL199" s="3"/>
      <c r="WM199" s="3"/>
      <c r="WN199" s="3"/>
      <c r="WO199" s="3"/>
      <c r="WP199" s="3"/>
      <c r="WQ199" s="3"/>
      <c r="WR199" s="3"/>
      <c r="WS199" s="3"/>
      <c r="WT199" s="3"/>
      <c r="WU199" s="3"/>
      <c r="WV199" s="3"/>
      <c r="WW199" s="3"/>
      <c r="WX199" s="3"/>
      <c r="WY199" s="3"/>
      <c r="WZ199" s="3"/>
      <c r="XA199" s="3"/>
      <c r="XB199" s="3"/>
      <c r="XC199" s="3"/>
      <c r="XD199" s="3"/>
      <c r="XE199" s="3"/>
      <c r="XF199" s="3"/>
      <c r="XG199" s="3"/>
      <c r="XH199" s="3"/>
      <c r="XI199" s="3"/>
      <c r="XJ199" s="3"/>
      <c r="XK199" s="3"/>
      <c r="XL199" s="3"/>
      <c r="XM199" s="3"/>
      <c r="XN199" s="3"/>
      <c r="XO199" s="3"/>
      <c r="XP199" s="3"/>
      <c r="XQ199" s="3"/>
      <c r="XR199" s="3"/>
      <c r="XS199" s="3"/>
      <c r="XT199" s="3"/>
      <c r="XU199" s="3"/>
      <c r="XV199" s="3"/>
      <c r="XW199" s="3"/>
      <c r="XX199" s="3"/>
      <c r="XY199" s="3"/>
      <c r="XZ199" s="3"/>
      <c r="YA199" s="3"/>
      <c r="YB199" s="3"/>
      <c r="YC199" s="3"/>
      <c r="YD199" s="3"/>
      <c r="YE199" s="3"/>
      <c r="YF199" s="3"/>
      <c r="YG199" s="3"/>
      <c r="YH199" s="3"/>
      <c r="YI199" s="3"/>
      <c r="YJ199" s="3"/>
      <c r="YK199" s="3"/>
      <c r="YL199" s="3"/>
      <c r="YM199" s="3"/>
      <c r="YN199" s="3"/>
      <c r="YO199" s="3"/>
      <c r="YP199" s="3"/>
      <c r="YQ199" s="3"/>
      <c r="YR199" s="3"/>
      <c r="YS199" s="3"/>
      <c r="YT199" s="3"/>
      <c r="YU199" s="3"/>
      <c r="YV199" s="3"/>
      <c r="YW199" s="3"/>
      <c r="YX199" s="3"/>
      <c r="YY199" s="3"/>
      <c r="YZ199" s="3"/>
      <c r="ZA199" s="3"/>
      <c r="ZB199" s="3"/>
      <c r="ZC199" s="3"/>
      <c r="ZD199" s="3"/>
      <c r="ZE199" s="3"/>
      <c r="ZF199" s="3"/>
      <c r="ZG199" s="3"/>
      <c r="ZH199" s="3"/>
      <c r="ZI199" s="3"/>
      <c r="ZJ199" s="3"/>
      <c r="ZK199" s="3"/>
      <c r="ZL199" s="3"/>
      <c r="ZM199" s="3"/>
      <c r="ZN199" s="3"/>
      <c r="ZO199" s="3"/>
      <c r="ZP199" s="3"/>
      <c r="ZQ199" s="3"/>
      <c r="ZR199" s="3"/>
      <c r="ZS199" s="3"/>
      <c r="ZT199" s="3"/>
      <c r="ZU199" s="3"/>
      <c r="ZV199" s="3"/>
      <c r="ZW199" s="3"/>
      <c r="ZX199" s="3"/>
      <c r="ZY199" s="3"/>
      <c r="ZZ199" s="3"/>
    </row>
    <row r="200" spans="1:702" ht="19.5" customHeight="1">
      <c r="A200" s="9"/>
      <c r="B200" s="9"/>
      <c r="C200" s="9"/>
      <c r="D200" s="9" t="str">
        <f t="shared" si="3"/>
        <v/>
      </c>
      <c r="E200" s="266" t="str">
        <f t="array" ref="E200">IF(B200="","",IF(B200&lt;&gt;B199,SUMPRODUCT(($B$5:B200&lt;&gt;$B$4:B199)*($B$5:B200&lt;&gt;"")),""))</f>
        <v/>
      </c>
      <c r="F200" s="9" t="str">
        <f t="shared" si="4"/>
        <v/>
      </c>
      <c r="G200" s="9" t="str">
        <f t="shared" si="5"/>
        <v/>
      </c>
      <c r="H200" s="267" t="str">
        <f t="shared" si="6"/>
        <v/>
      </c>
      <c r="I200" s="9"/>
      <c r="J200" s="9"/>
      <c r="K200" s="9"/>
      <c r="L200" s="9" t="str">
        <f t="shared" si="7"/>
        <v/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  <c r="XX200" s="3"/>
      <c r="XY200" s="3"/>
      <c r="XZ200" s="3"/>
      <c r="YA200" s="3"/>
      <c r="YB200" s="3"/>
      <c r="YC200" s="3"/>
      <c r="YD200" s="3"/>
      <c r="YE200" s="3"/>
      <c r="YF200" s="3"/>
      <c r="YG200" s="3"/>
      <c r="YH200" s="3"/>
      <c r="YI200" s="3"/>
      <c r="YJ200" s="3"/>
      <c r="YK200" s="3"/>
      <c r="YL200" s="3"/>
      <c r="YM200" s="3"/>
      <c r="YN200" s="3"/>
      <c r="YO200" s="3"/>
      <c r="YP200" s="3"/>
      <c r="YQ200" s="3"/>
      <c r="YR200" s="3"/>
      <c r="YS200" s="3"/>
      <c r="YT200" s="3"/>
      <c r="YU200" s="3"/>
      <c r="YV200" s="3"/>
      <c r="YW200" s="3"/>
      <c r="YX200" s="3"/>
      <c r="YY200" s="3"/>
      <c r="YZ200" s="3"/>
      <c r="ZA200" s="3"/>
      <c r="ZB200" s="3"/>
      <c r="ZC200" s="3"/>
      <c r="ZD200" s="3"/>
      <c r="ZE200" s="3"/>
      <c r="ZF200" s="3"/>
      <c r="ZG200" s="3"/>
      <c r="ZH200" s="3"/>
      <c r="ZI200" s="3"/>
      <c r="ZJ200" s="3"/>
      <c r="ZK200" s="3"/>
      <c r="ZL200" s="3"/>
      <c r="ZM200" s="3"/>
      <c r="ZN200" s="3"/>
      <c r="ZO200" s="3"/>
      <c r="ZP200" s="3"/>
      <c r="ZQ200" s="3"/>
      <c r="ZR200" s="3"/>
      <c r="ZS200" s="3"/>
      <c r="ZT200" s="3"/>
      <c r="ZU200" s="3"/>
      <c r="ZV200" s="3"/>
      <c r="ZW200" s="3"/>
      <c r="ZX200" s="3"/>
      <c r="ZY200" s="3"/>
      <c r="ZZ200" s="3"/>
    </row>
  </sheetData>
  <mergeCells count="4">
    <mergeCell ref="BT2:CG2"/>
    <mergeCell ref="CH2:CU2"/>
    <mergeCell ref="CV2:DI2"/>
    <mergeCell ref="DJ2:DN2"/>
  </mergeCells>
  <conditionalFormatting sqref="H5:N200">
    <cfRule type="expression" dxfId="75" priority="1">
      <formula>NOT(OR($I5="データ基盤",$I5="インフラ"))</formula>
    </cfRule>
  </conditionalFormatting>
  <conditionalFormatting sqref="O5:O200">
    <cfRule type="containsText" dxfId="74" priority="2" operator="containsText" text="準備中">
      <formula>NOT(ISERROR(SEARCH(("準備中"),(O5))))</formula>
    </cfRule>
  </conditionalFormatting>
  <conditionalFormatting sqref="P5:CV200">
    <cfRule type="expression" dxfId="73" priority="3">
      <formula>AND($H5&lt;&gt;"",OR(P$4="土",P$4="日"))</formula>
    </cfRule>
  </conditionalFormatting>
  <conditionalFormatting sqref="P5:ZZ200">
    <cfRule type="expression" dxfId="72" priority="4">
      <formula>AND(P$3&lt;&gt;"",OR($I5="DX道場",$I5="U-SLIM"),P$3&gt;=$M5,P$3&lt;=$N5)</formula>
    </cfRule>
  </conditionalFormatting>
  <conditionalFormatting sqref="E5:J42 E6:H200">
    <cfRule type="expression" dxfId="71" priority="5">
      <formula>AND($E5&lt;&gt;"",NOT(ISNUMBER($E5)))</formula>
    </cfRule>
  </conditionalFormatting>
  <conditionalFormatting sqref="J5:J200">
    <cfRule type="expression" dxfId="70" priority="6">
      <formula>AND($H5&lt;&gt;"",$J5="")</formula>
    </cfRule>
  </conditionalFormatting>
  <conditionalFormatting sqref="O5:O200">
    <cfRule type="containsText" dxfId="69" priority="7" operator="containsText" text="完了">
      <formula>NOT(ISERROR(SEARCH(("完了"),(O5))))</formula>
    </cfRule>
  </conditionalFormatting>
  <conditionalFormatting sqref="O5:O200">
    <cfRule type="containsText" dxfId="68" priority="8" operator="containsText" text="進行中">
      <formula>NOT(ISERROR(SEARCH(("進行中"),(O5))))</formula>
    </cfRule>
  </conditionalFormatting>
  <conditionalFormatting sqref="P3:ZZ4">
    <cfRule type="expression" dxfId="67" priority="9">
      <formula>AND(OR(P$4="土",P$4="日"))</formula>
    </cfRule>
  </conditionalFormatting>
  <conditionalFormatting sqref="P5:ZZ200">
    <cfRule type="expression" dxfId="66" priority="10">
      <formula>AND(P$3&lt;&gt;"",$I5="インフラ",P$3&gt;=$M5,P$3&lt;=$N5)</formula>
    </cfRule>
  </conditionalFormatting>
  <conditionalFormatting sqref="P5:ZZ200">
    <cfRule type="expression" dxfId="65" priority="11">
      <formula>AND(P$3&lt;&gt;"",P$3&gt;=$M5,P$3&lt;=$N5)</formula>
    </cfRule>
  </conditionalFormatting>
  <conditionalFormatting sqref="P5:ZZ200">
    <cfRule type="expression" dxfId="64" priority="12">
      <formula>AND(P$3&lt;&gt;"",$I5="データ基盤",P$3&gt;=$M5,P$3&lt;=$N5)</formula>
    </cfRule>
  </conditionalFormatting>
  <conditionalFormatting sqref="P5:ZZ200">
    <cfRule type="expression" dxfId="63" priority="13">
      <formula>AND($H5&lt;&gt;"",P$3&lt;&gt;"")</formula>
    </cfRule>
  </conditionalFormatting>
  <conditionalFormatting sqref="G5:O200">
    <cfRule type="expression" dxfId="62" priority="14">
      <formula>$H5&lt;&gt;""</formula>
    </cfRule>
  </conditionalFormatting>
  <conditionalFormatting sqref="J5:J200">
    <cfRule type="expression" dxfId="61" priority="15">
      <formula>$H5&lt;&gt;""</formula>
    </cfRule>
  </conditionalFormatting>
  <conditionalFormatting sqref="I5:I200">
    <cfRule type="expression" dxfId="60" priority="16">
      <formula>$H5&lt;&gt;""</formula>
    </cfRule>
  </conditionalFormatting>
  <conditionalFormatting sqref="M5:M200">
    <cfRule type="expression" dxfId="59" priority="17">
      <formula>$H5&lt;&gt;""</formula>
    </cfRule>
  </conditionalFormatting>
  <conditionalFormatting sqref="N5:N200">
    <cfRule type="expression" dxfId="58" priority="18">
      <formula>$H5&lt;&gt;""</formula>
    </cfRule>
  </conditionalFormatting>
  <conditionalFormatting sqref="O5:O200">
    <cfRule type="expression" dxfId="57" priority="19">
      <formula>$H5&lt;&gt;""</formula>
    </cfRule>
  </conditionalFormatting>
  <conditionalFormatting sqref="E5:E200">
    <cfRule type="expression" dxfId="56" priority="20">
      <formula>$H5&lt;&gt;""</formula>
    </cfRule>
  </conditionalFormatting>
  <conditionalFormatting sqref="D5:D200">
    <cfRule type="expression" dxfId="55" priority="21">
      <formula>$H5&lt;&gt;""</formula>
    </cfRule>
  </conditionalFormatting>
  <conditionalFormatting sqref="E5:O200">
    <cfRule type="expression" dxfId="54" priority="22">
      <formula>$F6&lt;&gt;""</formula>
    </cfRule>
  </conditionalFormatting>
  <conditionalFormatting sqref="P5:ZZ200">
    <cfRule type="expression" dxfId="53" priority="23">
      <formula>AND(P$3&lt;&gt;"",$F6&lt;&gt;"")</formula>
    </cfRule>
  </conditionalFormatting>
  <conditionalFormatting sqref="P3:ZZ3">
    <cfRule type="expression" dxfId="52" priority="24">
      <formula>P$3&lt;&gt;""</formula>
    </cfRule>
  </conditionalFormatting>
  <conditionalFormatting sqref="P2:ZZ2">
    <cfRule type="expression" dxfId="51" priority="25">
      <formula>P$3&lt;&gt;""</formula>
    </cfRule>
  </conditionalFormatting>
  <conditionalFormatting sqref="P3:ZZ4">
    <cfRule type="expression" dxfId="50" priority="26">
      <formula>P$3&lt;&gt;""</formula>
    </cfRule>
  </conditionalFormatting>
  <conditionalFormatting sqref="P2:ZZ4">
    <cfRule type="expression" dxfId="49" priority="27">
      <formula>P$2&lt;&gt;""</formula>
    </cfRule>
  </conditionalFormatting>
  <conditionalFormatting sqref="P5:ZZ200">
    <cfRule type="expression" dxfId="48" priority="28">
      <formula>AND($H5&lt;&gt;"",P$2&lt;&gt;"")</formula>
    </cfRule>
  </conditionalFormatting>
  <conditionalFormatting sqref="P3:ZZ4">
    <cfRule type="expression" dxfId="47" priority="29">
      <formula>AND(N$2&lt;&gt;"",P$4="水")</formula>
    </cfRule>
  </conditionalFormatting>
  <conditionalFormatting sqref="P2:ZZ4">
    <cfRule type="expression" dxfId="46" priority="30">
      <formula>AND(P$3&lt;&gt;"",Q$3="")</formula>
    </cfRule>
  </conditionalFormatting>
  <conditionalFormatting sqref="P5:ZZ200">
    <cfRule type="expression" dxfId="45" priority="31">
      <formula>AND($H5&lt;&gt;"",P$3&lt;&gt;"",Q$3="")</formula>
    </cfRule>
  </conditionalFormatting>
  <conditionalFormatting sqref="D5:O200">
    <cfRule type="expression" dxfId="44" priority="32">
      <formula>AND($H5&lt;&gt;"",$H6="")</formula>
    </cfRule>
  </conditionalFormatting>
  <conditionalFormatting sqref="P5:ZZ200">
    <cfRule type="expression" dxfId="43" priority="33">
      <formula>AND(P$3&lt;&gt;"",$H5&lt;&gt;"",$H6="")</formula>
    </cfRule>
  </conditionalFormatting>
  <conditionalFormatting sqref="P2:ZZ2">
    <cfRule type="expression" dxfId="42" priority="34">
      <formula>P$3&lt;&gt;""</formula>
    </cfRule>
  </conditionalFormatting>
  <conditionalFormatting sqref="O5:O125">
    <cfRule type="expression" dxfId="41" priority="35">
      <formula>O5="準備中"</formula>
    </cfRule>
  </conditionalFormatting>
  <conditionalFormatting sqref="O5:O125">
    <cfRule type="expression" dxfId="40" priority="36">
      <formula>O5="進行中"</formula>
    </cfRule>
  </conditionalFormatting>
  <conditionalFormatting sqref="O5:O125">
    <cfRule type="expression" dxfId="39" priority="37">
      <formula>O5="完了"</formula>
    </cfRule>
  </conditionalFormatting>
  <conditionalFormatting sqref="O5:O125">
    <cfRule type="expression" dxfId="38" priority="38">
      <formula>O5="準備中"</formula>
    </cfRule>
  </conditionalFormatting>
  <conditionalFormatting sqref="O5:O125">
    <cfRule type="expression" dxfId="37" priority="39">
      <formula>O5="進行中"</formula>
    </cfRule>
  </conditionalFormatting>
  <conditionalFormatting sqref="O5:O125">
    <cfRule type="expression" dxfId="36" priority="40">
      <formula>O5="完了"</formula>
    </cfRule>
  </conditionalFormatting>
  <conditionalFormatting sqref="P5:DN200">
    <cfRule type="expression" dxfId="35" priority="41">
      <formula>AND(P$3&gt;=$M5,P$3&lt;=$N5,$O5="完了")</formula>
    </cfRule>
  </conditionalFormatting>
  <conditionalFormatting sqref="P5:DN200">
    <cfRule type="expression" dxfId="34" priority="42">
      <formula>AND(P$3&gt;=$M5,P$3&lt;=$N5,$O5="進行中")</formula>
    </cfRule>
  </conditionalFormatting>
  <conditionalFormatting sqref="P5:DN200">
    <cfRule type="expression" dxfId="33" priority="43">
      <formula>AND(P$3&gt;=$M5,P$3&lt;=$N5,$O5="準備中")</formula>
    </cfRule>
  </conditionalFormatting>
  <conditionalFormatting sqref="P5:DN200">
    <cfRule type="expression" dxfId="32" priority="44">
      <formula>WEEKDAY(P$3,2)&gt;=6</formula>
    </cfRule>
  </conditionalFormatting>
  <conditionalFormatting sqref="P3:DN4">
    <cfRule type="expression" dxfId="31" priority="45">
      <formula>WEEKDAY(P$3,2)&gt;=6</formula>
    </cfRule>
  </conditionalFormatting>
  <dataValidations count="3">
    <dataValidation type="list" allowBlank="1" showErrorMessage="1" sqref="O5:O200" xr:uid="{00000000-0002-0000-0100-000000000000}">
      <formula1>"準備中,進行中,完了"</formula1>
    </dataValidation>
    <dataValidation type="custom" allowBlank="1" showInputMessage="1" showErrorMessage="1" prompt="編集不可 - D～H列は編集不可です。_x000a_A～C列を編集してください（その内容に応じてD～H列が自動で入力されます）。" sqref="D3:H200" xr:uid="{00000000-0002-0000-0100-000001000000}">
      <formula1>FALSE</formula1>
    </dataValidation>
    <dataValidation type="list" allowBlank="1" showErrorMessage="1" sqref="I5:I200" xr:uid="{00000000-0002-0000-0100-000002000000}">
      <formula1>"データ基盤,インフラ,U-SLIM,DX道場,Cloudera,トヨタシステムズ"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297"/>
  <sheetViews>
    <sheetView showGridLines="0" workbookViewId="0"/>
  </sheetViews>
  <sheetFormatPr defaultColWidth="14.42578125" defaultRowHeight="15"/>
  <cols>
    <col min="1" max="1" width="9" hidden="1" customWidth="1"/>
    <col min="2" max="2" width="6.42578125" hidden="1" customWidth="1"/>
    <col min="3" max="3" width="27.28515625" hidden="1" customWidth="1"/>
    <col min="4" max="4" width="56.42578125" hidden="1" customWidth="1"/>
    <col min="5" max="5" width="9.140625" customWidth="1"/>
    <col min="6" max="6" width="5.28515625" customWidth="1"/>
    <col min="7" max="7" width="21" customWidth="1"/>
    <col min="8" max="8" width="55.5703125" customWidth="1"/>
    <col min="9" max="10" width="9" customWidth="1"/>
    <col min="11" max="11" width="13" customWidth="1"/>
    <col min="12" max="13" width="6.42578125" customWidth="1"/>
    <col min="14" max="14" width="8" customWidth="1"/>
    <col min="15" max="99" width="4.42578125" customWidth="1"/>
    <col min="100" max="100" width="9" customWidth="1"/>
  </cols>
  <sheetData>
    <row r="1" spans="1:100" ht="16.5" customHeight="1">
      <c r="A1" s="3" t="s">
        <v>65</v>
      </c>
      <c r="B1" s="3"/>
      <c r="C1" s="3"/>
      <c r="D1" s="5"/>
      <c r="E1" s="3" t="s">
        <v>66</v>
      </c>
      <c r="F1" s="3" t="s">
        <v>247</v>
      </c>
      <c r="G1" s="3"/>
      <c r="H1" s="5"/>
      <c r="I1" s="3"/>
      <c r="J1" s="3"/>
      <c r="K1" s="3"/>
      <c r="L1" s="10"/>
      <c r="M1" s="10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</row>
    <row r="2" spans="1:100" ht="16.5" customHeight="1">
      <c r="A2" s="3"/>
      <c r="B2" s="3"/>
      <c r="C2" s="3"/>
      <c r="D2" s="5"/>
      <c r="E2" s="3"/>
      <c r="F2" s="11" t="s">
        <v>248</v>
      </c>
      <c r="G2" s="3"/>
      <c r="H2" s="5"/>
      <c r="I2" s="3"/>
      <c r="J2" s="3"/>
      <c r="K2" s="3"/>
      <c r="L2" s="10"/>
      <c r="M2" s="10"/>
      <c r="N2" s="3"/>
      <c r="O2" s="12" t="s">
        <v>67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4"/>
      <c r="AC2" s="13" t="s">
        <v>68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4"/>
      <c r="AQ2" s="13" t="s">
        <v>69</v>
      </c>
      <c r="AR2" s="13"/>
      <c r="AS2" s="15"/>
      <c r="AT2" s="15"/>
      <c r="AU2" s="15"/>
      <c r="AV2" s="16" t="s">
        <v>249</v>
      </c>
      <c r="AW2" s="16"/>
      <c r="AX2" s="16" t="s">
        <v>250</v>
      </c>
      <c r="AY2" s="16" t="s">
        <v>250</v>
      </c>
      <c r="AZ2" s="16" t="s">
        <v>250</v>
      </c>
      <c r="BA2" s="16" t="s">
        <v>250</v>
      </c>
      <c r="BB2" s="16" t="s">
        <v>250</v>
      </c>
      <c r="BC2" s="16" t="s">
        <v>250</v>
      </c>
      <c r="BD2" s="17" t="s">
        <v>251</v>
      </c>
      <c r="BE2" s="13" t="s">
        <v>71</v>
      </c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4"/>
      <c r="BS2" s="13" t="s">
        <v>72</v>
      </c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4"/>
      <c r="CG2" s="13" t="s">
        <v>73</v>
      </c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4"/>
      <c r="CU2" s="14" t="s">
        <v>74</v>
      </c>
      <c r="CV2" s="3"/>
    </row>
    <row r="3" spans="1:100" ht="16.5" customHeight="1">
      <c r="A3" s="3" t="s">
        <v>76</v>
      </c>
      <c r="B3" s="3" t="s">
        <v>252</v>
      </c>
      <c r="C3" s="3" t="s">
        <v>77</v>
      </c>
      <c r="D3" s="5" t="s">
        <v>78</v>
      </c>
      <c r="E3" s="20" t="s">
        <v>79</v>
      </c>
      <c r="F3" s="20" t="s">
        <v>80</v>
      </c>
      <c r="G3" s="21"/>
      <c r="H3" s="22"/>
      <c r="I3" s="21" t="s">
        <v>81</v>
      </c>
      <c r="J3" s="23"/>
      <c r="K3" s="23" t="s">
        <v>253</v>
      </c>
      <c r="L3" s="24" t="s">
        <v>83</v>
      </c>
      <c r="M3" s="25"/>
      <c r="N3" s="23" t="s">
        <v>84</v>
      </c>
      <c r="O3" s="26">
        <v>46209</v>
      </c>
      <c r="P3" s="27">
        <v>46210</v>
      </c>
      <c r="Q3" s="28">
        <v>46211</v>
      </c>
      <c r="R3" s="27">
        <v>46212</v>
      </c>
      <c r="S3" s="27">
        <v>46213</v>
      </c>
      <c r="T3" s="27">
        <v>46214</v>
      </c>
      <c r="U3" s="27">
        <v>46215</v>
      </c>
      <c r="V3" s="27">
        <v>46216</v>
      </c>
      <c r="W3" s="27">
        <v>46217</v>
      </c>
      <c r="X3" s="27">
        <v>46218</v>
      </c>
      <c r="Y3" s="27">
        <v>46219</v>
      </c>
      <c r="Z3" s="27">
        <v>46220</v>
      </c>
      <c r="AA3" s="27">
        <v>46221</v>
      </c>
      <c r="AB3" s="30">
        <v>46222</v>
      </c>
      <c r="AC3" s="31">
        <v>46223</v>
      </c>
      <c r="AD3" s="27">
        <v>46224</v>
      </c>
      <c r="AE3" s="28">
        <v>46225</v>
      </c>
      <c r="AF3" s="27">
        <v>46226</v>
      </c>
      <c r="AG3" s="27">
        <v>46227</v>
      </c>
      <c r="AH3" s="27">
        <v>46228</v>
      </c>
      <c r="AI3" s="27">
        <v>46229</v>
      </c>
      <c r="AJ3" s="27">
        <v>46230</v>
      </c>
      <c r="AK3" s="27">
        <v>46231</v>
      </c>
      <c r="AL3" s="27">
        <v>46232</v>
      </c>
      <c r="AM3" s="27">
        <v>46233</v>
      </c>
      <c r="AN3" s="27">
        <v>46234</v>
      </c>
      <c r="AO3" s="27">
        <v>46235</v>
      </c>
      <c r="AP3" s="30">
        <v>46236</v>
      </c>
      <c r="AQ3" s="26">
        <v>46237</v>
      </c>
      <c r="AR3" s="27">
        <v>46238</v>
      </c>
      <c r="AS3" s="28">
        <v>46239</v>
      </c>
      <c r="AT3" s="27">
        <v>46240</v>
      </c>
      <c r="AU3" s="27">
        <v>46241</v>
      </c>
      <c r="AV3" s="27">
        <v>46242</v>
      </c>
      <c r="AW3" s="27">
        <v>46243</v>
      </c>
      <c r="AX3" s="32">
        <v>46244</v>
      </c>
      <c r="AY3" s="33">
        <v>46245</v>
      </c>
      <c r="AZ3" s="32">
        <v>46246</v>
      </c>
      <c r="BA3" s="32">
        <v>46247</v>
      </c>
      <c r="BB3" s="32">
        <v>46248</v>
      </c>
      <c r="BC3" s="27">
        <v>46249</v>
      </c>
      <c r="BD3" s="30">
        <v>46250</v>
      </c>
      <c r="BE3" s="26">
        <v>46251</v>
      </c>
      <c r="BF3" s="27">
        <v>46252</v>
      </c>
      <c r="BG3" s="28">
        <v>46253</v>
      </c>
      <c r="BH3" s="27">
        <v>46254</v>
      </c>
      <c r="BI3" s="27">
        <v>46255</v>
      </c>
      <c r="BJ3" s="27">
        <v>46256</v>
      </c>
      <c r="BK3" s="27">
        <v>46257</v>
      </c>
      <c r="BL3" s="27">
        <v>46258</v>
      </c>
      <c r="BM3" s="27">
        <v>46259</v>
      </c>
      <c r="BN3" s="27">
        <v>46260</v>
      </c>
      <c r="BO3" s="27">
        <v>46261</v>
      </c>
      <c r="BP3" s="27">
        <v>46262</v>
      </c>
      <c r="BQ3" s="27">
        <v>46263</v>
      </c>
      <c r="BR3" s="30">
        <v>46264</v>
      </c>
      <c r="BS3" s="26">
        <v>46265</v>
      </c>
      <c r="BT3" s="27">
        <v>46266</v>
      </c>
      <c r="BU3" s="28">
        <v>46267</v>
      </c>
      <c r="BV3" s="27">
        <v>46268</v>
      </c>
      <c r="BW3" s="27">
        <v>46269</v>
      </c>
      <c r="BX3" s="27">
        <v>46270</v>
      </c>
      <c r="BY3" s="27">
        <v>46271</v>
      </c>
      <c r="BZ3" s="27">
        <v>46272</v>
      </c>
      <c r="CA3" s="27">
        <v>46273</v>
      </c>
      <c r="CB3" s="27">
        <v>46274</v>
      </c>
      <c r="CC3" s="27">
        <v>46275</v>
      </c>
      <c r="CD3" s="27">
        <v>46276</v>
      </c>
      <c r="CE3" s="27">
        <v>46277</v>
      </c>
      <c r="CF3" s="30">
        <v>46278</v>
      </c>
      <c r="CG3" s="26">
        <v>46279</v>
      </c>
      <c r="CH3" s="27">
        <v>46280</v>
      </c>
      <c r="CI3" s="28">
        <v>46281</v>
      </c>
      <c r="CJ3" s="27">
        <v>46282</v>
      </c>
      <c r="CK3" s="27">
        <v>46283</v>
      </c>
      <c r="CL3" s="27">
        <v>46284</v>
      </c>
      <c r="CM3" s="27">
        <v>46285</v>
      </c>
      <c r="CN3" s="27">
        <v>46286</v>
      </c>
      <c r="CO3" s="27">
        <v>46287</v>
      </c>
      <c r="CP3" s="27">
        <v>46288</v>
      </c>
      <c r="CQ3" s="27">
        <v>46289</v>
      </c>
      <c r="CR3" s="27">
        <v>46290</v>
      </c>
      <c r="CS3" s="27">
        <v>46291</v>
      </c>
      <c r="CT3" s="30">
        <v>46292</v>
      </c>
      <c r="CU3" s="35">
        <v>46293</v>
      </c>
      <c r="CV3" s="10"/>
    </row>
    <row r="4" spans="1:100" ht="16.5" customHeight="1">
      <c r="A4" s="3"/>
      <c r="B4" s="36"/>
      <c r="C4" s="3" t="s">
        <v>85</v>
      </c>
      <c r="D4" s="5" t="s">
        <v>85</v>
      </c>
      <c r="E4" s="37" t="s">
        <v>76</v>
      </c>
      <c r="F4" s="38" t="s">
        <v>252</v>
      </c>
      <c r="G4" s="39" t="s">
        <v>77</v>
      </c>
      <c r="H4" s="40" t="s">
        <v>78</v>
      </c>
      <c r="I4" s="39" t="s">
        <v>88</v>
      </c>
      <c r="J4" s="41" t="s">
        <v>89</v>
      </c>
      <c r="K4" s="42" t="s">
        <v>94</v>
      </c>
      <c r="L4" s="43" t="s">
        <v>92</v>
      </c>
      <c r="M4" s="44" t="s">
        <v>93</v>
      </c>
      <c r="N4" s="42"/>
      <c r="O4" s="45" t="s">
        <v>254</v>
      </c>
      <c r="P4" s="46" t="s">
        <v>255</v>
      </c>
      <c r="Q4" s="47" t="s">
        <v>256</v>
      </c>
      <c r="R4" s="46" t="s">
        <v>257</v>
      </c>
      <c r="S4" s="46" t="s">
        <v>258</v>
      </c>
      <c r="T4" s="46" t="s">
        <v>259</v>
      </c>
      <c r="U4" s="46" t="s">
        <v>260</v>
      </c>
      <c r="V4" s="46" t="s">
        <v>254</v>
      </c>
      <c r="W4" s="46" t="s">
        <v>255</v>
      </c>
      <c r="X4" s="46" t="s">
        <v>256</v>
      </c>
      <c r="Y4" s="46" t="s">
        <v>257</v>
      </c>
      <c r="Z4" s="46" t="s">
        <v>258</v>
      </c>
      <c r="AA4" s="46" t="s">
        <v>259</v>
      </c>
      <c r="AB4" s="48" t="s">
        <v>260</v>
      </c>
      <c r="AC4" s="49" t="s">
        <v>254</v>
      </c>
      <c r="AD4" s="46" t="s">
        <v>255</v>
      </c>
      <c r="AE4" s="47" t="s">
        <v>256</v>
      </c>
      <c r="AF4" s="46" t="s">
        <v>257</v>
      </c>
      <c r="AG4" s="46" t="s">
        <v>258</v>
      </c>
      <c r="AH4" s="46" t="s">
        <v>259</v>
      </c>
      <c r="AI4" s="46" t="s">
        <v>260</v>
      </c>
      <c r="AJ4" s="46" t="s">
        <v>254</v>
      </c>
      <c r="AK4" s="46" t="s">
        <v>255</v>
      </c>
      <c r="AL4" s="46" t="s">
        <v>256</v>
      </c>
      <c r="AM4" s="46" t="s">
        <v>257</v>
      </c>
      <c r="AN4" s="46" t="s">
        <v>258</v>
      </c>
      <c r="AO4" s="46" t="s">
        <v>259</v>
      </c>
      <c r="AP4" s="48" t="s">
        <v>260</v>
      </c>
      <c r="AQ4" s="45" t="s">
        <v>254</v>
      </c>
      <c r="AR4" s="46" t="s">
        <v>255</v>
      </c>
      <c r="AS4" s="47" t="s">
        <v>256</v>
      </c>
      <c r="AT4" s="46" t="s">
        <v>257</v>
      </c>
      <c r="AU4" s="46" t="s">
        <v>258</v>
      </c>
      <c r="AV4" s="46" t="s">
        <v>259</v>
      </c>
      <c r="AW4" s="46" t="s">
        <v>260</v>
      </c>
      <c r="AX4" s="50" t="s">
        <v>254</v>
      </c>
      <c r="AY4" s="51" t="s">
        <v>255</v>
      </c>
      <c r="AZ4" s="50" t="s">
        <v>256</v>
      </c>
      <c r="BA4" s="50" t="s">
        <v>257</v>
      </c>
      <c r="BB4" s="50" t="s">
        <v>258</v>
      </c>
      <c r="BC4" s="46" t="s">
        <v>259</v>
      </c>
      <c r="BD4" s="48" t="s">
        <v>260</v>
      </c>
      <c r="BE4" s="45" t="s">
        <v>254</v>
      </c>
      <c r="BF4" s="46" t="s">
        <v>255</v>
      </c>
      <c r="BG4" s="47" t="s">
        <v>256</v>
      </c>
      <c r="BH4" s="46" t="s">
        <v>257</v>
      </c>
      <c r="BI4" s="46" t="s">
        <v>258</v>
      </c>
      <c r="BJ4" s="46" t="s">
        <v>259</v>
      </c>
      <c r="BK4" s="46" t="s">
        <v>260</v>
      </c>
      <c r="BL4" s="46" t="s">
        <v>254</v>
      </c>
      <c r="BM4" s="46" t="s">
        <v>255</v>
      </c>
      <c r="BN4" s="46" t="s">
        <v>256</v>
      </c>
      <c r="BO4" s="46" t="s">
        <v>257</v>
      </c>
      <c r="BP4" s="46" t="s">
        <v>258</v>
      </c>
      <c r="BQ4" s="46" t="s">
        <v>259</v>
      </c>
      <c r="BR4" s="48" t="s">
        <v>260</v>
      </c>
      <c r="BS4" s="45" t="s">
        <v>254</v>
      </c>
      <c r="BT4" s="46" t="s">
        <v>255</v>
      </c>
      <c r="BU4" s="47" t="s">
        <v>256</v>
      </c>
      <c r="BV4" s="46" t="s">
        <v>257</v>
      </c>
      <c r="BW4" s="46" t="s">
        <v>258</v>
      </c>
      <c r="BX4" s="46" t="s">
        <v>259</v>
      </c>
      <c r="BY4" s="46" t="s">
        <v>260</v>
      </c>
      <c r="BZ4" s="46" t="s">
        <v>254</v>
      </c>
      <c r="CA4" s="46" t="s">
        <v>255</v>
      </c>
      <c r="CB4" s="46" t="s">
        <v>256</v>
      </c>
      <c r="CC4" s="46" t="s">
        <v>257</v>
      </c>
      <c r="CD4" s="46" t="s">
        <v>258</v>
      </c>
      <c r="CE4" s="46" t="s">
        <v>259</v>
      </c>
      <c r="CF4" s="48" t="s">
        <v>260</v>
      </c>
      <c r="CG4" s="45" t="s">
        <v>254</v>
      </c>
      <c r="CH4" s="46" t="s">
        <v>255</v>
      </c>
      <c r="CI4" s="47" t="s">
        <v>256</v>
      </c>
      <c r="CJ4" s="46" t="s">
        <v>257</v>
      </c>
      <c r="CK4" s="46" t="s">
        <v>258</v>
      </c>
      <c r="CL4" s="46" t="s">
        <v>259</v>
      </c>
      <c r="CM4" s="46" t="s">
        <v>260</v>
      </c>
      <c r="CN4" s="46" t="s">
        <v>254</v>
      </c>
      <c r="CO4" s="46" t="s">
        <v>255</v>
      </c>
      <c r="CP4" s="46" t="s">
        <v>256</v>
      </c>
      <c r="CQ4" s="46" t="s">
        <v>257</v>
      </c>
      <c r="CR4" s="46" t="s">
        <v>258</v>
      </c>
      <c r="CS4" s="46" t="s">
        <v>259</v>
      </c>
      <c r="CT4" s="48" t="s">
        <v>260</v>
      </c>
      <c r="CU4" s="52" t="s">
        <v>254</v>
      </c>
      <c r="CV4" s="3"/>
    </row>
    <row r="5" spans="1:100" ht="16.5" customHeight="1">
      <c r="A5" s="3" t="s">
        <v>261</v>
      </c>
      <c r="B5" s="3">
        <v>1</v>
      </c>
      <c r="C5" s="3" t="s">
        <v>104</v>
      </c>
      <c r="D5" s="5" t="s">
        <v>262</v>
      </c>
      <c r="E5" s="53" t="str">
        <f t="shared" ref="E5:H5" si="0">IF(A5&lt;&gt;"", IF(A5=A4, "", A5), "")</f>
        <v>Dataviz</v>
      </c>
      <c r="F5" s="54">
        <f t="shared" si="0"/>
        <v>1</v>
      </c>
      <c r="G5" s="55" t="str">
        <f t="shared" si="0"/>
        <v>プロジェクト管理</v>
      </c>
      <c r="H5" s="56" t="str">
        <f t="shared" si="0"/>
        <v>PowerBI関連</v>
      </c>
      <c r="I5" s="57" t="s">
        <v>263</v>
      </c>
      <c r="J5" s="58" t="s">
        <v>263</v>
      </c>
      <c r="K5" s="59" t="s">
        <v>94</v>
      </c>
      <c r="L5" s="26">
        <v>46209</v>
      </c>
      <c r="M5" s="30">
        <v>46293</v>
      </c>
      <c r="N5" s="60" t="s">
        <v>122</v>
      </c>
      <c r="O5" s="57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58"/>
      <c r="AC5" s="63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58"/>
      <c r="AQ5" s="57"/>
      <c r="AR5" s="61"/>
      <c r="AS5" s="61"/>
      <c r="AT5" s="61"/>
      <c r="AU5" s="61"/>
      <c r="AV5" s="61"/>
      <c r="AW5" s="61"/>
      <c r="AX5" s="66"/>
      <c r="AY5" s="67"/>
      <c r="AZ5" s="66"/>
      <c r="BA5" s="66"/>
      <c r="BB5" s="66"/>
      <c r="BC5" s="61"/>
      <c r="BD5" s="58"/>
      <c r="BE5" s="57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58"/>
      <c r="BS5" s="57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58"/>
      <c r="CG5" s="57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58"/>
      <c r="CU5" s="59"/>
      <c r="CV5" s="3"/>
    </row>
    <row r="6" spans="1:100" ht="16.5" customHeight="1">
      <c r="A6" s="3" t="s">
        <v>261</v>
      </c>
      <c r="B6" s="3">
        <v>2</v>
      </c>
      <c r="C6" s="3" t="s">
        <v>104</v>
      </c>
      <c r="D6" s="5" t="s">
        <v>264</v>
      </c>
      <c r="E6" s="53" t="str">
        <f t="shared" ref="E6:H6" si="1">IF(A6&lt;&gt;"", IF(A6=A5, "", A6), "")</f>
        <v/>
      </c>
      <c r="F6" s="68">
        <f t="shared" si="1"/>
        <v>2</v>
      </c>
      <c r="G6" s="55" t="str">
        <f t="shared" si="1"/>
        <v/>
      </c>
      <c r="H6" s="69" t="str">
        <f t="shared" si="1"/>
        <v>dataviz関連カンレン</v>
      </c>
      <c r="I6" s="70" t="s">
        <v>263</v>
      </c>
      <c r="J6" s="71" t="s">
        <v>263</v>
      </c>
      <c r="K6" s="72" t="s">
        <v>94</v>
      </c>
      <c r="L6" s="73">
        <v>46209</v>
      </c>
      <c r="M6" s="74">
        <v>46293</v>
      </c>
      <c r="N6" s="75" t="s">
        <v>122</v>
      </c>
      <c r="O6" s="70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1"/>
      <c r="AC6" s="77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1"/>
      <c r="AQ6" s="70"/>
      <c r="AR6" s="76"/>
      <c r="AS6" s="76"/>
      <c r="AT6" s="76"/>
      <c r="AU6" s="76"/>
      <c r="AV6" s="76"/>
      <c r="AW6" s="76"/>
      <c r="AX6" s="78"/>
      <c r="AY6" s="79"/>
      <c r="AZ6" s="78"/>
      <c r="BA6" s="78"/>
      <c r="BB6" s="78"/>
      <c r="BC6" s="76"/>
      <c r="BD6" s="71"/>
      <c r="BE6" s="70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1"/>
      <c r="BS6" s="70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1"/>
      <c r="CG6" s="70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1"/>
      <c r="CU6" s="72"/>
      <c r="CV6" s="3"/>
    </row>
    <row r="7" spans="1:100" ht="16.5" customHeight="1">
      <c r="A7" s="3" t="s">
        <v>261</v>
      </c>
      <c r="B7" s="3">
        <v>3</v>
      </c>
      <c r="C7" s="3" t="s">
        <v>262</v>
      </c>
      <c r="D7" s="5" t="s">
        <v>265</v>
      </c>
      <c r="E7" s="80" t="str">
        <f t="shared" ref="E7:H7" si="2">IF(A7&lt;&gt;"", IF(A7=A6, "", A7), "")</f>
        <v/>
      </c>
      <c r="F7" s="81">
        <f t="shared" si="2"/>
        <v>3</v>
      </c>
      <c r="G7" s="82" t="str">
        <f t="shared" si="2"/>
        <v>PowerBI関連</v>
      </c>
      <c r="H7" s="83" t="str">
        <f t="shared" si="2"/>
        <v>PowerBI帳票仕様変更対応</v>
      </c>
      <c r="I7" s="84" t="s">
        <v>263</v>
      </c>
      <c r="J7" s="85" t="s">
        <v>263</v>
      </c>
      <c r="K7" s="86" t="s">
        <v>94</v>
      </c>
      <c r="L7" s="87">
        <v>46209</v>
      </c>
      <c r="M7" s="88">
        <v>46293</v>
      </c>
      <c r="N7" s="89" t="s">
        <v>122</v>
      </c>
      <c r="O7" s="84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85"/>
      <c r="AC7" s="91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85"/>
      <c r="AQ7" s="84"/>
      <c r="AR7" s="90"/>
      <c r="AS7" s="90"/>
      <c r="AT7" s="90"/>
      <c r="AU7" s="90"/>
      <c r="AV7" s="90"/>
      <c r="AW7" s="90"/>
      <c r="AX7" s="92"/>
      <c r="AY7" s="93"/>
      <c r="AZ7" s="92"/>
      <c r="BA7" s="92"/>
      <c r="BB7" s="92"/>
      <c r="BC7" s="90"/>
      <c r="BD7" s="85"/>
      <c r="BE7" s="84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85"/>
      <c r="BS7" s="84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85"/>
      <c r="CG7" s="84"/>
      <c r="CH7" s="90"/>
      <c r="CI7" s="90"/>
      <c r="CJ7" s="90"/>
      <c r="CK7" s="90"/>
      <c r="CL7" s="90"/>
      <c r="CM7" s="90"/>
      <c r="CN7" s="90"/>
      <c r="CO7" s="90"/>
      <c r="CP7" s="90"/>
      <c r="CQ7" s="90"/>
      <c r="CR7" s="90"/>
      <c r="CS7" s="90"/>
      <c r="CT7" s="85"/>
      <c r="CU7" s="86"/>
      <c r="CV7" s="3"/>
    </row>
    <row r="8" spans="1:100" ht="16.5" customHeight="1">
      <c r="A8" s="3" t="s">
        <v>261</v>
      </c>
      <c r="B8" s="3">
        <v>4</v>
      </c>
      <c r="C8" s="3" t="s">
        <v>262</v>
      </c>
      <c r="D8" s="5" t="s">
        <v>266</v>
      </c>
      <c r="E8" s="53" t="str">
        <f t="shared" ref="E8:H8" si="3">IF(A8&lt;&gt;"", IF(A8=A7, "", A8), "")</f>
        <v/>
      </c>
      <c r="F8" s="94">
        <f t="shared" si="3"/>
        <v>4</v>
      </c>
      <c r="G8" s="95" t="str">
        <f t="shared" si="3"/>
        <v/>
      </c>
      <c r="H8" s="96" t="str">
        <f t="shared" si="3"/>
        <v>NEO帳票仕様変更対応(仕様変更と全国展開対応)</v>
      </c>
      <c r="I8" s="97" t="s">
        <v>263</v>
      </c>
      <c r="J8" s="98" t="s">
        <v>263</v>
      </c>
      <c r="K8" s="99" t="s">
        <v>94</v>
      </c>
      <c r="L8" s="100">
        <v>46209</v>
      </c>
      <c r="M8" s="101">
        <v>46293</v>
      </c>
      <c r="N8" s="102" t="s">
        <v>122</v>
      </c>
      <c r="O8" s="97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98"/>
      <c r="AC8" s="104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98"/>
      <c r="AQ8" s="97"/>
      <c r="AR8" s="103"/>
      <c r="AS8" s="103"/>
      <c r="AT8" s="103"/>
      <c r="AU8" s="103"/>
      <c r="AV8" s="103"/>
      <c r="AW8" s="103"/>
      <c r="AX8" s="105"/>
      <c r="AY8" s="106"/>
      <c r="AZ8" s="105"/>
      <c r="BA8" s="105"/>
      <c r="BB8" s="105"/>
      <c r="BC8" s="103"/>
      <c r="BD8" s="98"/>
      <c r="BE8" s="97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98"/>
      <c r="BS8" s="97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98"/>
      <c r="CG8" s="97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98"/>
      <c r="CU8" s="99"/>
      <c r="CV8" s="3"/>
    </row>
    <row r="9" spans="1:100" ht="16.5" customHeight="1">
      <c r="A9" s="3" t="s">
        <v>261</v>
      </c>
      <c r="B9" s="3">
        <v>5</v>
      </c>
      <c r="C9" s="3" t="s">
        <v>267</v>
      </c>
      <c r="D9" s="5" t="s">
        <v>268</v>
      </c>
      <c r="E9" s="53" t="str">
        <f t="shared" ref="E9:H9" si="4">IF(A9&lt;&gt;"", IF(A9=A8, "", A9), "")</f>
        <v/>
      </c>
      <c r="F9" s="113">
        <f t="shared" si="4"/>
        <v>5</v>
      </c>
      <c r="G9" s="55" t="str">
        <f t="shared" si="4"/>
        <v>問合せ</v>
      </c>
      <c r="H9" s="116" t="str">
        <f t="shared" si="4"/>
        <v>顧客問合せ対応コキャクトイアワタイオウ</v>
      </c>
      <c r="I9" s="55" t="s">
        <v>263</v>
      </c>
      <c r="J9" s="117" t="s">
        <v>263</v>
      </c>
      <c r="K9" s="118" t="s">
        <v>94</v>
      </c>
      <c r="L9" s="119">
        <v>46209</v>
      </c>
      <c r="M9" s="120">
        <v>46293</v>
      </c>
      <c r="N9" s="121" t="s">
        <v>122</v>
      </c>
      <c r="O9" s="55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17"/>
      <c r="AC9" s="123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17"/>
      <c r="AQ9" s="55"/>
      <c r="AR9" s="122"/>
      <c r="AS9" s="122"/>
      <c r="AT9" s="122"/>
      <c r="AU9" s="122"/>
      <c r="AV9" s="122"/>
      <c r="AW9" s="122"/>
      <c r="AX9" s="124"/>
      <c r="AY9" s="125"/>
      <c r="AZ9" s="124"/>
      <c r="BA9" s="124"/>
      <c r="BB9" s="124"/>
      <c r="BC9" s="122"/>
      <c r="BD9" s="117"/>
      <c r="BE9" s="55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122"/>
      <c r="BQ9" s="122"/>
      <c r="BR9" s="117"/>
      <c r="BS9" s="55"/>
      <c r="BT9" s="122"/>
      <c r="BU9" s="122"/>
      <c r="BV9" s="122"/>
      <c r="BW9" s="122"/>
      <c r="BX9" s="122"/>
      <c r="BY9" s="122"/>
      <c r="BZ9" s="122"/>
      <c r="CA9" s="122"/>
      <c r="CB9" s="122"/>
      <c r="CC9" s="122"/>
      <c r="CD9" s="122"/>
      <c r="CE9" s="122"/>
      <c r="CF9" s="117"/>
      <c r="CG9" s="55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17"/>
      <c r="CU9" s="118"/>
      <c r="CV9" s="3"/>
    </row>
    <row r="10" spans="1:100" ht="16.5" customHeight="1">
      <c r="A10" s="3" t="s">
        <v>261</v>
      </c>
      <c r="B10" s="3">
        <v>6</v>
      </c>
      <c r="C10" s="3" t="s">
        <v>269</v>
      </c>
      <c r="D10" s="5" t="s">
        <v>270</v>
      </c>
      <c r="E10" s="53" t="str">
        <f t="shared" ref="E10:H10" si="5">IF(A10&lt;&gt;"", IF(A10=A9, "", A10), "")</f>
        <v/>
      </c>
      <c r="F10" s="126">
        <f t="shared" si="5"/>
        <v>6</v>
      </c>
      <c r="G10" s="82" t="str">
        <f t="shared" si="5"/>
        <v>dataviz開発（既存機能）</v>
      </c>
      <c r="H10" s="127" t="str">
        <f t="shared" si="5"/>
        <v>残った帳票の開発（SMB空き枠カレンダー、新車受注分析、長崎_経営ダッシュボード 、マスタメンテナンス機能の一部）ノコチョウヒョウカイハツイチブ</v>
      </c>
      <c r="I10" s="82" t="s">
        <v>263</v>
      </c>
      <c r="J10" s="128" t="s">
        <v>263</v>
      </c>
      <c r="K10" s="129" t="s">
        <v>94</v>
      </c>
      <c r="L10" s="130">
        <v>46209</v>
      </c>
      <c r="M10" s="131">
        <v>46220</v>
      </c>
      <c r="N10" s="132" t="s">
        <v>122</v>
      </c>
      <c r="O10" s="82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28"/>
      <c r="AC10" s="134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28"/>
      <c r="AQ10" s="82"/>
      <c r="AR10" s="133"/>
      <c r="AS10" s="133"/>
      <c r="AT10" s="133"/>
      <c r="AU10" s="133"/>
      <c r="AV10" s="133"/>
      <c r="AW10" s="133"/>
      <c r="AX10" s="135"/>
      <c r="AY10" s="136"/>
      <c r="AZ10" s="135"/>
      <c r="BA10" s="135"/>
      <c r="BB10" s="135"/>
      <c r="BC10" s="133"/>
      <c r="BD10" s="128"/>
      <c r="BE10" s="82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28"/>
      <c r="BS10" s="82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28"/>
      <c r="CG10" s="82"/>
      <c r="CH10" s="133"/>
      <c r="CI10" s="133"/>
      <c r="CJ10" s="133"/>
      <c r="CK10" s="133"/>
      <c r="CL10" s="133"/>
      <c r="CM10" s="133"/>
      <c r="CN10" s="133"/>
      <c r="CO10" s="133"/>
      <c r="CP10" s="133"/>
      <c r="CQ10" s="133"/>
      <c r="CR10" s="133"/>
      <c r="CS10" s="133"/>
      <c r="CT10" s="128"/>
      <c r="CU10" s="129"/>
      <c r="CV10" s="3"/>
    </row>
    <row r="11" spans="1:100" ht="16.5" customHeight="1">
      <c r="A11" s="3" t="s">
        <v>261</v>
      </c>
      <c r="B11" s="3">
        <v>7</v>
      </c>
      <c r="C11" s="3" t="s">
        <v>271</v>
      </c>
      <c r="D11" s="5" t="s">
        <v>272</v>
      </c>
      <c r="E11" s="53" t="str">
        <f t="shared" ref="E11:E16" si="6">IF(A11&lt;&gt;"", IF(A11=A10, "", A11), "")</f>
        <v/>
      </c>
      <c r="F11" s="81">
        <f t="shared" ref="F11:H11" si="7">IF(B11&lt;&gt;"", IF(B11=B18, "", B11), "")</f>
        <v>7</v>
      </c>
      <c r="G11" s="133" t="str">
        <f t="shared" si="7"/>
        <v>dataviz開発（マージ対応）</v>
      </c>
      <c r="H11" s="86" t="str">
        <f t="shared" si="7"/>
        <v>新車受注分析</v>
      </c>
      <c r="I11" s="84" t="s">
        <v>263</v>
      </c>
      <c r="J11" s="85" t="s">
        <v>263</v>
      </c>
      <c r="K11" s="86" t="s">
        <v>94</v>
      </c>
      <c r="L11" s="87">
        <v>46216</v>
      </c>
      <c r="M11" s="88">
        <v>46234</v>
      </c>
      <c r="N11" s="89" t="s">
        <v>98</v>
      </c>
      <c r="O11" s="84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85"/>
      <c r="AC11" s="91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85"/>
      <c r="AQ11" s="84"/>
      <c r="AR11" s="90"/>
      <c r="AS11" s="90"/>
      <c r="AT11" s="90"/>
      <c r="AU11" s="90"/>
      <c r="AV11" s="90"/>
      <c r="AW11" s="90"/>
      <c r="AX11" s="92"/>
      <c r="AY11" s="93"/>
      <c r="AZ11" s="92"/>
      <c r="BA11" s="92"/>
      <c r="BB11" s="92"/>
      <c r="BC11" s="90"/>
      <c r="BD11" s="85"/>
      <c r="BE11" s="84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85"/>
      <c r="BS11" s="84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85"/>
      <c r="CG11" s="84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  <c r="CT11" s="85"/>
      <c r="CU11" s="86"/>
      <c r="CV11" s="3"/>
    </row>
    <row r="12" spans="1:100" ht="16.5" customHeight="1">
      <c r="A12" s="3" t="s">
        <v>261</v>
      </c>
      <c r="B12" s="3">
        <v>8</v>
      </c>
      <c r="C12" s="3" t="s">
        <v>271</v>
      </c>
      <c r="D12" s="5" t="s">
        <v>273</v>
      </c>
      <c r="E12" s="53" t="str">
        <f t="shared" si="6"/>
        <v/>
      </c>
      <c r="F12" s="137">
        <f t="shared" ref="F12:H12" si="8">IF(B12&lt;&gt;"", IF(B12=B11, "", B12), "")</f>
        <v>8</v>
      </c>
      <c r="G12" s="55" t="str">
        <f t="shared" si="8"/>
        <v/>
      </c>
      <c r="H12" s="138" t="str">
        <f t="shared" si="8"/>
        <v>中古車受注分析（マスタ画面含め）ガメンフク</v>
      </c>
      <c r="I12" s="139" t="s">
        <v>263</v>
      </c>
      <c r="J12" s="140" t="s">
        <v>263</v>
      </c>
      <c r="K12" s="141" t="s">
        <v>94</v>
      </c>
      <c r="L12" s="142">
        <v>46216</v>
      </c>
      <c r="M12" s="143">
        <v>46234</v>
      </c>
      <c r="N12" s="144" t="s">
        <v>98</v>
      </c>
      <c r="O12" s="139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0"/>
      <c r="AC12" s="146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0"/>
      <c r="AQ12" s="139"/>
      <c r="AR12" s="145"/>
      <c r="AS12" s="145"/>
      <c r="AT12" s="145"/>
      <c r="AU12" s="145"/>
      <c r="AV12" s="145"/>
      <c r="AW12" s="145"/>
      <c r="AX12" s="147"/>
      <c r="AY12" s="148"/>
      <c r="AZ12" s="147"/>
      <c r="BA12" s="147"/>
      <c r="BB12" s="147"/>
      <c r="BC12" s="145"/>
      <c r="BD12" s="140"/>
      <c r="BE12" s="139"/>
      <c r="BF12" s="145"/>
      <c r="BG12" s="145"/>
      <c r="BH12" s="145"/>
      <c r="BI12" s="145"/>
      <c r="BJ12" s="145"/>
      <c r="BK12" s="145"/>
      <c r="BL12" s="145"/>
      <c r="BM12" s="145"/>
      <c r="BN12" s="145"/>
      <c r="BO12" s="145"/>
      <c r="BP12" s="145"/>
      <c r="BQ12" s="145"/>
      <c r="BR12" s="140"/>
      <c r="BS12" s="139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45"/>
      <c r="CF12" s="140"/>
      <c r="CG12" s="139"/>
      <c r="CH12" s="145"/>
      <c r="CI12" s="145"/>
      <c r="CJ12" s="145"/>
      <c r="CK12" s="145"/>
      <c r="CL12" s="145"/>
      <c r="CM12" s="145"/>
      <c r="CN12" s="145"/>
      <c r="CO12" s="145"/>
      <c r="CP12" s="145"/>
      <c r="CQ12" s="145"/>
      <c r="CR12" s="145"/>
      <c r="CS12" s="145"/>
      <c r="CT12" s="140"/>
      <c r="CU12" s="141"/>
      <c r="CV12" s="3"/>
    </row>
    <row r="13" spans="1:100" ht="16.5" customHeight="1">
      <c r="A13" s="3" t="s">
        <v>261</v>
      </c>
      <c r="B13" s="3">
        <v>9</v>
      </c>
      <c r="C13" s="3" t="s">
        <v>271</v>
      </c>
      <c r="D13" s="5" t="s">
        <v>274</v>
      </c>
      <c r="E13" s="53" t="str">
        <f t="shared" si="6"/>
        <v/>
      </c>
      <c r="F13" s="137">
        <f t="shared" ref="F13:H13" si="9">IF(B13&lt;&gt;"", IF(B13=B12, "", B13), "")</f>
        <v>9</v>
      </c>
      <c r="G13" s="55" t="str">
        <f t="shared" si="9"/>
        <v/>
      </c>
      <c r="H13" s="138" t="str">
        <f t="shared" si="9"/>
        <v>中古車仕入・在庫情報</v>
      </c>
      <c r="I13" s="139" t="s">
        <v>263</v>
      </c>
      <c r="J13" s="140" t="s">
        <v>263</v>
      </c>
      <c r="K13" s="141" t="s">
        <v>94</v>
      </c>
      <c r="L13" s="142">
        <v>46216</v>
      </c>
      <c r="M13" s="143">
        <v>46234</v>
      </c>
      <c r="N13" s="144" t="s">
        <v>98</v>
      </c>
      <c r="O13" s="139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0"/>
      <c r="AC13" s="146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0"/>
      <c r="AQ13" s="139"/>
      <c r="AR13" s="145"/>
      <c r="AS13" s="145"/>
      <c r="AT13" s="145"/>
      <c r="AU13" s="145"/>
      <c r="AV13" s="145"/>
      <c r="AW13" s="145"/>
      <c r="AX13" s="147"/>
      <c r="AY13" s="148"/>
      <c r="AZ13" s="147"/>
      <c r="BA13" s="147"/>
      <c r="BB13" s="147"/>
      <c r="BC13" s="145"/>
      <c r="BD13" s="140"/>
      <c r="BE13" s="139"/>
      <c r="BF13" s="145"/>
      <c r="BG13" s="145"/>
      <c r="BH13" s="145"/>
      <c r="BI13" s="145"/>
      <c r="BJ13" s="145"/>
      <c r="BK13" s="145"/>
      <c r="BL13" s="145"/>
      <c r="BM13" s="145"/>
      <c r="BN13" s="145"/>
      <c r="BO13" s="145"/>
      <c r="BP13" s="145"/>
      <c r="BQ13" s="145"/>
      <c r="BR13" s="140"/>
      <c r="BS13" s="139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45"/>
      <c r="CF13" s="140"/>
      <c r="CG13" s="139"/>
      <c r="CH13" s="145"/>
      <c r="CI13" s="145"/>
      <c r="CJ13" s="145"/>
      <c r="CK13" s="145"/>
      <c r="CL13" s="145"/>
      <c r="CM13" s="145"/>
      <c r="CN13" s="145"/>
      <c r="CO13" s="145"/>
      <c r="CP13" s="145"/>
      <c r="CQ13" s="145"/>
      <c r="CR13" s="145"/>
      <c r="CS13" s="145"/>
      <c r="CT13" s="140"/>
      <c r="CU13" s="141"/>
      <c r="CV13" s="3"/>
    </row>
    <row r="14" spans="1:100" ht="16.5" customHeight="1">
      <c r="A14" s="3" t="s">
        <v>261</v>
      </c>
      <c r="B14" s="3">
        <v>10</v>
      </c>
      <c r="C14" s="3" t="s">
        <v>271</v>
      </c>
      <c r="D14" s="5" t="s">
        <v>275</v>
      </c>
      <c r="E14" s="53" t="str">
        <f t="shared" si="6"/>
        <v/>
      </c>
      <c r="F14" s="137">
        <f t="shared" ref="F14:H14" si="10">IF(B14&lt;&gt;"", IF(B14=B13, "", B14), "")</f>
        <v>10</v>
      </c>
      <c r="G14" s="55" t="str">
        <f t="shared" si="10"/>
        <v/>
      </c>
      <c r="H14" s="138" t="str">
        <f t="shared" si="10"/>
        <v>市場処置の実施状況と部品管理見える化</v>
      </c>
      <c r="I14" s="139" t="s">
        <v>263</v>
      </c>
      <c r="J14" s="140" t="s">
        <v>263</v>
      </c>
      <c r="K14" s="141" t="s">
        <v>94</v>
      </c>
      <c r="L14" s="142">
        <v>46216</v>
      </c>
      <c r="M14" s="143">
        <v>46220</v>
      </c>
      <c r="N14" s="144" t="s">
        <v>98</v>
      </c>
      <c r="O14" s="139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0"/>
      <c r="AC14" s="146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0"/>
      <c r="AQ14" s="139"/>
      <c r="AR14" s="145"/>
      <c r="AS14" s="145"/>
      <c r="AT14" s="145"/>
      <c r="AU14" s="145"/>
      <c r="AV14" s="145"/>
      <c r="AW14" s="145"/>
      <c r="AX14" s="147"/>
      <c r="AY14" s="148"/>
      <c r="AZ14" s="147"/>
      <c r="BA14" s="147"/>
      <c r="BB14" s="147"/>
      <c r="BC14" s="145"/>
      <c r="BD14" s="140"/>
      <c r="BE14" s="139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0"/>
      <c r="BS14" s="139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0"/>
      <c r="CG14" s="139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0"/>
      <c r="CU14" s="141"/>
      <c r="CV14" s="3"/>
    </row>
    <row r="15" spans="1:100" ht="16.5" customHeight="1">
      <c r="A15" s="3" t="s">
        <v>261</v>
      </c>
      <c r="B15" s="3">
        <v>11</v>
      </c>
      <c r="C15" s="3" t="s">
        <v>271</v>
      </c>
      <c r="D15" s="5" t="s">
        <v>276</v>
      </c>
      <c r="E15" s="53" t="str">
        <f t="shared" si="6"/>
        <v/>
      </c>
      <c r="F15" s="137">
        <f t="shared" ref="F15:H15" si="11">IF(B15&lt;&gt;"", IF(B15=B14, "", B15), "")</f>
        <v>11</v>
      </c>
      <c r="G15" s="55" t="str">
        <f t="shared" si="11"/>
        <v/>
      </c>
      <c r="H15" s="138" t="str">
        <f t="shared" si="11"/>
        <v>NEO 契約№変更対応の帳票改修</v>
      </c>
      <c r="I15" s="139" t="s">
        <v>263</v>
      </c>
      <c r="J15" s="140" t="s">
        <v>263</v>
      </c>
      <c r="K15" s="141" t="s">
        <v>94</v>
      </c>
      <c r="L15" s="142">
        <v>46224</v>
      </c>
      <c r="M15" s="143">
        <v>46227</v>
      </c>
      <c r="N15" s="144" t="s">
        <v>98</v>
      </c>
      <c r="O15" s="139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0"/>
      <c r="AC15" s="146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0"/>
      <c r="AQ15" s="139"/>
      <c r="AR15" s="145"/>
      <c r="AS15" s="145"/>
      <c r="AT15" s="145"/>
      <c r="AU15" s="145"/>
      <c r="AV15" s="145"/>
      <c r="AW15" s="145"/>
      <c r="AX15" s="147"/>
      <c r="AY15" s="148"/>
      <c r="AZ15" s="147"/>
      <c r="BA15" s="147"/>
      <c r="BB15" s="147"/>
      <c r="BC15" s="145"/>
      <c r="BD15" s="140"/>
      <c r="BE15" s="139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0"/>
      <c r="BS15" s="139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0"/>
      <c r="CG15" s="139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0"/>
      <c r="CU15" s="141"/>
      <c r="CV15" s="3"/>
    </row>
    <row r="16" spans="1:100" ht="16.5" customHeight="1">
      <c r="A16" s="3" t="s">
        <v>261</v>
      </c>
      <c r="B16" s="3">
        <v>12</v>
      </c>
      <c r="C16" s="3" t="s">
        <v>271</v>
      </c>
      <c r="D16" s="5" t="s">
        <v>277</v>
      </c>
      <c r="E16" s="53" t="str">
        <f t="shared" si="6"/>
        <v/>
      </c>
      <c r="F16" s="68">
        <f t="shared" ref="F16:H16" si="12">IF(B16&lt;&gt;"", IF(B16=B15, "", B16), "")</f>
        <v>12</v>
      </c>
      <c r="G16" s="55" t="str">
        <f t="shared" si="12"/>
        <v/>
      </c>
      <c r="H16" s="69" t="str">
        <f t="shared" si="12"/>
        <v>ストール充足率の見える化</v>
      </c>
      <c r="I16" s="70" t="s">
        <v>263</v>
      </c>
      <c r="J16" s="71" t="s">
        <v>263</v>
      </c>
      <c r="K16" s="72" t="s">
        <v>94</v>
      </c>
      <c r="L16" s="73">
        <v>46230</v>
      </c>
      <c r="M16" s="74">
        <v>46234</v>
      </c>
      <c r="N16" s="75" t="s">
        <v>98</v>
      </c>
      <c r="O16" s="70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1"/>
      <c r="AC16" s="77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1"/>
      <c r="AQ16" s="70"/>
      <c r="AR16" s="76"/>
      <c r="AS16" s="76"/>
      <c r="AT16" s="76"/>
      <c r="AU16" s="76"/>
      <c r="AV16" s="76"/>
      <c r="AW16" s="76"/>
      <c r="AX16" s="78"/>
      <c r="AY16" s="79"/>
      <c r="AZ16" s="78"/>
      <c r="BA16" s="78"/>
      <c r="BB16" s="78"/>
      <c r="BC16" s="76"/>
      <c r="BD16" s="71"/>
      <c r="BE16" s="70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1"/>
      <c r="BS16" s="70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1"/>
      <c r="CG16" s="70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1"/>
      <c r="CU16" s="72"/>
      <c r="CV16" s="3"/>
    </row>
    <row r="17" spans="1:100" ht="16.5" customHeight="1">
      <c r="A17" s="3" t="s">
        <v>261</v>
      </c>
      <c r="B17" s="3" t="s">
        <v>278</v>
      </c>
      <c r="C17" s="3" t="s">
        <v>279</v>
      </c>
      <c r="D17" s="5" t="s">
        <v>280</v>
      </c>
      <c r="E17" s="53"/>
      <c r="F17" s="81" t="str">
        <f t="shared" ref="F17:H17" si="13">IF(B17&lt;&gt;"", IF(B17=B10, "", B17), "")</f>
        <v>A</v>
      </c>
      <c r="G17" s="82" t="str">
        <f t="shared" si="13"/>
        <v>事前準備</v>
      </c>
      <c r="H17" s="83" t="str">
        <f t="shared" si="13"/>
        <v>Dataviz構成図整理</v>
      </c>
      <c r="I17" s="84" t="s">
        <v>145</v>
      </c>
      <c r="J17" s="85" t="s">
        <v>281</v>
      </c>
      <c r="K17" s="160" t="s">
        <v>282</v>
      </c>
      <c r="L17" s="87">
        <v>46212</v>
      </c>
      <c r="M17" s="88">
        <v>46213</v>
      </c>
      <c r="N17" s="89" t="s">
        <v>122</v>
      </c>
      <c r="O17" s="84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85"/>
      <c r="AC17" s="91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85"/>
      <c r="AQ17" s="84"/>
      <c r="AR17" s="90"/>
      <c r="AS17" s="90"/>
      <c r="AT17" s="90"/>
      <c r="AU17" s="90"/>
      <c r="AV17" s="90"/>
      <c r="AW17" s="90"/>
      <c r="AX17" s="92"/>
      <c r="AY17" s="93"/>
      <c r="AZ17" s="92"/>
      <c r="BA17" s="92"/>
      <c r="BB17" s="92"/>
      <c r="BC17" s="90"/>
      <c r="BD17" s="85"/>
      <c r="BE17" s="84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85"/>
      <c r="BS17" s="84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85"/>
      <c r="CG17" s="84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  <c r="CT17" s="85"/>
      <c r="CU17" s="86"/>
      <c r="CV17" s="3"/>
    </row>
    <row r="18" spans="1:100" ht="16.5" customHeight="1">
      <c r="A18" s="3" t="s">
        <v>261</v>
      </c>
      <c r="B18" s="3" t="s">
        <v>283</v>
      </c>
      <c r="C18" s="3" t="s">
        <v>279</v>
      </c>
      <c r="D18" s="5" t="s">
        <v>284</v>
      </c>
      <c r="E18" s="53"/>
      <c r="F18" s="68" t="str">
        <f>IF(B18&lt;&gt;"", IF(B18=B11, "", B18), "")</f>
        <v>B</v>
      </c>
      <c r="G18" s="55"/>
      <c r="H18" s="69" t="str">
        <f>IF(D18&lt;&gt;"", IF(D18=D11, "", D18), "")</f>
        <v>WBS作成</v>
      </c>
      <c r="I18" s="97" t="s">
        <v>145</v>
      </c>
      <c r="J18" s="98" t="s">
        <v>285</v>
      </c>
      <c r="K18" s="161" t="s">
        <v>286</v>
      </c>
      <c r="L18" s="100">
        <v>46212</v>
      </c>
      <c r="M18" s="101">
        <v>46213</v>
      </c>
      <c r="N18" s="144" t="s">
        <v>122</v>
      </c>
      <c r="O18" s="97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98"/>
      <c r="AC18" s="104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98"/>
      <c r="AQ18" s="97"/>
      <c r="AR18" s="103"/>
      <c r="AS18" s="103"/>
      <c r="AT18" s="103"/>
      <c r="AU18" s="103"/>
      <c r="AV18" s="103"/>
      <c r="AW18" s="103"/>
      <c r="AX18" s="105"/>
      <c r="AY18" s="106"/>
      <c r="AZ18" s="105"/>
      <c r="BA18" s="105"/>
      <c r="BB18" s="105"/>
      <c r="BC18" s="103"/>
      <c r="BD18" s="98"/>
      <c r="BE18" s="97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98"/>
      <c r="BS18" s="97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98"/>
      <c r="CG18" s="97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98"/>
      <c r="CU18" s="99"/>
      <c r="CV18" s="3"/>
    </row>
    <row r="19" spans="1:100" ht="16.5" customHeight="1">
      <c r="A19" s="3" t="s">
        <v>261</v>
      </c>
      <c r="B19" s="3">
        <v>13</v>
      </c>
      <c r="C19" s="3" t="s">
        <v>287</v>
      </c>
      <c r="D19" s="5" t="s">
        <v>288</v>
      </c>
      <c r="E19" s="53" t="str">
        <f t="shared" ref="E19:H19" si="14">IF(A19&lt;&gt;"", IF(A19=A16, "", A19), "")</f>
        <v/>
      </c>
      <c r="F19" s="81">
        <f t="shared" si="14"/>
        <v>13</v>
      </c>
      <c r="G19" s="82" t="str">
        <f t="shared" si="14"/>
        <v>権限設計</v>
      </c>
      <c r="H19" s="83" t="str">
        <f t="shared" si="14"/>
        <v>各販社のユーザー情報収集</v>
      </c>
      <c r="I19" s="84" t="s">
        <v>263</v>
      </c>
      <c r="J19" s="85" t="s">
        <v>263</v>
      </c>
      <c r="K19" s="59" t="s">
        <v>94</v>
      </c>
      <c r="L19" s="87">
        <v>46216</v>
      </c>
      <c r="M19" s="88">
        <v>46220</v>
      </c>
      <c r="N19" s="89" t="s">
        <v>98</v>
      </c>
      <c r="O19" s="84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85"/>
      <c r="AC19" s="91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85"/>
      <c r="AQ19" s="84"/>
      <c r="AR19" s="90"/>
      <c r="AS19" s="90"/>
      <c r="AT19" s="90"/>
      <c r="AU19" s="90"/>
      <c r="AV19" s="90"/>
      <c r="AW19" s="90"/>
      <c r="AX19" s="92"/>
      <c r="AY19" s="93"/>
      <c r="AZ19" s="92"/>
      <c r="BA19" s="92"/>
      <c r="BB19" s="92"/>
      <c r="BC19" s="90"/>
      <c r="BD19" s="85"/>
      <c r="BE19" s="84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85"/>
      <c r="BS19" s="84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85"/>
      <c r="CG19" s="84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85"/>
      <c r="CU19" s="86"/>
      <c r="CV19" s="3"/>
    </row>
    <row r="20" spans="1:100" ht="16.5" customHeight="1">
      <c r="A20" s="3" t="s">
        <v>261</v>
      </c>
      <c r="B20" s="3">
        <v>14</v>
      </c>
      <c r="C20" s="3" t="s">
        <v>287</v>
      </c>
      <c r="D20" s="5" t="s">
        <v>289</v>
      </c>
      <c r="E20" s="53" t="str">
        <f t="shared" ref="E20:H20" si="15">IF(A20&lt;&gt;"", IF(A20=A19, "", A20), "")</f>
        <v/>
      </c>
      <c r="F20" s="137">
        <f t="shared" si="15"/>
        <v>14</v>
      </c>
      <c r="G20" s="55" t="str">
        <f t="shared" si="15"/>
        <v/>
      </c>
      <c r="H20" s="138" t="str">
        <f t="shared" si="15"/>
        <v>Ranger権限設定のデモのスクリプト作成とインフラチームへの説明セツメイ</v>
      </c>
      <c r="I20" s="139" t="s">
        <v>263</v>
      </c>
      <c r="J20" s="140" t="s">
        <v>263</v>
      </c>
      <c r="K20" s="141" t="s">
        <v>94</v>
      </c>
      <c r="L20" s="142">
        <v>46224</v>
      </c>
      <c r="M20" s="143">
        <v>46227</v>
      </c>
      <c r="N20" s="144" t="s">
        <v>98</v>
      </c>
      <c r="O20" s="139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0"/>
      <c r="AC20" s="146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0"/>
      <c r="AQ20" s="139"/>
      <c r="AR20" s="145"/>
      <c r="AS20" s="145"/>
      <c r="AT20" s="145"/>
      <c r="AU20" s="145"/>
      <c r="AV20" s="145"/>
      <c r="AW20" s="145"/>
      <c r="AX20" s="147"/>
      <c r="AY20" s="148"/>
      <c r="AZ20" s="147"/>
      <c r="BA20" s="147"/>
      <c r="BB20" s="147"/>
      <c r="BC20" s="145"/>
      <c r="BD20" s="140"/>
      <c r="BE20" s="139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45"/>
      <c r="BR20" s="140"/>
      <c r="BS20" s="139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45"/>
      <c r="CF20" s="140"/>
      <c r="CG20" s="139"/>
      <c r="CH20" s="145"/>
      <c r="CI20" s="145"/>
      <c r="CJ20" s="145"/>
      <c r="CK20" s="145"/>
      <c r="CL20" s="145"/>
      <c r="CM20" s="145"/>
      <c r="CN20" s="145"/>
      <c r="CO20" s="145"/>
      <c r="CP20" s="145"/>
      <c r="CQ20" s="145"/>
      <c r="CR20" s="145"/>
      <c r="CS20" s="145"/>
      <c r="CT20" s="140"/>
      <c r="CU20" s="141"/>
      <c r="CV20" s="3"/>
    </row>
    <row r="21" spans="1:100" ht="16.5" customHeight="1">
      <c r="A21" s="3" t="s">
        <v>261</v>
      </c>
      <c r="B21" s="3" t="s">
        <v>290</v>
      </c>
      <c r="C21" s="3" t="s">
        <v>287</v>
      </c>
      <c r="D21" s="5" t="s">
        <v>291</v>
      </c>
      <c r="E21" s="53"/>
      <c r="F21" s="137" t="str">
        <f t="shared" ref="F21:H21" si="16">IF(B21&lt;&gt;"", IF(B21=B20, "", B21), "")</f>
        <v>C</v>
      </c>
      <c r="G21" s="55" t="str">
        <f t="shared" si="16"/>
        <v/>
      </c>
      <c r="H21" s="138" t="str">
        <f t="shared" si="16"/>
        <v>Ranger権限設定のレビュー（Clouderaに連携）</v>
      </c>
      <c r="I21" s="170" t="s">
        <v>145</v>
      </c>
      <c r="J21" s="171"/>
      <c r="K21" s="141"/>
      <c r="L21" s="142">
        <v>46212</v>
      </c>
      <c r="M21" s="143">
        <v>46218</v>
      </c>
      <c r="N21" s="144" t="s">
        <v>98</v>
      </c>
      <c r="O21" s="139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0"/>
      <c r="AC21" s="146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0"/>
      <c r="AQ21" s="139"/>
      <c r="AR21" s="145"/>
      <c r="AS21" s="145"/>
      <c r="AT21" s="145"/>
      <c r="AU21" s="145"/>
      <c r="AV21" s="145"/>
      <c r="AW21" s="145"/>
      <c r="AX21" s="147"/>
      <c r="AY21" s="148"/>
      <c r="AZ21" s="147"/>
      <c r="BA21" s="147"/>
      <c r="BB21" s="147"/>
      <c r="BC21" s="145"/>
      <c r="BD21" s="140"/>
      <c r="BE21" s="139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45"/>
      <c r="BR21" s="140"/>
      <c r="BS21" s="139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45"/>
      <c r="CF21" s="140"/>
      <c r="CG21" s="139"/>
      <c r="CH21" s="145"/>
      <c r="CI21" s="145"/>
      <c r="CJ21" s="145"/>
      <c r="CK21" s="145"/>
      <c r="CL21" s="145"/>
      <c r="CM21" s="145"/>
      <c r="CN21" s="145"/>
      <c r="CO21" s="145"/>
      <c r="CP21" s="145"/>
      <c r="CQ21" s="145"/>
      <c r="CR21" s="145"/>
      <c r="CS21" s="145"/>
      <c r="CT21" s="140"/>
      <c r="CU21" s="141"/>
      <c r="CV21" s="3"/>
    </row>
    <row r="22" spans="1:100" ht="16.5" customHeight="1">
      <c r="A22" s="3" t="s">
        <v>261</v>
      </c>
      <c r="B22" s="3">
        <v>15</v>
      </c>
      <c r="C22" s="3" t="s">
        <v>287</v>
      </c>
      <c r="D22" s="5" t="s">
        <v>292</v>
      </c>
      <c r="E22" s="53" t="str">
        <f>IF(A22&lt;&gt;"", IF(A22=A20, "", A22), "")</f>
        <v/>
      </c>
      <c r="F22" s="137">
        <f t="shared" ref="F22:H22" si="17">IF(B22&lt;&gt;"", IF(B22=B21, "", B22), "")</f>
        <v>15</v>
      </c>
      <c r="G22" s="55" t="str">
        <f t="shared" si="17"/>
        <v/>
      </c>
      <c r="H22" s="138" t="str">
        <f t="shared" si="17"/>
        <v>各販社ユーザー向けRangeロール作成（検証環境）ケンショウカンキョウ</v>
      </c>
      <c r="I22" s="170" t="s">
        <v>145</v>
      </c>
      <c r="J22" s="140"/>
      <c r="K22" s="141"/>
      <c r="L22" s="142">
        <v>46230</v>
      </c>
      <c r="M22" s="143">
        <v>46234</v>
      </c>
      <c r="N22" s="144" t="s">
        <v>98</v>
      </c>
      <c r="O22" s="139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0"/>
      <c r="AC22" s="146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0"/>
      <c r="AQ22" s="139"/>
      <c r="AR22" s="145"/>
      <c r="AS22" s="145"/>
      <c r="AT22" s="145"/>
      <c r="AU22" s="145"/>
      <c r="AV22" s="145"/>
      <c r="AW22" s="145"/>
      <c r="AX22" s="147"/>
      <c r="AY22" s="148"/>
      <c r="AZ22" s="147"/>
      <c r="BA22" s="147"/>
      <c r="BB22" s="147"/>
      <c r="BC22" s="145"/>
      <c r="BD22" s="140"/>
      <c r="BE22" s="139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0"/>
      <c r="BS22" s="139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45"/>
      <c r="CF22" s="140"/>
      <c r="CG22" s="139"/>
      <c r="CH22" s="145"/>
      <c r="CI22" s="145"/>
      <c r="CJ22" s="145"/>
      <c r="CK22" s="145"/>
      <c r="CL22" s="145"/>
      <c r="CM22" s="145"/>
      <c r="CN22" s="145"/>
      <c r="CO22" s="145"/>
      <c r="CP22" s="145"/>
      <c r="CQ22" s="145"/>
      <c r="CR22" s="145"/>
      <c r="CS22" s="145"/>
      <c r="CT22" s="140"/>
      <c r="CU22" s="141"/>
      <c r="CV22" s="3"/>
    </row>
    <row r="23" spans="1:100" ht="16.5" customHeight="1">
      <c r="A23" s="3" t="s">
        <v>261</v>
      </c>
      <c r="B23" s="3">
        <v>16</v>
      </c>
      <c r="C23" s="3" t="s">
        <v>287</v>
      </c>
      <c r="D23" s="5" t="s">
        <v>293</v>
      </c>
      <c r="E23" s="53" t="str">
        <f t="shared" ref="E23:H23" si="18">IF(A23&lt;&gt;"", IF(A23=A22, "", A23), "")</f>
        <v/>
      </c>
      <c r="F23" s="137">
        <f t="shared" si="18"/>
        <v>16</v>
      </c>
      <c r="G23" s="55" t="str">
        <f t="shared" si="18"/>
        <v/>
      </c>
      <c r="H23" s="138" t="str">
        <f t="shared" si="18"/>
        <v>各販社ユーザー向けユーザ権限付与（検証環境）ケンゲンフヨ</v>
      </c>
      <c r="I23" s="170" t="s">
        <v>145</v>
      </c>
      <c r="J23" s="140"/>
      <c r="K23" s="141"/>
      <c r="L23" s="142">
        <v>46230</v>
      </c>
      <c r="M23" s="143">
        <v>46234</v>
      </c>
      <c r="N23" s="144" t="s">
        <v>98</v>
      </c>
      <c r="O23" s="139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0"/>
      <c r="AC23" s="146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0"/>
      <c r="AQ23" s="139"/>
      <c r="AR23" s="145"/>
      <c r="AS23" s="145"/>
      <c r="AT23" s="145"/>
      <c r="AU23" s="145"/>
      <c r="AV23" s="145"/>
      <c r="AW23" s="145"/>
      <c r="AX23" s="147"/>
      <c r="AY23" s="148"/>
      <c r="AZ23" s="147"/>
      <c r="BA23" s="147"/>
      <c r="BB23" s="147"/>
      <c r="BC23" s="145"/>
      <c r="BD23" s="140"/>
      <c r="BE23" s="139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0"/>
      <c r="BS23" s="139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0"/>
      <c r="CG23" s="139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0"/>
      <c r="CU23" s="141"/>
      <c r="CV23" s="3"/>
    </row>
    <row r="24" spans="1:100" ht="16.5" customHeight="1">
      <c r="A24" s="3" t="s">
        <v>261</v>
      </c>
      <c r="B24" s="3">
        <v>17</v>
      </c>
      <c r="C24" s="3" t="s">
        <v>287</v>
      </c>
      <c r="D24" s="5" t="s">
        <v>294</v>
      </c>
      <c r="E24" s="53" t="str">
        <f t="shared" ref="E24:H24" si="19">IF(A24&lt;&gt;"", IF(A24=A23, "", A24), "")</f>
        <v/>
      </c>
      <c r="F24" s="137">
        <f t="shared" si="19"/>
        <v>17</v>
      </c>
      <c r="G24" s="55" t="str">
        <f t="shared" si="19"/>
        <v/>
      </c>
      <c r="H24" s="138" t="str">
        <f t="shared" si="19"/>
        <v>Dataviz関連ユーザ権限設計レビュー（設計は６月にやった）カンレンケンゲンセッケイセッケイガツ</v>
      </c>
      <c r="I24" s="170" t="s">
        <v>263</v>
      </c>
      <c r="J24" s="140" t="s">
        <v>263</v>
      </c>
      <c r="K24" s="141" t="s">
        <v>94</v>
      </c>
      <c r="L24" s="142">
        <v>46209</v>
      </c>
      <c r="M24" s="143">
        <v>46220</v>
      </c>
      <c r="N24" s="144" t="s">
        <v>98</v>
      </c>
      <c r="O24" s="139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0"/>
      <c r="AC24" s="146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0"/>
      <c r="AQ24" s="139"/>
      <c r="AR24" s="145"/>
      <c r="AS24" s="145"/>
      <c r="AT24" s="145"/>
      <c r="AU24" s="145"/>
      <c r="AV24" s="145"/>
      <c r="AW24" s="145"/>
      <c r="AX24" s="147"/>
      <c r="AY24" s="148"/>
      <c r="AZ24" s="147"/>
      <c r="BA24" s="147"/>
      <c r="BB24" s="147"/>
      <c r="BC24" s="145"/>
      <c r="BD24" s="140"/>
      <c r="BE24" s="139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45"/>
      <c r="BR24" s="140"/>
      <c r="BS24" s="139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45"/>
      <c r="CF24" s="140"/>
      <c r="CG24" s="139"/>
      <c r="CH24" s="145"/>
      <c r="CI24" s="145"/>
      <c r="CJ24" s="145"/>
      <c r="CK24" s="145"/>
      <c r="CL24" s="145"/>
      <c r="CM24" s="145"/>
      <c r="CN24" s="145"/>
      <c r="CO24" s="145"/>
      <c r="CP24" s="145"/>
      <c r="CQ24" s="145"/>
      <c r="CR24" s="145"/>
      <c r="CS24" s="145"/>
      <c r="CT24" s="140"/>
      <c r="CU24" s="141"/>
      <c r="CV24" s="3"/>
    </row>
    <row r="25" spans="1:100" ht="16.5" customHeight="1">
      <c r="A25" s="3" t="s">
        <v>261</v>
      </c>
      <c r="B25" s="3">
        <v>18</v>
      </c>
      <c r="C25" s="3" t="s">
        <v>287</v>
      </c>
      <c r="D25" s="5" t="s">
        <v>295</v>
      </c>
      <c r="E25" s="53" t="str">
        <f t="shared" ref="E25:H25" si="20">IF(A25&lt;&gt;"", IF(A25=A24, "", A25), "")</f>
        <v/>
      </c>
      <c r="F25" s="94">
        <f t="shared" si="20"/>
        <v>18</v>
      </c>
      <c r="G25" s="95" t="str">
        <f t="shared" si="20"/>
        <v/>
      </c>
      <c r="H25" s="96" t="str">
        <f t="shared" si="20"/>
        <v>Dataviz関連ユーザ権限設計検証カンレンケンゲンセッケイケンショウ</v>
      </c>
      <c r="I25" s="172" t="s">
        <v>263</v>
      </c>
      <c r="J25" s="98" t="s">
        <v>263</v>
      </c>
      <c r="K25" s="99" t="s">
        <v>94</v>
      </c>
      <c r="L25" s="100">
        <v>46230</v>
      </c>
      <c r="M25" s="101">
        <v>46255</v>
      </c>
      <c r="N25" s="102" t="s">
        <v>98</v>
      </c>
      <c r="O25" s="97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98"/>
      <c r="AC25" s="104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98"/>
      <c r="AQ25" s="97"/>
      <c r="AR25" s="103"/>
      <c r="AS25" s="103"/>
      <c r="AT25" s="103"/>
      <c r="AU25" s="103"/>
      <c r="AV25" s="103"/>
      <c r="AW25" s="103"/>
      <c r="AX25" s="105"/>
      <c r="AY25" s="106"/>
      <c r="AZ25" s="105"/>
      <c r="BA25" s="105"/>
      <c r="BB25" s="105"/>
      <c r="BC25" s="103"/>
      <c r="BD25" s="98"/>
      <c r="BE25" s="97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98"/>
      <c r="BS25" s="97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98"/>
      <c r="CG25" s="97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98"/>
      <c r="CU25" s="99"/>
      <c r="CV25" s="3"/>
    </row>
    <row r="26" spans="1:100" ht="16.5" customHeight="1">
      <c r="A26" s="3" t="s">
        <v>261</v>
      </c>
      <c r="B26" s="3" t="s">
        <v>296</v>
      </c>
      <c r="C26" s="3" t="s">
        <v>297</v>
      </c>
      <c r="D26" s="5" t="s">
        <v>298</v>
      </c>
      <c r="E26" s="53"/>
      <c r="F26" s="54" t="str">
        <f t="shared" ref="F26:H26" si="21">IF(B26&lt;&gt;"", IF(B26=B25, "", B26), "")</f>
        <v>D</v>
      </c>
      <c r="G26" s="55" t="str">
        <f t="shared" si="21"/>
        <v>認証方式変更</v>
      </c>
      <c r="H26" s="56" t="str">
        <f t="shared" si="21"/>
        <v>GAC申請</v>
      </c>
      <c r="I26" s="178" t="s">
        <v>145</v>
      </c>
      <c r="J26" s="179"/>
      <c r="K26" s="59"/>
      <c r="L26" s="26">
        <v>46212</v>
      </c>
      <c r="M26" s="30">
        <v>46218</v>
      </c>
      <c r="N26" s="60" t="s">
        <v>98</v>
      </c>
      <c r="O26" s="57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58"/>
      <c r="AC26" s="63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58"/>
      <c r="AQ26" s="57"/>
      <c r="AR26" s="61"/>
      <c r="AS26" s="61"/>
      <c r="AT26" s="61"/>
      <c r="AU26" s="61"/>
      <c r="AV26" s="61"/>
      <c r="AW26" s="61"/>
      <c r="AX26" s="66"/>
      <c r="AY26" s="67"/>
      <c r="AZ26" s="66"/>
      <c r="BA26" s="66"/>
      <c r="BB26" s="66"/>
      <c r="BC26" s="61"/>
      <c r="BD26" s="58"/>
      <c r="BE26" s="57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58"/>
      <c r="BS26" s="57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58"/>
      <c r="CG26" s="57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58"/>
      <c r="CU26" s="59"/>
      <c r="CV26" s="3"/>
    </row>
    <row r="27" spans="1:100" ht="16.5" customHeight="1">
      <c r="A27" s="3" t="s">
        <v>261</v>
      </c>
      <c r="B27" s="3">
        <v>19</v>
      </c>
      <c r="C27" s="3" t="s">
        <v>297</v>
      </c>
      <c r="D27" s="5" t="s">
        <v>299</v>
      </c>
      <c r="E27" s="53" t="str">
        <f>IF(A27&lt;&gt;"", IF(A27=A25, "", A27), "")</f>
        <v/>
      </c>
      <c r="F27" s="137">
        <f t="shared" ref="F27:H27" si="22">IF(B27&lt;&gt;"", IF(B27=B26, "", B27), "")</f>
        <v>19</v>
      </c>
      <c r="G27" s="55" t="str">
        <f t="shared" si="22"/>
        <v/>
      </c>
      <c r="H27" s="138" t="str">
        <f t="shared" si="22"/>
        <v>ATSC／GAC CDP導入（検証環境）
※望ましいのは7月末前に完了、できない場合、8/7前に完了必須</v>
      </c>
      <c r="I27" s="139" t="s">
        <v>145</v>
      </c>
      <c r="J27" s="140"/>
      <c r="K27" s="141"/>
      <c r="L27" s="142">
        <v>46209</v>
      </c>
      <c r="M27" s="143">
        <v>46234</v>
      </c>
      <c r="N27" s="144" t="s">
        <v>98</v>
      </c>
      <c r="O27" s="139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0"/>
      <c r="AC27" s="146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0"/>
      <c r="AQ27" s="139"/>
      <c r="AR27" s="145"/>
      <c r="AS27" s="145"/>
      <c r="AT27" s="145"/>
      <c r="AU27" s="145"/>
      <c r="AV27" s="145"/>
      <c r="AW27" s="145"/>
      <c r="AX27" s="147"/>
      <c r="AY27" s="148"/>
      <c r="AZ27" s="147"/>
      <c r="BA27" s="147"/>
      <c r="BB27" s="147"/>
      <c r="BC27" s="145"/>
      <c r="BD27" s="140"/>
      <c r="BE27" s="139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0"/>
      <c r="BS27" s="139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0"/>
      <c r="CG27" s="139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0"/>
      <c r="CU27" s="141"/>
      <c r="CV27" s="3"/>
    </row>
    <row r="28" spans="1:100" ht="16.5" customHeight="1">
      <c r="A28" s="3" t="s">
        <v>261</v>
      </c>
      <c r="B28" s="3">
        <v>20</v>
      </c>
      <c r="C28" s="3" t="s">
        <v>297</v>
      </c>
      <c r="D28" s="5" t="s">
        <v>300</v>
      </c>
      <c r="E28" s="53" t="str">
        <f t="shared" ref="E28:H28" si="23">IF(A28&lt;&gt;"", IF(A28=A27, "", A28), "")</f>
        <v/>
      </c>
      <c r="F28" s="68">
        <f t="shared" si="23"/>
        <v>20</v>
      </c>
      <c r="G28" s="55" t="str">
        <f t="shared" si="23"/>
        <v/>
      </c>
      <c r="H28" s="69" t="str">
        <f t="shared" si="23"/>
        <v>ATSC／GAC  Web導入（検証環境）ドウニュウ</v>
      </c>
      <c r="I28" s="70" t="s">
        <v>263</v>
      </c>
      <c r="J28" s="71" t="s">
        <v>263</v>
      </c>
      <c r="K28" s="72" t="s">
        <v>94</v>
      </c>
      <c r="L28" s="73">
        <v>46237</v>
      </c>
      <c r="M28" s="74">
        <v>46248</v>
      </c>
      <c r="N28" s="75" t="s">
        <v>98</v>
      </c>
      <c r="O28" s="70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1"/>
      <c r="AC28" s="77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1"/>
      <c r="AQ28" s="70"/>
      <c r="AR28" s="76"/>
      <c r="AS28" s="76"/>
      <c r="AT28" s="76"/>
      <c r="AU28" s="76"/>
      <c r="AV28" s="76"/>
      <c r="AW28" s="76"/>
      <c r="AX28" s="78"/>
      <c r="AY28" s="79"/>
      <c r="AZ28" s="78"/>
      <c r="BA28" s="78"/>
      <c r="BB28" s="78"/>
      <c r="BC28" s="76"/>
      <c r="BD28" s="71"/>
      <c r="BE28" s="70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1"/>
      <c r="BS28" s="70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1"/>
      <c r="CG28" s="70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1"/>
      <c r="CU28" s="72"/>
      <c r="CV28" s="3"/>
    </row>
    <row r="29" spans="1:100" ht="16.5" customHeight="1">
      <c r="A29" s="3" t="s">
        <v>261</v>
      </c>
      <c r="B29" s="3">
        <v>21</v>
      </c>
      <c r="C29" s="3" t="s">
        <v>301</v>
      </c>
      <c r="D29" s="5" t="s">
        <v>302</v>
      </c>
      <c r="E29" s="53" t="str">
        <f t="shared" ref="E29:H29" si="24">IF(A29&lt;&gt;"", IF(A29=A28, "", A29), "")</f>
        <v/>
      </c>
      <c r="F29" s="81">
        <f t="shared" si="24"/>
        <v>21</v>
      </c>
      <c r="G29" s="82" t="str">
        <f t="shared" si="24"/>
        <v>中間テーブル</v>
      </c>
      <c r="H29" s="83" t="str">
        <f t="shared" si="24"/>
        <v>JOB環境の申込カンキョウモウシコミ</v>
      </c>
      <c r="I29" s="84" t="s">
        <v>263</v>
      </c>
      <c r="J29" s="85" t="s">
        <v>263</v>
      </c>
      <c r="K29" s="86" t="s">
        <v>94</v>
      </c>
      <c r="L29" s="87">
        <v>46216</v>
      </c>
      <c r="M29" s="88">
        <v>46225</v>
      </c>
      <c r="N29" s="89" t="s">
        <v>98</v>
      </c>
      <c r="O29" s="84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85"/>
      <c r="AC29" s="91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85"/>
      <c r="AQ29" s="84"/>
      <c r="AR29" s="90"/>
      <c r="AS29" s="90"/>
      <c r="AT29" s="90"/>
      <c r="AU29" s="90"/>
      <c r="AV29" s="90"/>
      <c r="AW29" s="90"/>
      <c r="AX29" s="92"/>
      <c r="AY29" s="93"/>
      <c r="AZ29" s="92"/>
      <c r="BA29" s="92"/>
      <c r="BB29" s="92"/>
      <c r="BC29" s="90"/>
      <c r="BD29" s="85"/>
      <c r="BE29" s="84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85"/>
      <c r="BS29" s="84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85"/>
      <c r="CG29" s="84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  <c r="CT29" s="85"/>
      <c r="CU29" s="86"/>
      <c r="CV29" s="3"/>
    </row>
    <row r="30" spans="1:100" ht="16.5" customHeight="1">
      <c r="A30" s="3" t="s">
        <v>261</v>
      </c>
      <c r="B30" s="3">
        <v>22</v>
      </c>
      <c r="C30" s="3" t="s">
        <v>301</v>
      </c>
      <c r="D30" s="5" t="s">
        <v>303</v>
      </c>
      <c r="E30" s="53" t="str">
        <f t="shared" ref="E30:H30" si="25">IF(A30&lt;&gt;"", IF(A30=A29, "", A30), "")</f>
        <v/>
      </c>
      <c r="F30" s="137">
        <f t="shared" si="25"/>
        <v>22</v>
      </c>
      <c r="G30" s="55" t="str">
        <f t="shared" si="25"/>
        <v/>
      </c>
      <c r="H30" s="138" t="str">
        <f t="shared" si="25"/>
        <v>JOB環境の構築コウチク</v>
      </c>
      <c r="I30" s="139" t="s">
        <v>145</v>
      </c>
      <c r="J30" s="140"/>
      <c r="K30" s="141"/>
      <c r="L30" s="142">
        <v>46226</v>
      </c>
      <c r="M30" s="143">
        <v>46234</v>
      </c>
      <c r="N30" s="144" t="s">
        <v>98</v>
      </c>
      <c r="O30" s="139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0"/>
      <c r="AC30" s="146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0"/>
      <c r="AQ30" s="139"/>
      <c r="AR30" s="145"/>
      <c r="AS30" s="145"/>
      <c r="AT30" s="145"/>
      <c r="AU30" s="145"/>
      <c r="AV30" s="145"/>
      <c r="AW30" s="145"/>
      <c r="AX30" s="147"/>
      <c r="AY30" s="148"/>
      <c r="AZ30" s="147"/>
      <c r="BA30" s="147"/>
      <c r="BB30" s="147"/>
      <c r="BC30" s="145"/>
      <c r="BD30" s="140"/>
      <c r="BE30" s="139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0"/>
      <c r="BS30" s="139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0"/>
      <c r="CG30" s="139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0"/>
      <c r="CU30" s="141"/>
      <c r="CV30" s="3"/>
    </row>
    <row r="31" spans="1:100" ht="16.5" customHeight="1">
      <c r="A31" s="3" t="s">
        <v>261</v>
      </c>
      <c r="B31" s="3">
        <v>23</v>
      </c>
      <c r="C31" s="3" t="s">
        <v>301</v>
      </c>
      <c r="D31" s="5" t="s">
        <v>304</v>
      </c>
      <c r="E31" s="53" t="str">
        <f t="shared" ref="E31:H31" si="26">IF(A31&lt;&gt;"", IF(A31=A30, "", A31), "")</f>
        <v/>
      </c>
      <c r="F31" s="137">
        <f t="shared" si="26"/>
        <v>23</v>
      </c>
      <c r="G31" s="55" t="str">
        <f t="shared" si="26"/>
        <v/>
      </c>
      <c r="H31" s="138" t="str">
        <f t="shared" si="26"/>
        <v>中間テーブル更新のJOB作成コウシンサクセイ</v>
      </c>
      <c r="I31" s="139" t="s">
        <v>263</v>
      </c>
      <c r="J31" s="140" t="s">
        <v>263</v>
      </c>
      <c r="K31" s="141" t="s">
        <v>94</v>
      </c>
      <c r="L31" s="142">
        <v>46237</v>
      </c>
      <c r="M31" s="143">
        <v>46248</v>
      </c>
      <c r="N31" s="144" t="s">
        <v>98</v>
      </c>
      <c r="O31" s="139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0"/>
      <c r="AC31" s="146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0"/>
      <c r="AQ31" s="139"/>
      <c r="AR31" s="145"/>
      <c r="AS31" s="145"/>
      <c r="AT31" s="145"/>
      <c r="AU31" s="145"/>
      <c r="AV31" s="145"/>
      <c r="AW31" s="145"/>
      <c r="AX31" s="147"/>
      <c r="AY31" s="148"/>
      <c r="AZ31" s="147"/>
      <c r="BA31" s="147"/>
      <c r="BB31" s="147"/>
      <c r="BC31" s="145"/>
      <c r="BD31" s="140"/>
      <c r="BE31" s="139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0"/>
      <c r="BS31" s="139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0"/>
      <c r="CG31" s="139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0"/>
      <c r="CU31" s="141"/>
      <c r="CV31" s="3"/>
    </row>
    <row r="32" spans="1:100" ht="16.5" customHeight="1">
      <c r="A32" s="3" t="s">
        <v>261</v>
      </c>
      <c r="B32" s="3">
        <v>24</v>
      </c>
      <c r="C32" s="3" t="s">
        <v>301</v>
      </c>
      <c r="D32" s="5" t="s">
        <v>305</v>
      </c>
      <c r="E32" s="53" t="str">
        <f t="shared" ref="E32:H32" si="27">IF(A32&lt;&gt;"", IF(A32=A31, "", A32), "")</f>
        <v/>
      </c>
      <c r="F32" s="137">
        <f t="shared" si="27"/>
        <v>24</v>
      </c>
      <c r="G32" s="55" t="str">
        <f t="shared" si="27"/>
        <v/>
      </c>
      <c r="H32" s="138" t="str">
        <f t="shared" si="27"/>
        <v>テスト</v>
      </c>
      <c r="I32" s="139" t="s">
        <v>263</v>
      </c>
      <c r="J32" s="140" t="s">
        <v>263</v>
      </c>
      <c r="K32" s="141" t="s">
        <v>94</v>
      </c>
      <c r="L32" s="142">
        <v>46244</v>
      </c>
      <c r="M32" s="143">
        <v>46255</v>
      </c>
      <c r="N32" s="144" t="s">
        <v>98</v>
      </c>
      <c r="O32" s="139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0"/>
      <c r="AC32" s="146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0"/>
      <c r="AQ32" s="139"/>
      <c r="AR32" s="145"/>
      <c r="AS32" s="145"/>
      <c r="AT32" s="145"/>
      <c r="AU32" s="145"/>
      <c r="AV32" s="145"/>
      <c r="AW32" s="145"/>
      <c r="AX32" s="147"/>
      <c r="AY32" s="148"/>
      <c r="AZ32" s="147"/>
      <c r="BA32" s="147"/>
      <c r="BB32" s="147"/>
      <c r="BC32" s="145"/>
      <c r="BD32" s="140"/>
      <c r="BE32" s="139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0"/>
      <c r="BS32" s="139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0"/>
      <c r="CG32" s="139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0"/>
      <c r="CU32" s="141"/>
      <c r="CV32" s="3"/>
    </row>
    <row r="33" spans="1:100" ht="16.5" customHeight="1">
      <c r="A33" s="3" t="s">
        <v>261</v>
      </c>
      <c r="B33" s="3">
        <v>25</v>
      </c>
      <c r="C33" s="3" t="s">
        <v>301</v>
      </c>
      <c r="D33" s="5" t="s">
        <v>306</v>
      </c>
      <c r="E33" s="53" t="str">
        <f t="shared" ref="E33:H33" si="28">IF(A33&lt;&gt;"", IF(A33=A32, "", A33), "")</f>
        <v/>
      </c>
      <c r="F33" s="94">
        <f t="shared" si="28"/>
        <v>25</v>
      </c>
      <c r="G33" s="95" t="str">
        <f t="shared" si="28"/>
        <v/>
      </c>
      <c r="H33" s="96" t="str">
        <f t="shared" si="28"/>
        <v>詳細設計書改修</v>
      </c>
      <c r="I33" s="97" t="s">
        <v>263</v>
      </c>
      <c r="J33" s="98" t="s">
        <v>263</v>
      </c>
      <c r="K33" s="99" t="s">
        <v>94</v>
      </c>
      <c r="L33" s="100">
        <v>46251</v>
      </c>
      <c r="M33" s="101">
        <v>46262</v>
      </c>
      <c r="N33" s="102" t="s">
        <v>98</v>
      </c>
      <c r="O33" s="97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98"/>
      <c r="AC33" s="104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98"/>
      <c r="AQ33" s="97"/>
      <c r="AR33" s="103"/>
      <c r="AS33" s="103"/>
      <c r="AT33" s="103"/>
      <c r="AU33" s="103"/>
      <c r="AV33" s="103"/>
      <c r="AW33" s="103"/>
      <c r="AX33" s="105"/>
      <c r="AY33" s="106"/>
      <c r="AZ33" s="105"/>
      <c r="BA33" s="105"/>
      <c r="BB33" s="105"/>
      <c r="BC33" s="103"/>
      <c r="BD33" s="98"/>
      <c r="BE33" s="97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  <c r="BP33" s="103"/>
      <c r="BQ33" s="103"/>
      <c r="BR33" s="98"/>
      <c r="BS33" s="97"/>
      <c r="BT33" s="103"/>
      <c r="BU33" s="103"/>
      <c r="BV33" s="103"/>
      <c r="BW33" s="103"/>
      <c r="BX33" s="103"/>
      <c r="BY33" s="103"/>
      <c r="BZ33" s="103"/>
      <c r="CA33" s="103"/>
      <c r="CB33" s="103"/>
      <c r="CC33" s="103"/>
      <c r="CD33" s="103"/>
      <c r="CE33" s="103"/>
      <c r="CF33" s="98"/>
      <c r="CG33" s="97"/>
      <c r="CH33" s="103"/>
      <c r="CI33" s="103"/>
      <c r="CJ33" s="103"/>
      <c r="CK33" s="103"/>
      <c r="CL33" s="103"/>
      <c r="CM33" s="103"/>
      <c r="CN33" s="103"/>
      <c r="CO33" s="103"/>
      <c r="CP33" s="103"/>
      <c r="CQ33" s="103"/>
      <c r="CR33" s="103"/>
      <c r="CS33" s="103"/>
      <c r="CT33" s="98"/>
      <c r="CU33" s="99"/>
      <c r="CV33" s="3"/>
    </row>
    <row r="34" spans="1:100" ht="16.5" customHeight="1">
      <c r="A34" s="3" t="s">
        <v>261</v>
      </c>
      <c r="B34" s="3">
        <v>26</v>
      </c>
      <c r="C34" s="3" t="s">
        <v>307</v>
      </c>
      <c r="D34" s="5" t="s">
        <v>308</v>
      </c>
      <c r="E34" s="53" t="str">
        <f t="shared" ref="E34:H34" si="29">IF(A34&lt;&gt;"", IF(A34=A33, "", A34), "")</f>
        <v/>
      </c>
      <c r="F34" s="54">
        <f t="shared" si="29"/>
        <v>26</v>
      </c>
      <c r="G34" s="55" t="str">
        <f t="shared" si="29"/>
        <v>資料整備</v>
      </c>
      <c r="H34" s="56" t="str">
        <f t="shared" si="29"/>
        <v>マニュアル改修</v>
      </c>
      <c r="I34" s="57" t="s">
        <v>263</v>
      </c>
      <c r="J34" s="58" t="s">
        <v>263</v>
      </c>
      <c r="K34" s="59" t="s">
        <v>94</v>
      </c>
      <c r="L34" s="26">
        <v>46251</v>
      </c>
      <c r="M34" s="30">
        <v>46262</v>
      </c>
      <c r="N34" s="60" t="s">
        <v>98</v>
      </c>
      <c r="O34" s="57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58"/>
      <c r="AC34" s="63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58"/>
      <c r="AQ34" s="57"/>
      <c r="AR34" s="61"/>
      <c r="AS34" s="61"/>
      <c r="AT34" s="61"/>
      <c r="AU34" s="61"/>
      <c r="AV34" s="61"/>
      <c r="AW34" s="61"/>
      <c r="AX34" s="66"/>
      <c r="AY34" s="67"/>
      <c r="AZ34" s="66"/>
      <c r="BA34" s="66"/>
      <c r="BB34" s="66"/>
      <c r="BC34" s="61"/>
      <c r="BD34" s="58"/>
      <c r="BE34" s="57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58"/>
      <c r="BS34" s="57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58"/>
      <c r="CG34" s="57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58"/>
      <c r="CU34" s="59"/>
      <c r="CV34" s="3"/>
    </row>
    <row r="35" spans="1:100" ht="16.5" customHeight="1">
      <c r="A35" s="3" t="s">
        <v>261</v>
      </c>
      <c r="B35" s="3">
        <v>27</v>
      </c>
      <c r="C35" s="3" t="s">
        <v>307</v>
      </c>
      <c r="D35" s="5" t="s">
        <v>309</v>
      </c>
      <c r="E35" s="53" t="str">
        <f t="shared" ref="E35:H35" si="30">IF(A35&lt;&gt;"", IF(A35=A34, "", A35), "")</f>
        <v/>
      </c>
      <c r="F35" s="68">
        <f t="shared" si="30"/>
        <v>27</v>
      </c>
      <c r="G35" s="55" t="str">
        <f t="shared" si="30"/>
        <v/>
      </c>
      <c r="H35" s="69" t="str">
        <f t="shared" si="30"/>
        <v>受入テスト対応</v>
      </c>
      <c r="I35" s="70" t="s">
        <v>263</v>
      </c>
      <c r="J35" s="71" t="s">
        <v>263</v>
      </c>
      <c r="K35" s="72" t="s">
        <v>94</v>
      </c>
      <c r="L35" s="73">
        <v>46251</v>
      </c>
      <c r="M35" s="74">
        <v>46260</v>
      </c>
      <c r="N35" s="75" t="s">
        <v>98</v>
      </c>
      <c r="O35" s="70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/>
      <c r="AC35" s="77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1"/>
      <c r="AQ35" s="70"/>
      <c r="AR35" s="76"/>
      <c r="AS35" s="76"/>
      <c r="AT35" s="76"/>
      <c r="AU35" s="76"/>
      <c r="AV35" s="76"/>
      <c r="AW35" s="76"/>
      <c r="AX35" s="78"/>
      <c r="AY35" s="79"/>
      <c r="AZ35" s="78"/>
      <c r="BA35" s="78"/>
      <c r="BB35" s="78"/>
      <c r="BC35" s="76"/>
      <c r="BD35" s="71"/>
      <c r="BE35" s="70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1"/>
      <c r="BS35" s="70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  <c r="CF35" s="71"/>
      <c r="CG35" s="70"/>
      <c r="CH35" s="76"/>
      <c r="CI35" s="76"/>
      <c r="CJ35" s="76"/>
      <c r="CK35" s="76"/>
      <c r="CL35" s="76"/>
      <c r="CM35" s="76"/>
      <c r="CN35" s="76"/>
      <c r="CO35" s="76"/>
      <c r="CP35" s="76"/>
      <c r="CQ35" s="76"/>
      <c r="CR35" s="76"/>
      <c r="CS35" s="76"/>
      <c r="CT35" s="71"/>
      <c r="CU35" s="72"/>
      <c r="CV35" s="3"/>
    </row>
    <row r="36" spans="1:100" ht="16.5" customHeight="1">
      <c r="A36" s="3" t="s">
        <v>261</v>
      </c>
      <c r="B36" s="3">
        <v>28</v>
      </c>
      <c r="C36" s="3" t="s">
        <v>310</v>
      </c>
      <c r="D36" s="5" t="s">
        <v>311</v>
      </c>
      <c r="E36" s="53" t="str">
        <f t="shared" ref="E36:H36" si="31">IF(A36&lt;&gt;"", IF(A36=A35, "", A36), "")</f>
        <v/>
      </c>
      <c r="F36" s="126">
        <f t="shared" si="31"/>
        <v>28</v>
      </c>
      <c r="G36" s="82" t="str">
        <f t="shared" si="31"/>
        <v>受入テスト</v>
      </c>
      <c r="H36" s="127" t="str">
        <f t="shared" si="31"/>
        <v>ユーザーアクセス権限の本番データ移行</v>
      </c>
      <c r="I36" s="180" t="s">
        <v>145</v>
      </c>
      <c r="J36" s="181"/>
      <c r="K36" s="182"/>
      <c r="L36" s="183">
        <v>46258</v>
      </c>
      <c r="M36" s="184">
        <v>46262</v>
      </c>
      <c r="N36" s="185" t="s">
        <v>98</v>
      </c>
      <c r="O36" s="180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1"/>
      <c r="AC36" s="187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1"/>
      <c r="AQ36" s="180"/>
      <c r="AR36" s="186"/>
      <c r="AS36" s="186"/>
      <c r="AT36" s="186"/>
      <c r="AU36" s="186"/>
      <c r="AV36" s="186"/>
      <c r="AW36" s="186"/>
      <c r="AX36" s="188"/>
      <c r="AY36" s="189"/>
      <c r="AZ36" s="188"/>
      <c r="BA36" s="188"/>
      <c r="BB36" s="188"/>
      <c r="BC36" s="186"/>
      <c r="BD36" s="181"/>
      <c r="BE36" s="180"/>
      <c r="BF36" s="186"/>
      <c r="BG36" s="186"/>
      <c r="BH36" s="186"/>
      <c r="BI36" s="186"/>
      <c r="BJ36" s="186"/>
      <c r="BK36" s="186"/>
      <c r="BL36" s="186"/>
      <c r="BM36" s="186"/>
      <c r="BN36" s="186"/>
      <c r="BO36" s="186"/>
      <c r="BP36" s="186"/>
      <c r="BQ36" s="186"/>
      <c r="BR36" s="181"/>
      <c r="BS36" s="180"/>
      <c r="BT36" s="186"/>
      <c r="BU36" s="186"/>
      <c r="BV36" s="186"/>
      <c r="BW36" s="186"/>
      <c r="BX36" s="186"/>
      <c r="BY36" s="186"/>
      <c r="BZ36" s="186"/>
      <c r="CA36" s="186"/>
      <c r="CB36" s="186"/>
      <c r="CC36" s="186"/>
      <c r="CD36" s="186"/>
      <c r="CE36" s="186"/>
      <c r="CF36" s="181"/>
      <c r="CG36" s="180"/>
      <c r="CH36" s="186"/>
      <c r="CI36" s="186"/>
      <c r="CJ36" s="186"/>
      <c r="CK36" s="186"/>
      <c r="CL36" s="186"/>
      <c r="CM36" s="186"/>
      <c r="CN36" s="186"/>
      <c r="CO36" s="186"/>
      <c r="CP36" s="186"/>
      <c r="CQ36" s="186"/>
      <c r="CR36" s="186"/>
      <c r="CS36" s="186"/>
      <c r="CT36" s="181"/>
      <c r="CU36" s="182"/>
      <c r="CV36" s="3"/>
    </row>
    <row r="37" spans="1:100" ht="16.5" customHeight="1">
      <c r="A37" s="3" t="s">
        <v>261</v>
      </c>
      <c r="B37" s="3">
        <v>29</v>
      </c>
      <c r="C37" s="3" t="s">
        <v>312</v>
      </c>
      <c r="D37" s="5" t="s">
        <v>313</v>
      </c>
      <c r="E37" s="53" t="str">
        <f t="shared" ref="E37:H37" si="32">IF(A37&lt;&gt;"", IF(A37=A36, "", A37), "")</f>
        <v/>
      </c>
      <c r="F37" s="81">
        <f t="shared" si="32"/>
        <v>29</v>
      </c>
      <c r="G37" s="82" t="str">
        <f t="shared" si="32"/>
        <v>本番リリース</v>
      </c>
      <c r="H37" s="83" t="str">
        <f t="shared" si="32"/>
        <v>本番情報設定（役割グループ、Ranger、Job）ホンバンジョウホウセッテイヤクワリ</v>
      </c>
      <c r="I37" s="57" t="s">
        <v>145</v>
      </c>
      <c r="J37" s="58"/>
      <c r="K37" s="59"/>
      <c r="L37" s="26">
        <v>46258</v>
      </c>
      <c r="M37" s="30">
        <v>46262</v>
      </c>
      <c r="N37" s="60" t="s">
        <v>98</v>
      </c>
      <c r="O37" s="57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58"/>
      <c r="AC37" s="63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58"/>
      <c r="AQ37" s="57"/>
      <c r="AR37" s="61"/>
      <c r="AS37" s="61"/>
      <c r="AT37" s="61"/>
      <c r="AU37" s="61"/>
      <c r="AV37" s="61"/>
      <c r="AW37" s="61"/>
      <c r="AX37" s="66"/>
      <c r="AY37" s="67"/>
      <c r="AZ37" s="66"/>
      <c r="BA37" s="66"/>
      <c r="BB37" s="66"/>
      <c r="BC37" s="61"/>
      <c r="BD37" s="58"/>
      <c r="BE37" s="57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58"/>
      <c r="BS37" s="57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58"/>
      <c r="CG37" s="57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58"/>
      <c r="CU37" s="59"/>
      <c r="CV37" s="3"/>
    </row>
    <row r="38" spans="1:100" ht="16.5" customHeight="1">
      <c r="A38" s="3" t="s">
        <v>261</v>
      </c>
      <c r="B38" s="3">
        <v>30</v>
      </c>
      <c r="C38" s="3" t="s">
        <v>312</v>
      </c>
      <c r="D38" s="5" t="s">
        <v>314</v>
      </c>
      <c r="E38" s="190" t="str">
        <f t="shared" ref="E38:H38" si="33">IF(A38&lt;&gt;"", IF(A38=A37, "", A38), "")</f>
        <v/>
      </c>
      <c r="F38" s="94">
        <f t="shared" si="33"/>
        <v>30</v>
      </c>
      <c r="G38" s="95" t="str">
        <f t="shared" si="33"/>
        <v/>
      </c>
      <c r="H38" s="96" t="str">
        <f t="shared" si="33"/>
        <v>リリース準備と実施</v>
      </c>
      <c r="I38" s="97" t="s">
        <v>263</v>
      </c>
      <c r="J38" s="98" t="s">
        <v>263</v>
      </c>
      <c r="K38" s="99" t="s">
        <v>94</v>
      </c>
      <c r="L38" s="100">
        <v>46258</v>
      </c>
      <c r="M38" s="101">
        <v>46262</v>
      </c>
      <c r="N38" s="102" t="s">
        <v>98</v>
      </c>
      <c r="O38" s="97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98"/>
      <c r="AC38" s="104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98"/>
      <c r="AQ38" s="97"/>
      <c r="AR38" s="103"/>
      <c r="AS38" s="103"/>
      <c r="AT38" s="103"/>
      <c r="AU38" s="103"/>
      <c r="AV38" s="103"/>
      <c r="AW38" s="103"/>
      <c r="AX38" s="105"/>
      <c r="AY38" s="106"/>
      <c r="AZ38" s="105"/>
      <c r="BA38" s="105"/>
      <c r="BB38" s="105"/>
      <c r="BC38" s="103"/>
      <c r="BD38" s="98"/>
      <c r="BE38" s="97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98"/>
      <c r="BS38" s="97"/>
      <c r="BT38" s="103"/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3"/>
      <c r="CF38" s="98"/>
      <c r="CG38" s="97"/>
      <c r="CH38" s="103"/>
      <c r="CI38" s="103"/>
      <c r="CJ38" s="103"/>
      <c r="CK38" s="103"/>
      <c r="CL38" s="103"/>
      <c r="CM38" s="103"/>
      <c r="CN38" s="103"/>
      <c r="CO38" s="103"/>
      <c r="CP38" s="103"/>
      <c r="CQ38" s="103"/>
      <c r="CR38" s="103"/>
      <c r="CS38" s="103"/>
      <c r="CT38" s="98"/>
      <c r="CU38" s="99"/>
      <c r="CV38" s="3"/>
    </row>
    <row r="39" spans="1:100" ht="16.5" customHeight="1">
      <c r="A39" s="3"/>
      <c r="B39" s="3" t="str">
        <f t="shared" ref="B39:B203" si="34">IF(C39&lt;&gt;"", ROW()-4, "")</f>
        <v/>
      </c>
      <c r="C39" s="3"/>
      <c r="D39" s="5"/>
      <c r="E39" s="3" t="str">
        <f t="shared" ref="E39:H39" si="35">IF(A39&lt;&gt;"", IF(A39=A38, "", A39), "")</f>
        <v/>
      </c>
      <c r="F39" s="191" t="str">
        <f t="shared" si="35"/>
        <v/>
      </c>
      <c r="G39" s="3" t="str">
        <f t="shared" si="35"/>
        <v/>
      </c>
      <c r="H39" s="5" t="str">
        <f t="shared" si="35"/>
        <v/>
      </c>
      <c r="I39" s="3"/>
      <c r="J39" s="3"/>
      <c r="K39" s="3"/>
      <c r="L39" s="192"/>
      <c r="M39" s="192"/>
      <c r="N39" s="19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</row>
    <row r="40" spans="1:100" ht="16.5" customHeight="1">
      <c r="A40" s="3"/>
      <c r="B40" s="3" t="str">
        <f t="shared" si="34"/>
        <v/>
      </c>
      <c r="C40" s="3"/>
      <c r="D40" s="5"/>
      <c r="E40" s="3" t="str">
        <f t="shared" ref="E40:H40" si="36">IF(A40&lt;&gt;"", IF(A40=A39, "", A40), "")</f>
        <v/>
      </c>
      <c r="F40" s="191" t="str">
        <f t="shared" si="36"/>
        <v/>
      </c>
      <c r="G40" s="3" t="str">
        <f t="shared" si="36"/>
        <v/>
      </c>
      <c r="H40" s="5" t="str">
        <f t="shared" si="36"/>
        <v/>
      </c>
      <c r="I40" s="3"/>
      <c r="J40" s="3"/>
      <c r="K40" s="3"/>
      <c r="L40" s="192"/>
      <c r="M40" s="192"/>
      <c r="N40" s="19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</row>
    <row r="41" spans="1:100" ht="16.5" customHeight="1">
      <c r="A41" s="3"/>
      <c r="B41" s="3" t="str">
        <f t="shared" si="34"/>
        <v/>
      </c>
      <c r="C41" s="3"/>
      <c r="D41" s="5"/>
      <c r="E41" s="3" t="str">
        <f t="shared" ref="E41:G41" si="37">IF(A41&lt;&gt;"", IF(A41=A40, "", A41), "")</f>
        <v/>
      </c>
      <c r="F41" s="191" t="str">
        <f t="shared" si="37"/>
        <v/>
      </c>
      <c r="G41" s="3" t="str">
        <f t="shared" si="37"/>
        <v/>
      </c>
      <c r="H41" s="3"/>
      <c r="I41" s="3"/>
      <c r="J41" s="3"/>
      <c r="K41" s="3"/>
      <c r="L41" s="192"/>
      <c r="M41" s="192"/>
      <c r="N41" s="19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</row>
    <row r="42" spans="1:100" ht="16.5" customHeight="1">
      <c r="A42" s="3"/>
      <c r="B42" s="3" t="str">
        <f t="shared" si="34"/>
        <v/>
      </c>
      <c r="C42" s="3"/>
      <c r="D42" s="5"/>
      <c r="E42" s="3" t="str">
        <f t="shared" ref="E42:G42" si="38">IF(A42&lt;&gt;"", IF(A42=A41, "", A42), "")</f>
        <v/>
      </c>
      <c r="F42" s="191" t="str">
        <f t="shared" si="38"/>
        <v/>
      </c>
      <c r="G42" s="3" t="str">
        <f t="shared" si="38"/>
        <v/>
      </c>
      <c r="H42" s="5"/>
      <c r="I42" s="3"/>
      <c r="J42" s="3"/>
      <c r="K42" s="3"/>
      <c r="L42" s="192"/>
      <c r="M42" s="192"/>
      <c r="N42" s="19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</row>
    <row r="43" spans="1:100" ht="16.5" customHeight="1">
      <c r="A43" s="3"/>
      <c r="B43" s="3" t="str">
        <f t="shared" si="34"/>
        <v/>
      </c>
      <c r="C43" s="3"/>
      <c r="D43" s="5"/>
      <c r="E43" s="3" t="str">
        <f t="shared" ref="E43:G43" si="39">IF(A43&lt;&gt;"", IF(A43=A42, "", A43), "")</f>
        <v/>
      </c>
      <c r="F43" s="191" t="str">
        <f t="shared" si="39"/>
        <v/>
      </c>
      <c r="G43" s="3" t="str">
        <f t="shared" si="39"/>
        <v/>
      </c>
      <c r="H43" s="5"/>
      <c r="I43" s="3"/>
      <c r="J43" s="3"/>
      <c r="K43" s="3"/>
      <c r="L43" s="192"/>
      <c r="M43" s="192"/>
      <c r="N43" s="19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</row>
    <row r="44" spans="1:100" ht="16.5" customHeight="1">
      <c r="A44" s="3"/>
      <c r="B44" s="3" t="str">
        <f t="shared" si="34"/>
        <v/>
      </c>
      <c r="C44" s="3"/>
      <c r="D44" s="5"/>
      <c r="E44" s="3" t="str">
        <f t="shared" ref="E44:G44" si="40">IF(A44&lt;&gt;"", IF(A44=A43, "", A44), "")</f>
        <v/>
      </c>
      <c r="F44" s="191" t="str">
        <f t="shared" si="40"/>
        <v/>
      </c>
      <c r="G44" s="3" t="str">
        <f t="shared" si="40"/>
        <v/>
      </c>
      <c r="H44" s="5"/>
      <c r="I44" s="3"/>
      <c r="J44" s="3"/>
      <c r="K44" s="3"/>
      <c r="L44" s="192"/>
      <c r="M44" s="192"/>
      <c r="N44" s="19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</row>
    <row r="45" spans="1:100" ht="16.5" customHeight="1">
      <c r="A45" s="3"/>
      <c r="B45" s="3" t="str">
        <f t="shared" si="34"/>
        <v/>
      </c>
      <c r="C45" s="3"/>
      <c r="D45" s="5"/>
      <c r="E45" s="3" t="str">
        <f t="shared" ref="E45:H45" si="41">IF(A45&lt;&gt;"", IF(A45=A44, "", A45), "")</f>
        <v/>
      </c>
      <c r="F45" s="191" t="str">
        <f t="shared" si="41"/>
        <v/>
      </c>
      <c r="G45" s="3" t="str">
        <f t="shared" si="41"/>
        <v/>
      </c>
      <c r="H45" s="5" t="str">
        <f t="shared" si="41"/>
        <v/>
      </c>
      <c r="I45" s="3"/>
      <c r="J45" s="3"/>
      <c r="K45" s="3"/>
      <c r="L45" s="192"/>
      <c r="M45" s="192"/>
      <c r="N45" s="19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</row>
    <row r="46" spans="1:100" ht="16.5" customHeight="1">
      <c r="A46" s="3"/>
      <c r="B46" s="3" t="str">
        <f t="shared" si="34"/>
        <v/>
      </c>
      <c r="C46" s="3"/>
      <c r="D46" s="5"/>
      <c r="E46" s="3" t="str">
        <f t="shared" ref="E46:H46" si="42">IF(A46&lt;&gt;"", IF(A46=A45, "", A46), "")</f>
        <v/>
      </c>
      <c r="F46" s="191" t="str">
        <f t="shared" si="42"/>
        <v/>
      </c>
      <c r="G46" s="3" t="str">
        <f t="shared" si="42"/>
        <v/>
      </c>
      <c r="H46" s="5" t="str">
        <f t="shared" si="42"/>
        <v/>
      </c>
      <c r="I46" s="3"/>
      <c r="J46" s="3"/>
      <c r="K46" s="3"/>
      <c r="L46" s="192"/>
      <c r="M46" s="192"/>
      <c r="N46" s="19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</row>
    <row r="47" spans="1:100" ht="16.5" customHeight="1">
      <c r="A47" s="3"/>
      <c r="B47" s="3" t="str">
        <f t="shared" si="34"/>
        <v/>
      </c>
      <c r="C47" s="3"/>
      <c r="D47" s="5"/>
      <c r="E47" s="3" t="str">
        <f t="shared" ref="E47:H47" si="43">IF(A47&lt;&gt;"", IF(A47=A46, "", A47), "")</f>
        <v/>
      </c>
      <c r="F47" s="191" t="str">
        <f t="shared" si="43"/>
        <v/>
      </c>
      <c r="G47" s="3" t="str">
        <f t="shared" si="43"/>
        <v/>
      </c>
      <c r="H47" s="5" t="str">
        <f t="shared" si="43"/>
        <v/>
      </c>
      <c r="I47" s="3"/>
      <c r="J47" s="3"/>
      <c r="K47" s="3"/>
      <c r="L47" s="192"/>
      <c r="M47" s="192"/>
      <c r="N47" s="19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</row>
    <row r="48" spans="1:100" ht="16.5" customHeight="1">
      <c r="A48" s="3"/>
      <c r="B48" s="3" t="str">
        <f t="shared" si="34"/>
        <v/>
      </c>
      <c r="C48" s="3"/>
      <c r="D48" s="5"/>
      <c r="E48" s="3" t="str">
        <f t="shared" ref="E48:H48" si="44">IF(A48&lt;&gt;"", IF(A48=A47, "", A48), "")</f>
        <v/>
      </c>
      <c r="F48" s="191" t="str">
        <f t="shared" si="44"/>
        <v/>
      </c>
      <c r="G48" s="3" t="str">
        <f t="shared" si="44"/>
        <v/>
      </c>
      <c r="H48" s="5" t="str">
        <f t="shared" si="44"/>
        <v/>
      </c>
      <c r="I48" s="3"/>
      <c r="J48" s="3"/>
      <c r="K48" s="3"/>
      <c r="L48" s="192"/>
      <c r="M48" s="192"/>
      <c r="N48" s="19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</row>
    <row r="49" spans="1:100" ht="16.5" customHeight="1">
      <c r="A49" s="3"/>
      <c r="B49" s="3" t="str">
        <f t="shared" si="34"/>
        <v/>
      </c>
      <c r="C49" s="3"/>
      <c r="D49" s="5"/>
      <c r="E49" s="3" t="str">
        <f t="shared" ref="E49:H49" si="45">IF(A49&lt;&gt;"", IF(A49=A48, "", A49), "")</f>
        <v/>
      </c>
      <c r="F49" s="191" t="str">
        <f t="shared" si="45"/>
        <v/>
      </c>
      <c r="G49" s="3" t="str">
        <f t="shared" si="45"/>
        <v/>
      </c>
      <c r="H49" s="5" t="str">
        <f t="shared" si="45"/>
        <v/>
      </c>
      <c r="I49" s="3"/>
      <c r="J49" s="3"/>
      <c r="K49" s="3"/>
      <c r="L49" s="192"/>
      <c r="M49" s="192"/>
      <c r="N49" s="19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</row>
    <row r="50" spans="1:100" ht="16.5" customHeight="1">
      <c r="A50" s="3"/>
      <c r="B50" s="3" t="str">
        <f t="shared" si="34"/>
        <v/>
      </c>
      <c r="C50" s="3"/>
      <c r="D50" s="5"/>
      <c r="E50" s="3" t="str">
        <f t="shared" ref="E50:H50" si="46">IF(A50&lt;&gt;"", IF(A50=A49, "", A50), "")</f>
        <v/>
      </c>
      <c r="F50" s="191" t="str">
        <f t="shared" si="46"/>
        <v/>
      </c>
      <c r="G50" s="3" t="str">
        <f t="shared" si="46"/>
        <v/>
      </c>
      <c r="H50" s="5" t="str">
        <f t="shared" si="46"/>
        <v/>
      </c>
      <c r="I50" s="3"/>
      <c r="J50" s="3"/>
      <c r="K50" s="3"/>
      <c r="L50" s="192"/>
      <c r="M50" s="192"/>
      <c r="N50" s="19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</row>
    <row r="51" spans="1:100" ht="16.5" customHeight="1">
      <c r="A51" s="3"/>
      <c r="B51" s="3" t="str">
        <f t="shared" si="34"/>
        <v/>
      </c>
      <c r="C51" s="3"/>
      <c r="D51" s="5"/>
      <c r="E51" s="3" t="str">
        <f t="shared" ref="E51:H51" si="47">IF(A51&lt;&gt;"", IF(A51=A50, "", A51), "")</f>
        <v/>
      </c>
      <c r="F51" s="191" t="str">
        <f t="shared" si="47"/>
        <v/>
      </c>
      <c r="G51" s="3" t="str">
        <f t="shared" si="47"/>
        <v/>
      </c>
      <c r="H51" s="5" t="str">
        <f t="shared" si="47"/>
        <v/>
      </c>
      <c r="I51" s="3"/>
      <c r="J51" s="3"/>
      <c r="K51" s="3"/>
      <c r="L51" s="192"/>
      <c r="M51" s="192"/>
      <c r="N51" s="19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</row>
    <row r="52" spans="1:100" ht="16.5" customHeight="1">
      <c r="A52" s="3"/>
      <c r="B52" s="3" t="str">
        <f t="shared" si="34"/>
        <v/>
      </c>
      <c r="C52" s="3"/>
      <c r="D52" s="5"/>
      <c r="E52" s="3" t="str">
        <f t="shared" ref="E52:H52" si="48">IF(A52&lt;&gt;"", IF(A52=A51, "", A52), "")</f>
        <v/>
      </c>
      <c r="F52" s="191" t="str">
        <f t="shared" si="48"/>
        <v/>
      </c>
      <c r="G52" s="3" t="str">
        <f t="shared" si="48"/>
        <v/>
      </c>
      <c r="H52" s="5" t="str">
        <f t="shared" si="48"/>
        <v/>
      </c>
      <c r="I52" s="3"/>
      <c r="J52" s="3"/>
      <c r="K52" s="3"/>
      <c r="L52" s="192"/>
      <c r="M52" s="192"/>
      <c r="N52" s="19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</row>
    <row r="53" spans="1:100" ht="16.5" customHeight="1">
      <c r="A53" s="3"/>
      <c r="B53" s="3" t="str">
        <f t="shared" si="34"/>
        <v/>
      </c>
      <c r="C53" s="3"/>
      <c r="D53" s="5"/>
      <c r="E53" s="3" t="str">
        <f t="shared" ref="E53:H53" si="49">IF(A53&lt;&gt;"", IF(A53=A52, "", A53), "")</f>
        <v/>
      </c>
      <c r="F53" s="191" t="str">
        <f t="shared" si="49"/>
        <v/>
      </c>
      <c r="G53" s="3" t="str">
        <f t="shared" si="49"/>
        <v/>
      </c>
      <c r="H53" s="5" t="str">
        <f t="shared" si="49"/>
        <v/>
      </c>
      <c r="I53" s="3"/>
      <c r="J53" s="3"/>
      <c r="K53" s="3"/>
      <c r="L53" s="192"/>
      <c r="M53" s="192"/>
      <c r="N53" s="19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</row>
    <row r="54" spans="1:100" ht="16.5" customHeight="1">
      <c r="A54" s="3"/>
      <c r="B54" s="3" t="str">
        <f t="shared" si="34"/>
        <v/>
      </c>
      <c r="C54" s="3"/>
      <c r="D54" s="5"/>
      <c r="E54" s="3" t="str">
        <f t="shared" ref="E54:H54" si="50">IF(A54&lt;&gt;"", IF(A54=A53, "", A54), "")</f>
        <v/>
      </c>
      <c r="F54" s="191" t="str">
        <f t="shared" si="50"/>
        <v/>
      </c>
      <c r="G54" s="3" t="str">
        <f t="shared" si="50"/>
        <v/>
      </c>
      <c r="H54" s="5" t="str">
        <f t="shared" si="50"/>
        <v/>
      </c>
      <c r="I54" s="3"/>
      <c r="J54" s="3"/>
      <c r="K54" s="3"/>
      <c r="L54" s="192"/>
      <c r="M54" s="192"/>
      <c r="N54" s="19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</row>
    <row r="55" spans="1:100" ht="16.5" customHeight="1">
      <c r="A55" s="3"/>
      <c r="B55" s="3" t="str">
        <f t="shared" si="34"/>
        <v/>
      </c>
      <c r="C55" s="3"/>
      <c r="D55" s="5"/>
      <c r="E55" s="3" t="str">
        <f t="shared" ref="E55:H55" si="51">IF(A55&lt;&gt;"", IF(A55=A54, "", A55), "")</f>
        <v/>
      </c>
      <c r="F55" s="191" t="str">
        <f t="shared" si="51"/>
        <v/>
      </c>
      <c r="G55" s="3" t="str">
        <f t="shared" si="51"/>
        <v/>
      </c>
      <c r="H55" s="5" t="str">
        <f t="shared" si="51"/>
        <v/>
      </c>
      <c r="I55" s="3"/>
      <c r="J55" s="3"/>
      <c r="K55" s="3"/>
      <c r="L55" s="192"/>
      <c r="M55" s="192"/>
      <c r="N55" s="19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</row>
    <row r="56" spans="1:100" ht="16.5" customHeight="1">
      <c r="A56" s="3"/>
      <c r="B56" s="3" t="str">
        <f t="shared" si="34"/>
        <v/>
      </c>
      <c r="C56" s="3"/>
      <c r="D56" s="5"/>
      <c r="E56" s="3" t="str">
        <f t="shared" ref="E56:H56" si="52">IF(A56&lt;&gt;"", IF(A56=A55, "", A56), "")</f>
        <v/>
      </c>
      <c r="F56" s="191" t="str">
        <f t="shared" si="52"/>
        <v/>
      </c>
      <c r="G56" s="3" t="str">
        <f t="shared" si="52"/>
        <v/>
      </c>
      <c r="H56" s="5" t="str">
        <f t="shared" si="52"/>
        <v/>
      </c>
      <c r="I56" s="3"/>
      <c r="J56" s="3"/>
      <c r="K56" s="3"/>
      <c r="L56" s="192"/>
      <c r="M56" s="192"/>
      <c r="N56" s="19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</row>
    <row r="57" spans="1:100" ht="16.5" customHeight="1">
      <c r="A57" s="3"/>
      <c r="B57" s="3" t="str">
        <f t="shared" si="34"/>
        <v/>
      </c>
      <c r="C57" s="3"/>
      <c r="D57" s="5"/>
      <c r="E57" s="3" t="str">
        <f t="shared" ref="E57:H57" si="53">IF(A57&lt;&gt;"", IF(A57=A56, "", A57), "")</f>
        <v/>
      </c>
      <c r="F57" s="191" t="str">
        <f t="shared" si="53"/>
        <v/>
      </c>
      <c r="G57" s="3" t="str">
        <f t="shared" si="53"/>
        <v/>
      </c>
      <c r="H57" s="5" t="str">
        <f t="shared" si="53"/>
        <v/>
      </c>
      <c r="I57" s="3"/>
      <c r="J57" s="3"/>
      <c r="K57" s="3"/>
      <c r="L57" s="192"/>
      <c r="M57" s="192"/>
      <c r="N57" s="19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</row>
    <row r="58" spans="1:100" ht="16.5" customHeight="1">
      <c r="A58" s="3"/>
      <c r="B58" s="3" t="str">
        <f t="shared" si="34"/>
        <v/>
      </c>
      <c r="C58" s="3"/>
      <c r="D58" s="5"/>
      <c r="E58" s="3" t="str">
        <f t="shared" ref="E58:H58" si="54">IF(A58&lt;&gt;"", IF(A58=A57, "", A58), "")</f>
        <v/>
      </c>
      <c r="F58" s="191" t="str">
        <f t="shared" si="54"/>
        <v/>
      </c>
      <c r="G58" s="3" t="str">
        <f t="shared" si="54"/>
        <v/>
      </c>
      <c r="H58" s="5" t="str">
        <f t="shared" si="54"/>
        <v/>
      </c>
      <c r="I58" s="3"/>
      <c r="J58" s="3"/>
      <c r="K58" s="3"/>
      <c r="L58" s="192"/>
      <c r="M58" s="192"/>
      <c r="N58" s="19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</row>
    <row r="59" spans="1:100" ht="16.5" customHeight="1">
      <c r="A59" s="3"/>
      <c r="B59" s="3" t="str">
        <f t="shared" si="34"/>
        <v/>
      </c>
      <c r="C59" s="3"/>
      <c r="D59" s="5"/>
      <c r="E59" s="3" t="str">
        <f t="shared" ref="E59:H59" si="55">IF(A59&lt;&gt;"", IF(A59=A58, "", A59), "")</f>
        <v/>
      </c>
      <c r="F59" s="191" t="str">
        <f t="shared" si="55"/>
        <v/>
      </c>
      <c r="G59" s="3" t="str">
        <f t="shared" si="55"/>
        <v/>
      </c>
      <c r="H59" s="5" t="str">
        <f t="shared" si="55"/>
        <v/>
      </c>
      <c r="I59" s="3"/>
      <c r="J59" s="3"/>
      <c r="K59" s="3"/>
      <c r="L59" s="192"/>
      <c r="M59" s="192"/>
      <c r="N59" s="19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</row>
    <row r="60" spans="1:100" ht="16.5" customHeight="1">
      <c r="A60" s="3"/>
      <c r="B60" s="3" t="str">
        <f t="shared" si="34"/>
        <v/>
      </c>
      <c r="C60" s="3"/>
      <c r="D60" s="5"/>
      <c r="E60" s="3" t="str">
        <f t="shared" ref="E60:H60" si="56">IF(A60&lt;&gt;"", IF(A60=A59, "", A60), "")</f>
        <v/>
      </c>
      <c r="F60" s="191" t="str">
        <f t="shared" si="56"/>
        <v/>
      </c>
      <c r="G60" s="3" t="str">
        <f t="shared" si="56"/>
        <v/>
      </c>
      <c r="H60" s="5" t="str">
        <f t="shared" si="56"/>
        <v/>
      </c>
      <c r="I60" s="3"/>
      <c r="J60" s="3"/>
      <c r="K60" s="3"/>
      <c r="L60" s="192"/>
      <c r="M60" s="192"/>
      <c r="N60" s="19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</row>
    <row r="61" spans="1:100" ht="16.5" customHeight="1">
      <c r="A61" s="3"/>
      <c r="B61" s="3" t="str">
        <f t="shared" si="34"/>
        <v/>
      </c>
      <c r="C61" s="3"/>
      <c r="D61" s="5"/>
      <c r="E61" s="3" t="str">
        <f t="shared" ref="E61:H61" si="57">IF(A61&lt;&gt;"", IF(A61=A60, "", A61), "")</f>
        <v/>
      </c>
      <c r="F61" s="191" t="str">
        <f t="shared" si="57"/>
        <v/>
      </c>
      <c r="G61" s="3" t="str">
        <f t="shared" si="57"/>
        <v/>
      </c>
      <c r="H61" s="5" t="str">
        <f t="shared" si="57"/>
        <v/>
      </c>
      <c r="I61" s="3"/>
      <c r="J61" s="3"/>
      <c r="K61" s="3"/>
      <c r="L61" s="192"/>
      <c r="M61" s="192"/>
      <c r="N61" s="19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</row>
    <row r="62" spans="1:100" ht="16.5" customHeight="1">
      <c r="A62" s="3"/>
      <c r="B62" s="3" t="str">
        <f t="shared" si="34"/>
        <v/>
      </c>
      <c r="C62" s="3"/>
      <c r="D62" s="5"/>
      <c r="E62" s="3" t="str">
        <f t="shared" ref="E62:H62" si="58">IF(A62&lt;&gt;"", IF(A62=A61, "", A62), "")</f>
        <v/>
      </c>
      <c r="F62" s="191" t="str">
        <f t="shared" si="58"/>
        <v/>
      </c>
      <c r="G62" s="3" t="str">
        <f t="shared" si="58"/>
        <v/>
      </c>
      <c r="H62" s="5" t="str">
        <f t="shared" si="58"/>
        <v/>
      </c>
      <c r="I62" s="3"/>
      <c r="J62" s="3"/>
      <c r="K62" s="3"/>
      <c r="L62" s="192"/>
      <c r="M62" s="192"/>
      <c r="N62" s="19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</row>
    <row r="63" spans="1:100" ht="16.5" customHeight="1">
      <c r="A63" s="3"/>
      <c r="B63" s="3" t="str">
        <f t="shared" si="34"/>
        <v/>
      </c>
      <c r="C63" s="3"/>
      <c r="D63" s="5"/>
      <c r="E63" s="3" t="str">
        <f t="shared" ref="E63:H63" si="59">IF(A63&lt;&gt;"", IF(A63=A62, "", A63), "")</f>
        <v/>
      </c>
      <c r="F63" s="191" t="str">
        <f t="shared" si="59"/>
        <v/>
      </c>
      <c r="G63" s="3" t="str">
        <f t="shared" si="59"/>
        <v/>
      </c>
      <c r="H63" s="5" t="str">
        <f t="shared" si="59"/>
        <v/>
      </c>
      <c r="I63" s="3"/>
      <c r="J63" s="3"/>
      <c r="K63" s="3"/>
      <c r="L63" s="192"/>
      <c r="M63" s="192"/>
      <c r="N63" s="19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</row>
    <row r="64" spans="1:100" ht="16.5" customHeight="1">
      <c r="A64" s="3"/>
      <c r="B64" s="3" t="str">
        <f t="shared" si="34"/>
        <v/>
      </c>
      <c r="C64" s="3"/>
      <c r="D64" s="5"/>
      <c r="E64" s="3" t="str">
        <f t="shared" ref="E64:H64" si="60">IF(A64&lt;&gt;"", IF(A64=A63, "", A64), "")</f>
        <v/>
      </c>
      <c r="F64" s="191" t="str">
        <f t="shared" si="60"/>
        <v/>
      </c>
      <c r="G64" s="3" t="str">
        <f t="shared" si="60"/>
        <v/>
      </c>
      <c r="H64" s="5" t="str">
        <f t="shared" si="60"/>
        <v/>
      </c>
      <c r="I64" s="3"/>
      <c r="J64" s="3"/>
      <c r="K64" s="3"/>
      <c r="L64" s="192"/>
      <c r="M64" s="192"/>
      <c r="N64" s="19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</row>
    <row r="65" spans="1:100" ht="16.5" customHeight="1">
      <c r="A65" s="3"/>
      <c r="B65" s="3" t="str">
        <f t="shared" si="34"/>
        <v/>
      </c>
      <c r="C65" s="3"/>
      <c r="D65" s="5"/>
      <c r="E65" s="3" t="str">
        <f t="shared" ref="E65:H65" si="61">IF(A65&lt;&gt;"", IF(A65=A64, "", A65), "")</f>
        <v/>
      </c>
      <c r="F65" s="191" t="str">
        <f t="shared" si="61"/>
        <v/>
      </c>
      <c r="G65" s="3" t="str">
        <f t="shared" si="61"/>
        <v/>
      </c>
      <c r="H65" s="5" t="str">
        <f t="shared" si="61"/>
        <v/>
      </c>
      <c r="I65" s="3"/>
      <c r="J65" s="3"/>
      <c r="K65" s="3"/>
      <c r="L65" s="192"/>
      <c r="M65" s="192"/>
      <c r="N65" s="19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</row>
    <row r="66" spans="1:100" ht="16.5" customHeight="1">
      <c r="A66" s="3"/>
      <c r="B66" s="3" t="str">
        <f t="shared" si="34"/>
        <v/>
      </c>
      <c r="C66" s="3"/>
      <c r="D66" s="5"/>
      <c r="E66" s="3" t="str">
        <f t="shared" ref="E66:H66" si="62">IF(A66&lt;&gt;"", IF(A66=A65, "", A66), "")</f>
        <v/>
      </c>
      <c r="F66" s="191" t="str">
        <f t="shared" si="62"/>
        <v/>
      </c>
      <c r="G66" s="3" t="str">
        <f t="shared" si="62"/>
        <v/>
      </c>
      <c r="H66" s="5" t="str">
        <f t="shared" si="62"/>
        <v/>
      </c>
      <c r="I66" s="3"/>
      <c r="J66" s="3"/>
      <c r="K66" s="3"/>
      <c r="L66" s="192"/>
      <c r="M66" s="192"/>
      <c r="N66" s="19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</row>
    <row r="67" spans="1:100" ht="16.5" customHeight="1">
      <c r="A67" s="3"/>
      <c r="B67" s="3" t="str">
        <f t="shared" si="34"/>
        <v/>
      </c>
      <c r="C67" s="3"/>
      <c r="D67" s="5"/>
      <c r="E67" s="3" t="str">
        <f t="shared" ref="E67:H67" si="63">IF(A67&lt;&gt;"", IF(A67=A66, "", A67), "")</f>
        <v/>
      </c>
      <c r="F67" s="191" t="str">
        <f t="shared" si="63"/>
        <v/>
      </c>
      <c r="G67" s="3" t="str">
        <f t="shared" si="63"/>
        <v/>
      </c>
      <c r="H67" s="5" t="str">
        <f t="shared" si="63"/>
        <v/>
      </c>
      <c r="I67" s="3"/>
      <c r="J67" s="3"/>
      <c r="K67" s="3"/>
      <c r="L67" s="192"/>
      <c r="M67" s="192"/>
      <c r="N67" s="19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</row>
    <row r="68" spans="1:100" ht="16.5" customHeight="1">
      <c r="A68" s="3"/>
      <c r="B68" s="3" t="str">
        <f t="shared" si="34"/>
        <v/>
      </c>
      <c r="C68" s="3"/>
      <c r="D68" s="5"/>
      <c r="E68" s="3" t="str">
        <f t="shared" ref="E68:H68" si="64">IF(A68&lt;&gt;"", IF(A68=A67, "", A68), "")</f>
        <v/>
      </c>
      <c r="F68" s="191" t="str">
        <f t="shared" si="64"/>
        <v/>
      </c>
      <c r="G68" s="3" t="str">
        <f t="shared" si="64"/>
        <v/>
      </c>
      <c r="H68" s="5" t="str">
        <f t="shared" si="64"/>
        <v/>
      </c>
      <c r="I68" s="3"/>
      <c r="J68" s="3"/>
      <c r="K68" s="3"/>
      <c r="L68" s="192"/>
      <c r="M68" s="192"/>
      <c r="N68" s="19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</row>
    <row r="69" spans="1:100" ht="16.5" customHeight="1">
      <c r="A69" s="3"/>
      <c r="B69" s="3" t="str">
        <f t="shared" si="34"/>
        <v/>
      </c>
      <c r="C69" s="3"/>
      <c r="D69" s="5"/>
      <c r="E69" s="3" t="str">
        <f t="shared" ref="E69:H69" si="65">IF(A69&lt;&gt;"", IF(A69=A68, "", A69), "")</f>
        <v/>
      </c>
      <c r="F69" s="191" t="str">
        <f t="shared" si="65"/>
        <v/>
      </c>
      <c r="G69" s="3" t="str">
        <f t="shared" si="65"/>
        <v/>
      </c>
      <c r="H69" s="5" t="str">
        <f t="shared" si="65"/>
        <v/>
      </c>
      <c r="I69" s="3"/>
      <c r="J69" s="3"/>
      <c r="K69" s="3"/>
      <c r="L69" s="192"/>
      <c r="M69" s="192"/>
      <c r="N69" s="19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</row>
    <row r="70" spans="1:100" ht="16.5" customHeight="1">
      <c r="A70" s="3"/>
      <c r="B70" s="3" t="str">
        <f t="shared" si="34"/>
        <v/>
      </c>
      <c r="C70" s="3"/>
      <c r="D70" s="5"/>
      <c r="E70" s="3" t="str">
        <f t="shared" ref="E70:H70" si="66">IF(A70&lt;&gt;"", IF(A70=A69, "", A70), "")</f>
        <v/>
      </c>
      <c r="F70" s="191" t="str">
        <f t="shared" si="66"/>
        <v/>
      </c>
      <c r="G70" s="3" t="str">
        <f t="shared" si="66"/>
        <v/>
      </c>
      <c r="H70" s="5" t="str">
        <f t="shared" si="66"/>
        <v/>
      </c>
      <c r="I70" s="3"/>
      <c r="J70" s="3"/>
      <c r="K70" s="3"/>
      <c r="L70" s="192"/>
      <c r="M70" s="192"/>
      <c r="N70" s="19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</row>
    <row r="71" spans="1:100" ht="16.5" customHeight="1">
      <c r="A71" s="3"/>
      <c r="B71" s="3" t="str">
        <f t="shared" si="34"/>
        <v/>
      </c>
      <c r="C71" s="3"/>
      <c r="D71" s="5"/>
      <c r="E71" s="3" t="str">
        <f t="shared" ref="E71:H71" si="67">IF(A71&lt;&gt;"", IF(A71=A70, "", A71), "")</f>
        <v/>
      </c>
      <c r="F71" s="191" t="str">
        <f t="shared" si="67"/>
        <v/>
      </c>
      <c r="G71" s="3" t="str">
        <f t="shared" si="67"/>
        <v/>
      </c>
      <c r="H71" s="5" t="str">
        <f t="shared" si="67"/>
        <v/>
      </c>
      <c r="I71" s="3"/>
      <c r="J71" s="3"/>
      <c r="K71" s="3"/>
      <c r="L71" s="192"/>
      <c r="M71" s="192"/>
      <c r="N71" s="19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</row>
    <row r="72" spans="1:100" ht="16.5" customHeight="1">
      <c r="A72" s="3"/>
      <c r="B72" s="3" t="str">
        <f t="shared" si="34"/>
        <v/>
      </c>
      <c r="C72" s="3"/>
      <c r="D72" s="5"/>
      <c r="E72" s="3" t="str">
        <f t="shared" ref="E72:H72" si="68">IF(A72&lt;&gt;"", IF(A72=A71, "", A72), "")</f>
        <v/>
      </c>
      <c r="F72" s="191" t="str">
        <f t="shared" si="68"/>
        <v/>
      </c>
      <c r="G72" s="3" t="str">
        <f t="shared" si="68"/>
        <v/>
      </c>
      <c r="H72" s="5" t="str">
        <f t="shared" si="68"/>
        <v/>
      </c>
      <c r="I72" s="3"/>
      <c r="J72" s="3"/>
      <c r="K72" s="3"/>
      <c r="L72" s="192"/>
      <c r="M72" s="192"/>
      <c r="N72" s="19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</row>
    <row r="73" spans="1:100" ht="16.5" customHeight="1">
      <c r="A73" s="3"/>
      <c r="B73" s="3" t="str">
        <f t="shared" si="34"/>
        <v/>
      </c>
      <c r="C73" s="3"/>
      <c r="D73" s="5"/>
      <c r="E73" s="3" t="str">
        <f t="shared" ref="E73:H73" si="69">IF(A73&lt;&gt;"", IF(A73=A72, "", A73), "")</f>
        <v/>
      </c>
      <c r="F73" s="191" t="str">
        <f t="shared" si="69"/>
        <v/>
      </c>
      <c r="G73" s="3" t="str">
        <f t="shared" si="69"/>
        <v/>
      </c>
      <c r="H73" s="5" t="str">
        <f t="shared" si="69"/>
        <v/>
      </c>
      <c r="I73" s="3"/>
      <c r="J73" s="3"/>
      <c r="K73" s="3"/>
      <c r="L73" s="192"/>
      <c r="M73" s="192"/>
      <c r="N73" s="19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</row>
    <row r="74" spans="1:100" ht="16.5" customHeight="1">
      <c r="A74" s="3"/>
      <c r="B74" s="3" t="str">
        <f t="shared" si="34"/>
        <v/>
      </c>
      <c r="C74" s="3"/>
      <c r="D74" s="5"/>
      <c r="E74" s="3" t="str">
        <f t="shared" ref="E74:H74" si="70">IF(A74&lt;&gt;"", IF(A74=A73, "", A74), "")</f>
        <v/>
      </c>
      <c r="F74" s="191" t="str">
        <f t="shared" si="70"/>
        <v/>
      </c>
      <c r="G74" s="3" t="str">
        <f t="shared" si="70"/>
        <v/>
      </c>
      <c r="H74" s="5" t="str">
        <f t="shared" si="70"/>
        <v/>
      </c>
      <c r="I74" s="3"/>
      <c r="J74" s="3"/>
      <c r="K74" s="3"/>
      <c r="L74" s="192"/>
      <c r="M74" s="192"/>
      <c r="N74" s="19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</row>
    <row r="75" spans="1:100" ht="16.5" customHeight="1">
      <c r="A75" s="3"/>
      <c r="B75" s="3" t="str">
        <f t="shared" si="34"/>
        <v/>
      </c>
      <c r="C75" s="3"/>
      <c r="D75" s="5"/>
      <c r="E75" s="3" t="str">
        <f t="shared" ref="E75:H75" si="71">IF(A75&lt;&gt;"", IF(A75=A74, "", A75), "")</f>
        <v/>
      </c>
      <c r="F75" s="191" t="str">
        <f t="shared" si="71"/>
        <v/>
      </c>
      <c r="G75" s="3" t="str">
        <f t="shared" si="71"/>
        <v/>
      </c>
      <c r="H75" s="5" t="str">
        <f t="shared" si="71"/>
        <v/>
      </c>
      <c r="I75" s="3"/>
      <c r="J75" s="3"/>
      <c r="K75" s="3"/>
      <c r="L75" s="192"/>
      <c r="M75" s="192"/>
      <c r="N75" s="19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</row>
    <row r="76" spans="1:100" ht="16.5" customHeight="1">
      <c r="A76" s="3"/>
      <c r="B76" s="3" t="str">
        <f t="shared" si="34"/>
        <v/>
      </c>
      <c r="C76" s="3"/>
      <c r="D76" s="5"/>
      <c r="E76" s="3" t="str">
        <f t="shared" ref="E76:H76" si="72">IF(A76&lt;&gt;"", IF(A76=A75, "", A76), "")</f>
        <v/>
      </c>
      <c r="F76" s="191" t="str">
        <f t="shared" si="72"/>
        <v/>
      </c>
      <c r="G76" s="3" t="str">
        <f t="shared" si="72"/>
        <v/>
      </c>
      <c r="H76" s="5" t="str">
        <f t="shared" si="72"/>
        <v/>
      </c>
      <c r="I76" s="3"/>
      <c r="J76" s="3"/>
      <c r="K76" s="3"/>
      <c r="L76" s="192"/>
      <c r="M76" s="192"/>
      <c r="N76" s="19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</row>
    <row r="77" spans="1:100" ht="16.5" customHeight="1">
      <c r="A77" s="3"/>
      <c r="B77" s="3" t="str">
        <f t="shared" si="34"/>
        <v/>
      </c>
      <c r="C77" s="3"/>
      <c r="D77" s="5"/>
      <c r="E77" s="3" t="str">
        <f t="shared" ref="E77:H77" si="73">IF(A77&lt;&gt;"", IF(A77=A76, "", A77), "")</f>
        <v/>
      </c>
      <c r="F77" s="191" t="str">
        <f t="shared" si="73"/>
        <v/>
      </c>
      <c r="G77" s="3" t="str">
        <f t="shared" si="73"/>
        <v/>
      </c>
      <c r="H77" s="5" t="str">
        <f t="shared" si="73"/>
        <v/>
      </c>
      <c r="I77" s="3"/>
      <c r="J77" s="3"/>
      <c r="K77" s="3"/>
      <c r="L77" s="192"/>
      <c r="M77" s="192"/>
      <c r="N77" s="19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</row>
    <row r="78" spans="1:100" ht="16.5" customHeight="1">
      <c r="A78" s="3"/>
      <c r="B78" s="3" t="str">
        <f t="shared" si="34"/>
        <v/>
      </c>
      <c r="C78" s="3"/>
      <c r="D78" s="5"/>
      <c r="E78" s="3" t="str">
        <f t="shared" ref="E78:H78" si="74">IF(A78&lt;&gt;"", IF(A78=A77, "", A78), "")</f>
        <v/>
      </c>
      <c r="F78" s="191" t="str">
        <f t="shared" si="74"/>
        <v/>
      </c>
      <c r="G78" s="3" t="str">
        <f t="shared" si="74"/>
        <v/>
      </c>
      <c r="H78" s="5" t="str">
        <f t="shared" si="74"/>
        <v/>
      </c>
      <c r="I78" s="3"/>
      <c r="J78" s="3"/>
      <c r="K78" s="3"/>
      <c r="L78" s="192"/>
      <c r="M78" s="192"/>
      <c r="N78" s="19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</row>
    <row r="79" spans="1:100" ht="16.5" customHeight="1">
      <c r="A79" s="3"/>
      <c r="B79" s="3" t="str">
        <f t="shared" si="34"/>
        <v/>
      </c>
      <c r="C79" s="3"/>
      <c r="D79" s="5"/>
      <c r="E79" s="3" t="str">
        <f t="shared" ref="E79:H79" si="75">IF(A79&lt;&gt;"", IF(A79=A78, "", A79), "")</f>
        <v/>
      </c>
      <c r="F79" s="191" t="str">
        <f t="shared" si="75"/>
        <v/>
      </c>
      <c r="G79" s="3" t="str">
        <f t="shared" si="75"/>
        <v/>
      </c>
      <c r="H79" s="5" t="str">
        <f t="shared" si="75"/>
        <v/>
      </c>
      <c r="I79" s="3"/>
      <c r="J79" s="3"/>
      <c r="K79" s="3"/>
      <c r="L79" s="192"/>
      <c r="M79" s="192"/>
      <c r="N79" s="19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</row>
    <row r="80" spans="1:100" ht="16.5" customHeight="1">
      <c r="A80" s="3"/>
      <c r="B80" s="3" t="str">
        <f t="shared" si="34"/>
        <v/>
      </c>
      <c r="C80" s="3"/>
      <c r="D80" s="5"/>
      <c r="E80" s="3" t="str">
        <f t="shared" ref="E80:H80" si="76">IF(A80&lt;&gt;"", IF(A80=A79, "", A80), "")</f>
        <v/>
      </c>
      <c r="F80" s="191" t="str">
        <f t="shared" si="76"/>
        <v/>
      </c>
      <c r="G80" s="3" t="str">
        <f t="shared" si="76"/>
        <v/>
      </c>
      <c r="H80" s="5" t="str">
        <f t="shared" si="76"/>
        <v/>
      </c>
      <c r="I80" s="3"/>
      <c r="J80" s="3"/>
      <c r="K80" s="3"/>
      <c r="L80" s="192"/>
      <c r="M80" s="192"/>
      <c r="N80" s="19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</row>
    <row r="81" spans="1:100" ht="16.5" customHeight="1">
      <c r="A81" s="3"/>
      <c r="B81" s="3" t="str">
        <f t="shared" si="34"/>
        <v/>
      </c>
      <c r="C81" s="3"/>
      <c r="D81" s="5"/>
      <c r="E81" s="3" t="str">
        <f t="shared" ref="E81:H81" si="77">IF(A81&lt;&gt;"", IF(A81=A80, "", A81), "")</f>
        <v/>
      </c>
      <c r="F81" s="191" t="str">
        <f t="shared" si="77"/>
        <v/>
      </c>
      <c r="G81" s="3" t="str">
        <f t="shared" si="77"/>
        <v/>
      </c>
      <c r="H81" s="5" t="str">
        <f t="shared" si="77"/>
        <v/>
      </c>
      <c r="I81" s="3"/>
      <c r="J81" s="3"/>
      <c r="K81" s="3"/>
      <c r="L81" s="192"/>
      <c r="M81" s="192"/>
      <c r="N81" s="19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</row>
    <row r="82" spans="1:100" ht="16.5" customHeight="1">
      <c r="A82" s="3"/>
      <c r="B82" s="3" t="str">
        <f t="shared" si="34"/>
        <v/>
      </c>
      <c r="C82" s="3"/>
      <c r="D82" s="5"/>
      <c r="E82" s="3" t="str">
        <f t="shared" ref="E82:H82" si="78">IF(A82&lt;&gt;"", IF(A82=A81, "", A82), "")</f>
        <v/>
      </c>
      <c r="F82" s="191" t="str">
        <f t="shared" si="78"/>
        <v/>
      </c>
      <c r="G82" s="3" t="str">
        <f t="shared" si="78"/>
        <v/>
      </c>
      <c r="H82" s="5" t="str">
        <f t="shared" si="78"/>
        <v/>
      </c>
      <c r="I82" s="3"/>
      <c r="J82" s="3"/>
      <c r="K82" s="3"/>
      <c r="L82" s="192"/>
      <c r="M82" s="192"/>
      <c r="N82" s="19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</row>
    <row r="83" spans="1:100" ht="16.5" customHeight="1">
      <c r="A83" s="3"/>
      <c r="B83" s="3" t="str">
        <f t="shared" si="34"/>
        <v/>
      </c>
      <c r="C83" s="3"/>
      <c r="D83" s="5"/>
      <c r="E83" s="3" t="str">
        <f t="shared" ref="E83:H83" si="79">IF(A83&lt;&gt;"", IF(A83=A82, "", A83), "")</f>
        <v/>
      </c>
      <c r="F83" s="191" t="str">
        <f t="shared" si="79"/>
        <v/>
      </c>
      <c r="G83" s="3" t="str">
        <f t="shared" si="79"/>
        <v/>
      </c>
      <c r="H83" s="5" t="str">
        <f t="shared" si="79"/>
        <v/>
      </c>
      <c r="I83" s="3"/>
      <c r="J83" s="3"/>
      <c r="K83" s="3"/>
      <c r="L83" s="192"/>
      <c r="M83" s="192"/>
      <c r="N83" s="19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</row>
    <row r="84" spans="1:100" ht="16.5" customHeight="1">
      <c r="A84" s="3"/>
      <c r="B84" s="3" t="str">
        <f t="shared" si="34"/>
        <v/>
      </c>
      <c r="C84" s="3"/>
      <c r="D84" s="5"/>
      <c r="E84" s="3" t="str">
        <f t="shared" ref="E84:H84" si="80">IF(A84&lt;&gt;"", IF(A84=A83, "", A84), "")</f>
        <v/>
      </c>
      <c r="F84" s="191" t="str">
        <f t="shared" si="80"/>
        <v/>
      </c>
      <c r="G84" s="3" t="str">
        <f t="shared" si="80"/>
        <v/>
      </c>
      <c r="H84" s="5" t="str">
        <f t="shared" si="80"/>
        <v/>
      </c>
      <c r="I84" s="3"/>
      <c r="J84" s="3"/>
      <c r="K84" s="3"/>
      <c r="L84" s="192"/>
      <c r="M84" s="192"/>
      <c r="N84" s="19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</row>
    <row r="85" spans="1:100" ht="16.5" customHeight="1">
      <c r="A85" s="3"/>
      <c r="B85" s="3" t="str">
        <f t="shared" si="34"/>
        <v/>
      </c>
      <c r="C85" s="3"/>
      <c r="D85" s="5"/>
      <c r="E85" s="3" t="str">
        <f t="shared" ref="E85:H85" si="81">IF(A85&lt;&gt;"", IF(A85=A84, "", A85), "")</f>
        <v/>
      </c>
      <c r="F85" s="191" t="str">
        <f t="shared" si="81"/>
        <v/>
      </c>
      <c r="G85" s="3" t="str">
        <f t="shared" si="81"/>
        <v/>
      </c>
      <c r="H85" s="5" t="str">
        <f t="shared" si="81"/>
        <v/>
      </c>
      <c r="I85" s="3"/>
      <c r="J85" s="3"/>
      <c r="K85" s="3"/>
      <c r="L85" s="192"/>
      <c r="M85" s="192"/>
      <c r="N85" s="19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</row>
    <row r="86" spans="1:100" ht="16.5" customHeight="1">
      <c r="A86" s="3"/>
      <c r="B86" s="3" t="str">
        <f t="shared" si="34"/>
        <v/>
      </c>
      <c r="C86" s="3"/>
      <c r="D86" s="5"/>
      <c r="E86" s="3" t="str">
        <f t="shared" ref="E86:H86" si="82">IF(A86&lt;&gt;"", IF(A86=A85, "", A86), "")</f>
        <v/>
      </c>
      <c r="F86" s="191" t="str">
        <f t="shared" si="82"/>
        <v/>
      </c>
      <c r="G86" s="3" t="str">
        <f t="shared" si="82"/>
        <v/>
      </c>
      <c r="H86" s="5" t="str">
        <f t="shared" si="82"/>
        <v/>
      </c>
      <c r="I86" s="3"/>
      <c r="J86" s="3"/>
      <c r="K86" s="3"/>
      <c r="L86" s="192"/>
      <c r="M86" s="192"/>
      <c r="N86" s="19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</row>
    <row r="87" spans="1:100" ht="16.5" customHeight="1">
      <c r="A87" s="3"/>
      <c r="B87" s="3" t="str">
        <f t="shared" si="34"/>
        <v/>
      </c>
      <c r="C87" s="3"/>
      <c r="D87" s="5"/>
      <c r="E87" s="3" t="str">
        <f t="shared" ref="E87:H87" si="83">IF(A87&lt;&gt;"", IF(A87=A86, "", A87), "")</f>
        <v/>
      </c>
      <c r="F87" s="191" t="str">
        <f t="shared" si="83"/>
        <v/>
      </c>
      <c r="G87" s="3" t="str">
        <f t="shared" si="83"/>
        <v/>
      </c>
      <c r="H87" s="5" t="str">
        <f t="shared" si="83"/>
        <v/>
      </c>
      <c r="I87" s="3"/>
      <c r="J87" s="3"/>
      <c r="K87" s="3"/>
      <c r="L87" s="192"/>
      <c r="M87" s="192"/>
      <c r="N87" s="19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</row>
    <row r="88" spans="1:100" ht="16.5" customHeight="1">
      <c r="A88" s="3"/>
      <c r="B88" s="3" t="str">
        <f t="shared" si="34"/>
        <v/>
      </c>
      <c r="C88" s="3"/>
      <c r="D88" s="5"/>
      <c r="E88" s="3" t="str">
        <f t="shared" ref="E88:H88" si="84">IF(A88&lt;&gt;"", IF(A88=A87, "", A88), "")</f>
        <v/>
      </c>
      <c r="F88" s="191" t="str">
        <f t="shared" si="84"/>
        <v/>
      </c>
      <c r="G88" s="3" t="str">
        <f t="shared" si="84"/>
        <v/>
      </c>
      <c r="H88" s="5" t="str">
        <f t="shared" si="84"/>
        <v/>
      </c>
      <c r="I88" s="3"/>
      <c r="J88" s="3"/>
      <c r="K88" s="3"/>
      <c r="L88" s="192"/>
      <c r="M88" s="192"/>
      <c r="N88" s="19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</row>
    <row r="89" spans="1:100" ht="16.5" customHeight="1">
      <c r="A89" s="3"/>
      <c r="B89" s="3" t="str">
        <f t="shared" si="34"/>
        <v/>
      </c>
      <c r="C89" s="3"/>
      <c r="D89" s="5"/>
      <c r="E89" s="3" t="str">
        <f t="shared" ref="E89:H89" si="85">IF(A89&lt;&gt;"", IF(A89=A88, "", A89), "")</f>
        <v/>
      </c>
      <c r="F89" s="191" t="str">
        <f t="shared" si="85"/>
        <v/>
      </c>
      <c r="G89" s="3" t="str">
        <f t="shared" si="85"/>
        <v/>
      </c>
      <c r="H89" s="5" t="str">
        <f t="shared" si="85"/>
        <v/>
      </c>
      <c r="I89" s="3"/>
      <c r="J89" s="3"/>
      <c r="K89" s="3"/>
      <c r="L89" s="192"/>
      <c r="M89" s="192"/>
      <c r="N89" s="19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</row>
    <row r="90" spans="1:100" ht="16.5" customHeight="1">
      <c r="A90" s="3"/>
      <c r="B90" s="3" t="str">
        <f t="shared" si="34"/>
        <v/>
      </c>
      <c r="C90" s="3"/>
      <c r="D90" s="5"/>
      <c r="E90" s="3" t="str">
        <f t="shared" ref="E90:H90" si="86">IF(A90&lt;&gt;"", IF(A90=A89, "", A90), "")</f>
        <v/>
      </c>
      <c r="F90" s="191" t="str">
        <f t="shared" si="86"/>
        <v/>
      </c>
      <c r="G90" s="3" t="str">
        <f t="shared" si="86"/>
        <v/>
      </c>
      <c r="H90" s="5" t="str">
        <f t="shared" si="86"/>
        <v/>
      </c>
      <c r="I90" s="3"/>
      <c r="J90" s="3"/>
      <c r="K90" s="3"/>
      <c r="L90" s="192"/>
      <c r="M90" s="192"/>
      <c r="N90" s="19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</row>
    <row r="91" spans="1:100" ht="16.5" customHeight="1">
      <c r="A91" s="3"/>
      <c r="B91" s="3" t="str">
        <f t="shared" si="34"/>
        <v/>
      </c>
      <c r="C91" s="3"/>
      <c r="D91" s="5"/>
      <c r="E91" s="3" t="str">
        <f t="shared" ref="E91:H91" si="87">IF(A91&lt;&gt;"", IF(A91=A90, "", A91), "")</f>
        <v/>
      </c>
      <c r="F91" s="191" t="str">
        <f t="shared" si="87"/>
        <v/>
      </c>
      <c r="G91" s="3" t="str">
        <f t="shared" si="87"/>
        <v/>
      </c>
      <c r="H91" s="5" t="str">
        <f t="shared" si="87"/>
        <v/>
      </c>
      <c r="I91" s="3"/>
      <c r="J91" s="3"/>
      <c r="K91" s="3"/>
      <c r="L91" s="192"/>
      <c r="M91" s="192"/>
      <c r="N91" s="19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</row>
    <row r="92" spans="1:100" ht="16.5" customHeight="1">
      <c r="A92" s="3"/>
      <c r="B92" s="3" t="str">
        <f t="shared" si="34"/>
        <v/>
      </c>
      <c r="C92" s="3"/>
      <c r="D92" s="5"/>
      <c r="E92" s="3" t="str">
        <f t="shared" ref="E92:H92" si="88">IF(A92&lt;&gt;"", IF(A92=A91, "", A92), "")</f>
        <v/>
      </c>
      <c r="F92" s="191" t="str">
        <f t="shared" si="88"/>
        <v/>
      </c>
      <c r="G92" s="3" t="str">
        <f t="shared" si="88"/>
        <v/>
      </c>
      <c r="H92" s="5" t="str">
        <f t="shared" si="88"/>
        <v/>
      </c>
      <c r="I92" s="3"/>
      <c r="J92" s="3"/>
      <c r="K92" s="3"/>
      <c r="L92" s="192"/>
      <c r="M92" s="192"/>
      <c r="N92" s="19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</row>
    <row r="93" spans="1:100" ht="16.5" customHeight="1">
      <c r="A93" s="3"/>
      <c r="B93" s="3" t="str">
        <f t="shared" si="34"/>
        <v/>
      </c>
      <c r="C93" s="3"/>
      <c r="D93" s="5"/>
      <c r="E93" s="3" t="str">
        <f t="shared" ref="E93:H93" si="89">IF(A93&lt;&gt;"", IF(A93=A92, "", A93), "")</f>
        <v/>
      </c>
      <c r="F93" s="191" t="str">
        <f t="shared" si="89"/>
        <v/>
      </c>
      <c r="G93" s="3" t="str">
        <f t="shared" si="89"/>
        <v/>
      </c>
      <c r="H93" s="5" t="str">
        <f t="shared" si="89"/>
        <v/>
      </c>
      <c r="I93" s="3"/>
      <c r="J93" s="3"/>
      <c r="K93" s="3"/>
      <c r="L93" s="192"/>
      <c r="M93" s="192"/>
      <c r="N93" s="19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</row>
    <row r="94" spans="1:100" ht="16.5" customHeight="1">
      <c r="A94" s="3"/>
      <c r="B94" s="3" t="str">
        <f t="shared" si="34"/>
        <v/>
      </c>
      <c r="C94" s="3"/>
      <c r="D94" s="5"/>
      <c r="E94" s="3" t="str">
        <f t="shared" ref="E94:H94" si="90">IF(A94&lt;&gt;"", IF(A94=A93, "", A94), "")</f>
        <v/>
      </c>
      <c r="F94" s="191" t="str">
        <f t="shared" si="90"/>
        <v/>
      </c>
      <c r="G94" s="3" t="str">
        <f t="shared" si="90"/>
        <v/>
      </c>
      <c r="H94" s="5" t="str">
        <f t="shared" si="90"/>
        <v/>
      </c>
      <c r="I94" s="3"/>
      <c r="J94" s="3"/>
      <c r="K94" s="3"/>
      <c r="L94" s="192"/>
      <c r="M94" s="192"/>
      <c r="N94" s="19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</row>
    <row r="95" spans="1:100" ht="16.5" customHeight="1">
      <c r="A95" s="3"/>
      <c r="B95" s="3" t="str">
        <f t="shared" si="34"/>
        <v/>
      </c>
      <c r="C95" s="3"/>
      <c r="D95" s="5"/>
      <c r="E95" s="3" t="str">
        <f t="shared" ref="E95:H95" si="91">IF(A95&lt;&gt;"", IF(A95=A94, "", A95), "")</f>
        <v/>
      </c>
      <c r="F95" s="191" t="str">
        <f t="shared" si="91"/>
        <v/>
      </c>
      <c r="G95" s="3" t="str">
        <f t="shared" si="91"/>
        <v/>
      </c>
      <c r="H95" s="5" t="str">
        <f t="shared" si="91"/>
        <v/>
      </c>
      <c r="I95" s="3"/>
      <c r="J95" s="3"/>
      <c r="K95" s="3"/>
      <c r="L95" s="192"/>
      <c r="M95" s="192"/>
      <c r="N95" s="19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</row>
    <row r="96" spans="1:100" ht="16.5" customHeight="1">
      <c r="A96" s="3"/>
      <c r="B96" s="3" t="str">
        <f t="shared" si="34"/>
        <v/>
      </c>
      <c r="C96" s="3"/>
      <c r="D96" s="5"/>
      <c r="E96" s="3" t="str">
        <f t="shared" ref="E96:H96" si="92">IF(A96&lt;&gt;"", IF(A96=A95, "", A96), "")</f>
        <v/>
      </c>
      <c r="F96" s="191" t="str">
        <f t="shared" si="92"/>
        <v/>
      </c>
      <c r="G96" s="3" t="str">
        <f t="shared" si="92"/>
        <v/>
      </c>
      <c r="H96" s="5" t="str">
        <f t="shared" si="92"/>
        <v/>
      </c>
      <c r="I96" s="3"/>
      <c r="J96" s="3"/>
      <c r="K96" s="3"/>
      <c r="L96" s="192"/>
      <c r="M96" s="192"/>
      <c r="N96" s="19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</row>
    <row r="97" spans="1:100" ht="16.5" customHeight="1">
      <c r="A97" s="3"/>
      <c r="B97" s="3" t="str">
        <f t="shared" si="34"/>
        <v/>
      </c>
      <c r="C97" s="3"/>
      <c r="D97" s="5"/>
      <c r="E97" s="3" t="str">
        <f t="shared" ref="E97:H97" si="93">IF(A97&lt;&gt;"", IF(A97=A96, "", A97), "")</f>
        <v/>
      </c>
      <c r="F97" s="191" t="str">
        <f t="shared" si="93"/>
        <v/>
      </c>
      <c r="G97" s="3" t="str">
        <f t="shared" si="93"/>
        <v/>
      </c>
      <c r="H97" s="5" t="str">
        <f t="shared" si="93"/>
        <v/>
      </c>
      <c r="I97" s="3"/>
      <c r="J97" s="3"/>
      <c r="K97" s="3"/>
      <c r="L97" s="192"/>
      <c r="M97" s="192"/>
      <c r="N97" s="19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</row>
    <row r="98" spans="1:100" ht="16.5" customHeight="1">
      <c r="A98" s="3"/>
      <c r="B98" s="3" t="str">
        <f t="shared" si="34"/>
        <v/>
      </c>
      <c r="C98" s="3"/>
      <c r="D98" s="5"/>
      <c r="E98" s="3" t="str">
        <f t="shared" ref="E98:H98" si="94">IF(A98&lt;&gt;"", IF(A98=A97, "", A98), "")</f>
        <v/>
      </c>
      <c r="F98" s="191" t="str">
        <f t="shared" si="94"/>
        <v/>
      </c>
      <c r="G98" s="3" t="str">
        <f t="shared" si="94"/>
        <v/>
      </c>
      <c r="H98" s="5" t="str">
        <f t="shared" si="94"/>
        <v/>
      </c>
      <c r="I98" s="3"/>
      <c r="J98" s="3"/>
      <c r="K98" s="3"/>
      <c r="L98" s="192"/>
      <c r="M98" s="192"/>
      <c r="N98" s="19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</row>
    <row r="99" spans="1:100" ht="16.5" customHeight="1">
      <c r="A99" s="3"/>
      <c r="B99" s="3" t="str">
        <f t="shared" si="34"/>
        <v/>
      </c>
      <c r="C99" s="3"/>
      <c r="D99" s="5"/>
      <c r="E99" s="3" t="str">
        <f t="shared" ref="E99:H99" si="95">IF(A99&lt;&gt;"", IF(A99=A98, "", A99), "")</f>
        <v/>
      </c>
      <c r="F99" s="191" t="str">
        <f t="shared" si="95"/>
        <v/>
      </c>
      <c r="G99" s="3" t="str">
        <f t="shared" si="95"/>
        <v/>
      </c>
      <c r="H99" s="5" t="str">
        <f t="shared" si="95"/>
        <v/>
      </c>
      <c r="I99" s="3"/>
      <c r="J99" s="3"/>
      <c r="K99" s="3"/>
      <c r="L99" s="192"/>
      <c r="M99" s="192"/>
      <c r="N99" s="19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</row>
    <row r="100" spans="1:100" ht="16.5" customHeight="1">
      <c r="A100" s="3"/>
      <c r="B100" s="3" t="str">
        <f t="shared" si="34"/>
        <v/>
      </c>
      <c r="C100" s="3"/>
      <c r="D100" s="5"/>
      <c r="E100" s="3" t="str">
        <f t="shared" ref="E100:H100" si="96">IF(A100&lt;&gt;"", IF(A100=A99, "", A100), "")</f>
        <v/>
      </c>
      <c r="F100" s="191" t="str">
        <f t="shared" si="96"/>
        <v/>
      </c>
      <c r="G100" s="3" t="str">
        <f t="shared" si="96"/>
        <v/>
      </c>
      <c r="H100" s="5" t="str">
        <f t="shared" si="96"/>
        <v/>
      </c>
      <c r="I100" s="3"/>
      <c r="J100" s="3"/>
      <c r="K100" s="3"/>
      <c r="L100" s="192"/>
      <c r="M100" s="192"/>
      <c r="N100" s="19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</row>
    <row r="101" spans="1:100" ht="16.5" customHeight="1">
      <c r="A101" s="3"/>
      <c r="B101" s="3" t="str">
        <f t="shared" si="34"/>
        <v/>
      </c>
      <c r="C101" s="3"/>
      <c r="D101" s="5"/>
      <c r="E101" s="3" t="str">
        <f t="shared" ref="E101:H101" si="97">IF(A101&lt;&gt;"", IF(A101=A100, "", A101), "")</f>
        <v/>
      </c>
      <c r="F101" s="191" t="str">
        <f t="shared" si="97"/>
        <v/>
      </c>
      <c r="G101" s="3" t="str">
        <f t="shared" si="97"/>
        <v/>
      </c>
      <c r="H101" s="5" t="str">
        <f t="shared" si="97"/>
        <v/>
      </c>
      <c r="I101" s="3"/>
      <c r="J101" s="3"/>
      <c r="K101" s="3"/>
      <c r="L101" s="192"/>
      <c r="M101" s="192"/>
      <c r="N101" s="19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</row>
    <row r="102" spans="1:100" ht="16.5" customHeight="1">
      <c r="A102" s="3"/>
      <c r="B102" s="3" t="str">
        <f t="shared" si="34"/>
        <v/>
      </c>
      <c r="C102" s="3"/>
      <c r="D102" s="5"/>
      <c r="E102" s="3" t="str">
        <f t="shared" ref="E102:H102" si="98">IF(A102&lt;&gt;"", IF(A102=A101, "", A102), "")</f>
        <v/>
      </c>
      <c r="F102" s="191" t="str">
        <f t="shared" si="98"/>
        <v/>
      </c>
      <c r="G102" s="3" t="str">
        <f t="shared" si="98"/>
        <v/>
      </c>
      <c r="H102" s="5" t="str">
        <f t="shared" si="98"/>
        <v/>
      </c>
      <c r="I102" s="3"/>
      <c r="J102" s="3"/>
      <c r="K102" s="3"/>
      <c r="L102" s="192"/>
      <c r="M102" s="192"/>
      <c r="N102" s="19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</row>
    <row r="103" spans="1:100" ht="16.5" customHeight="1">
      <c r="A103" s="3"/>
      <c r="B103" s="3" t="str">
        <f t="shared" si="34"/>
        <v/>
      </c>
      <c r="C103" s="3"/>
      <c r="D103" s="5"/>
      <c r="E103" s="3" t="str">
        <f t="shared" ref="E103:H103" si="99">IF(A103&lt;&gt;"", IF(A103=A102, "", A103), "")</f>
        <v/>
      </c>
      <c r="F103" s="191" t="str">
        <f t="shared" si="99"/>
        <v/>
      </c>
      <c r="G103" s="3" t="str">
        <f t="shared" si="99"/>
        <v/>
      </c>
      <c r="H103" s="5" t="str">
        <f t="shared" si="99"/>
        <v/>
      </c>
      <c r="I103" s="3"/>
      <c r="J103" s="3"/>
      <c r="K103" s="3"/>
      <c r="L103" s="192"/>
      <c r="M103" s="192"/>
      <c r="N103" s="19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</row>
    <row r="104" spans="1:100" ht="16.5" customHeight="1">
      <c r="A104" s="3"/>
      <c r="B104" s="3" t="str">
        <f t="shared" si="34"/>
        <v/>
      </c>
      <c r="C104" s="3"/>
      <c r="D104" s="5"/>
      <c r="E104" s="3" t="str">
        <f t="shared" ref="E104:H104" si="100">IF(A104&lt;&gt;"", IF(A104=A103, "", A104), "")</f>
        <v/>
      </c>
      <c r="F104" s="191" t="str">
        <f t="shared" si="100"/>
        <v/>
      </c>
      <c r="G104" s="3" t="str">
        <f t="shared" si="100"/>
        <v/>
      </c>
      <c r="H104" s="5" t="str">
        <f t="shared" si="100"/>
        <v/>
      </c>
      <c r="I104" s="3"/>
      <c r="J104" s="3"/>
      <c r="K104" s="3"/>
      <c r="L104" s="192"/>
      <c r="M104" s="192"/>
      <c r="N104" s="19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</row>
    <row r="105" spans="1:100" ht="16.5" customHeight="1">
      <c r="A105" s="3"/>
      <c r="B105" s="3" t="str">
        <f t="shared" si="34"/>
        <v/>
      </c>
      <c r="C105" s="3"/>
      <c r="D105" s="5"/>
      <c r="E105" s="3" t="str">
        <f t="shared" ref="E105:H105" si="101">IF(A105&lt;&gt;"", IF(A105=A104, "", A105), "")</f>
        <v/>
      </c>
      <c r="F105" s="191" t="str">
        <f t="shared" si="101"/>
        <v/>
      </c>
      <c r="G105" s="3" t="str">
        <f t="shared" si="101"/>
        <v/>
      </c>
      <c r="H105" s="5" t="str">
        <f t="shared" si="101"/>
        <v/>
      </c>
      <c r="I105" s="3"/>
      <c r="J105" s="3"/>
      <c r="K105" s="3"/>
      <c r="L105" s="192"/>
      <c r="M105" s="192"/>
      <c r="N105" s="19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</row>
    <row r="106" spans="1:100" ht="16.5" customHeight="1">
      <c r="A106" s="3"/>
      <c r="B106" s="3" t="str">
        <f t="shared" si="34"/>
        <v/>
      </c>
      <c r="C106" s="3"/>
      <c r="D106" s="5"/>
      <c r="E106" s="3" t="str">
        <f t="shared" ref="E106:H106" si="102">IF(A106&lt;&gt;"", IF(A106=A105, "", A106), "")</f>
        <v/>
      </c>
      <c r="F106" s="191" t="str">
        <f t="shared" si="102"/>
        <v/>
      </c>
      <c r="G106" s="3" t="str">
        <f t="shared" si="102"/>
        <v/>
      </c>
      <c r="H106" s="5" t="str">
        <f t="shared" si="102"/>
        <v/>
      </c>
      <c r="I106" s="3"/>
      <c r="J106" s="3"/>
      <c r="K106" s="3"/>
      <c r="L106" s="192"/>
      <c r="M106" s="192"/>
      <c r="N106" s="19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</row>
    <row r="107" spans="1:100" ht="16.5" customHeight="1">
      <c r="A107" s="3"/>
      <c r="B107" s="3" t="str">
        <f t="shared" si="34"/>
        <v/>
      </c>
      <c r="C107" s="3"/>
      <c r="D107" s="5"/>
      <c r="E107" s="3" t="str">
        <f t="shared" ref="E107:H107" si="103">IF(A107&lt;&gt;"", IF(A107=A106, "", A107), "")</f>
        <v/>
      </c>
      <c r="F107" s="191" t="str">
        <f t="shared" si="103"/>
        <v/>
      </c>
      <c r="G107" s="3" t="str">
        <f t="shared" si="103"/>
        <v/>
      </c>
      <c r="H107" s="5" t="str">
        <f t="shared" si="103"/>
        <v/>
      </c>
      <c r="I107" s="3"/>
      <c r="J107" s="3"/>
      <c r="K107" s="3"/>
      <c r="L107" s="192"/>
      <c r="M107" s="192"/>
      <c r="N107" s="19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</row>
    <row r="108" spans="1:100" ht="16.5" customHeight="1">
      <c r="A108" s="3"/>
      <c r="B108" s="3" t="str">
        <f t="shared" si="34"/>
        <v/>
      </c>
      <c r="C108" s="3"/>
      <c r="D108" s="5"/>
      <c r="E108" s="3" t="str">
        <f t="shared" ref="E108:H108" si="104">IF(A108&lt;&gt;"", IF(A108=A107, "", A108), "")</f>
        <v/>
      </c>
      <c r="F108" s="191" t="str">
        <f t="shared" si="104"/>
        <v/>
      </c>
      <c r="G108" s="3" t="str">
        <f t="shared" si="104"/>
        <v/>
      </c>
      <c r="H108" s="5" t="str">
        <f t="shared" si="104"/>
        <v/>
      </c>
      <c r="I108" s="3"/>
      <c r="J108" s="3"/>
      <c r="K108" s="3"/>
      <c r="L108" s="192"/>
      <c r="M108" s="192"/>
      <c r="N108" s="19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</row>
    <row r="109" spans="1:100" ht="16.5" customHeight="1">
      <c r="A109" s="3"/>
      <c r="B109" s="3" t="str">
        <f t="shared" si="34"/>
        <v/>
      </c>
      <c r="C109" s="3"/>
      <c r="D109" s="5"/>
      <c r="E109" s="3" t="str">
        <f t="shared" ref="E109:H109" si="105">IF(A109&lt;&gt;"", IF(A109=A108, "", A109), "")</f>
        <v/>
      </c>
      <c r="F109" s="191" t="str">
        <f t="shared" si="105"/>
        <v/>
      </c>
      <c r="G109" s="3" t="str">
        <f t="shared" si="105"/>
        <v/>
      </c>
      <c r="H109" s="5" t="str">
        <f t="shared" si="105"/>
        <v/>
      </c>
      <c r="I109" s="3"/>
      <c r="J109" s="3"/>
      <c r="K109" s="3"/>
      <c r="L109" s="192"/>
      <c r="M109" s="192"/>
      <c r="N109" s="19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</row>
    <row r="110" spans="1:100" ht="16.5" customHeight="1">
      <c r="A110" s="3"/>
      <c r="B110" s="3" t="str">
        <f t="shared" si="34"/>
        <v/>
      </c>
      <c r="C110" s="3"/>
      <c r="D110" s="5"/>
      <c r="E110" s="3" t="str">
        <f t="shared" ref="E110:H110" si="106">IF(A110&lt;&gt;"", IF(A110=A109, "", A110), "")</f>
        <v/>
      </c>
      <c r="F110" s="191" t="str">
        <f t="shared" si="106"/>
        <v/>
      </c>
      <c r="G110" s="3" t="str">
        <f t="shared" si="106"/>
        <v/>
      </c>
      <c r="H110" s="5" t="str">
        <f t="shared" si="106"/>
        <v/>
      </c>
      <c r="I110" s="3"/>
      <c r="J110" s="3"/>
      <c r="K110" s="3"/>
      <c r="L110" s="192"/>
      <c r="M110" s="192"/>
      <c r="N110" s="19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</row>
    <row r="111" spans="1:100" ht="16.5" customHeight="1">
      <c r="A111" s="3"/>
      <c r="B111" s="3" t="str">
        <f t="shared" si="34"/>
        <v/>
      </c>
      <c r="C111" s="3"/>
      <c r="D111" s="5"/>
      <c r="E111" s="3" t="str">
        <f t="shared" ref="E111:H111" si="107">IF(A111&lt;&gt;"", IF(A111=A110, "", A111), "")</f>
        <v/>
      </c>
      <c r="F111" s="191" t="str">
        <f t="shared" si="107"/>
        <v/>
      </c>
      <c r="G111" s="3" t="str">
        <f t="shared" si="107"/>
        <v/>
      </c>
      <c r="H111" s="5" t="str">
        <f t="shared" si="107"/>
        <v/>
      </c>
      <c r="I111" s="3"/>
      <c r="J111" s="3"/>
      <c r="K111" s="3"/>
      <c r="L111" s="192"/>
      <c r="M111" s="192"/>
      <c r="N111" s="19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</row>
    <row r="112" spans="1:100" ht="16.5" customHeight="1">
      <c r="A112" s="3"/>
      <c r="B112" s="3" t="str">
        <f t="shared" si="34"/>
        <v/>
      </c>
      <c r="C112" s="3"/>
      <c r="D112" s="5"/>
      <c r="E112" s="3" t="str">
        <f t="shared" ref="E112:H112" si="108">IF(A112&lt;&gt;"", IF(A112=A111, "", A112), "")</f>
        <v/>
      </c>
      <c r="F112" s="191" t="str">
        <f t="shared" si="108"/>
        <v/>
      </c>
      <c r="G112" s="3" t="str">
        <f t="shared" si="108"/>
        <v/>
      </c>
      <c r="H112" s="5" t="str">
        <f t="shared" si="108"/>
        <v/>
      </c>
      <c r="I112" s="3"/>
      <c r="J112" s="3"/>
      <c r="K112" s="3"/>
      <c r="L112" s="192"/>
      <c r="M112" s="192"/>
      <c r="N112" s="19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</row>
    <row r="113" spans="1:100" ht="16.5" customHeight="1">
      <c r="A113" s="3"/>
      <c r="B113" s="3" t="str">
        <f t="shared" si="34"/>
        <v/>
      </c>
      <c r="C113" s="3"/>
      <c r="D113" s="5"/>
      <c r="E113" s="3" t="str">
        <f t="shared" ref="E113:H113" si="109">IF(A113&lt;&gt;"", IF(A113=A112, "", A113), "")</f>
        <v/>
      </c>
      <c r="F113" s="191" t="str">
        <f t="shared" si="109"/>
        <v/>
      </c>
      <c r="G113" s="3" t="str">
        <f t="shared" si="109"/>
        <v/>
      </c>
      <c r="H113" s="5" t="str">
        <f t="shared" si="109"/>
        <v/>
      </c>
      <c r="I113" s="3"/>
      <c r="J113" s="3"/>
      <c r="K113" s="3"/>
      <c r="L113" s="192"/>
      <c r="M113" s="192"/>
      <c r="N113" s="1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</row>
    <row r="114" spans="1:100" ht="16.5" customHeight="1">
      <c r="A114" s="3"/>
      <c r="B114" s="3" t="str">
        <f t="shared" si="34"/>
        <v/>
      </c>
      <c r="C114" s="3"/>
      <c r="D114" s="5"/>
      <c r="E114" s="3" t="str">
        <f t="shared" ref="E114:H114" si="110">IF(A114&lt;&gt;"", IF(A114=A113, "", A114), "")</f>
        <v/>
      </c>
      <c r="F114" s="191" t="str">
        <f t="shared" si="110"/>
        <v/>
      </c>
      <c r="G114" s="3" t="str">
        <f t="shared" si="110"/>
        <v/>
      </c>
      <c r="H114" s="5" t="str">
        <f t="shared" si="110"/>
        <v/>
      </c>
      <c r="I114" s="3"/>
      <c r="J114" s="3"/>
      <c r="K114" s="3"/>
      <c r="L114" s="192"/>
      <c r="M114" s="192"/>
      <c r="N114" s="1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</row>
    <row r="115" spans="1:100" ht="16.5" customHeight="1">
      <c r="A115" s="3"/>
      <c r="B115" s="3" t="str">
        <f t="shared" si="34"/>
        <v/>
      </c>
      <c r="C115" s="3"/>
      <c r="D115" s="5"/>
      <c r="E115" s="3" t="str">
        <f t="shared" ref="E115:H115" si="111">IF(A115&lt;&gt;"", IF(A115=A114, "", A115), "")</f>
        <v/>
      </c>
      <c r="F115" s="191" t="str">
        <f t="shared" si="111"/>
        <v/>
      </c>
      <c r="G115" s="3" t="str">
        <f t="shared" si="111"/>
        <v/>
      </c>
      <c r="H115" s="5" t="str">
        <f t="shared" si="111"/>
        <v/>
      </c>
      <c r="I115" s="3"/>
      <c r="J115" s="3"/>
      <c r="K115" s="3"/>
      <c r="L115" s="192"/>
      <c r="M115" s="192"/>
      <c r="N115" s="1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</row>
    <row r="116" spans="1:100" ht="16.5" customHeight="1">
      <c r="A116" s="3"/>
      <c r="B116" s="3" t="str">
        <f t="shared" si="34"/>
        <v/>
      </c>
      <c r="C116" s="3"/>
      <c r="D116" s="5"/>
      <c r="E116" s="3" t="str">
        <f t="shared" ref="E116:H116" si="112">IF(A116&lt;&gt;"", IF(A116=A115, "", A116), "")</f>
        <v/>
      </c>
      <c r="F116" s="191" t="str">
        <f t="shared" si="112"/>
        <v/>
      </c>
      <c r="G116" s="3" t="str">
        <f t="shared" si="112"/>
        <v/>
      </c>
      <c r="H116" s="5" t="str">
        <f t="shared" si="112"/>
        <v/>
      </c>
      <c r="I116" s="3"/>
      <c r="J116" s="3"/>
      <c r="K116" s="3"/>
      <c r="L116" s="192"/>
      <c r="M116" s="192"/>
      <c r="N116" s="1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</row>
    <row r="117" spans="1:100" ht="16.5" customHeight="1">
      <c r="A117" s="3"/>
      <c r="B117" s="3" t="str">
        <f t="shared" si="34"/>
        <v/>
      </c>
      <c r="C117" s="3"/>
      <c r="D117" s="5"/>
      <c r="E117" s="3" t="str">
        <f t="shared" ref="E117:H117" si="113">IF(A117&lt;&gt;"", IF(A117=A116, "", A117), "")</f>
        <v/>
      </c>
      <c r="F117" s="191" t="str">
        <f t="shared" si="113"/>
        <v/>
      </c>
      <c r="G117" s="3" t="str">
        <f t="shared" si="113"/>
        <v/>
      </c>
      <c r="H117" s="5" t="str">
        <f t="shared" si="113"/>
        <v/>
      </c>
      <c r="I117" s="3"/>
      <c r="J117" s="3"/>
      <c r="K117" s="3"/>
      <c r="L117" s="192"/>
      <c r="M117" s="192"/>
      <c r="N117" s="19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</row>
    <row r="118" spans="1:100" ht="16.5" customHeight="1">
      <c r="A118" s="3"/>
      <c r="B118" s="3" t="str">
        <f t="shared" si="34"/>
        <v/>
      </c>
      <c r="C118" s="3"/>
      <c r="D118" s="5"/>
      <c r="E118" s="3" t="str">
        <f t="shared" ref="E118:H118" si="114">IF(A118&lt;&gt;"", IF(A118=A117, "", A118), "")</f>
        <v/>
      </c>
      <c r="F118" s="191" t="str">
        <f t="shared" si="114"/>
        <v/>
      </c>
      <c r="G118" s="3" t="str">
        <f t="shared" si="114"/>
        <v/>
      </c>
      <c r="H118" s="5" t="str">
        <f t="shared" si="114"/>
        <v/>
      </c>
      <c r="I118" s="3"/>
      <c r="J118" s="3"/>
      <c r="K118" s="3"/>
      <c r="L118" s="192"/>
      <c r="M118" s="192"/>
      <c r="N118" s="19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</row>
    <row r="119" spans="1:100" ht="16.5" customHeight="1">
      <c r="A119" s="3"/>
      <c r="B119" s="3" t="str">
        <f t="shared" si="34"/>
        <v/>
      </c>
      <c r="C119" s="3"/>
      <c r="D119" s="5"/>
      <c r="E119" s="3" t="str">
        <f t="shared" ref="E119:H119" si="115">IF(A119&lt;&gt;"", IF(A119=A118, "", A119), "")</f>
        <v/>
      </c>
      <c r="F119" s="191" t="str">
        <f t="shared" si="115"/>
        <v/>
      </c>
      <c r="G119" s="3" t="str">
        <f t="shared" si="115"/>
        <v/>
      </c>
      <c r="H119" s="5" t="str">
        <f t="shared" si="115"/>
        <v/>
      </c>
      <c r="I119" s="3"/>
      <c r="J119" s="3"/>
      <c r="K119" s="3"/>
      <c r="L119" s="192"/>
      <c r="M119" s="192"/>
      <c r="N119" s="19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</row>
    <row r="120" spans="1:100" ht="16.5" customHeight="1">
      <c r="A120" s="3"/>
      <c r="B120" s="3" t="str">
        <f t="shared" si="34"/>
        <v/>
      </c>
      <c r="C120" s="3"/>
      <c r="D120" s="5"/>
      <c r="E120" s="3" t="str">
        <f t="shared" ref="E120:H120" si="116">IF(A120&lt;&gt;"", IF(A120=A119, "", A120), "")</f>
        <v/>
      </c>
      <c r="F120" s="191" t="str">
        <f t="shared" si="116"/>
        <v/>
      </c>
      <c r="G120" s="3" t="str">
        <f t="shared" si="116"/>
        <v/>
      </c>
      <c r="H120" s="5" t="str">
        <f t="shared" si="116"/>
        <v/>
      </c>
      <c r="I120" s="3"/>
      <c r="J120" s="3"/>
      <c r="K120" s="3"/>
      <c r="L120" s="192"/>
      <c r="M120" s="192"/>
      <c r="N120" s="19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</row>
    <row r="121" spans="1:100" ht="16.5" customHeight="1">
      <c r="A121" s="3"/>
      <c r="B121" s="3" t="str">
        <f t="shared" si="34"/>
        <v/>
      </c>
      <c r="C121" s="3"/>
      <c r="D121" s="5"/>
      <c r="E121" s="3" t="str">
        <f t="shared" ref="E121:H121" si="117">IF(A121&lt;&gt;"", IF(A121=A120, "", A121), "")</f>
        <v/>
      </c>
      <c r="F121" s="191" t="str">
        <f t="shared" si="117"/>
        <v/>
      </c>
      <c r="G121" s="3" t="str">
        <f t="shared" si="117"/>
        <v/>
      </c>
      <c r="H121" s="5" t="str">
        <f t="shared" si="117"/>
        <v/>
      </c>
      <c r="I121" s="3"/>
      <c r="J121" s="3"/>
      <c r="K121" s="3"/>
      <c r="L121" s="192"/>
      <c r="M121" s="192"/>
      <c r="N121" s="19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</row>
    <row r="122" spans="1:100" ht="16.5" customHeight="1">
      <c r="A122" s="3"/>
      <c r="B122" s="3" t="str">
        <f t="shared" si="34"/>
        <v/>
      </c>
      <c r="C122" s="3"/>
      <c r="D122" s="5"/>
      <c r="E122" s="3" t="str">
        <f t="shared" ref="E122:H122" si="118">IF(A122&lt;&gt;"", IF(A122=A121, "", A122), "")</f>
        <v/>
      </c>
      <c r="F122" s="191" t="str">
        <f t="shared" si="118"/>
        <v/>
      </c>
      <c r="G122" s="3" t="str">
        <f t="shared" si="118"/>
        <v/>
      </c>
      <c r="H122" s="5" t="str">
        <f t="shared" si="118"/>
        <v/>
      </c>
      <c r="I122" s="3"/>
      <c r="J122" s="3"/>
      <c r="K122" s="3"/>
      <c r="L122" s="192"/>
      <c r="M122" s="192"/>
      <c r="N122" s="19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</row>
    <row r="123" spans="1:100" ht="16.5" customHeight="1">
      <c r="A123" s="3"/>
      <c r="B123" s="3" t="str">
        <f t="shared" si="34"/>
        <v/>
      </c>
      <c r="C123" s="3"/>
      <c r="D123" s="5"/>
      <c r="E123" s="3" t="str">
        <f t="shared" ref="E123:H123" si="119">IF(A123&lt;&gt;"", IF(A123=A122, "", A123), "")</f>
        <v/>
      </c>
      <c r="F123" s="191" t="str">
        <f t="shared" si="119"/>
        <v/>
      </c>
      <c r="G123" s="3" t="str">
        <f t="shared" si="119"/>
        <v/>
      </c>
      <c r="H123" s="5" t="str">
        <f t="shared" si="119"/>
        <v/>
      </c>
      <c r="I123" s="3"/>
      <c r="J123" s="3"/>
      <c r="K123" s="3"/>
      <c r="L123" s="192"/>
      <c r="M123" s="192"/>
      <c r="N123" s="19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</row>
    <row r="124" spans="1:100" ht="16.5" customHeight="1">
      <c r="A124" s="3"/>
      <c r="B124" s="3" t="str">
        <f t="shared" si="34"/>
        <v/>
      </c>
      <c r="C124" s="3"/>
      <c r="D124" s="5"/>
      <c r="E124" s="3" t="str">
        <f t="shared" ref="E124:H124" si="120">IF(A124&lt;&gt;"", IF(A124=A123, "", A124), "")</f>
        <v/>
      </c>
      <c r="F124" s="191" t="str">
        <f t="shared" si="120"/>
        <v/>
      </c>
      <c r="G124" s="3" t="str">
        <f t="shared" si="120"/>
        <v/>
      </c>
      <c r="H124" s="5" t="str">
        <f t="shared" si="120"/>
        <v/>
      </c>
      <c r="I124" s="3"/>
      <c r="J124" s="3"/>
      <c r="K124" s="3"/>
      <c r="L124" s="192"/>
      <c r="M124" s="192"/>
      <c r="N124" s="19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</row>
    <row r="125" spans="1:100" ht="16.5" customHeight="1">
      <c r="A125" s="3"/>
      <c r="B125" s="3" t="str">
        <f t="shared" si="34"/>
        <v/>
      </c>
      <c r="C125" s="3"/>
      <c r="D125" s="5"/>
      <c r="E125" s="3" t="str">
        <f t="shared" ref="E125:H125" si="121">IF(A125&lt;&gt;"", IF(A125=A124, "", A125), "")</f>
        <v/>
      </c>
      <c r="F125" s="191" t="str">
        <f t="shared" si="121"/>
        <v/>
      </c>
      <c r="G125" s="3" t="str">
        <f t="shared" si="121"/>
        <v/>
      </c>
      <c r="H125" s="5" t="str">
        <f t="shared" si="121"/>
        <v/>
      </c>
      <c r="I125" s="3"/>
      <c r="J125" s="3"/>
      <c r="K125" s="3"/>
      <c r="L125" s="192"/>
      <c r="M125" s="192"/>
      <c r="N125" s="19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</row>
    <row r="126" spans="1:100" ht="16.5" customHeight="1">
      <c r="A126" s="3"/>
      <c r="B126" s="3" t="str">
        <f t="shared" si="34"/>
        <v/>
      </c>
      <c r="C126" s="3"/>
      <c r="D126" s="5"/>
      <c r="E126" s="3" t="str">
        <f t="shared" ref="E126:H126" si="122">IF(A126&lt;&gt;"", IF(A126=A125, "", A126), "")</f>
        <v/>
      </c>
      <c r="F126" s="191" t="str">
        <f t="shared" si="122"/>
        <v/>
      </c>
      <c r="G126" s="3" t="str">
        <f t="shared" si="122"/>
        <v/>
      </c>
      <c r="H126" s="5" t="str">
        <f t="shared" si="122"/>
        <v/>
      </c>
      <c r="I126" s="3"/>
      <c r="J126" s="3"/>
      <c r="K126" s="3"/>
      <c r="L126" s="192"/>
      <c r="M126" s="192"/>
      <c r="N126" s="19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</row>
    <row r="127" spans="1:100" ht="16.5" customHeight="1">
      <c r="A127" s="3"/>
      <c r="B127" s="3" t="str">
        <f t="shared" si="34"/>
        <v/>
      </c>
      <c r="C127" s="3"/>
      <c r="D127" s="5"/>
      <c r="E127" s="3" t="str">
        <f t="shared" ref="E127:H127" si="123">IF(A127&lt;&gt;"", IF(A127=A126, "", A127), "")</f>
        <v/>
      </c>
      <c r="F127" s="191" t="str">
        <f t="shared" si="123"/>
        <v/>
      </c>
      <c r="G127" s="3" t="str">
        <f t="shared" si="123"/>
        <v/>
      </c>
      <c r="H127" s="5" t="str">
        <f t="shared" si="123"/>
        <v/>
      </c>
      <c r="I127" s="3"/>
      <c r="J127" s="3"/>
      <c r="K127" s="3"/>
      <c r="L127" s="192"/>
      <c r="M127" s="192"/>
      <c r="N127" s="19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 ht="16.5" customHeight="1">
      <c r="A128" s="3"/>
      <c r="B128" s="3" t="str">
        <f t="shared" si="34"/>
        <v/>
      </c>
      <c r="C128" s="3"/>
      <c r="D128" s="5"/>
      <c r="E128" s="3" t="str">
        <f t="shared" ref="E128:H128" si="124">IF(A128&lt;&gt;"", IF(A128=A127, "", A128), "")</f>
        <v/>
      </c>
      <c r="F128" s="191" t="str">
        <f t="shared" si="124"/>
        <v/>
      </c>
      <c r="G128" s="3" t="str">
        <f t="shared" si="124"/>
        <v/>
      </c>
      <c r="H128" s="5" t="str">
        <f t="shared" si="124"/>
        <v/>
      </c>
      <c r="I128" s="3"/>
      <c r="J128" s="3"/>
      <c r="K128" s="3"/>
      <c r="L128" s="192"/>
      <c r="M128" s="192"/>
      <c r="N128" s="19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</row>
    <row r="129" spans="1:100" ht="16.5" customHeight="1">
      <c r="A129" s="3"/>
      <c r="B129" s="3" t="str">
        <f t="shared" si="34"/>
        <v/>
      </c>
      <c r="C129" s="3"/>
      <c r="D129" s="5"/>
      <c r="E129" s="3" t="str">
        <f t="shared" ref="E129:H129" si="125">IF(A129&lt;&gt;"", IF(A129=A128, "", A129), "")</f>
        <v/>
      </c>
      <c r="F129" s="191" t="str">
        <f t="shared" si="125"/>
        <v/>
      </c>
      <c r="G129" s="3" t="str">
        <f t="shared" si="125"/>
        <v/>
      </c>
      <c r="H129" s="5" t="str">
        <f t="shared" si="125"/>
        <v/>
      </c>
      <c r="I129" s="3"/>
      <c r="J129" s="3"/>
      <c r="K129" s="3"/>
      <c r="L129" s="192"/>
      <c r="M129" s="192"/>
      <c r="N129" s="19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</row>
    <row r="130" spans="1:100" ht="16.5" customHeight="1">
      <c r="A130" s="3"/>
      <c r="B130" s="3" t="str">
        <f t="shared" si="34"/>
        <v/>
      </c>
      <c r="C130" s="3"/>
      <c r="D130" s="5"/>
      <c r="E130" s="3" t="str">
        <f t="shared" ref="E130:H130" si="126">IF(A130&lt;&gt;"", IF(A130=A129, "", A130), "")</f>
        <v/>
      </c>
      <c r="F130" s="191" t="str">
        <f t="shared" si="126"/>
        <v/>
      </c>
      <c r="G130" s="3" t="str">
        <f t="shared" si="126"/>
        <v/>
      </c>
      <c r="H130" s="5" t="str">
        <f t="shared" si="126"/>
        <v/>
      </c>
      <c r="I130" s="3"/>
      <c r="J130" s="3"/>
      <c r="K130" s="3"/>
      <c r="L130" s="192"/>
      <c r="M130" s="192"/>
      <c r="N130" s="19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 ht="16.5" customHeight="1">
      <c r="A131" s="3"/>
      <c r="B131" s="3" t="str">
        <f t="shared" si="34"/>
        <v/>
      </c>
      <c r="C131" s="3"/>
      <c r="D131" s="5"/>
      <c r="E131" s="3" t="str">
        <f t="shared" ref="E131:H131" si="127">IF(A131&lt;&gt;"", IF(A131=A130, "", A131), "")</f>
        <v/>
      </c>
      <c r="F131" s="191" t="str">
        <f t="shared" si="127"/>
        <v/>
      </c>
      <c r="G131" s="3" t="str">
        <f t="shared" si="127"/>
        <v/>
      </c>
      <c r="H131" s="5" t="str">
        <f t="shared" si="127"/>
        <v/>
      </c>
      <c r="I131" s="3"/>
      <c r="J131" s="3"/>
      <c r="K131" s="3"/>
      <c r="L131" s="192"/>
      <c r="M131" s="192"/>
      <c r="N131" s="19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</row>
    <row r="132" spans="1:100" ht="16.5" customHeight="1">
      <c r="A132" s="3"/>
      <c r="B132" s="3" t="str">
        <f t="shared" si="34"/>
        <v/>
      </c>
      <c r="C132" s="3"/>
      <c r="D132" s="5"/>
      <c r="E132" s="3" t="str">
        <f t="shared" ref="E132:H132" si="128">IF(A132&lt;&gt;"", IF(A132=A131, "", A132), "")</f>
        <v/>
      </c>
      <c r="F132" s="191" t="str">
        <f t="shared" si="128"/>
        <v/>
      </c>
      <c r="G132" s="3" t="str">
        <f t="shared" si="128"/>
        <v/>
      </c>
      <c r="H132" s="5" t="str">
        <f t="shared" si="128"/>
        <v/>
      </c>
      <c r="I132" s="3"/>
      <c r="J132" s="3"/>
      <c r="K132" s="3"/>
      <c r="L132" s="192"/>
      <c r="M132" s="192"/>
      <c r="N132" s="19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</row>
    <row r="133" spans="1:100" ht="16.5" customHeight="1">
      <c r="A133" s="3"/>
      <c r="B133" s="3" t="str">
        <f t="shared" si="34"/>
        <v/>
      </c>
      <c r="C133" s="3"/>
      <c r="D133" s="5"/>
      <c r="E133" s="3" t="str">
        <f t="shared" ref="E133:H133" si="129">IF(A133&lt;&gt;"", IF(A133=A132, "", A133), "")</f>
        <v/>
      </c>
      <c r="F133" s="191" t="str">
        <f t="shared" si="129"/>
        <v/>
      </c>
      <c r="G133" s="3" t="str">
        <f t="shared" si="129"/>
        <v/>
      </c>
      <c r="H133" s="5" t="str">
        <f t="shared" si="129"/>
        <v/>
      </c>
      <c r="I133" s="3"/>
      <c r="J133" s="3"/>
      <c r="K133" s="3"/>
      <c r="L133" s="192"/>
      <c r="M133" s="192"/>
      <c r="N133" s="19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</row>
    <row r="134" spans="1:100" ht="16.5" customHeight="1">
      <c r="A134" s="3"/>
      <c r="B134" s="3" t="str">
        <f t="shared" si="34"/>
        <v/>
      </c>
      <c r="C134" s="3"/>
      <c r="D134" s="5"/>
      <c r="E134" s="3" t="str">
        <f t="shared" ref="E134:H134" si="130">IF(A134&lt;&gt;"", IF(A134=A133, "", A134), "")</f>
        <v/>
      </c>
      <c r="F134" s="191" t="str">
        <f t="shared" si="130"/>
        <v/>
      </c>
      <c r="G134" s="3" t="str">
        <f t="shared" si="130"/>
        <v/>
      </c>
      <c r="H134" s="5" t="str">
        <f t="shared" si="130"/>
        <v/>
      </c>
      <c r="I134" s="3"/>
      <c r="J134" s="3"/>
      <c r="K134" s="3"/>
      <c r="L134" s="192"/>
      <c r="M134" s="192"/>
      <c r="N134" s="19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</row>
    <row r="135" spans="1:100" ht="16.5" customHeight="1">
      <c r="A135" s="3"/>
      <c r="B135" s="3" t="str">
        <f t="shared" si="34"/>
        <v/>
      </c>
      <c r="C135" s="3"/>
      <c r="D135" s="5"/>
      <c r="E135" s="3" t="str">
        <f t="shared" ref="E135:H135" si="131">IF(A135&lt;&gt;"", IF(A135=A134, "", A135), "")</f>
        <v/>
      </c>
      <c r="F135" s="191" t="str">
        <f t="shared" si="131"/>
        <v/>
      </c>
      <c r="G135" s="3" t="str">
        <f t="shared" si="131"/>
        <v/>
      </c>
      <c r="H135" s="5" t="str">
        <f t="shared" si="131"/>
        <v/>
      </c>
      <c r="I135" s="3"/>
      <c r="J135" s="3"/>
      <c r="K135" s="3"/>
      <c r="L135" s="192"/>
      <c r="M135" s="192"/>
      <c r="N135" s="19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</row>
    <row r="136" spans="1:100" ht="16.5" customHeight="1">
      <c r="A136" s="3"/>
      <c r="B136" s="3" t="str">
        <f t="shared" si="34"/>
        <v/>
      </c>
      <c r="C136" s="3"/>
      <c r="D136" s="5"/>
      <c r="E136" s="3" t="str">
        <f t="shared" ref="E136:H136" si="132">IF(A136&lt;&gt;"", IF(A136=A135, "", A136), "")</f>
        <v/>
      </c>
      <c r="F136" s="191" t="str">
        <f t="shared" si="132"/>
        <v/>
      </c>
      <c r="G136" s="3" t="str">
        <f t="shared" si="132"/>
        <v/>
      </c>
      <c r="H136" s="5" t="str">
        <f t="shared" si="132"/>
        <v/>
      </c>
      <c r="I136" s="3"/>
      <c r="J136" s="3"/>
      <c r="K136" s="3"/>
      <c r="L136" s="192"/>
      <c r="M136" s="192"/>
      <c r="N136" s="19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</row>
    <row r="137" spans="1:100" ht="16.5" customHeight="1">
      <c r="A137" s="3"/>
      <c r="B137" s="3" t="str">
        <f t="shared" si="34"/>
        <v/>
      </c>
      <c r="C137" s="3"/>
      <c r="D137" s="5"/>
      <c r="E137" s="3" t="str">
        <f t="shared" ref="E137:H137" si="133">IF(A137&lt;&gt;"", IF(A137=A136, "", A137), "")</f>
        <v/>
      </c>
      <c r="F137" s="191" t="str">
        <f t="shared" si="133"/>
        <v/>
      </c>
      <c r="G137" s="3" t="str">
        <f t="shared" si="133"/>
        <v/>
      </c>
      <c r="H137" s="5" t="str">
        <f t="shared" si="133"/>
        <v/>
      </c>
      <c r="I137" s="3"/>
      <c r="J137" s="3"/>
      <c r="K137" s="3"/>
      <c r="L137" s="192"/>
      <c r="M137" s="192"/>
      <c r="N137" s="19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</row>
    <row r="138" spans="1:100" ht="16.5" customHeight="1">
      <c r="A138" s="3"/>
      <c r="B138" s="3" t="str">
        <f t="shared" si="34"/>
        <v/>
      </c>
      <c r="C138" s="3"/>
      <c r="D138" s="5"/>
      <c r="E138" s="3" t="str">
        <f t="shared" ref="E138:H138" si="134">IF(A138&lt;&gt;"", IF(A138=A137, "", A138), "")</f>
        <v/>
      </c>
      <c r="F138" s="191" t="str">
        <f t="shared" si="134"/>
        <v/>
      </c>
      <c r="G138" s="3" t="str">
        <f t="shared" si="134"/>
        <v/>
      </c>
      <c r="H138" s="5" t="str">
        <f t="shared" si="134"/>
        <v/>
      </c>
      <c r="I138" s="3"/>
      <c r="J138" s="3"/>
      <c r="K138" s="3"/>
      <c r="L138" s="192"/>
      <c r="M138" s="192"/>
      <c r="N138" s="19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</row>
    <row r="139" spans="1:100" ht="16.5" customHeight="1">
      <c r="A139" s="3"/>
      <c r="B139" s="3" t="str">
        <f t="shared" si="34"/>
        <v/>
      </c>
      <c r="C139" s="3"/>
      <c r="D139" s="5"/>
      <c r="E139" s="3" t="str">
        <f t="shared" ref="E139:H139" si="135">IF(A139&lt;&gt;"", IF(A139=A138, "", A139), "")</f>
        <v/>
      </c>
      <c r="F139" s="191" t="str">
        <f t="shared" si="135"/>
        <v/>
      </c>
      <c r="G139" s="3" t="str">
        <f t="shared" si="135"/>
        <v/>
      </c>
      <c r="H139" s="5" t="str">
        <f t="shared" si="135"/>
        <v/>
      </c>
      <c r="I139" s="3"/>
      <c r="J139" s="3"/>
      <c r="K139" s="3"/>
      <c r="L139" s="192"/>
      <c r="M139" s="192"/>
      <c r="N139" s="19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</row>
    <row r="140" spans="1:100" ht="16.5" customHeight="1">
      <c r="A140" s="3"/>
      <c r="B140" s="3" t="str">
        <f t="shared" si="34"/>
        <v/>
      </c>
      <c r="C140" s="3"/>
      <c r="D140" s="5"/>
      <c r="E140" s="3" t="str">
        <f t="shared" ref="E140:H140" si="136">IF(A140&lt;&gt;"", IF(A140=A139, "", A140), "")</f>
        <v/>
      </c>
      <c r="F140" s="191" t="str">
        <f t="shared" si="136"/>
        <v/>
      </c>
      <c r="G140" s="3" t="str">
        <f t="shared" si="136"/>
        <v/>
      </c>
      <c r="H140" s="5" t="str">
        <f t="shared" si="136"/>
        <v/>
      </c>
      <c r="I140" s="3"/>
      <c r="J140" s="3"/>
      <c r="K140" s="3"/>
      <c r="L140" s="192"/>
      <c r="M140" s="192"/>
      <c r="N140" s="19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</row>
    <row r="141" spans="1:100" ht="16.5" customHeight="1">
      <c r="A141" s="3"/>
      <c r="B141" s="3" t="str">
        <f t="shared" si="34"/>
        <v/>
      </c>
      <c r="C141" s="3"/>
      <c r="D141" s="5"/>
      <c r="E141" s="3" t="str">
        <f t="shared" ref="E141:H141" si="137">IF(A141&lt;&gt;"", IF(A141=A140, "", A141), "")</f>
        <v/>
      </c>
      <c r="F141" s="191" t="str">
        <f t="shared" si="137"/>
        <v/>
      </c>
      <c r="G141" s="3" t="str">
        <f t="shared" si="137"/>
        <v/>
      </c>
      <c r="H141" s="5" t="str">
        <f t="shared" si="137"/>
        <v/>
      </c>
      <c r="I141" s="3"/>
      <c r="J141" s="3"/>
      <c r="K141" s="3"/>
      <c r="L141" s="192"/>
      <c r="M141" s="192"/>
      <c r="N141" s="19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</row>
    <row r="142" spans="1:100" ht="16.5" customHeight="1">
      <c r="A142" s="3"/>
      <c r="B142" s="3" t="str">
        <f t="shared" si="34"/>
        <v/>
      </c>
      <c r="C142" s="3"/>
      <c r="D142" s="5"/>
      <c r="E142" s="3" t="str">
        <f t="shared" ref="E142:H142" si="138">IF(A142&lt;&gt;"", IF(A142=A141, "", A142), "")</f>
        <v/>
      </c>
      <c r="F142" s="191" t="str">
        <f t="shared" si="138"/>
        <v/>
      </c>
      <c r="G142" s="3" t="str">
        <f t="shared" si="138"/>
        <v/>
      </c>
      <c r="H142" s="5" t="str">
        <f t="shared" si="138"/>
        <v/>
      </c>
      <c r="I142" s="3"/>
      <c r="J142" s="3"/>
      <c r="K142" s="3"/>
      <c r="L142" s="192"/>
      <c r="M142" s="192"/>
      <c r="N142" s="19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</row>
    <row r="143" spans="1:100" ht="16.5" customHeight="1">
      <c r="A143" s="3"/>
      <c r="B143" s="3" t="str">
        <f t="shared" si="34"/>
        <v/>
      </c>
      <c r="C143" s="3"/>
      <c r="D143" s="5"/>
      <c r="E143" s="3" t="str">
        <f t="shared" ref="E143:H143" si="139">IF(A143&lt;&gt;"", IF(A143=A142, "", A143), "")</f>
        <v/>
      </c>
      <c r="F143" s="191" t="str">
        <f t="shared" si="139"/>
        <v/>
      </c>
      <c r="G143" s="3" t="str">
        <f t="shared" si="139"/>
        <v/>
      </c>
      <c r="H143" s="5" t="str">
        <f t="shared" si="139"/>
        <v/>
      </c>
      <c r="I143" s="3"/>
      <c r="J143" s="3"/>
      <c r="K143" s="3"/>
      <c r="L143" s="192"/>
      <c r="M143" s="192"/>
      <c r="N143" s="19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</row>
    <row r="144" spans="1:100" ht="16.5" customHeight="1">
      <c r="A144" s="3"/>
      <c r="B144" s="3" t="str">
        <f t="shared" si="34"/>
        <v/>
      </c>
      <c r="C144" s="3"/>
      <c r="D144" s="5"/>
      <c r="E144" s="3" t="str">
        <f t="shared" ref="E144:H144" si="140">IF(A144&lt;&gt;"", IF(A144=A143, "", A144), "")</f>
        <v/>
      </c>
      <c r="F144" s="191" t="str">
        <f t="shared" si="140"/>
        <v/>
      </c>
      <c r="G144" s="3" t="str">
        <f t="shared" si="140"/>
        <v/>
      </c>
      <c r="H144" s="5" t="str">
        <f t="shared" si="140"/>
        <v/>
      </c>
      <c r="I144" s="3"/>
      <c r="J144" s="3"/>
      <c r="K144" s="3"/>
      <c r="L144" s="192"/>
      <c r="M144" s="192"/>
      <c r="N144" s="19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</row>
    <row r="145" spans="1:100" ht="16.5" customHeight="1">
      <c r="A145" s="3"/>
      <c r="B145" s="3" t="str">
        <f t="shared" si="34"/>
        <v/>
      </c>
      <c r="C145" s="3"/>
      <c r="D145" s="5"/>
      <c r="E145" s="3" t="str">
        <f t="shared" ref="E145:H145" si="141">IF(A145&lt;&gt;"", IF(A145=A144, "", A145), "")</f>
        <v/>
      </c>
      <c r="F145" s="191" t="str">
        <f t="shared" si="141"/>
        <v/>
      </c>
      <c r="G145" s="3" t="str">
        <f t="shared" si="141"/>
        <v/>
      </c>
      <c r="H145" s="5" t="str">
        <f t="shared" si="141"/>
        <v/>
      </c>
      <c r="I145" s="3"/>
      <c r="J145" s="3"/>
      <c r="K145" s="3"/>
      <c r="L145" s="192"/>
      <c r="M145" s="192"/>
      <c r="N145" s="19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</row>
    <row r="146" spans="1:100" ht="16.5" customHeight="1">
      <c r="A146" s="3"/>
      <c r="B146" s="3" t="str">
        <f t="shared" si="34"/>
        <v/>
      </c>
      <c r="C146" s="3"/>
      <c r="D146" s="5"/>
      <c r="E146" s="3" t="str">
        <f t="shared" ref="E146:H146" si="142">IF(A146&lt;&gt;"", IF(A146=A145, "", A146), "")</f>
        <v/>
      </c>
      <c r="F146" s="191" t="str">
        <f t="shared" si="142"/>
        <v/>
      </c>
      <c r="G146" s="3" t="str">
        <f t="shared" si="142"/>
        <v/>
      </c>
      <c r="H146" s="5" t="str">
        <f t="shared" si="142"/>
        <v/>
      </c>
      <c r="I146" s="3"/>
      <c r="J146" s="3"/>
      <c r="K146" s="3"/>
      <c r="L146" s="192"/>
      <c r="M146" s="192"/>
      <c r="N146" s="19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</row>
    <row r="147" spans="1:100" ht="16.5" customHeight="1">
      <c r="A147" s="3"/>
      <c r="B147" s="3" t="str">
        <f t="shared" si="34"/>
        <v/>
      </c>
      <c r="C147" s="3"/>
      <c r="D147" s="5"/>
      <c r="E147" s="3" t="str">
        <f t="shared" ref="E147:H147" si="143">IF(A147&lt;&gt;"", IF(A147=A146, "", A147), "")</f>
        <v/>
      </c>
      <c r="F147" s="191" t="str">
        <f t="shared" si="143"/>
        <v/>
      </c>
      <c r="G147" s="3" t="str">
        <f t="shared" si="143"/>
        <v/>
      </c>
      <c r="H147" s="5" t="str">
        <f t="shared" si="143"/>
        <v/>
      </c>
      <c r="I147" s="3"/>
      <c r="J147" s="3"/>
      <c r="K147" s="3"/>
      <c r="L147" s="192"/>
      <c r="M147" s="192"/>
      <c r="N147" s="19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</row>
    <row r="148" spans="1:100" ht="16.5" customHeight="1">
      <c r="A148" s="3"/>
      <c r="B148" s="3" t="str">
        <f t="shared" si="34"/>
        <v/>
      </c>
      <c r="C148" s="3"/>
      <c r="D148" s="5"/>
      <c r="E148" s="3" t="str">
        <f t="shared" ref="E148:H148" si="144">IF(A148&lt;&gt;"", IF(A148=A147, "", A148), "")</f>
        <v/>
      </c>
      <c r="F148" s="191" t="str">
        <f t="shared" si="144"/>
        <v/>
      </c>
      <c r="G148" s="3" t="str">
        <f t="shared" si="144"/>
        <v/>
      </c>
      <c r="H148" s="5" t="str">
        <f t="shared" si="144"/>
        <v/>
      </c>
      <c r="I148" s="3"/>
      <c r="J148" s="3"/>
      <c r="K148" s="3"/>
      <c r="L148" s="192"/>
      <c r="M148" s="192"/>
      <c r="N148" s="19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</row>
    <row r="149" spans="1:100" ht="16.5" customHeight="1">
      <c r="A149" s="3"/>
      <c r="B149" s="3" t="str">
        <f t="shared" si="34"/>
        <v/>
      </c>
      <c r="C149" s="3"/>
      <c r="D149" s="5"/>
      <c r="E149" s="3" t="str">
        <f t="shared" ref="E149:H149" si="145">IF(A149&lt;&gt;"", IF(A149=A148, "", A149), "")</f>
        <v/>
      </c>
      <c r="F149" s="191" t="str">
        <f t="shared" si="145"/>
        <v/>
      </c>
      <c r="G149" s="3" t="str">
        <f t="shared" si="145"/>
        <v/>
      </c>
      <c r="H149" s="5" t="str">
        <f t="shared" si="145"/>
        <v/>
      </c>
      <c r="I149" s="3"/>
      <c r="J149" s="3"/>
      <c r="K149" s="3"/>
      <c r="L149" s="192"/>
      <c r="M149" s="192"/>
      <c r="N149" s="19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</row>
    <row r="150" spans="1:100" ht="16.5" customHeight="1">
      <c r="A150" s="3"/>
      <c r="B150" s="3" t="str">
        <f t="shared" si="34"/>
        <v/>
      </c>
      <c r="C150" s="3"/>
      <c r="D150" s="5"/>
      <c r="E150" s="3" t="str">
        <f t="shared" ref="E150:H150" si="146">IF(A150&lt;&gt;"", IF(A150=A149, "", A150), "")</f>
        <v/>
      </c>
      <c r="F150" s="191" t="str">
        <f t="shared" si="146"/>
        <v/>
      </c>
      <c r="G150" s="3" t="str">
        <f t="shared" si="146"/>
        <v/>
      </c>
      <c r="H150" s="5" t="str">
        <f t="shared" si="146"/>
        <v/>
      </c>
      <c r="I150" s="3"/>
      <c r="J150" s="3"/>
      <c r="K150" s="3"/>
      <c r="L150" s="192"/>
      <c r="M150" s="192"/>
      <c r="N150" s="19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</row>
    <row r="151" spans="1:100" ht="16.5" customHeight="1">
      <c r="A151" s="3"/>
      <c r="B151" s="3" t="str">
        <f t="shared" si="34"/>
        <v/>
      </c>
      <c r="C151" s="3"/>
      <c r="D151" s="5"/>
      <c r="E151" s="3" t="str">
        <f t="shared" ref="E151:H151" si="147">IF(A151&lt;&gt;"", IF(A151=A150, "", A151), "")</f>
        <v/>
      </c>
      <c r="F151" s="191" t="str">
        <f t="shared" si="147"/>
        <v/>
      </c>
      <c r="G151" s="3" t="str">
        <f t="shared" si="147"/>
        <v/>
      </c>
      <c r="H151" s="5" t="str">
        <f t="shared" si="147"/>
        <v/>
      </c>
      <c r="I151" s="3"/>
      <c r="J151" s="3"/>
      <c r="K151" s="3"/>
      <c r="L151" s="192"/>
      <c r="M151" s="192"/>
      <c r="N151" s="19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</row>
    <row r="152" spans="1:100" ht="16.5" customHeight="1">
      <c r="A152" s="3"/>
      <c r="B152" s="3" t="str">
        <f t="shared" si="34"/>
        <v/>
      </c>
      <c r="C152" s="3"/>
      <c r="D152" s="5"/>
      <c r="E152" s="3" t="str">
        <f t="shared" ref="E152:H152" si="148">IF(A152&lt;&gt;"", IF(A152=A151, "", A152), "")</f>
        <v/>
      </c>
      <c r="F152" s="191" t="str">
        <f t="shared" si="148"/>
        <v/>
      </c>
      <c r="G152" s="3" t="str">
        <f t="shared" si="148"/>
        <v/>
      </c>
      <c r="H152" s="5" t="str">
        <f t="shared" si="148"/>
        <v/>
      </c>
      <c r="I152" s="3"/>
      <c r="J152" s="3"/>
      <c r="K152" s="3"/>
      <c r="L152" s="192"/>
      <c r="M152" s="192"/>
      <c r="N152" s="19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</row>
    <row r="153" spans="1:100" ht="16.5" customHeight="1">
      <c r="A153" s="3"/>
      <c r="B153" s="3" t="str">
        <f t="shared" si="34"/>
        <v/>
      </c>
      <c r="C153" s="3"/>
      <c r="D153" s="5"/>
      <c r="E153" s="3" t="str">
        <f t="shared" ref="E153:H153" si="149">IF(A153&lt;&gt;"", IF(A153=A152, "", A153), "")</f>
        <v/>
      </c>
      <c r="F153" s="191" t="str">
        <f t="shared" si="149"/>
        <v/>
      </c>
      <c r="G153" s="3" t="str">
        <f t="shared" si="149"/>
        <v/>
      </c>
      <c r="H153" s="5" t="str">
        <f t="shared" si="149"/>
        <v/>
      </c>
      <c r="I153" s="3"/>
      <c r="J153" s="3"/>
      <c r="K153" s="3"/>
      <c r="L153" s="192"/>
      <c r="M153" s="192"/>
      <c r="N153" s="19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</row>
    <row r="154" spans="1:100" ht="16.5" customHeight="1">
      <c r="A154" s="3"/>
      <c r="B154" s="3" t="str">
        <f t="shared" si="34"/>
        <v/>
      </c>
      <c r="C154" s="3"/>
      <c r="D154" s="5"/>
      <c r="E154" s="3" t="str">
        <f t="shared" ref="E154:H154" si="150">IF(A154&lt;&gt;"", IF(A154=A153, "", A154), "")</f>
        <v/>
      </c>
      <c r="F154" s="191" t="str">
        <f t="shared" si="150"/>
        <v/>
      </c>
      <c r="G154" s="3" t="str">
        <f t="shared" si="150"/>
        <v/>
      </c>
      <c r="H154" s="5" t="str">
        <f t="shared" si="150"/>
        <v/>
      </c>
      <c r="I154" s="3"/>
      <c r="J154" s="3"/>
      <c r="K154" s="3"/>
      <c r="L154" s="192"/>
      <c r="M154" s="192"/>
      <c r="N154" s="19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</row>
    <row r="155" spans="1:100" ht="16.5" customHeight="1">
      <c r="A155" s="3"/>
      <c r="B155" s="3" t="str">
        <f t="shared" si="34"/>
        <v/>
      </c>
      <c r="C155" s="3"/>
      <c r="D155" s="5"/>
      <c r="E155" s="3" t="str">
        <f t="shared" ref="E155:H155" si="151">IF(A155&lt;&gt;"", IF(A155=A154, "", A155), "")</f>
        <v/>
      </c>
      <c r="F155" s="191" t="str">
        <f t="shared" si="151"/>
        <v/>
      </c>
      <c r="G155" s="3" t="str">
        <f t="shared" si="151"/>
        <v/>
      </c>
      <c r="H155" s="5" t="str">
        <f t="shared" si="151"/>
        <v/>
      </c>
      <c r="I155" s="3"/>
      <c r="J155" s="3"/>
      <c r="K155" s="3"/>
      <c r="L155" s="192"/>
      <c r="M155" s="192"/>
      <c r="N155" s="19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</row>
    <row r="156" spans="1:100" ht="16.5" customHeight="1">
      <c r="A156" s="3"/>
      <c r="B156" s="3" t="str">
        <f t="shared" si="34"/>
        <v/>
      </c>
      <c r="C156" s="3"/>
      <c r="D156" s="5"/>
      <c r="E156" s="3" t="str">
        <f t="shared" ref="E156:H156" si="152">IF(A156&lt;&gt;"", IF(A156=A155, "", A156), "")</f>
        <v/>
      </c>
      <c r="F156" s="191" t="str">
        <f t="shared" si="152"/>
        <v/>
      </c>
      <c r="G156" s="3" t="str">
        <f t="shared" si="152"/>
        <v/>
      </c>
      <c r="H156" s="5" t="str">
        <f t="shared" si="152"/>
        <v/>
      </c>
      <c r="I156" s="3"/>
      <c r="J156" s="3"/>
      <c r="K156" s="3"/>
      <c r="L156" s="192"/>
      <c r="M156" s="192"/>
      <c r="N156" s="19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</row>
    <row r="157" spans="1:100" ht="16.5" customHeight="1">
      <c r="A157" s="3"/>
      <c r="B157" s="3" t="str">
        <f t="shared" si="34"/>
        <v/>
      </c>
      <c r="C157" s="3"/>
      <c r="D157" s="5"/>
      <c r="E157" s="3" t="str">
        <f t="shared" ref="E157:H157" si="153">IF(A157&lt;&gt;"", IF(A157=A156, "", A157), "")</f>
        <v/>
      </c>
      <c r="F157" s="191" t="str">
        <f t="shared" si="153"/>
        <v/>
      </c>
      <c r="G157" s="3" t="str">
        <f t="shared" si="153"/>
        <v/>
      </c>
      <c r="H157" s="5" t="str">
        <f t="shared" si="153"/>
        <v/>
      </c>
      <c r="I157" s="3"/>
      <c r="J157" s="3"/>
      <c r="K157" s="3"/>
      <c r="L157" s="192"/>
      <c r="M157" s="192"/>
      <c r="N157" s="19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</row>
    <row r="158" spans="1:100" ht="16.5" customHeight="1">
      <c r="A158" s="3"/>
      <c r="B158" s="3" t="str">
        <f t="shared" si="34"/>
        <v/>
      </c>
      <c r="C158" s="3"/>
      <c r="D158" s="5"/>
      <c r="E158" s="3" t="str">
        <f t="shared" ref="E158:H158" si="154">IF(A158&lt;&gt;"", IF(A158=A157, "", A158), "")</f>
        <v/>
      </c>
      <c r="F158" s="191" t="str">
        <f t="shared" si="154"/>
        <v/>
      </c>
      <c r="G158" s="3" t="str">
        <f t="shared" si="154"/>
        <v/>
      </c>
      <c r="H158" s="5" t="str">
        <f t="shared" si="154"/>
        <v/>
      </c>
      <c r="I158" s="3"/>
      <c r="J158" s="3"/>
      <c r="K158" s="3"/>
      <c r="L158" s="192"/>
      <c r="M158" s="192"/>
      <c r="N158" s="19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</row>
    <row r="159" spans="1:100" ht="16.5" customHeight="1">
      <c r="A159" s="3"/>
      <c r="B159" s="3" t="str">
        <f t="shared" si="34"/>
        <v/>
      </c>
      <c r="C159" s="3"/>
      <c r="D159" s="5"/>
      <c r="E159" s="3" t="str">
        <f t="shared" ref="E159:H159" si="155">IF(A159&lt;&gt;"", IF(A159=A158, "", A159), "")</f>
        <v/>
      </c>
      <c r="F159" s="191" t="str">
        <f t="shared" si="155"/>
        <v/>
      </c>
      <c r="G159" s="3" t="str">
        <f t="shared" si="155"/>
        <v/>
      </c>
      <c r="H159" s="5" t="str">
        <f t="shared" si="155"/>
        <v/>
      </c>
      <c r="I159" s="3"/>
      <c r="J159" s="3"/>
      <c r="K159" s="3"/>
      <c r="L159" s="192"/>
      <c r="M159" s="192"/>
      <c r="N159" s="19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</row>
    <row r="160" spans="1:100" ht="16.5" customHeight="1">
      <c r="A160" s="3"/>
      <c r="B160" s="3" t="str">
        <f t="shared" si="34"/>
        <v/>
      </c>
      <c r="C160" s="3"/>
      <c r="D160" s="5"/>
      <c r="E160" s="3" t="str">
        <f t="shared" ref="E160:H160" si="156">IF(A160&lt;&gt;"", IF(A160=A159, "", A160), "")</f>
        <v/>
      </c>
      <c r="F160" s="191" t="str">
        <f t="shared" si="156"/>
        <v/>
      </c>
      <c r="G160" s="3" t="str">
        <f t="shared" si="156"/>
        <v/>
      </c>
      <c r="H160" s="5" t="str">
        <f t="shared" si="156"/>
        <v/>
      </c>
      <c r="I160" s="3"/>
      <c r="J160" s="3"/>
      <c r="K160" s="3"/>
      <c r="L160" s="192"/>
      <c r="M160" s="192"/>
      <c r="N160" s="19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</row>
    <row r="161" spans="1:100" ht="16.5" customHeight="1">
      <c r="A161" s="3"/>
      <c r="B161" s="3" t="str">
        <f t="shared" si="34"/>
        <v/>
      </c>
      <c r="C161" s="3"/>
      <c r="D161" s="5"/>
      <c r="E161" s="3" t="str">
        <f t="shared" ref="E161:H161" si="157">IF(A161&lt;&gt;"", IF(A161=A160, "", A161), "")</f>
        <v/>
      </c>
      <c r="F161" s="191" t="str">
        <f t="shared" si="157"/>
        <v/>
      </c>
      <c r="G161" s="3" t="str">
        <f t="shared" si="157"/>
        <v/>
      </c>
      <c r="H161" s="5" t="str">
        <f t="shared" si="157"/>
        <v/>
      </c>
      <c r="I161" s="3"/>
      <c r="J161" s="3"/>
      <c r="K161" s="3"/>
      <c r="L161" s="192"/>
      <c r="M161" s="192"/>
      <c r="N161" s="19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</row>
    <row r="162" spans="1:100" ht="16.5" customHeight="1">
      <c r="A162" s="3"/>
      <c r="B162" s="3" t="str">
        <f t="shared" si="34"/>
        <v/>
      </c>
      <c r="C162" s="3"/>
      <c r="D162" s="5"/>
      <c r="E162" s="3" t="str">
        <f t="shared" ref="E162:H162" si="158">IF(A162&lt;&gt;"", IF(A162=A161, "", A162), "")</f>
        <v/>
      </c>
      <c r="F162" s="191" t="str">
        <f t="shared" si="158"/>
        <v/>
      </c>
      <c r="G162" s="3" t="str">
        <f t="shared" si="158"/>
        <v/>
      </c>
      <c r="H162" s="5" t="str">
        <f t="shared" si="158"/>
        <v/>
      </c>
      <c r="I162" s="3"/>
      <c r="J162" s="3"/>
      <c r="K162" s="3"/>
      <c r="L162" s="192"/>
      <c r="M162" s="192"/>
      <c r="N162" s="19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</row>
    <row r="163" spans="1:100" ht="16.5" customHeight="1">
      <c r="A163" s="3"/>
      <c r="B163" s="3" t="str">
        <f t="shared" si="34"/>
        <v/>
      </c>
      <c r="C163" s="3"/>
      <c r="D163" s="5"/>
      <c r="E163" s="3" t="str">
        <f t="shared" ref="E163:H163" si="159">IF(A163&lt;&gt;"", IF(A163=A162, "", A163), "")</f>
        <v/>
      </c>
      <c r="F163" s="191" t="str">
        <f t="shared" si="159"/>
        <v/>
      </c>
      <c r="G163" s="3" t="str">
        <f t="shared" si="159"/>
        <v/>
      </c>
      <c r="H163" s="5" t="str">
        <f t="shared" si="159"/>
        <v/>
      </c>
      <c r="I163" s="3"/>
      <c r="J163" s="3"/>
      <c r="K163" s="3"/>
      <c r="L163" s="192"/>
      <c r="M163" s="192"/>
      <c r="N163" s="19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</row>
    <row r="164" spans="1:100" ht="16.5" customHeight="1">
      <c r="A164" s="3"/>
      <c r="B164" s="3" t="str">
        <f t="shared" si="34"/>
        <v/>
      </c>
      <c r="C164" s="3"/>
      <c r="D164" s="5"/>
      <c r="E164" s="3" t="str">
        <f t="shared" ref="E164:H164" si="160">IF(A164&lt;&gt;"", IF(A164=A163, "", A164), "")</f>
        <v/>
      </c>
      <c r="F164" s="191" t="str">
        <f t="shared" si="160"/>
        <v/>
      </c>
      <c r="G164" s="3" t="str">
        <f t="shared" si="160"/>
        <v/>
      </c>
      <c r="H164" s="5" t="str">
        <f t="shared" si="160"/>
        <v/>
      </c>
      <c r="I164" s="3"/>
      <c r="J164" s="3"/>
      <c r="K164" s="3"/>
      <c r="L164" s="192"/>
      <c r="M164" s="192"/>
      <c r="N164" s="19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</row>
    <row r="165" spans="1:100" ht="16.5" customHeight="1">
      <c r="A165" s="3"/>
      <c r="B165" s="3" t="str">
        <f t="shared" si="34"/>
        <v/>
      </c>
      <c r="C165" s="3"/>
      <c r="D165" s="5"/>
      <c r="E165" s="3" t="str">
        <f t="shared" ref="E165:H165" si="161">IF(A165&lt;&gt;"", IF(A165=A164, "", A165), "")</f>
        <v/>
      </c>
      <c r="F165" s="191" t="str">
        <f t="shared" si="161"/>
        <v/>
      </c>
      <c r="G165" s="3" t="str">
        <f t="shared" si="161"/>
        <v/>
      </c>
      <c r="H165" s="5" t="str">
        <f t="shared" si="161"/>
        <v/>
      </c>
      <c r="I165" s="3"/>
      <c r="J165" s="3"/>
      <c r="K165" s="3"/>
      <c r="L165" s="192"/>
      <c r="M165" s="192"/>
      <c r="N165" s="19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</row>
    <row r="166" spans="1:100" ht="16.5" customHeight="1">
      <c r="A166" s="3"/>
      <c r="B166" s="3" t="str">
        <f t="shared" si="34"/>
        <v/>
      </c>
      <c r="C166" s="3"/>
      <c r="D166" s="5"/>
      <c r="E166" s="3" t="str">
        <f t="shared" ref="E166:H166" si="162">IF(A166&lt;&gt;"", IF(A166=A165, "", A166), "")</f>
        <v/>
      </c>
      <c r="F166" s="191" t="str">
        <f t="shared" si="162"/>
        <v/>
      </c>
      <c r="G166" s="3" t="str">
        <f t="shared" si="162"/>
        <v/>
      </c>
      <c r="H166" s="5" t="str">
        <f t="shared" si="162"/>
        <v/>
      </c>
      <c r="I166" s="3"/>
      <c r="J166" s="3"/>
      <c r="K166" s="3"/>
      <c r="L166" s="192"/>
      <c r="M166" s="192"/>
      <c r="N166" s="19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</row>
    <row r="167" spans="1:100" ht="16.5" customHeight="1">
      <c r="A167" s="3"/>
      <c r="B167" s="3" t="str">
        <f t="shared" si="34"/>
        <v/>
      </c>
      <c r="C167" s="3"/>
      <c r="D167" s="5"/>
      <c r="E167" s="3" t="str">
        <f t="shared" ref="E167:H167" si="163">IF(A167&lt;&gt;"", IF(A167=A166, "", A167), "")</f>
        <v/>
      </c>
      <c r="F167" s="191" t="str">
        <f t="shared" si="163"/>
        <v/>
      </c>
      <c r="G167" s="3" t="str">
        <f t="shared" si="163"/>
        <v/>
      </c>
      <c r="H167" s="5" t="str">
        <f t="shared" si="163"/>
        <v/>
      </c>
      <c r="I167" s="3"/>
      <c r="J167" s="3"/>
      <c r="K167" s="3"/>
      <c r="L167" s="192"/>
      <c r="M167" s="192"/>
      <c r="N167" s="19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</row>
    <row r="168" spans="1:100" ht="16.5" customHeight="1">
      <c r="A168" s="3"/>
      <c r="B168" s="3" t="str">
        <f t="shared" si="34"/>
        <v/>
      </c>
      <c r="C168" s="3"/>
      <c r="D168" s="5"/>
      <c r="E168" s="3" t="str">
        <f t="shared" ref="E168:H168" si="164">IF(A168&lt;&gt;"", IF(A168=A167, "", A168), "")</f>
        <v/>
      </c>
      <c r="F168" s="191" t="str">
        <f t="shared" si="164"/>
        <v/>
      </c>
      <c r="G168" s="3" t="str">
        <f t="shared" si="164"/>
        <v/>
      </c>
      <c r="H168" s="5" t="str">
        <f t="shared" si="164"/>
        <v/>
      </c>
      <c r="I168" s="3"/>
      <c r="J168" s="3"/>
      <c r="K168" s="3"/>
      <c r="L168" s="192"/>
      <c r="M168" s="192"/>
      <c r="N168" s="19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</row>
    <row r="169" spans="1:100" ht="16.5" customHeight="1">
      <c r="A169" s="3"/>
      <c r="B169" s="3" t="str">
        <f t="shared" si="34"/>
        <v/>
      </c>
      <c r="C169" s="3"/>
      <c r="D169" s="5"/>
      <c r="E169" s="3" t="str">
        <f t="shared" ref="E169:H169" si="165">IF(A169&lt;&gt;"", IF(A169=A168, "", A169), "")</f>
        <v/>
      </c>
      <c r="F169" s="191" t="str">
        <f t="shared" si="165"/>
        <v/>
      </c>
      <c r="G169" s="3" t="str">
        <f t="shared" si="165"/>
        <v/>
      </c>
      <c r="H169" s="5" t="str">
        <f t="shared" si="165"/>
        <v/>
      </c>
      <c r="I169" s="3"/>
      <c r="J169" s="3"/>
      <c r="K169" s="3"/>
      <c r="L169" s="192"/>
      <c r="M169" s="192"/>
      <c r="N169" s="19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</row>
    <row r="170" spans="1:100" ht="16.5" customHeight="1">
      <c r="A170" s="3"/>
      <c r="B170" s="3" t="str">
        <f t="shared" si="34"/>
        <v/>
      </c>
      <c r="C170" s="3"/>
      <c r="D170" s="5"/>
      <c r="E170" s="3" t="str">
        <f t="shared" ref="E170:H170" si="166">IF(A170&lt;&gt;"", IF(A170=A169, "", A170), "")</f>
        <v/>
      </c>
      <c r="F170" s="191" t="str">
        <f t="shared" si="166"/>
        <v/>
      </c>
      <c r="G170" s="3" t="str">
        <f t="shared" si="166"/>
        <v/>
      </c>
      <c r="H170" s="5" t="str">
        <f t="shared" si="166"/>
        <v/>
      </c>
      <c r="I170" s="3"/>
      <c r="J170" s="3"/>
      <c r="K170" s="3"/>
      <c r="L170" s="192"/>
      <c r="M170" s="192"/>
      <c r="N170" s="19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</row>
    <row r="171" spans="1:100" ht="16.5" customHeight="1">
      <c r="A171" s="3"/>
      <c r="B171" s="3" t="str">
        <f t="shared" si="34"/>
        <v/>
      </c>
      <c r="C171" s="3"/>
      <c r="D171" s="5"/>
      <c r="E171" s="3" t="str">
        <f t="shared" ref="E171:H171" si="167">IF(A171&lt;&gt;"", IF(A171=A170, "", A171), "")</f>
        <v/>
      </c>
      <c r="F171" s="191" t="str">
        <f t="shared" si="167"/>
        <v/>
      </c>
      <c r="G171" s="3" t="str">
        <f t="shared" si="167"/>
        <v/>
      </c>
      <c r="H171" s="5" t="str">
        <f t="shared" si="167"/>
        <v/>
      </c>
      <c r="I171" s="3"/>
      <c r="J171" s="3"/>
      <c r="K171" s="3"/>
      <c r="L171" s="192"/>
      <c r="M171" s="192"/>
      <c r="N171" s="19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</row>
    <row r="172" spans="1:100" ht="16.5" customHeight="1">
      <c r="A172" s="3"/>
      <c r="B172" s="3" t="str">
        <f t="shared" si="34"/>
        <v/>
      </c>
      <c r="C172" s="3"/>
      <c r="D172" s="5"/>
      <c r="E172" s="3" t="str">
        <f t="shared" ref="E172:H172" si="168">IF(A172&lt;&gt;"", IF(A172=A171, "", A172), "")</f>
        <v/>
      </c>
      <c r="F172" s="191" t="str">
        <f t="shared" si="168"/>
        <v/>
      </c>
      <c r="G172" s="3" t="str">
        <f t="shared" si="168"/>
        <v/>
      </c>
      <c r="H172" s="5" t="str">
        <f t="shared" si="168"/>
        <v/>
      </c>
      <c r="I172" s="3"/>
      <c r="J172" s="3"/>
      <c r="K172" s="3"/>
      <c r="L172" s="192"/>
      <c r="M172" s="192"/>
      <c r="N172" s="19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</row>
    <row r="173" spans="1:100" ht="16.5" customHeight="1">
      <c r="A173" s="3"/>
      <c r="B173" s="3" t="str">
        <f t="shared" si="34"/>
        <v/>
      </c>
      <c r="C173" s="3"/>
      <c r="D173" s="5"/>
      <c r="E173" s="3" t="str">
        <f t="shared" ref="E173:H173" si="169">IF(A173&lt;&gt;"", IF(A173=A172, "", A173), "")</f>
        <v/>
      </c>
      <c r="F173" s="191" t="str">
        <f t="shared" si="169"/>
        <v/>
      </c>
      <c r="G173" s="3" t="str">
        <f t="shared" si="169"/>
        <v/>
      </c>
      <c r="H173" s="5" t="str">
        <f t="shared" si="169"/>
        <v/>
      </c>
      <c r="I173" s="3"/>
      <c r="J173" s="3"/>
      <c r="K173" s="3"/>
      <c r="L173" s="192"/>
      <c r="M173" s="192"/>
      <c r="N173" s="19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</row>
    <row r="174" spans="1:100" ht="16.5" customHeight="1">
      <c r="A174" s="3"/>
      <c r="B174" s="3" t="str">
        <f t="shared" si="34"/>
        <v/>
      </c>
      <c r="C174" s="3"/>
      <c r="D174" s="5"/>
      <c r="E174" s="3" t="str">
        <f t="shared" ref="E174:H174" si="170">IF(A174&lt;&gt;"", IF(A174=A173, "", A174), "")</f>
        <v/>
      </c>
      <c r="F174" s="191" t="str">
        <f t="shared" si="170"/>
        <v/>
      </c>
      <c r="G174" s="3" t="str">
        <f t="shared" si="170"/>
        <v/>
      </c>
      <c r="H174" s="5" t="str">
        <f t="shared" si="170"/>
        <v/>
      </c>
      <c r="I174" s="3"/>
      <c r="J174" s="3"/>
      <c r="K174" s="3"/>
      <c r="L174" s="192"/>
      <c r="M174" s="192"/>
      <c r="N174" s="19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</row>
    <row r="175" spans="1:100" ht="16.5" customHeight="1">
      <c r="A175" s="3"/>
      <c r="B175" s="3" t="str">
        <f t="shared" si="34"/>
        <v/>
      </c>
      <c r="C175" s="3"/>
      <c r="D175" s="5"/>
      <c r="E175" s="3" t="str">
        <f t="shared" ref="E175:H175" si="171">IF(A175&lt;&gt;"", IF(A175=A174, "", A175), "")</f>
        <v/>
      </c>
      <c r="F175" s="191" t="str">
        <f t="shared" si="171"/>
        <v/>
      </c>
      <c r="G175" s="3" t="str">
        <f t="shared" si="171"/>
        <v/>
      </c>
      <c r="H175" s="5" t="str">
        <f t="shared" si="171"/>
        <v/>
      </c>
      <c r="I175" s="3"/>
      <c r="J175" s="3"/>
      <c r="K175" s="3"/>
      <c r="L175" s="192"/>
      <c r="M175" s="192"/>
      <c r="N175" s="19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</row>
    <row r="176" spans="1:100" ht="16.5" customHeight="1">
      <c r="A176" s="3"/>
      <c r="B176" s="3" t="str">
        <f t="shared" si="34"/>
        <v/>
      </c>
      <c r="C176" s="3"/>
      <c r="D176" s="5"/>
      <c r="E176" s="3" t="str">
        <f t="shared" ref="E176:H176" si="172">IF(A176&lt;&gt;"", IF(A176=A175, "", A176), "")</f>
        <v/>
      </c>
      <c r="F176" s="191" t="str">
        <f t="shared" si="172"/>
        <v/>
      </c>
      <c r="G176" s="3" t="str">
        <f t="shared" si="172"/>
        <v/>
      </c>
      <c r="H176" s="5" t="str">
        <f t="shared" si="172"/>
        <v/>
      </c>
      <c r="I176" s="3"/>
      <c r="J176" s="3"/>
      <c r="K176" s="3"/>
      <c r="L176" s="192"/>
      <c r="M176" s="192"/>
      <c r="N176" s="19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</row>
    <row r="177" spans="1:100" ht="16.5" customHeight="1">
      <c r="A177" s="3"/>
      <c r="B177" s="3" t="str">
        <f t="shared" si="34"/>
        <v/>
      </c>
      <c r="C177" s="3"/>
      <c r="D177" s="5"/>
      <c r="E177" s="3" t="str">
        <f t="shared" ref="E177:H177" si="173">IF(A177&lt;&gt;"", IF(A177=A176, "", A177), "")</f>
        <v/>
      </c>
      <c r="F177" s="191" t="str">
        <f t="shared" si="173"/>
        <v/>
      </c>
      <c r="G177" s="3" t="str">
        <f t="shared" si="173"/>
        <v/>
      </c>
      <c r="H177" s="5" t="str">
        <f t="shared" si="173"/>
        <v/>
      </c>
      <c r="I177" s="3"/>
      <c r="J177" s="3"/>
      <c r="K177" s="3"/>
      <c r="L177" s="192"/>
      <c r="M177" s="192"/>
      <c r="N177" s="19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</row>
    <row r="178" spans="1:100" ht="16.5" customHeight="1">
      <c r="A178" s="3"/>
      <c r="B178" s="3" t="str">
        <f t="shared" si="34"/>
        <v/>
      </c>
      <c r="C178" s="3"/>
      <c r="D178" s="5"/>
      <c r="E178" s="3" t="str">
        <f t="shared" ref="E178:H178" si="174">IF(A178&lt;&gt;"", IF(A178=A177, "", A178), "")</f>
        <v/>
      </c>
      <c r="F178" s="191" t="str">
        <f t="shared" si="174"/>
        <v/>
      </c>
      <c r="G178" s="3" t="str">
        <f t="shared" si="174"/>
        <v/>
      </c>
      <c r="H178" s="5" t="str">
        <f t="shared" si="174"/>
        <v/>
      </c>
      <c r="I178" s="3"/>
      <c r="J178" s="3"/>
      <c r="K178" s="3"/>
      <c r="L178" s="192"/>
      <c r="M178" s="192"/>
      <c r="N178" s="19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</row>
    <row r="179" spans="1:100" ht="16.5" customHeight="1">
      <c r="A179" s="3"/>
      <c r="B179" s="3" t="str">
        <f t="shared" si="34"/>
        <v/>
      </c>
      <c r="C179" s="3"/>
      <c r="D179" s="5"/>
      <c r="E179" s="3" t="str">
        <f t="shared" ref="E179:H179" si="175">IF(A179&lt;&gt;"", IF(A179=A178, "", A179), "")</f>
        <v/>
      </c>
      <c r="F179" s="191" t="str">
        <f t="shared" si="175"/>
        <v/>
      </c>
      <c r="G179" s="3" t="str">
        <f t="shared" si="175"/>
        <v/>
      </c>
      <c r="H179" s="5" t="str">
        <f t="shared" si="175"/>
        <v/>
      </c>
      <c r="I179" s="3"/>
      <c r="J179" s="3"/>
      <c r="K179" s="3"/>
      <c r="L179" s="192"/>
      <c r="M179" s="192"/>
      <c r="N179" s="19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</row>
    <row r="180" spans="1:100" ht="16.5" customHeight="1">
      <c r="A180" s="3"/>
      <c r="B180" s="3" t="str">
        <f t="shared" si="34"/>
        <v/>
      </c>
      <c r="C180" s="3"/>
      <c r="D180" s="5"/>
      <c r="E180" s="3" t="str">
        <f t="shared" ref="E180:H180" si="176">IF(A180&lt;&gt;"", IF(A180=A179, "", A180), "")</f>
        <v/>
      </c>
      <c r="F180" s="191" t="str">
        <f t="shared" si="176"/>
        <v/>
      </c>
      <c r="G180" s="3" t="str">
        <f t="shared" si="176"/>
        <v/>
      </c>
      <c r="H180" s="5" t="str">
        <f t="shared" si="176"/>
        <v/>
      </c>
      <c r="I180" s="3"/>
      <c r="J180" s="3"/>
      <c r="K180" s="3"/>
      <c r="L180" s="192"/>
      <c r="M180" s="192"/>
      <c r="N180" s="19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</row>
    <row r="181" spans="1:100" ht="16.5" customHeight="1">
      <c r="A181" s="3"/>
      <c r="B181" s="3" t="str">
        <f t="shared" si="34"/>
        <v/>
      </c>
      <c r="C181" s="3"/>
      <c r="D181" s="5"/>
      <c r="E181" s="3" t="str">
        <f t="shared" ref="E181:H181" si="177">IF(A181&lt;&gt;"", IF(A181=A180, "", A181), "")</f>
        <v/>
      </c>
      <c r="F181" s="191" t="str">
        <f t="shared" si="177"/>
        <v/>
      </c>
      <c r="G181" s="3" t="str">
        <f t="shared" si="177"/>
        <v/>
      </c>
      <c r="H181" s="5" t="str">
        <f t="shared" si="177"/>
        <v/>
      </c>
      <c r="I181" s="3"/>
      <c r="J181" s="3"/>
      <c r="K181" s="3"/>
      <c r="L181" s="192"/>
      <c r="M181" s="192"/>
      <c r="N181" s="19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</row>
    <row r="182" spans="1:100" ht="16.5" customHeight="1">
      <c r="A182" s="3"/>
      <c r="B182" s="3" t="str">
        <f t="shared" si="34"/>
        <v/>
      </c>
      <c r="C182" s="3"/>
      <c r="D182" s="5"/>
      <c r="E182" s="3" t="str">
        <f t="shared" ref="E182:H182" si="178">IF(A182&lt;&gt;"", IF(A182=A181, "", A182), "")</f>
        <v/>
      </c>
      <c r="F182" s="191" t="str">
        <f t="shared" si="178"/>
        <v/>
      </c>
      <c r="G182" s="3" t="str">
        <f t="shared" si="178"/>
        <v/>
      </c>
      <c r="H182" s="5" t="str">
        <f t="shared" si="178"/>
        <v/>
      </c>
      <c r="I182" s="3"/>
      <c r="J182" s="3"/>
      <c r="K182" s="3"/>
      <c r="L182" s="192"/>
      <c r="M182" s="192"/>
      <c r="N182" s="19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</row>
    <row r="183" spans="1:100" ht="16.5" customHeight="1">
      <c r="A183" s="3"/>
      <c r="B183" s="3" t="str">
        <f t="shared" si="34"/>
        <v/>
      </c>
      <c r="C183" s="3"/>
      <c r="D183" s="5"/>
      <c r="E183" s="3" t="str">
        <f t="shared" ref="E183:H183" si="179">IF(A183&lt;&gt;"", IF(A183=A182, "", A183), "")</f>
        <v/>
      </c>
      <c r="F183" s="191" t="str">
        <f t="shared" si="179"/>
        <v/>
      </c>
      <c r="G183" s="3" t="str">
        <f t="shared" si="179"/>
        <v/>
      </c>
      <c r="H183" s="5" t="str">
        <f t="shared" si="179"/>
        <v/>
      </c>
      <c r="I183" s="3"/>
      <c r="J183" s="3"/>
      <c r="K183" s="3"/>
      <c r="L183" s="192"/>
      <c r="M183" s="192"/>
      <c r="N183" s="19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</row>
    <row r="184" spans="1:100" ht="16.5" customHeight="1">
      <c r="A184" s="3"/>
      <c r="B184" s="3" t="str">
        <f t="shared" si="34"/>
        <v/>
      </c>
      <c r="C184" s="3"/>
      <c r="D184" s="5"/>
      <c r="E184" s="3" t="str">
        <f t="shared" ref="E184:H184" si="180">IF(A184&lt;&gt;"", IF(A184=A183, "", A184), "")</f>
        <v/>
      </c>
      <c r="F184" s="191" t="str">
        <f t="shared" si="180"/>
        <v/>
      </c>
      <c r="G184" s="3" t="str">
        <f t="shared" si="180"/>
        <v/>
      </c>
      <c r="H184" s="5" t="str">
        <f t="shared" si="180"/>
        <v/>
      </c>
      <c r="I184" s="3"/>
      <c r="J184" s="3"/>
      <c r="K184" s="3"/>
      <c r="L184" s="192"/>
      <c r="M184" s="192"/>
      <c r="N184" s="19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</row>
    <row r="185" spans="1:100" ht="16.5" customHeight="1">
      <c r="A185" s="3"/>
      <c r="B185" s="3" t="str">
        <f t="shared" si="34"/>
        <v/>
      </c>
      <c r="C185" s="3"/>
      <c r="D185" s="5"/>
      <c r="E185" s="3" t="str">
        <f t="shared" ref="E185:H185" si="181">IF(A185&lt;&gt;"", IF(A185=A184, "", A185), "")</f>
        <v/>
      </c>
      <c r="F185" s="191" t="str">
        <f t="shared" si="181"/>
        <v/>
      </c>
      <c r="G185" s="3" t="str">
        <f t="shared" si="181"/>
        <v/>
      </c>
      <c r="H185" s="5" t="str">
        <f t="shared" si="181"/>
        <v/>
      </c>
      <c r="I185" s="3"/>
      <c r="J185" s="3"/>
      <c r="K185" s="3"/>
      <c r="L185" s="192"/>
      <c r="M185" s="192"/>
      <c r="N185" s="19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</row>
    <row r="186" spans="1:100" ht="16.5" customHeight="1">
      <c r="A186" s="3"/>
      <c r="B186" s="3" t="str">
        <f t="shared" si="34"/>
        <v/>
      </c>
      <c r="C186" s="3"/>
      <c r="D186" s="5"/>
      <c r="E186" s="3" t="str">
        <f t="shared" ref="E186:H186" si="182">IF(A186&lt;&gt;"", IF(A186=A185, "", A186), "")</f>
        <v/>
      </c>
      <c r="F186" s="191" t="str">
        <f t="shared" si="182"/>
        <v/>
      </c>
      <c r="G186" s="3" t="str">
        <f t="shared" si="182"/>
        <v/>
      </c>
      <c r="H186" s="5" t="str">
        <f t="shared" si="182"/>
        <v/>
      </c>
      <c r="I186" s="3"/>
      <c r="J186" s="3"/>
      <c r="K186" s="3"/>
      <c r="L186" s="192"/>
      <c r="M186" s="192"/>
      <c r="N186" s="19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</row>
    <row r="187" spans="1:100" ht="16.5" customHeight="1">
      <c r="A187" s="3"/>
      <c r="B187" s="3" t="str">
        <f t="shared" si="34"/>
        <v/>
      </c>
      <c r="C187" s="3"/>
      <c r="D187" s="5"/>
      <c r="E187" s="3" t="str">
        <f t="shared" ref="E187:H187" si="183">IF(A187&lt;&gt;"", IF(A187=A186, "", A187), "")</f>
        <v/>
      </c>
      <c r="F187" s="191" t="str">
        <f t="shared" si="183"/>
        <v/>
      </c>
      <c r="G187" s="3" t="str">
        <f t="shared" si="183"/>
        <v/>
      </c>
      <c r="H187" s="5" t="str">
        <f t="shared" si="183"/>
        <v/>
      </c>
      <c r="I187" s="3"/>
      <c r="J187" s="3"/>
      <c r="K187" s="3"/>
      <c r="L187" s="192"/>
      <c r="M187" s="192"/>
      <c r="N187" s="19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</row>
    <row r="188" spans="1:100" ht="16.5" customHeight="1">
      <c r="A188" s="3"/>
      <c r="B188" s="3" t="str">
        <f t="shared" si="34"/>
        <v/>
      </c>
      <c r="C188" s="3"/>
      <c r="D188" s="5"/>
      <c r="E188" s="3" t="str">
        <f t="shared" ref="E188:H188" si="184">IF(A188&lt;&gt;"", IF(A188=A187, "", A188), "")</f>
        <v/>
      </c>
      <c r="F188" s="191" t="str">
        <f t="shared" si="184"/>
        <v/>
      </c>
      <c r="G188" s="3" t="str">
        <f t="shared" si="184"/>
        <v/>
      </c>
      <c r="H188" s="5" t="str">
        <f t="shared" si="184"/>
        <v/>
      </c>
      <c r="I188" s="3"/>
      <c r="J188" s="3"/>
      <c r="K188" s="3"/>
      <c r="L188" s="192"/>
      <c r="M188" s="192"/>
      <c r="N188" s="19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</row>
    <row r="189" spans="1:100" ht="16.5" customHeight="1">
      <c r="A189" s="3"/>
      <c r="B189" s="3" t="str">
        <f t="shared" si="34"/>
        <v/>
      </c>
      <c r="C189" s="3"/>
      <c r="D189" s="5"/>
      <c r="E189" s="3" t="str">
        <f t="shared" ref="E189:H189" si="185">IF(A189&lt;&gt;"", IF(A189=A188, "", A189), "")</f>
        <v/>
      </c>
      <c r="F189" s="191" t="str">
        <f t="shared" si="185"/>
        <v/>
      </c>
      <c r="G189" s="3" t="str">
        <f t="shared" si="185"/>
        <v/>
      </c>
      <c r="H189" s="5" t="str">
        <f t="shared" si="185"/>
        <v/>
      </c>
      <c r="I189" s="3"/>
      <c r="J189" s="3"/>
      <c r="K189" s="3"/>
      <c r="L189" s="192"/>
      <c r="M189" s="192"/>
      <c r="N189" s="19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</row>
    <row r="190" spans="1:100" ht="16.5" customHeight="1">
      <c r="A190" s="3"/>
      <c r="B190" s="3" t="str">
        <f t="shared" si="34"/>
        <v/>
      </c>
      <c r="C190" s="3"/>
      <c r="D190" s="5"/>
      <c r="E190" s="3" t="str">
        <f t="shared" ref="E190:H190" si="186">IF(A190&lt;&gt;"", IF(A190=A189, "", A190), "")</f>
        <v/>
      </c>
      <c r="F190" s="191" t="str">
        <f t="shared" si="186"/>
        <v/>
      </c>
      <c r="G190" s="3" t="str">
        <f t="shared" si="186"/>
        <v/>
      </c>
      <c r="H190" s="5" t="str">
        <f t="shared" si="186"/>
        <v/>
      </c>
      <c r="I190" s="3"/>
      <c r="J190" s="3"/>
      <c r="K190" s="3"/>
      <c r="L190" s="192"/>
      <c r="M190" s="192"/>
      <c r="N190" s="19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</row>
    <row r="191" spans="1:100" ht="16.5" customHeight="1">
      <c r="A191" s="3"/>
      <c r="B191" s="3" t="str">
        <f t="shared" si="34"/>
        <v/>
      </c>
      <c r="C191" s="3"/>
      <c r="D191" s="5"/>
      <c r="E191" s="3" t="str">
        <f t="shared" ref="E191:H191" si="187">IF(A191&lt;&gt;"", IF(A191=A190, "", A191), "")</f>
        <v/>
      </c>
      <c r="F191" s="191" t="str">
        <f t="shared" si="187"/>
        <v/>
      </c>
      <c r="G191" s="3" t="str">
        <f t="shared" si="187"/>
        <v/>
      </c>
      <c r="H191" s="5" t="str">
        <f t="shared" si="187"/>
        <v/>
      </c>
      <c r="I191" s="3"/>
      <c r="J191" s="3"/>
      <c r="K191" s="3"/>
      <c r="L191" s="192"/>
      <c r="M191" s="192"/>
      <c r="N191" s="19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</row>
    <row r="192" spans="1:100" ht="16.5" customHeight="1">
      <c r="A192" s="3"/>
      <c r="B192" s="3" t="str">
        <f t="shared" si="34"/>
        <v/>
      </c>
      <c r="C192" s="3"/>
      <c r="D192" s="5"/>
      <c r="E192" s="3" t="str">
        <f t="shared" ref="E192:H192" si="188">IF(A192&lt;&gt;"", IF(A192=A191, "", A192), "")</f>
        <v/>
      </c>
      <c r="F192" s="191" t="str">
        <f t="shared" si="188"/>
        <v/>
      </c>
      <c r="G192" s="3" t="str">
        <f t="shared" si="188"/>
        <v/>
      </c>
      <c r="H192" s="5" t="str">
        <f t="shared" si="188"/>
        <v/>
      </c>
      <c r="I192" s="3"/>
      <c r="J192" s="3"/>
      <c r="K192" s="3"/>
      <c r="L192" s="192"/>
      <c r="M192" s="192"/>
      <c r="N192" s="19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</row>
    <row r="193" spans="1:100" ht="16.5" customHeight="1">
      <c r="A193" s="3"/>
      <c r="B193" s="3" t="str">
        <f t="shared" si="34"/>
        <v/>
      </c>
      <c r="C193" s="3"/>
      <c r="D193" s="5"/>
      <c r="E193" s="3" t="str">
        <f t="shared" ref="E193:H193" si="189">IF(A193&lt;&gt;"", IF(A193=A192, "", A193), "")</f>
        <v/>
      </c>
      <c r="F193" s="191" t="str">
        <f t="shared" si="189"/>
        <v/>
      </c>
      <c r="G193" s="3" t="str">
        <f t="shared" si="189"/>
        <v/>
      </c>
      <c r="H193" s="5" t="str">
        <f t="shared" si="189"/>
        <v/>
      </c>
      <c r="I193" s="3"/>
      <c r="J193" s="3"/>
      <c r="K193" s="3"/>
      <c r="L193" s="192"/>
      <c r="M193" s="192"/>
      <c r="N193" s="19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</row>
    <row r="194" spans="1:100" ht="16.5" customHeight="1">
      <c r="A194" s="3"/>
      <c r="B194" s="3" t="str">
        <f t="shared" si="34"/>
        <v/>
      </c>
      <c r="C194" s="3"/>
      <c r="D194" s="5"/>
      <c r="E194" s="3" t="str">
        <f t="shared" ref="E194:H194" si="190">IF(A194&lt;&gt;"", IF(A194=A193, "", A194), "")</f>
        <v/>
      </c>
      <c r="F194" s="191" t="str">
        <f t="shared" si="190"/>
        <v/>
      </c>
      <c r="G194" s="3" t="str">
        <f t="shared" si="190"/>
        <v/>
      </c>
      <c r="H194" s="5" t="str">
        <f t="shared" si="190"/>
        <v/>
      </c>
      <c r="I194" s="3"/>
      <c r="J194" s="3"/>
      <c r="K194" s="3"/>
      <c r="L194" s="192"/>
      <c r="M194" s="192"/>
      <c r="N194" s="19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</row>
    <row r="195" spans="1:100" ht="16.5" customHeight="1">
      <c r="A195" s="3"/>
      <c r="B195" s="3" t="str">
        <f t="shared" si="34"/>
        <v/>
      </c>
      <c r="C195" s="3"/>
      <c r="D195" s="5"/>
      <c r="E195" s="3" t="str">
        <f t="shared" ref="E195:H195" si="191">IF(A195&lt;&gt;"", IF(A195=A194, "", A195), "")</f>
        <v/>
      </c>
      <c r="F195" s="191" t="str">
        <f t="shared" si="191"/>
        <v/>
      </c>
      <c r="G195" s="3" t="str">
        <f t="shared" si="191"/>
        <v/>
      </c>
      <c r="H195" s="5" t="str">
        <f t="shared" si="191"/>
        <v/>
      </c>
      <c r="I195" s="3"/>
      <c r="J195" s="3"/>
      <c r="K195" s="3"/>
      <c r="L195" s="192"/>
      <c r="M195" s="192"/>
      <c r="N195" s="19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</row>
    <row r="196" spans="1:100" ht="16.5" customHeight="1">
      <c r="A196" s="3"/>
      <c r="B196" s="3" t="str">
        <f t="shared" si="34"/>
        <v/>
      </c>
      <c r="C196" s="3"/>
      <c r="D196" s="5"/>
      <c r="E196" s="3" t="str">
        <f t="shared" ref="E196:H196" si="192">IF(A196&lt;&gt;"", IF(A196=A195, "", A196), "")</f>
        <v/>
      </c>
      <c r="F196" s="191" t="str">
        <f t="shared" si="192"/>
        <v/>
      </c>
      <c r="G196" s="3" t="str">
        <f t="shared" si="192"/>
        <v/>
      </c>
      <c r="H196" s="5" t="str">
        <f t="shared" si="192"/>
        <v/>
      </c>
      <c r="I196" s="3"/>
      <c r="J196" s="3"/>
      <c r="K196" s="3"/>
      <c r="L196" s="192"/>
      <c r="M196" s="192"/>
      <c r="N196" s="19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</row>
    <row r="197" spans="1:100" ht="16.5" customHeight="1">
      <c r="A197" s="3"/>
      <c r="B197" s="3" t="str">
        <f t="shared" si="34"/>
        <v/>
      </c>
      <c r="C197" s="3"/>
      <c r="D197" s="5"/>
      <c r="E197" s="3" t="str">
        <f t="shared" ref="E197:H197" si="193">IF(A197&lt;&gt;"", IF(A197=A196, "", A197), "")</f>
        <v/>
      </c>
      <c r="F197" s="191" t="str">
        <f t="shared" si="193"/>
        <v/>
      </c>
      <c r="G197" s="3" t="str">
        <f t="shared" si="193"/>
        <v/>
      </c>
      <c r="H197" s="5" t="str">
        <f t="shared" si="193"/>
        <v/>
      </c>
      <c r="I197" s="3"/>
      <c r="J197" s="3"/>
      <c r="K197" s="3"/>
      <c r="L197" s="192"/>
      <c r="M197" s="192"/>
      <c r="N197" s="19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</row>
    <row r="198" spans="1:100" ht="16.5" customHeight="1">
      <c r="A198" s="3"/>
      <c r="B198" s="3" t="str">
        <f t="shared" si="34"/>
        <v/>
      </c>
      <c r="C198" s="3"/>
      <c r="D198" s="5"/>
      <c r="E198" s="3" t="str">
        <f t="shared" ref="E198:H198" si="194">IF(A198&lt;&gt;"", IF(A198=A197, "", A198), "")</f>
        <v/>
      </c>
      <c r="F198" s="191" t="str">
        <f t="shared" si="194"/>
        <v/>
      </c>
      <c r="G198" s="3" t="str">
        <f t="shared" si="194"/>
        <v/>
      </c>
      <c r="H198" s="5" t="str">
        <f t="shared" si="194"/>
        <v/>
      </c>
      <c r="I198" s="3"/>
      <c r="J198" s="3"/>
      <c r="K198" s="3"/>
      <c r="L198" s="192"/>
      <c r="M198" s="192"/>
      <c r="N198" s="19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</row>
    <row r="199" spans="1:100" ht="16.5" customHeight="1">
      <c r="A199" s="3"/>
      <c r="B199" s="3" t="str">
        <f t="shared" si="34"/>
        <v/>
      </c>
      <c r="C199" s="3"/>
      <c r="D199" s="5"/>
      <c r="E199" s="3" t="str">
        <f t="shared" ref="E199:H199" si="195">IF(A199&lt;&gt;"", IF(A199=A198, "", A199), "")</f>
        <v/>
      </c>
      <c r="F199" s="191" t="str">
        <f t="shared" si="195"/>
        <v/>
      </c>
      <c r="G199" s="3" t="str">
        <f t="shared" si="195"/>
        <v/>
      </c>
      <c r="H199" s="5" t="str">
        <f t="shared" si="195"/>
        <v/>
      </c>
      <c r="I199" s="3"/>
      <c r="J199" s="3"/>
      <c r="K199" s="3"/>
      <c r="L199" s="192"/>
      <c r="M199" s="192"/>
      <c r="N199" s="19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</row>
    <row r="200" spans="1:100" ht="16.5" customHeight="1">
      <c r="A200" s="3"/>
      <c r="B200" s="3" t="str">
        <f t="shared" si="34"/>
        <v/>
      </c>
      <c r="C200" s="3"/>
      <c r="D200" s="5"/>
      <c r="E200" s="3" t="str">
        <f t="shared" ref="E200:H200" si="196">IF(A200&lt;&gt;"", IF(A200=A199, "", A200), "")</f>
        <v/>
      </c>
      <c r="F200" s="191" t="str">
        <f t="shared" si="196"/>
        <v/>
      </c>
      <c r="G200" s="3" t="str">
        <f t="shared" si="196"/>
        <v/>
      </c>
      <c r="H200" s="5" t="str">
        <f t="shared" si="196"/>
        <v/>
      </c>
      <c r="I200" s="3"/>
      <c r="J200" s="3"/>
      <c r="K200" s="3"/>
      <c r="L200" s="192"/>
      <c r="M200" s="192"/>
      <c r="N200" s="19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</row>
    <row r="201" spans="1:100" ht="16.5" customHeight="1">
      <c r="A201" s="3"/>
      <c r="B201" s="3" t="str">
        <f t="shared" si="34"/>
        <v/>
      </c>
      <c r="C201" s="3"/>
      <c r="D201" s="5"/>
      <c r="E201" s="3" t="str">
        <f t="shared" ref="E201:H201" si="197">IF(A201&lt;&gt;"", IF(A201=A200, "", A201), "")</f>
        <v/>
      </c>
      <c r="F201" s="191" t="str">
        <f t="shared" si="197"/>
        <v/>
      </c>
      <c r="G201" s="3" t="str">
        <f t="shared" si="197"/>
        <v/>
      </c>
      <c r="H201" s="5" t="str">
        <f t="shared" si="197"/>
        <v/>
      </c>
      <c r="I201" s="3"/>
      <c r="J201" s="3"/>
      <c r="K201" s="3"/>
      <c r="L201" s="192"/>
      <c r="M201" s="192"/>
      <c r="N201" s="19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</row>
    <row r="202" spans="1:100" ht="16.5" customHeight="1">
      <c r="A202" s="3"/>
      <c r="B202" s="3" t="str">
        <f t="shared" si="34"/>
        <v/>
      </c>
      <c r="C202" s="3"/>
      <c r="D202" s="5"/>
      <c r="E202" s="3" t="str">
        <f t="shared" ref="E202:H202" si="198">IF(A202&lt;&gt;"", IF(A202=A201, "", A202), "")</f>
        <v/>
      </c>
      <c r="F202" s="191" t="str">
        <f t="shared" si="198"/>
        <v/>
      </c>
      <c r="G202" s="3" t="str">
        <f t="shared" si="198"/>
        <v/>
      </c>
      <c r="H202" s="5" t="str">
        <f t="shared" si="198"/>
        <v/>
      </c>
      <c r="I202" s="3"/>
      <c r="J202" s="3"/>
      <c r="K202" s="3"/>
      <c r="L202" s="192"/>
      <c r="M202" s="192"/>
      <c r="N202" s="19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</row>
    <row r="203" spans="1:100" ht="16.5" customHeight="1">
      <c r="A203" s="3"/>
      <c r="B203" s="3" t="str">
        <f t="shared" si="34"/>
        <v/>
      </c>
      <c r="C203" s="3"/>
      <c r="D203" s="5"/>
      <c r="E203" s="3" t="str">
        <f t="shared" ref="E203:H203" si="199">IF(A203&lt;&gt;"", IF(A203=A202, "", A203), "")</f>
        <v/>
      </c>
      <c r="F203" s="191" t="str">
        <f t="shared" si="199"/>
        <v/>
      </c>
      <c r="G203" s="3" t="str">
        <f t="shared" si="199"/>
        <v/>
      </c>
      <c r="H203" s="5" t="str">
        <f t="shared" si="199"/>
        <v/>
      </c>
      <c r="I203" s="3"/>
      <c r="J203" s="3"/>
      <c r="K203" s="3"/>
      <c r="L203" s="192"/>
      <c r="M203" s="192"/>
      <c r="N203" s="19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</row>
    <row r="204" spans="1:100" ht="16.5" customHeight="1">
      <c r="A204" s="3"/>
      <c r="B204" s="3"/>
      <c r="C204" s="3"/>
      <c r="D204" s="5"/>
      <c r="E204" s="3" t="str">
        <f t="shared" ref="E204:H204" si="200">IF(A204&lt;&gt;"", IF(A204=A203, "", A204), "")</f>
        <v/>
      </c>
      <c r="F204" s="191" t="str">
        <f t="shared" si="200"/>
        <v/>
      </c>
      <c r="G204" s="3" t="str">
        <f t="shared" si="200"/>
        <v/>
      </c>
      <c r="H204" s="5" t="str">
        <f t="shared" si="200"/>
        <v/>
      </c>
      <c r="I204" s="3"/>
      <c r="J204" s="3"/>
      <c r="K204" s="3"/>
      <c r="L204" s="192"/>
      <c r="M204" s="192"/>
      <c r="N204" s="19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</row>
    <row r="205" spans="1:100" ht="16.5" customHeight="1">
      <c r="A205" s="3"/>
      <c r="B205" s="3"/>
      <c r="C205" s="3"/>
      <c r="D205" s="5"/>
      <c r="E205" s="3" t="str">
        <f t="shared" ref="E205:H205" si="201">IF(A205&lt;&gt;"", IF(A205=A204, "", A205), "")</f>
        <v/>
      </c>
      <c r="F205" s="191" t="str">
        <f t="shared" si="201"/>
        <v/>
      </c>
      <c r="G205" s="3" t="str">
        <f t="shared" si="201"/>
        <v/>
      </c>
      <c r="H205" s="5" t="str">
        <f t="shared" si="201"/>
        <v/>
      </c>
      <c r="I205" s="3"/>
      <c r="J205" s="3"/>
      <c r="K205" s="3"/>
      <c r="L205" s="192"/>
      <c r="M205" s="192"/>
      <c r="N205" s="19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</row>
    <row r="206" spans="1:100" ht="16.5" customHeight="1">
      <c r="A206" s="3"/>
      <c r="B206" s="3"/>
      <c r="C206" s="3"/>
      <c r="D206" s="5"/>
      <c r="E206" s="3" t="str">
        <f t="shared" ref="E206:H206" si="202">IF(A206&lt;&gt;"", IF(A206=A205, "", A206), "")</f>
        <v/>
      </c>
      <c r="F206" s="191" t="str">
        <f t="shared" si="202"/>
        <v/>
      </c>
      <c r="G206" s="3" t="str">
        <f t="shared" si="202"/>
        <v/>
      </c>
      <c r="H206" s="5" t="str">
        <f t="shared" si="202"/>
        <v/>
      </c>
      <c r="I206" s="3"/>
      <c r="J206" s="3"/>
      <c r="K206" s="3"/>
      <c r="L206" s="192"/>
      <c r="M206" s="192"/>
      <c r="N206" s="19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</row>
    <row r="207" spans="1:100" ht="16.5" customHeight="1">
      <c r="A207" s="3"/>
      <c r="B207" s="3"/>
      <c r="C207" s="3"/>
      <c r="D207" s="5"/>
      <c r="E207" s="3" t="str">
        <f t="shared" ref="E207:H207" si="203">IF(A207&lt;&gt;"", IF(A207=A206, "", A207), "")</f>
        <v/>
      </c>
      <c r="F207" s="191" t="str">
        <f t="shared" si="203"/>
        <v/>
      </c>
      <c r="G207" s="3" t="str">
        <f t="shared" si="203"/>
        <v/>
      </c>
      <c r="H207" s="5" t="str">
        <f t="shared" si="203"/>
        <v/>
      </c>
      <c r="I207" s="3"/>
      <c r="J207" s="3"/>
      <c r="K207" s="3"/>
      <c r="L207" s="192"/>
      <c r="M207" s="192"/>
      <c r="N207" s="19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</row>
    <row r="208" spans="1:100" ht="16.5" customHeight="1">
      <c r="A208" s="3"/>
      <c r="B208" s="3"/>
      <c r="C208" s="3"/>
      <c r="D208" s="5"/>
      <c r="E208" s="3" t="str">
        <f t="shared" ref="E208:H208" si="204">IF(A208&lt;&gt;"", IF(A208=A207, "", A208), "")</f>
        <v/>
      </c>
      <c r="F208" s="191" t="str">
        <f t="shared" si="204"/>
        <v/>
      </c>
      <c r="G208" s="3" t="str">
        <f t="shared" si="204"/>
        <v/>
      </c>
      <c r="H208" s="5" t="str">
        <f t="shared" si="204"/>
        <v/>
      </c>
      <c r="I208" s="3"/>
      <c r="J208" s="3"/>
      <c r="K208" s="3"/>
      <c r="L208" s="192"/>
      <c r="M208" s="192"/>
      <c r="N208" s="19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</row>
    <row r="209" spans="1:100" ht="16.5" customHeight="1">
      <c r="A209" s="3"/>
      <c r="B209" s="3"/>
      <c r="C209" s="3"/>
      <c r="D209" s="5"/>
      <c r="E209" s="3" t="str">
        <f t="shared" ref="E209:H209" si="205">IF(A209&lt;&gt;"", IF(A209=A208, "", A209), "")</f>
        <v/>
      </c>
      <c r="F209" s="191" t="str">
        <f t="shared" si="205"/>
        <v/>
      </c>
      <c r="G209" s="3" t="str">
        <f t="shared" si="205"/>
        <v/>
      </c>
      <c r="H209" s="5" t="str">
        <f t="shared" si="205"/>
        <v/>
      </c>
      <c r="I209" s="3"/>
      <c r="J209" s="3"/>
      <c r="K209" s="3"/>
      <c r="L209" s="192"/>
      <c r="M209" s="192"/>
      <c r="N209" s="19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</row>
    <row r="210" spans="1:100" ht="16.5" customHeight="1">
      <c r="A210" s="3"/>
      <c r="B210" s="3"/>
      <c r="C210" s="3"/>
      <c r="D210" s="5"/>
      <c r="E210" s="3" t="str">
        <f t="shared" ref="E210:H210" si="206">IF(A210&lt;&gt;"", IF(A210=A209, "", A210), "")</f>
        <v/>
      </c>
      <c r="F210" s="191" t="str">
        <f t="shared" si="206"/>
        <v/>
      </c>
      <c r="G210" s="3" t="str">
        <f t="shared" si="206"/>
        <v/>
      </c>
      <c r="H210" s="5" t="str">
        <f t="shared" si="206"/>
        <v/>
      </c>
      <c r="I210" s="3"/>
      <c r="J210" s="3"/>
      <c r="K210" s="3"/>
      <c r="L210" s="192"/>
      <c r="M210" s="192"/>
      <c r="N210" s="19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</row>
    <row r="211" spans="1:100" ht="16.5" customHeight="1">
      <c r="A211" s="3"/>
      <c r="B211" s="3"/>
      <c r="C211" s="3"/>
      <c r="D211" s="5"/>
      <c r="E211" s="3" t="str">
        <f t="shared" ref="E211:H211" si="207">IF(A211&lt;&gt;"", IF(A211=A210, "", A211), "")</f>
        <v/>
      </c>
      <c r="F211" s="191" t="str">
        <f t="shared" si="207"/>
        <v/>
      </c>
      <c r="G211" s="3" t="str">
        <f t="shared" si="207"/>
        <v/>
      </c>
      <c r="H211" s="5" t="str">
        <f t="shared" si="207"/>
        <v/>
      </c>
      <c r="I211" s="3"/>
      <c r="J211" s="3"/>
      <c r="K211" s="3"/>
      <c r="L211" s="192"/>
      <c r="M211" s="192"/>
      <c r="N211" s="19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</row>
    <row r="212" spans="1:100" ht="16.5" customHeight="1">
      <c r="A212" s="3"/>
      <c r="B212" s="3"/>
      <c r="C212" s="3"/>
      <c r="D212" s="5"/>
      <c r="E212" s="3" t="str">
        <f t="shared" ref="E212:H212" si="208">IF(A212&lt;&gt;"", IF(A212=A211, "", A212), "")</f>
        <v/>
      </c>
      <c r="F212" s="191" t="str">
        <f t="shared" si="208"/>
        <v/>
      </c>
      <c r="G212" s="3" t="str">
        <f t="shared" si="208"/>
        <v/>
      </c>
      <c r="H212" s="5" t="str">
        <f t="shared" si="208"/>
        <v/>
      </c>
      <c r="I212" s="3"/>
      <c r="J212" s="3"/>
      <c r="K212" s="3"/>
      <c r="L212" s="192"/>
      <c r="M212" s="192"/>
      <c r="N212" s="19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</row>
    <row r="213" spans="1:100" ht="16.5" customHeight="1">
      <c r="A213" s="3"/>
      <c r="B213" s="3"/>
      <c r="C213" s="3"/>
      <c r="D213" s="5"/>
      <c r="E213" s="3" t="str">
        <f t="shared" ref="E213:H213" si="209">IF(A213&lt;&gt;"", IF(A213=A212, "", A213), "")</f>
        <v/>
      </c>
      <c r="F213" s="191" t="str">
        <f t="shared" si="209"/>
        <v/>
      </c>
      <c r="G213" s="3" t="str">
        <f t="shared" si="209"/>
        <v/>
      </c>
      <c r="H213" s="5" t="str">
        <f t="shared" si="209"/>
        <v/>
      </c>
      <c r="I213" s="3"/>
      <c r="J213" s="3"/>
      <c r="K213" s="3"/>
      <c r="L213" s="192"/>
      <c r="M213" s="192"/>
      <c r="N213" s="19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</row>
    <row r="214" spans="1:100" ht="16.5" customHeight="1">
      <c r="A214" s="3"/>
      <c r="B214" s="3"/>
      <c r="C214" s="3"/>
      <c r="D214" s="5"/>
      <c r="E214" s="3" t="str">
        <f t="shared" ref="E214:H214" si="210">IF(A214&lt;&gt;"", IF(A214=A213, "", A214), "")</f>
        <v/>
      </c>
      <c r="F214" s="191" t="str">
        <f t="shared" si="210"/>
        <v/>
      </c>
      <c r="G214" s="3" t="str">
        <f t="shared" si="210"/>
        <v/>
      </c>
      <c r="H214" s="5" t="str">
        <f t="shared" si="210"/>
        <v/>
      </c>
      <c r="I214" s="3"/>
      <c r="J214" s="3"/>
      <c r="K214" s="3"/>
      <c r="L214" s="192"/>
      <c r="M214" s="192"/>
      <c r="N214" s="19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</row>
    <row r="215" spans="1:100" ht="16.5" customHeight="1">
      <c r="A215" s="3"/>
      <c r="B215" s="3"/>
      <c r="C215" s="3"/>
      <c r="D215" s="5"/>
      <c r="E215" s="3" t="str">
        <f t="shared" ref="E215:H215" si="211">IF(A215&lt;&gt;"", IF(A215=A214, "", A215), "")</f>
        <v/>
      </c>
      <c r="F215" s="191" t="str">
        <f t="shared" si="211"/>
        <v/>
      </c>
      <c r="G215" s="3" t="str">
        <f t="shared" si="211"/>
        <v/>
      </c>
      <c r="H215" s="5" t="str">
        <f t="shared" si="211"/>
        <v/>
      </c>
      <c r="I215" s="3"/>
      <c r="J215" s="3"/>
      <c r="K215" s="3"/>
      <c r="L215" s="192"/>
      <c r="M215" s="192"/>
      <c r="N215" s="19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</row>
    <row r="216" spans="1:100" ht="16.5" customHeight="1">
      <c r="A216" s="3"/>
      <c r="B216" s="3"/>
      <c r="C216" s="3"/>
      <c r="D216" s="5"/>
      <c r="E216" s="3" t="str">
        <f t="shared" ref="E216:H216" si="212">IF(A216&lt;&gt;"", IF(A216=A215, "", A216), "")</f>
        <v/>
      </c>
      <c r="F216" s="191" t="str">
        <f t="shared" si="212"/>
        <v/>
      </c>
      <c r="G216" s="3" t="str">
        <f t="shared" si="212"/>
        <v/>
      </c>
      <c r="H216" s="5" t="str">
        <f t="shared" si="212"/>
        <v/>
      </c>
      <c r="I216" s="3"/>
      <c r="J216" s="3"/>
      <c r="K216" s="3"/>
      <c r="L216" s="192"/>
      <c r="M216" s="192"/>
      <c r="N216" s="19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</row>
    <row r="217" spans="1:100" ht="16.5" customHeight="1">
      <c r="A217" s="3"/>
      <c r="B217" s="3"/>
      <c r="C217" s="3"/>
      <c r="D217" s="5"/>
      <c r="E217" s="3" t="str">
        <f t="shared" ref="E217:H217" si="213">IF(A217&lt;&gt;"", IF(A217=A216, "", A217), "")</f>
        <v/>
      </c>
      <c r="F217" s="191" t="str">
        <f t="shared" si="213"/>
        <v/>
      </c>
      <c r="G217" s="3" t="str">
        <f t="shared" si="213"/>
        <v/>
      </c>
      <c r="H217" s="5" t="str">
        <f t="shared" si="213"/>
        <v/>
      </c>
      <c r="I217" s="3"/>
      <c r="J217" s="3"/>
      <c r="K217" s="3"/>
      <c r="L217" s="192"/>
      <c r="M217" s="192"/>
      <c r="N217" s="19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</row>
    <row r="218" spans="1:100" ht="16.5" customHeight="1">
      <c r="A218" s="3"/>
      <c r="B218" s="3"/>
      <c r="C218" s="3"/>
      <c r="D218" s="5"/>
      <c r="E218" s="3" t="str">
        <f t="shared" ref="E218:H218" si="214">IF(A218&lt;&gt;"", IF(A218=A217, "", A218), "")</f>
        <v/>
      </c>
      <c r="F218" s="191" t="str">
        <f t="shared" si="214"/>
        <v/>
      </c>
      <c r="G218" s="3" t="str">
        <f t="shared" si="214"/>
        <v/>
      </c>
      <c r="H218" s="5" t="str">
        <f t="shared" si="214"/>
        <v/>
      </c>
      <c r="I218" s="3"/>
      <c r="J218" s="3"/>
      <c r="K218" s="3"/>
      <c r="L218" s="192"/>
      <c r="M218" s="192"/>
      <c r="N218" s="19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</row>
    <row r="219" spans="1:100" ht="16.5" customHeight="1">
      <c r="A219" s="3"/>
      <c r="B219" s="3"/>
      <c r="C219" s="3"/>
      <c r="D219" s="5"/>
      <c r="E219" s="3" t="str">
        <f t="shared" ref="E219:H219" si="215">IF(A219&lt;&gt;"", IF(A219=A218, "", A219), "")</f>
        <v/>
      </c>
      <c r="F219" s="191" t="str">
        <f t="shared" si="215"/>
        <v/>
      </c>
      <c r="G219" s="3" t="str">
        <f t="shared" si="215"/>
        <v/>
      </c>
      <c r="H219" s="5" t="str">
        <f t="shared" si="215"/>
        <v/>
      </c>
      <c r="I219" s="3"/>
      <c r="J219" s="3"/>
      <c r="K219" s="3"/>
      <c r="L219" s="192"/>
      <c r="M219" s="192"/>
      <c r="N219" s="19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</row>
    <row r="220" spans="1:100" ht="16.5" customHeight="1">
      <c r="A220" s="3"/>
      <c r="B220" s="3"/>
      <c r="C220" s="3"/>
      <c r="D220" s="5"/>
      <c r="E220" s="3" t="str">
        <f t="shared" ref="E220:H220" si="216">IF(A220&lt;&gt;"", IF(A220=A219, "", A220), "")</f>
        <v/>
      </c>
      <c r="F220" s="191" t="str">
        <f t="shared" si="216"/>
        <v/>
      </c>
      <c r="G220" s="3" t="str">
        <f t="shared" si="216"/>
        <v/>
      </c>
      <c r="H220" s="5" t="str">
        <f t="shared" si="216"/>
        <v/>
      </c>
      <c r="I220" s="3"/>
      <c r="J220" s="3"/>
      <c r="K220" s="3"/>
      <c r="L220" s="192"/>
      <c r="M220" s="192"/>
      <c r="N220" s="19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</row>
    <row r="221" spans="1:100" ht="16.5" customHeight="1">
      <c r="A221" s="3"/>
      <c r="B221" s="3"/>
      <c r="C221" s="3"/>
      <c r="D221" s="5"/>
      <c r="E221" s="3" t="str">
        <f t="shared" ref="E221:H221" si="217">IF(A221&lt;&gt;"", IF(A221=A220, "", A221), "")</f>
        <v/>
      </c>
      <c r="F221" s="191" t="str">
        <f t="shared" si="217"/>
        <v/>
      </c>
      <c r="G221" s="3" t="str">
        <f t="shared" si="217"/>
        <v/>
      </c>
      <c r="H221" s="5" t="str">
        <f t="shared" si="217"/>
        <v/>
      </c>
      <c r="I221" s="3"/>
      <c r="J221" s="3"/>
      <c r="K221" s="3"/>
      <c r="L221" s="192"/>
      <c r="M221" s="192"/>
      <c r="N221" s="19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</row>
    <row r="222" spans="1:100" ht="16.5" customHeight="1">
      <c r="A222" s="3"/>
      <c r="B222" s="3"/>
      <c r="C222" s="3"/>
      <c r="D222" s="5"/>
      <c r="E222" s="3" t="str">
        <f t="shared" ref="E222:H222" si="218">IF(A222&lt;&gt;"", IF(A222=A221, "", A222), "")</f>
        <v/>
      </c>
      <c r="F222" s="191" t="str">
        <f t="shared" si="218"/>
        <v/>
      </c>
      <c r="G222" s="3" t="str">
        <f t="shared" si="218"/>
        <v/>
      </c>
      <c r="H222" s="5" t="str">
        <f t="shared" si="218"/>
        <v/>
      </c>
      <c r="I222" s="3"/>
      <c r="J222" s="3"/>
      <c r="K222" s="3"/>
      <c r="L222" s="192"/>
      <c r="M222" s="192"/>
      <c r="N222" s="19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</row>
    <row r="223" spans="1:100" ht="16.5" customHeight="1">
      <c r="A223" s="3"/>
      <c r="B223" s="3"/>
      <c r="C223" s="3"/>
      <c r="D223" s="5"/>
      <c r="E223" s="3" t="str">
        <f t="shared" ref="E223:H223" si="219">IF(A223&lt;&gt;"", IF(A223=A222, "", A223), "")</f>
        <v/>
      </c>
      <c r="F223" s="191" t="str">
        <f t="shared" si="219"/>
        <v/>
      </c>
      <c r="G223" s="3" t="str">
        <f t="shared" si="219"/>
        <v/>
      </c>
      <c r="H223" s="5" t="str">
        <f t="shared" si="219"/>
        <v/>
      </c>
      <c r="I223" s="3"/>
      <c r="J223" s="3"/>
      <c r="K223" s="3"/>
      <c r="L223" s="192"/>
      <c r="M223" s="192"/>
      <c r="N223" s="19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</row>
    <row r="224" spans="1:100" ht="16.5" customHeight="1">
      <c r="A224" s="3"/>
      <c r="B224" s="3"/>
      <c r="C224" s="3"/>
      <c r="D224" s="5"/>
      <c r="E224" s="3" t="str">
        <f t="shared" ref="E224:H224" si="220">IF(A224&lt;&gt;"", IF(A224=A223, "", A224), "")</f>
        <v/>
      </c>
      <c r="F224" s="191" t="str">
        <f t="shared" si="220"/>
        <v/>
      </c>
      <c r="G224" s="3" t="str">
        <f t="shared" si="220"/>
        <v/>
      </c>
      <c r="H224" s="5" t="str">
        <f t="shared" si="220"/>
        <v/>
      </c>
      <c r="I224" s="3"/>
      <c r="J224" s="3"/>
      <c r="K224" s="3"/>
      <c r="L224" s="192"/>
      <c r="M224" s="192"/>
      <c r="N224" s="19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</row>
    <row r="225" spans="1:100" ht="16.5" customHeight="1">
      <c r="A225" s="3"/>
      <c r="B225" s="3"/>
      <c r="C225" s="3"/>
      <c r="D225" s="5"/>
      <c r="E225" s="3" t="str">
        <f t="shared" ref="E225:H225" si="221">IF(A225&lt;&gt;"", IF(A225=A224, "", A225), "")</f>
        <v/>
      </c>
      <c r="F225" s="191" t="str">
        <f t="shared" si="221"/>
        <v/>
      </c>
      <c r="G225" s="3" t="str">
        <f t="shared" si="221"/>
        <v/>
      </c>
      <c r="H225" s="5" t="str">
        <f t="shared" si="221"/>
        <v/>
      </c>
      <c r="I225" s="3"/>
      <c r="J225" s="3"/>
      <c r="K225" s="3"/>
      <c r="L225" s="192"/>
      <c r="M225" s="192"/>
      <c r="N225" s="19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</row>
    <row r="226" spans="1:100" ht="16.5" customHeight="1">
      <c r="A226" s="3"/>
      <c r="B226" s="3"/>
      <c r="C226" s="3"/>
      <c r="D226" s="5"/>
      <c r="E226" s="3" t="str">
        <f t="shared" ref="E226:H226" si="222">IF(A226&lt;&gt;"", IF(A226=A225, "", A226), "")</f>
        <v/>
      </c>
      <c r="F226" s="191" t="str">
        <f t="shared" si="222"/>
        <v/>
      </c>
      <c r="G226" s="3" t="str">
        <f t="shared" si="222"/>
        <v/>
      </c>
      <c r="H226" s="5" t="str">
        <f t="shared" si="222"/>
        <v/>
      </c>
      <c r="I226" s="3"/>
      <c r="J226" s="3"/>
      <c r="K226" s="3"/>
      <c r="L226" s="192"/>
      <c r="M226" s="192"/>
      <c r="N226" s="19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</row>
    <row r="227" spans="1:100" ht="16.5" customHeight="1">
      <c r="A227" s="3"/>
      <c r="B227" s="3"/>
      <c r="C227" s="3"/>
      <c r="D227" s="5"/>
      <c r="E227" s="3" t="str">
        <f t="shared" ref="E227:H227" si="223">IF(A227&lt;&gt;"", IF(A227=A226, "", A227), "")</f>
        <v/>
      </c>
      <c r="F227" s="191" t="str">
        <f t="shared" si="223"/>
        <v/>
      </c>
      <c r="G227" s="3" t="str">
        <f t="shared" si="223"/>
        <v/>
      </c>
      <c r="H227" s="5" t="str">
        <f t="shared" si="223"/>
        <v/>
      </c>
      <c r="I227" s="3"/>
      <c r="J227" s="3"/>
      <c r="K227" s="3"/>
      <c r="L227" s="192"/>
      <c r="M227" s="192"/>
      <c r="N227" s="19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</row>
    <row r="228" spans="1:100" ht="16.5" customHeight="1">
      <c r="A228" s="3"/>
      <c r="B228" s="3"/>
      <c r="C228" s="3"/>
      <c r="D228" s="5"/>
      <c r="E228" s="3" t="str">
        <f t="shared" ref="E228:H228" si="224">IF(A228&lt;&gt;"", IF(A228=A227, "", A228), "")</f>
        <v/>
      </c>
      <c r="F228" s="191" t="str">
        <f t="shared" si="224"/>
        <v/>
      </c>
      <c r="G228" s="3" t="str">
        <f t="shared" si="224"/>
        <v/>
      </c>
      <c r="H228" s="5" t="str">
        <f t="shared" si="224"/>
        <v/>
      </c>
      <c r="I228" s="3"/>
      <c r="J228" s="3"/>
      <c r="K228" s="3"/>
      <c r="L228" s="192"/>
      <c r="M228" s="192"/>
      <c r="N228" s="19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</row>
    <row r="229" spans="1:100" ht="16.5" customHeight="1">
      <c r="A229" s="3"/>
      <c r="B229" s="3"/>
      <c r="C229" s="3"/>
      <c r="D229" s="5"/>
      <c r="E229" s="3" t="str">
        <f t="shared" ref="E229:H229" si="225">IF(A229&lt;&gt;"", IF(A229=A228, "", A229), "")</f>
        <v/>
      </c>
      <c r="F229" s="191" t="str">
        <f t="shared" si="225"/>
        <v/>
      </c>
      <c r="G229" s="3" t="str">
        <f t="shared" si="225"/>
        <v/>
      </c>
      <c r="H229" s="5" t="str">
        <f t="shared" si="225"/>
        <v/>
      </c>
      <c r="I229" s="3"/>
      <c r="J229" s="3"/>
      <c r="K229" s="3"/>
      <c r="L229" s="192"/>
      <c r="M229" s="192"/>
      <c r="N229" s="19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</row>
    <row r="230" spans="1:100" ht="16.5" customHeight="1">
      <c r="A230" s="3"/>
      <c r="B230" s="3"/>
      <c r="C230" s="3"/>
      <c r="D230" s="5"/>
      <c r="E230" s="3" t="str">
        <f t="shared" ref="E230:H230" si="226">IF(A230&lt;&gt;"", IF(A230=A229, "", A230), "")</f>
        <v/>
      </c>
      <c r="F230" s="191" t="str">
        <f t="shared" si="226"/>
        <v/>
      </c>
      <c r="G230" s="3" t="str">
        <f t="shared" si="226"/>
        <v/>
      </c>
      <c r="H230" s="5" t="str">
        <f t="shared" si="226"/>
        <v/>
      </c>
      <c r="I230" s="3"/>
      <c r="J230" s="3"/>
      <c r="K230" s="3"/>
      <c r="L230" s="192"/>
      <c r="M230" s="192"/>
      <c r="N230" s="19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</row>
    <row r="231" spans="1:100" ht="16.5" customHeight="1">
      <c r="A231" s="3"/>
      <c r="B231" s="3"/>
      <c r="C231" s="3"/>
      <c r="D231" s="5"/>
      <c r="E231" s="3" t="str">
        <f t="shared" ref="E231:H231" si="227">IF(A231&lt;&gt;"", IF(A231=A230, "", A231), "")</f>
        <v/>
      </c>
      <c r="F231" s="191" t="str">
        <f t="shared" si="227"/>
        <v/>
      </c>
      <c r="G231" s="3" t="str">
        <f t="shared" si="227"/>
        <v/>
      </c>
      <c r="H231" s="5" t="str">
        <f t="shared" si="227"/>
        <v/>
      </c>
      <c r="I231" s="3"/>
      <c r="J231" s="3"/>
      <c r="K231" s="3"/>
      <c r="L231" s="192"/>
      <c r="M231" s="192"/>
      <c r="N231" s="19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</row>
    <row r="232" spans="1:100" ht="16.5" customHeight="1">
      <c r="A232" s="3"/>
      <c r="B232" s="3"/>
      <c r="C232" s="3"/>
      <c r="D232" s="5"/>
      <c r="E232" s="3" t="str">
        <f t="shared" ref="E232:H232" si="228">IF(A232&lt;&gt;"", IF(A232=A231, "", A232), "")</f>
        <v/>
      </c>
      <c r="F232" s="191" t="str">
        <f t="shared" si="228"/>
        <v/>
      </c>
      <c r="G232" s="3" t="str">
        <f t="shared" si="228"/>
        <v/>
      </c>
      <c r="H232" s="5" t="str">
        <f t="shared" si="228"/>
        <v/>
      </c>
      <c r="I232" s="3"/>
      <c r="J232" s="3"/>
      <c r="K232" s="3"/>
      <c r="L232" s="192"/>
      <c r="M232" s="192"/>
      <c r="N232" s="19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</row>
    <row r="233" spans="1:100" ht="16.5" customHeight="1">
      <c r="A233" s="3"/>
      <c r="B233" s="3"/>
      <c r="C233" s="3"/>
      <c r="D233" s="5"/>
      <c r="E233" s="3" t="str">
        <f t="shared" ref="E233:H233" si="229">IF(A233&lt;&gt;"", IF(A233=A232, "", A233), "")</f>
        <v/>
      </c>
      <c r="F233" s="191" t="str">
        <f t="shared" si="229"/>
        <v/>
      </c>
      <c r="G233" s="3" t="str">
        <f t="shared" si="229"/>
        <v/>
      </c>
      <c r="H233" s="5" t="str">
        <f t="shared" si="229"/>
        <v/>
      </c>
      <c r="I233" s="3"/>
      <c r="J233" s="3"/>
      <c r="K233" s="3"/>
      <c r="L233" s="192"/>
      <c r="M233" s="192"/>
      <c r="N233" s="19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</row>
    <row r="234" spans="1:100" ht="16.5" customHeight="1">
      <c r="A234" s="3"/>
      <c r="B234" s="3"/>
      <c r="C234" s="3"/>
      <c r="D234" s="5"/>
      <c r="E234" s="3" t="str">
        <f t="shared" ref="E234:H234" si="230">IF(A234&lt;&gt;"", IF(A234=A233, "", A234), "")</f>
        <v/>
      </c>
      <c r="F234" s="191" t="str">
        <f t="shared" si="230"/>
        <v/>
      </c>
      <c r="G234" s="3" t="str">
        <f t="shared" si="230"/>
        <v/>
      </c>
      <c r="H234" s="5" t="str">
        <f t="shared" si="230"/>
        <v/>
      </c>
      <c r="I234" s="3"/>
      <c r="J234" s="3"/>
      <c r="K234" s="3"/>
      <c r="L234" s="192"/>
      <c r="M234" s="192"/>
      <c r="N234" s="19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</row>
    <row r="235" spans="1:100" ht="16.5" customHeight="1">
      <c r="A235" s="3"/>
      <c r="B235" s="3"/>
      <c r="C235" s="3"/>
      <c r="D235" s="5"/>
      <c r="E235" s="3" t="str">
        <f t="shared" ref="E235:H235" si="231">IF(A235&lt;&gt;"", IF(A235=A234, "", A235), "")</f>
        <v/>
      </c>
      <c r="F235" s="191" t="str">
        <f t="shared" si="231"/>
        <v/>
      </c>
      <c r="G235" s="3" t="str">
        <f t="shared" si="231"/>
        <v/>
      </c>
      <c r="H235" s="5" t="str">
        <f t="shared" si="231"/>
        <v/>
      </c>
      <c r="I235" s="3"/>
      <c r="J235" s="3"/>
      <c r="K235" s="3"/>
      <c r="L235" s="192"/>
      <c r="M235" s="192"/>
      <c r="N235" s="19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</row>
    <row r="236" spans="1:100" ht="16.5" customHeight="1">
      <c r="A236" s="3"/>
      <c r="B236" s="3"/>
      <c r="C236" s="3"/>
      <c r="D236" s="5"/>
      <c r="E236" s="3" t="str">
        <f t="shared" ref="E236:H236" si="232">IF(A236&lt;&gt;"", IF(A236=A235, "", A236), "")</f>
        <v/>
      </c>
      <c r="F236" s="191" t="str">
        <f t="shared" si="232"/>
        <v/>
      </c>
      <c r="G236" s="3" t="str">
        <f t="shared" si="232"/>
        <v/>
      </c>
      <c r="H236" s="5" t="str">
        <f t="shared" si="232"/>
        <v/>
      </c>
      <c r="I236" s="3"/>
      <c r="J236" s="3"/>
      <c r="K236" s="3"/>
      <c r="L236" s="192"/>
      <c r="M236" s="192"/>
      <c r="N236" s="19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</row>
    <row r="237" spans="1:100" ht="16.5" customHeight="1">
      <c r="A237" s="3"/>
      <c r="B237" s="3"/>
      <c r="C237" s="3"/>
      <c r="D237" s="5"/>
      <c r="E237" s="3" t="str">
        <f t="shared" ref="E237:H237" si="233">IF(A237&lt;&gt;"", IF(A237=A236, "", A237), "")</f>
        <v/>
      </c>
      <c r="F237" s="191" t="str">
        <f t="shared" si="233"/>
        <v/>
      </c>
      <c r="G237" s="3" t="str">
        <f t="shared" si="233"/>
        <v/>
      </c>
      <c r="H237" s="5" t="str">
        <f t="shared" si="233"/>
        <v/>
      </c>
      <c r="I237" s="3"/>
      <c r="J237" s="3"/>
      <c r="K237" s="3"/>
      <c r="L237" s="192"/>
      <c r="M237" s="192"/>
      <c r="N237" s="19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</row>
    <row r="238" spans="1:100" ht="16.5" customHeight="1">
      <c r="A238" s="3"/>
      <c r="B238" s="3"/>
      <c r="C238" s="3"/>
      <c r="D238" s="5"/>
      <c r="E238" s="3" t="str">
        <f t="shared" ref="E238:H238" si="234">IF(A238&lt;&gt;"", IF(A238=A237, "", A238), "")</f>
        <v/>
      </c>
      <c r="F238" s="191" t="str">
        <f t="shared" si="234"/>
        <v/>
      </c>
      <c r="G238" s="3" t="str">
        <f t="shared" si="234"/>
        <v/>
      </c>
      <c r="H238" s="5" t="str">
        <f t="shared" si="234"/>
        <v/>
      </c>
      <c r="I238" s="3"/>
      <c r="J238" s="3"/>
      <c r="K238" s="3"/>
      <c r="L238" s="192"/>
      <c r="M238" s="192"/>
      <c r="N238" s="19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</row>
    <row r="239" spans="1:100" ht="16.5" customHeight="1">
      <c r="A239" s="3"/>
      <c r="B239" s="3"/>
      <c r="C239" s="3"/>
      <c r="D239" s="5"/>
      <c r="E239" s="3" t="str">
        <f t="shared" ref="E239:H239" si="235">IF(A239&lt;&gt;"", IF(A239=A238, "", A239), "")</f>
        <v/>
      </c>
      <c r="F239" s="191" t="str">
        <f t="shared" si="235"/>
        <v/>
      </c>
      <c r="G239" s="3" t="str">
        <f t="shared" si="235"/>
        <v/>
      </c>
      <c r="H239" s="5" t="str">
        <f t="shared" si="235"/>
        <v/>
      </c>
      <c r="I239" s="3"/>
      <c r="J239" s="3"/>
      <c r="K239" s="3"/>
      <c r="L239" s="192"/>
      <c r="M239" s="192"/>
      <c r="N239" s="19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</row>
    <row r="240" spans="1:100" ht="16.5" customHeight="1">
      <c r="A240" s="3"/>
      <c r="B240" s="3"/>
      <c r="C240" s="3"/>
      <c r="D240" s="5"/>
      <c r="E240" s="3" t="str">
        <f t="shared" ref="E240:H240" si="236">IF(A240&lt;&gt;"", IF(A240=A239, "", A240), "")</f>
        <v/>
      </c>
      <c r="F240" s="191" t="str">
        <f t="shared" si="236"/>
        <v/>
      </c>
      <c r="G240" s="3" t="str">
        <f t="shared" si="236"/>
        <v/>
      </c>
      <c r="H240" s="5" t="str">
        <f t="shared" si="236"/>
        <v/>
      </c>
      <c r="I240" s="3"/>
      <c r="J240" s="3"/>
      <c r="K240" s="3"/>
      <c r="L240" s="192"/>
      <c r="M240" s="192"/>
      <c r="N240" s="19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</row>
    <row r="241" spans="1:100" ht="16.5" customHeight="1">
      <c r="A241" s="3"/>
      <c r="B241" s="3"/>
      <c r="C241" s="3"/>
      <c r="D241" s="5"/>
      <c r="E241" s="3" t="str">
        <f t="shared" ref="E241:H241" si="237">IF(A241&lt;&gt;"", IF(A241=A240, "", A241), "")</f>
        <v/>
      </c>
      <c r="F241" s="191" t="str">
        <f t="shared" si="237"/>
        <v/>
      </c>
      <c r="G241" s="3" t="str">
        <f t="shared" si="237"/>
        <v/>
      </c>
      <c r="H241" s="5" t="str">
        <f t="shared" si="237"/>
        <v/>
      </c>
      <c r="I241" s="3"/>
      <c r="J241" s="3"/>
      <c r="K241" s="3"/>
      <c r="L241" s="192"/>
      <c r="M241" s="192"/>
      <c r="N241" s="19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</row>
    <row r="242" spans="1:100" ht="16.5" customHeight="1">
      <c r="A242" s="3"/>
      <c r="B242" s="3"/>
      <c r="C242" s="3"/>
      <c r="D242" s="5"/>
      <c r="E242" s="3" t="str">
        <f t="shared" ref="E242:H242" si="238">IF(A242&lt;&gt;"", IF(A242=A241, "", A242), "")</f>
        <v/>
      </c>
      <c r="F242" s="191" t="str">
        <f t="shared" si="238"/>
        <v/>
      </c>
      <c r="G242" s="3" t="str">
        <f t="shared" si="238"/>
        <v/>
      </c>
      <c r="H242" s="5" t="str">
        <f t="shared" si="238"/>
        <v/>
      </c>
      <c r="I242" s="3"/>
      <c r="J242" s="3"/>
      <c r="K242" s="3"/>
      <c r="L242" s="192"/>
      <c r="M242" s="192"/>
      <c r="N242" s="19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</row>
    <row r="243" spans="1:100" ht="16.5" customHeight="1">
      <c r="A243" s="3"/>
      <c r="B243" s="3"/>
      <c r="C243" s="3"/>
      <c r="D243" s="5"/>
      <c r="E243" s="3" t="str">
        <f t="shared" ref="E243:H243" si="239">IF(A243&lt;&gt;"", IF(A243=A242, "", A243), "")</f>
        <v/>
      </c>
      <c r="F243" s="191" t="str">
        <f t="shared" si="239"/>
        <v/>
      </c>
      <c r="G243" s="3" t="str">
        <f t="shared" si="239"/>
        <v/>
      </c>
      <c r="H243" s="5" t="str">
        <f t="shared" si="239"/>
        <v/>
      </c>
      <c r="I243" s="3"/>
      <c r="J243" s="3"/>
      <c r="K243" s="3"/>
      <c r="L243" s="192"/>
      <c r="M243" s="192"/>
      <c r="N243" s="19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</row>
    <row r="244" spans="1:100" ht="16.5" customHeight="1">
      <c r="A244" s="3"/>
      <c r="B244" s="3"/>
      <c r="C244" s="3"/>
      <c r="D244" s="5"/>
      <c r="E244" s="3" t="str">
        <f t="shared" ref="E244:H244" si="240">IF(A244&lt;&gt;"", IF(A244=A243, "", A244), "")</f>
        <v/>
      </c>
      <c r="F244" s="191" t="str">
        <f t="shared" si="240"/>
        <v/>
      </c>
      <c r="G244" s="3" t="str">
        <f t="shared" si="240"/>
        <v/>
      </c>
      <c r="H244" s="5" t="str">
        <f t="shared" si="240"/>
        <v/>
      </c>
      <c r="I244" s="3"/>
      <c r="J244" s="3"/>
      <c r="K244" s="3"/>
      <c r="L244" s="192"/>
      <c r="M244" s="192"/>
      <c r="N244" s="19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</row>
    <row r="245" spans="1:100" ht="16.5" customHeight="1">
      <c r="A245" s="3"/>
      <c r="B245" s="3"/>
      <c r="C245" s="3"/>
      <c r="D245" s="5"/>
      <c r="E245" s="3" t="str">
        <f t="shared" ref="E245:H245" si="241">IF(A245&lt;&gt;"", IF(A245=A244, "", A245), "")</f>
        <v/>
      </c>
      <c r="F245" s="191" t="str">
        <f t="shared" si="241"/>
        <v/>
      </c>
      <c r="G245" s="3" t="str">
        <f t="shared" si="241"/>
        <v/>
      </c>
      <c r="H245" s="5" t="str">
        <f t="shared" si="241"/>
        <v/>
      </c>
      <c r="I245" s="3"/>
      <c r="J245" s="3"/>
      <c r="K245" s="3"/>
      <c r="L245" s="192"/>
      <c r="M245" s="192"/>
      <c r="N245" s="1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</row>
    <row r="246" spans="1:100" ht="16.5" customHeight="1">
      <c r="A246" s="3"/>
      <c r="B246" s="3"/>
      <c r="C246" s="3"/>
      <c r="D246" s="5"/>
      <c r="E246" s="3" t="str">
        <f t="shared" ref="E246:H246" si="242">IF(A246&lt;&gt;"", IF(A246=A245, "", A246), "")</f>
        <v/>
      </c>
      <c r="F246" s="191" t="str">
        <f t="shared" si="242"/>
        <v/>
      </c>
      <c r="G246" s="3" t="str">
        <f t="shared" si="242"/>
        <v/>
      </c>
      <c r="H246" s="5" t="str">
        <f t="shared" si="242"/>
        <v/>
      </c>
      <c r="I246" s="3"/>
      <c r="J246" s="3"/>
      <c r="K246" s="3"/>
      <c r="L246" s="192"/>
      <c r="M246" s="192"/>
      <c r="N246" s="19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</row>
    <row r="247" spans="1:100" ht="16.5" customHeight="1">
      <c r="A247" s="3"/>
      <c r="B247" s="3"/>
      <c r="C247" s="3"/>
      <c r="D247" s="5"/>
      <c r="E247" s="3" t="str">
        <f t="shared" ref="E247:H247" si="243">IF(A247&lt;&gt;"", IF(A247=A246, "", A247), "")</f>
        <v/>
      </c>
      <c r="F247" s="191" t="str">
        <f t="shared" si="243"/>
        <v/>
      </c>
      <c r="G247" s="3" t="str">
        <f t="shared" si="243"/>
        <v/>
      </c>
      <c r="H247" s="5" t="str">
        <f t="shared" si="243"/>
        <v/>
      </c>
      <c r="I247" s="3"/>
      <c r="J247" s="3"/>
      <c r="K247" s="3"/>
      <c r="L247" s="192"/>
      <c r="M247" s="192"/>
      <c r="N247" s="19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</row>
    <row r="248" spans="1:100" ht="16.5" customHeight="1">
      <c r="A248" s="3"/>
      <c r="B248" s="3"/>
      <c r="C248" s="3"/>
      <c r="D248" s="5"/>
      <c r="E248" s="3" t="str">
        <f t="shared" ref="E248:H248" si="244">IF(A248&lt;&gt;"", IF(A248=A247, "", A248), "")</f>
        <v/>
      </c>
      <c r="F248" s="191" t="str">
        <f t="shared" si="244"/>
        <v/>
      </c>
      <c r="G248" s="3" t="str">
        <f t="shared" si="244"/>
        <v/>
      </c>
      <c r="H248" s="5" t="str">
        <f t="shared" si="244"/>
        <v/>
      </c>
      <c r="I248" s="3"/>
      <c r="J248" s="3"/>
      <c r="K248" s="3"/>
      <c r="L248" s="192"/>
      <c r="M248" s="192"/>
      <c r="N248" s="19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</row>
    <row r="249" spans="1:100" ht="16.5" customHeight="1">
      <c r="A249" s="3"/>
      <c r="B249" s="3"/>
      <c r="C249" s="3"/>
      <c r="D249" s="5"/>
      <c r="E249" s="3" t="str">
        <f t="shared" ref="E249:H249" si="245">IF(A249&lt;&gt;"", IF(A249=A248, "", A249), "")</f>
        <v/>
      </c>
      <c r="F249" s="191" t="str">
        <f t="shared" si="245"/>
        <v/>
      </c>
      <c r="G249" s="3" t="str">
        <f t="shared" si="245"/>
        <v/>
      </c>
      <c r="H249" s="5" t="str">
        <f t="shared" si="245"/>
        <v/>
      </c>
      <c r="I249" s="3"/>
      <c r="J249" s="3"/>
      <c r="K249" s="3"/>
      <c r="L249" s="192"/>
      <c r="M249" s="192"/>
      <c r="N249" s="19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</row>
    <row r="250" spans="1:100" ht="16.5" customHeight="1">
      <c r="A250" s="3"/>
      <c r="B250" s="3"/>
      <c r="C250" s="3"/>
      <c r="D250" s="5"/>
      <c r="E250" s="3" t="str">
        <f t="shared" ref="E250:H250" si="246">IF(A250&lt;&gt;"", IF(A250=A249, "", A250), "")</f>
        <v/>
      </c>
      <c r="F250" s="191" t="str">
        <f t="shared" si="246"/>
        <v/>
      </c>
      <c r="G250" s="3" t="str">
        <f t="shared" si="246"/>
        <v/>
      </c>
      <c r="H250" s="5" t="str">
        <f t="shared" si="246"/>
        <v/>
      </c>
      <c r="I250" s="3"/>
      <c r="J250" s="3"/>
      <c r="K250" s="3"/>
      <c r="L250" s="192"/>
      <c r="M250" s="192"/>
      <c r="N250" s="19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</row>
    <row r="251" spans="1:100" ht="16.5" customHeight="1">
      <c r="A251" s="3"/>
      <c r="B251" s="3"/>
      <c r="C251" s="3"/>
      <c r="D251" s="5"/>
      <c r="E251" s="3" t="str">
        <f t="shared" ref="E251:H251" si="247">IF(A251&lt;&gt;"", IF(A251=A250, "", A251), "")</f>
        <v/>
      </c>
      <c r="F251" s="191" t="str">
        <f t="shared" si="247"/>
        <v/>
      </c>
      <c r="G251" s="3" t="str">
        <f t="shared" si="247"/>
        <v/>
      </c>
      <c r="H251" s="5" t="str">
        <f t="shared" si="247"/>
        <v/>
      </c>
      <c r="I251" s="3"/>
      <c r="J251" s="3"/>
      <c r="K251" s="3"/>
      <c r="L251" s="192"/>
      <c r="M251" s="192"/>
      <c r="N251" s="19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</row>
    <row r="252" spans="1:100" ht="16.5" customHeight="1">
      <c r="A252" s="3"/>
      <c r="B252" s="3"/>
      <c r="C252" s="3"/>
      <c r="D252" s="5"/>
      <c r="E252" s="3" t="str">
        <f t="shared" ref="E252:H252" si="248">IF(A252&lt;&gt;"", IF(A252=A251, "", A252), "")</f>
        <v/>
      </c>
      <c r="F252" s="191" t="str">
        <f t="shared" si="248"/>
        <v/>
      </c>
      <c r="G252" s="3" t="str">
        <f t="shared" si="248"/>
        <v/>
      </c>
      <c r="H252" s="5" t="str">
        <f t="shared" si="248"/>
        <v/>
      </c>
      <c r="I252" s="3"/>
      <c r="J252" s="3"/>
      <c r="K252" s="3"/>
      <c r="L252" s="192"/>
      <c r="M252" s="192"/>
      <c r="N252" s="19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</row>
    <row r="253" spans="1:100" ht="16.5" customHeight="1">
      <c r="A253" s="3"/>
      <c r="B253" s="3"/>
      <c r="C253" s="3"/>
      <c r="D253" s="5"/>
      <c r="E253" s="3" t="str">
        <f t="shared" ref="E253:H253" si="249">IF(A253&lt;&gt;"", IF(A253=A252, "", A253), "")</f>
        <v/>
      </c>
      <c r="F253" s="191" t="str">
        <f t="shared" si="249"/>
        <v/>
      </c>
      <c r="G253" s="3" t="str">
        <f t="shared" si="249"/>
        <v/>
      </c>
      <c r="H253" s="5" t="str">
        <f t="shared" si="249"/>
        <v/>
      </c>
      <c r="I253" s="3"/>
      <c r="J253" s="3"/>
      <c r="K253" s="3"/>
      <c r="L253" s="192"/>
      <c r="M253" s="192"/>
      <c r="N253" s="19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</row>
    <row r="254" spans="1:100" ht="16.5" customHeight="1">
      <c r="A254" s="3"/>
      <c r="B254" s="3"/>
      <c r="C254" s="3"/>
      <c r="D254" s="5"/>
      <c r="E254" s="3" t="str">
        <f t="shared" ref="E254:H254" si="250">IF(A254&lt;&gt;"", IF(A254=A253, "", A254), "")</f>
        <v/>
      </c>
      <c r="F254" s="191" t="str">
        <f t="shared" si="250"/>
        <v/>
      </c>
      <c r="G254" s="3" t="str">
        <f t="shared" si="250"/>
        <v/>
      </c>
      <c r="H254" s="5" t="str">
        <f t="shared" si="250"/>
        <v/>
      </c>
      <c r="I254" s="3"/>
      <c r="J254" s="3"/>
      <c r="K254" s="3"/>
      <c r="L254" s="192"/>
      <c r="M254" s="192"/>
      <c r="N254" s="19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</row>
    <row r="255" spans="1:100" ht="16.5" customHeight="1">
      <c r="A255" s="3"/>
      <c r="B255" s="3"/>
      <c r="C255" s="3"/>
      <c r="D255" s="5"/>
      <c r="E255" s="3" t="str">
        <f t="shared" ref="E255:H255" si="251">IF(A255&lt;&gt;"", IF(A255=A254, "", A255), "")</f>
        <v/>
      </c>
      <c r="F255" s="191" t="str">
        <f t="shared" si="251"/>
        <v/>
      </c>
      <c r="G255" s="3" t="str">
        <f t="shared" si="251"/>
        <v/>
      </c>
      <c r="H255" s="5" t="str">
        <f t="shared" si="251"/>
        <v/>
      </c>
      <c r="I255" s="3"/>
      <c r="J255" s="3"/>
      <c r="K255" s="3"/>
      <c r="L255" s="192"/>
      <c r="M255" s="192"/>
      <c r="N255" s="19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</row>
    <row r="256" spans="1:100" ht="16.5" customHeight="1">
      <c r="A256" s="3"/>
      <c r="B256" s="3"/>
      <c r="C256" s="3"/>
      <c r="D256" s="5"/>
      <c r="E256" s="3" t="str">
        <f t="shared" ref="E256:H256" si="252">IF(A256&lt;&gt;"", IF(A256=A255, "", A256), "")</f>
        <v/>
      </c>
      <c r="F256" s="191" t="str">
        <f t="shared" si="252"/>
        <v/>
      </c>
      <c r="G256" s="3" t="str">
        <f t="shared" si="252"/>
        <v/>
      </c>
      <c r="H256" s="5" t="str">
        <f t="shared" si="252"/>
        <v/>
      </c>
      <c r="I256" s="3"/>
      <c r="J256" s="3"/>
      <c r="K256" s="3"/>
      <c r="L256" s="192"/>
      <c r="M256" s="192"/>
      <c r="N256" s="19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</row>
    <row r="257" spans="1:100" ht="16.5" customHeight="1">
      <c r="A257" s="3"/>
      <c r="B257" s="3"/>
      <c r="C257" s="3"/>
      <c r="D257" s="5"/>
      <c r="E257" s="3" t="str">
        <f t="shared" ref="E257:H257" si="253">IF(A257&lt;&gt;"", IF(A257=A256, "", A257), "")</f>
        <v/>
      </c>
      <c r="F257" s="191" t="str">
        <f t="shared" si="253"/>
        <v/>
      </c>
      <c r="G257" s="3" t="str">
        <f t="shared" si="253"/>
        <v/>
      </c>
      <c r="H257" s="5" t="str">
        <f t="shared" si="253"/>
        <v/>
      </c>
      <c r="I257" s="3"/>
      <c r="J257" s="3"/>
      <c r="K257" s="3"/>
      <c r="L257" s="192"/>
      <c r="M257" s="192"/>
      <c r="N257" s="19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</row>
    <row r="258" spans="1:100" ht="16.5" customHeight="1">
      <c r="A258" s="3"/>
      <c r="B258" s="3"/>
      <c r="C258" s="3"/>
      <c r="D258" s="5"/>
      <c r="E258" s="3" t="str">
        <f t="shared" ref="E258:H258" si="254">IF(A258&lt;&gt;"", IF(A258=A257, "", A258), "")</f>
        <v/>
      </c>
      <c r="F258" s="191" t="str">
        <f t="shared" si="254"/>
        <v/>
      </c>
      <c r="G258" s="3" t="str">
        <f t="shared" si="254"/>
        <v/>
      </c>
      <c r="H258" s="5" t="str">
        <f t="shared" si="254"/>
        <v/>
      </c>
      <c r="I258" s="3"/>
      <c r="J258" s="3"/>
      <c r="K258" s="3"/>
      <c r="L258" s="192"/>
      <c r="M258" s="192"/>
      <c r="N258" s="19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</row>
    <row r="259" spans="1:100" ht="16.5" customHeight="1">
      <c r="A259" s="3"/>
      <c r="B259" s="3"/>
      <c r="C259" s="3"/>
      <c r="D259" s="5"/>
      <c r="E259" s="3" t="str">
        <f t="shared" ref="E259:H259" si="255">IF(A259&lt;&gt;"", IF(A259=A258, "", A259), "")</f>
        <v/>
      </c>
      <c r="F259" s="191" t="str">
        <f t="shared" si="255"/>
        <v/>
      </c>
      <c r="G259" s="3" t="str">
        <f t="shared" si="255"/>
        <v/>
      </c>
      <c r="H259" s="5" t="str">
        <f t="shared" si="255"/>
        <v/>
      </c>
      <c r="I259" s="3"/>
      <c r="J259" s="3"/>
      <c r="K259" s="3"/>
      <c r="L259" s="192"/>
      <c r="M259" s="192"/>
      <c r="N259" s="19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</row>
    <row r="260" spans="1:100" ht="16.5" customHeight="1">
      <c r="A260" s="3"/>
      <c r="B260" s="3"/>
      <c r="C260" s="3"/>
      <c r="D260" s="5"/>
      <c r="E260" s="3" t="str">
        <f t="shared" ref="E260:H260" si="256">IF(A260&lt;&gt;"", IF(A260=A259, "", A260), "")</f>
        <v/>
      </c>
      <c r="F260" s="191" t="str">
        <f t="shared" si="256"/>
        <v/>
      </c>
      <c r="G260" s="3" t="str">
        <f t="shared" si="256"/>
        <v/>
      </c>
      <c r="H260" s="5" t="str">
        <f t="shared" si="256"/>
        <v/>
      </c>
      <c r="I260" s="3"/>
      <c r="J260" s="3"/>
      <c r="K260" s="3"/>
      <c r="L260" s="192"/>
      <c r="M260" s="192"/>
      <c r="N260" s="19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</row>
    <row r="261" spans="1:100" ht="16.5" customHeight="1">
      <c r="A261" s="3"/>
      <c r="B261" s="3"/>
      <c r="C261" s="3"/>
      <c r="D261" s="5"/>
      <c r="E261" s="3" t="str">
        <f t="shared" ref="E261:H261" si="257">IF(A261&lt;&gt;"", IF(A261=A260, "", A261), "")</f>
        <v/>
      </c>
      <c r="F261" s="191" t="str">
        <f t="shared" si="257"/>
        <v/>
      </c>
      <c r="G261" s="3" t="str">
        <f t="shared" si="257"/>
        <v/>
      </c>
      <c r="H261" s="5" t="str">
        <f t="shared" si="257"/>
        <v/>
      </c>
      <c r="I261" s="3"/>
      <c r="J261" s="3"/>
      <c r="K261" s="3"/>
      <c r="L261" s="192"/>
      <c r="M261" s="192"/>
      <c r="N261" s="19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</row>
    <row r="262" spans="1:100" ht="16.5" customHeight="1">
      <c r="A262" s="3"/>
      <c r="B262" s="3"/>
      <c r="C262" s="3"/>
      <c r="D262" s="5"/>
      <c r="E262" s="3" t="str">
        <f t="shared" ref="E262:H262" si="258">IF(A262&lt;&gt;"", IF(A262=A261, "", A262), "")</f>
        <v/>
      </c>
      <c r="F262" s="191" t="str">
        <f t="shared" si="258"/>
        <v/>
      </c>
      <c r="G262" s="3" t="str">
        <f t="shared" si="258"/>
        <v/>
      </c>
      <c r="H262" s="5" t="str">
        <f t="shared" si="258"/>
        <v/>
      </c>
      <c r="I262" s="3"/>
      <c r="J262" s="3"/>
      <c r="K262" s="3"/>
      <c r="L262" s="192"/>
      <c r="M262" s="192"/>
      <c r="N262" s="19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</row>
    <row r="263" spans="1:100" ht="16.5" customHeight="1">
      <c r="A263" s="3"/>
      <c r="B263" s="3"/>
      <c r="C263" s="3"/>
      <c r="D263" s="5"/>
      <c r="E263" s="3" t="str">
        <f t="shared" ref="E263:H263" si="259">IF(A263&lt;&gt;"", IF(A263=A262, "", A263), "")</f>
        <v/>
      </c>
      <c r="F263" s="191" t="str">
        <f t="shared" si="259"/>
        <v/>
      </c>
      <c r="G263" s="3" t="str">
        <f t="shared" si="259"/>
        <v/>
      </c>
      <c r="H263" s="5" t="str">
        <f t="shared" si="259"/>
        <v/>
      </c>
      <c r="I263" s="3"/>
      <c r="J263" s="3"/>
      <c r="K263" s="3"/>
      <c r="L263" s="192"/>
      <c r="M263" s="192"/>
      <c r="N263" s="19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</row>
    <row r="264" spans="1:100" ht="16.5" customHeight="1">
      <c r="A264" s="3"/>
      <c r="B264" s="3"/>
      <c r="C264" s="3"/>
      <c r="D264" s="5"/>
      <c r="E264" s="3" t="str">
        <f t="shared" ref="E264:H264" si="260">IF(A264&lt;&gt;"", IF(A264=A263, "", A264), "")</f>
        <v/>
      </c>
      <c r="F264" s="191" t="str">
        <f t="shared" si="260"/>
        <v/>
      </c>
      <c r="G264" s="3" t="str">
        <f t="shared" si="260"/>
        <v/>
      </c>
      <c r="H264" s="5" t="str">
        <f t="shared" si="260"/>
        <v/>
      </c>
      <c r="I264" s="3"/>
      <c r="J264" s="3"/>
      <c r="K264" s="3"/>
      <c r="L264" s="192"/>
      <c r="M264" s="192"/>
      <c r="N264" s="19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</row>
    <row r="265" spans="1:100" ht="16.5" customHeight="1">
      <c r="A265" s="3"/>
      <c r="B265" s="3"/>
      <c r="C265" s="3"/>
      <c r="D265" s="5"/>
      <c r="E265" s="3" t="str">
        <f t="shared" ref="E265:H265" si="261">IF(A265&lt;&gt;"", IF(A265=A264, "", A265), "")</f>
        <v/>
      </c>
      <c r="F265" s="191" t="str">
        <f t="shared" si="261"/>
        <v/>
      </c>
      <c r="G265" s="3" t="str">
        <f t="shared" si="261"/>
        <v/>
      </c>
      <c r="H265" s="5" t="str">
        <f t="shared" si="261"/>
        <v/>
      </c>
      <c r="I265" s="3"/>
      <c r="J265" s="3"/>
      <c r="K265" s="3"/>
      <c r="L265" s="192"/>
      <c r="M265" s="192"/>
      <c r="N265" s="19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</row>
    <row r="266" spans="1:100" ht="16.5" customHeight="1">
      <c r="A266" s="3"/>
      <c r="B266" s="3"/>
      <c r="C266" s="3"/>
      <c r="D266" s="5"/>
      <c r="E266" s="3" t="str">
        <f t="shared" ref="E266:H266" si="262">IF(A266&lt;&gt;"", IF(A266=A265, "", A266), "")</f>
        <v/>
      </c>
      <c r="F266" s="191" t="str">
        <f t="shared" si="262"/>
        <v/>
      </c>
      <c r="G266" s="3" t="str">
        <f t="shared" si="262"/>
        <v/>
      </c>
      <c r="H266" s="5" t="str">
        <f t="shared" si="262"/>
        <v/>
      </c>
      <c r="I266" s="3"/>
      <c r="J266" s="3"/>
      <c r="K266" s="3"/>
      <c r="L266" s="192"/>
      <c r="M266" s="192"/>
      <c r="N266" s="19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</row>
    <row r="267" spans="1:100" ht="16.5" customHeight="1">
      <c r="A267" s="3"/>
      <c r="B267" s="3"/>
      <c r="C267" s="3"/>
      <c r="D267" s="5"/>
      <c r="E267" s="3" t="str">
        <f t="shared" ref="E267:H267" si="263">IF(A267&lt;&gt;"", IF(A267=A266, "", A267), "")</f>
        <v/>
      </c>
      <c r="F267" s="191" t="str">
        <f t="shared" si="263"/>
        <v/>
      </c>
      <c r="G267" s="3" t="str">
        <f t="shared" si="263"/>
        <v/>
      </c>
      <c r="H267" s="5" t="str">
        <f t="shared" si="263"/>
        <v/>
      </c>
      <c r="I267" s="3"/>
      <c r="J267" s="3"/>
      <c r="K267" s="3"/>
      <c r="L267" s="192"/>
      <c r="M267" s="192"/>
      <c r="N267" s="19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</row>
    <row r="268" spans="1:100" ht="16.5" customHeight="1">
      <c r="A268" s="3"/>
      <c r="B268" s="3"/>
      <c r="C268" s="3"/>
      <c r="D268" s="5"/>
      <c r="E268" s="3" t="str">
        <f t="shared" ref="E268:H268" si="264">IF(A268&lt;&gt;"", IF(A268=A267, "", A268), "")</f>
        <v/>
      </c>
      <c r="F268" s="191" t="str">
        <f t="shared" si="264"/>
        <v/>
      </c>
      <c r="G268" s="3" t="str">
        <f t="shared" si="264"/>
        <v/>
      </c>
      <c r="H268" s="5" t="str">
        <f t="shared" si="264"/>
        <v/>
      </c>
      <c r="I268" s="3"/>
      <c r="J268" s="3"/>
      <c r="K268" s="3"/>
      <c r="L268" s="192"/>
      <c r="M268" s="192"/>
      <c r="N268" s="19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</row>
    <row r="269" spans="1:100" ht="16.5" customHeight="1">
      <c r="A269" s="3"/>
      <c r="B269" s="3"/>
      <c r="C269" s="3"/>
      <c r="D269" s="5"/>
      <c r="E269" s="3" t="str">
        <f t="shared" ref="E269:H269" si="265">IF(A269&lt;&gt;"", IF(A269=A268, "", A269), "")</f>
        <v/>
      </c>
      <c r="F269" s="191" t="str">
        <f t="shared" si="265"/>
        <v/>
      </c>
      <c r="G269" s="3" t="str">
        <f t="shared" si="265"/>
        <v/>
      </c>
      <c r="H269" s="5" t="str">
        <f t="shared" si="265"/>
        <v/>
      </c>
      <c r="I269" s="3"/>
      <c r="J269" s="3"/>
      <c r="K269" s="3"/>
      <c r="L269" s="192"/>
      <c r="M269" s="192"/>
      <c r="N269" s="19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</row>
    <row r="270" spans="1:100" ht="16.5" customHeight="1">
      <c r="A270" s="3"/>
      <c r="B270" s="3"/>
      <c r="C270" s="3"/>
      <c r="D270" s="5"/>
      <c r="E270" s="3" t="str">
        <f t="shared" ref="E270:H270" si="266">IF(A270&lt;&gt;"", IF(A270=A269, "", A270), "")</f>
        <v/>
      </c>
      <c r="F270" s="191" t="str">
        <f t="shared" si="266"/>
        <v/>
      </c>
      <c r="G270" s="3" t="str">
        <f t="shared" si="266"/>
        <v/>
      </c>
      <c r="H270" s="5" t="str">
        <f t="shared" si="266"/>
        <v/>
      </c>
      <c r="I270" s="3"/>
      <c r="J270" s="3"/>
      <c r="K270" s="3"/>
      <c r="L270" s="192"/>
      <c r="M270" s="192"/>
      <c r="N270" s="19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</row>
    <row r="271" spans="1:100" ht="16.5" customHeight="1">
      <c r="A271" s="3"/>
      <c r="B271" s="3"/>
      <c r="C271" s="3"/>
      <c r="D271" s="5"/>
      <c r="E271" s="3" t="str">
        <f t="shared" ref="E271:H271" si="267">IF(A271&lt;&gt;"", IF(A271=A270, "", A271), "")</f>
        <v/>
      </c>
      <c r="F271" s="191" t="str">
        <f t="shared" si="267"/>
        <v/>
      </c>
      <c r="G271" s="3" t="str">
        <f t="shared" si="267"/>
        <v/>
      </c>
      <c r="H271" s="5" t="str">
        <f t="shared" si="267"/>
        <v/>
      </c>
      <c r="I271" s="3"/>
      <c r="J271" s="3"/>
      <c r="K271" s="3"/>
      <c r="L271" s="192"/>
      <c r="M271" s="192"/>
      <c r="N271" s="19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</row>
    <row r="272" spans="1:100" ht="16.5" customHeight="1">
      <c r="A272" s="3"/>
      <c r="B272" s="3"/>
      <c r="C272" s="3"/>
      <c r="D272" s="5"/>
      <c r="E272" s="3" t="str">
        <f t="shared" ref="E272:H272" si="268">IF(A272&lt;&gt;"", IF(A272=A271, "", A272), "")</f>
        <v/>
      </c>
      <c r="F272" s="191" t="str">
        <f t="shared" si="268"/>
        <v/>
      </c>
      <c r="G272" s="3" t="str">
        <f t="shared" si="268"/>
        <v/>
      </c>
      <c r="H272" s="5" t="str">
        <f t="shared" si="268"/>
        <v/>
      </c>
      <c r="I272" s="3"/>
      <c r="J272" s="3"/>
      <c r="K272" s="3"/>
      <c r="L272" s="192"/>
      <c r="M272" s="192"/>
      <c r="N272" s="19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</row>
    <row r="273" spans="1:100" ht="16.5" customHeight="1">
      <c r="A273" s="3"/>
      <c r="B273" s="3"/>
      <c r="C273" s="3"/>
      <c r="D273" s="5"/>
      <c r="E273" s="3" t="str">
        <f t="shared" ref="E273:H273" si="269">IF(A273&lt;&gt;"", IF(A273=A272, "", A273), "")</f>
        <v/>
      </c>
      <c r="F273" s="191" t="str">
        <f t="shared" si="269"/>
        <v/>
      </c>
      <c r="G273" s="3" t="str">
        <f t="shared" si="269"/>
        <v/>
      </c>
      <c r="H273" s="5" t="str">
        <f t="shared" si="269"/>
        <v/>
      </c>
      <c r="I273" s="3"/>
      <c r="J273" s="3"/>
      <c r="K273" s="3"/>
      <c r="L273" s="192"/>
      <c r="M273" s="192"/>
      <c r="N273" s="19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</row>
    <row r="274" spans="1:100" ht="16.5" customHeight="1">
      <c r="A274" s="3"/>
      <c r="B274" s="3"/>
      <c r="C274" s="3"/>
      <c r="D274" s="5"/>
      <c r="E274" s="3" t="str">
        <f t="shared" ref="E274:H274" si="270">IF(A274&lt;&gt;"", IF(A274=A273, "", A274), "")</f>
        <v/>
      </c>
      <c r="F274" s="191" t="str">
        <f t="shared" si="270"/>
        <v/>
      </c>
      <c r="G274" s="3" t="str">
        <f t="shared" si="270"/>
        <v/>
      </c>
      <c r="H274" s="5" t="str">
        <f t="shared" si="270"/>
        <v/>
      </c>
      <c r="I274" s="3"/>
      <c r="J274" s="3"/>
      <c r="K274" s="3"/>
      <c r="L274" s="192"/>
      <c r="M274" s="192"/>
      <c r="N274" s="19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</row>
    <row r="275" spans="1:100" ht="16.5" customHeight="1">
      <c r="A275" s="3"/>
      <c r="B275" s="3"/>
      <c r="C275" s="3"/>
      <c r="D275" s="5"/>
      <c r="E275" s="3" t="str">
        <f t="shared" ref="E275:H275" si="271">IF(A275&lt;&gt;"", IF(A275=A274, "", A275), "")</f>
        <v/>
      </c>
      <c r="F275" s="191" t="str">
        <f t="shared" si="271"/>
        <v/>
      </c>
      <c r="G275" s="3" t="str">
        <f t="shared" si="271"/>
        <v/>
      </c>
      <c r="H275" s="5" t="str">
        <f t="shared" si="271"/>
        <v/>
      </c>
      <c r="I275" s="3"/>
      <c r="J275" s="3"/>
      <c r="K275" s="3"/>
      <c r="L275" s="192"/>
      <c r="M275" s="192"/>
      <c r="N275" s="19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</row>
    <row r="276" spans="1:100" ht="16.5" customHeight="1">
      <c r="A276" s="3"/>
      <c r="B276" s="3"/>
      <c r="C276" s="3"/>
      <c r="D276" s="5"/>
      <c r="E276" s="3" t="str">
        <f t="shared" ref="E276:H276" si="272">IF(A276&lt;&gt;"", IF(A276=A275, "", A276), "")</f>
        <v/>
      </c>
      <c r="F276" s="191" t="str">
        <f t="shared" si="272"/>
        <v/>
      </c>
      <c r="G276" s="3" t="str">
        <f t="shared" si="272"/>
        <v/>
      </c>
      <c r="H276" s="5" t="str">
        <f t="shared" si="272"/>
        <v/>
      </c>
      <c r="I276" s="3"/>
      <c r="J276" s="3"/>
      <c r="K276" s="3"/>
      <c r="L276" s="192"/>
      <c r="M276" s="192"/>
      <c r="N276" s="19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</row>
    <row r="277" spans="1:100" ht="16.5" customHeight="1">
      <c r="A277" s="3"/>
      <c r="B277" s="3"/>
      <c r="C277" s="3"/>
      <c r="D277" s="5"/>
      <c r="E277" s="3" t="str">
        <f t="shared" ref="E277:H277" si="273">IF(A277&lt;&gt;"", IF(A277=A276, "", A277), "")</f>
        <v/>
      </c>
      <c r="F277" s="191" t="str">
        <f t="shared" si="273"/>
        <v/>
      </c>
      <c r="G277" s="3" t="str">
        <f t="shared" si="273"/>
        <v/>
      </c>
      <c r="H277" s="5" t="str">
        <f t="shared" si="273"/>
        <v/>
      </c>
      <c r="I277" s="3"/>
      <c r="J277" s="3"/>
      <c r="K277" s="3"/>
      <c r="L277" s="192"/>
      <c r="M277" s="192"/>
      <c r="N277" s="19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</row>
    <row r="278" spans="1:100" ht="16.5" customHeight="1">
      <c r="A278" s="3"/>
      <c r="B278" s="3"/>
      <c r="C278" s="3"/>
      <c r="D278" s="5"/>
      <c r="E278" s="3" t="str">
        <f t="shared" ref="E278:H278" si="274">IF(A278&lt;&gt;"", IF(A278=A277, "", A278), "")</f>
        <v/>
      </c>
      <c r="F278" s="191" t="str">
        <f t="shared" si="274"/>
        <v/>
      </c>
      <c r="G278" s="3" t="str">
        <f t="shared" si="274"/>
        <v/>
      </c>
      <c r="H278" s="5" t="str">
        <f t="shared" si="274"/>
        <v/>
      </c>
      <c r="I278" s="3"/>
      <c r="J278" s="3"/>
      <c r="K278" s="3"/>
      <c r="L278" s="192"/>
      <c r="M278" s="192"/>
      <c r="N278" s="19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</row>
    <row r="279" spans="1:100" ht="16.5" customHeight="1">
      <c r="A279" s="3"/>
      <c r="B279" s="3"/>
      <c r="C279" s="3"/>
      <c r="D279" s="5"/>
      <c r="E279" s="3" t="str">
        <f t="shared" ref="E279:H279" si="275">IF(A279&lt;&gt;"", IF(A279=A278, "", A279), "")</f>
        <v/>
      </c>
      <c r="F279" s="191" t="str">
        <f t="shared" si="275"/>
        <v/>
      </c>
      <c r="G279" s="3" t="str">
        <f t="shared" si="275"/>
        <v/>
      </c>
      <c r="H279" s="5" t="str">
        <f t="shared" si="275"/>
        <v/>
      </c>
      <c r="I279" s="3"/>
      <c r="J279" s="3"/>
      <c r="K279" s="3"/>
      <c r="L279" s="192"/>
      <c r="M279" s="192"/>
      <c r="N279" s="19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</row>
    <row r="280" spans="1:100" ht="16.5" customHeight="1">
      <c r="A280" s="3"/>
      <c r="B280" s="3"/>
      <c r="C280" s="3"/>
      <c r="D280" s="5"/>
      <c r="E280" s="3" t="str">
        <f t="shared" ref="E280:H280" si="276">IF(A280&lt;&gt;"", IF(A280=A279, "", A280), "")</f>
        <v/>
      </c>
      <c r="F280" s="191" t="str">
        <f t="shared" si="276"/>
        <v/>
      </c>
      <c r="G280" s="3" t="str">
        <f t="shared" si="276"/>
        <v/>
      </c>
      <c r="H280" s="5" t="str">
        <f t="shared" si="276"/>
        <v/>
      </c>
      <c r="I280" s="3"/>
      <c r="J280" s="3"/>
      <c r="K280" s="3"/>
      <c r="L280" s="192"/>
      <c r="M280" s="192"/>
      <c r="N280" s="19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</row>
    <row r="281" spans="1:100" ht="16.5" customHeight="1">
      <c r="A281" s="3"/>
      <c r="B281" s="3"/>
      <c r="C281" s="3"/>
      <c r="D281" s="5"/>
      <c r="E281" s="3" t="str">
        <f t="shared" ref="E281:H281" si="277">IF(A281&lt;&gt;"", IF(A281=A280, "", A281), "")</f>
        <v/>
      </c>
      <c r="F281" s="191" t="str">
        <f t="shared" si="277"/>
        <v/>
      </c>
      <c r="G281" s="3" t="str">
        <f t="shared" si="277"/>
        <v/>
      </c>
      <c r="H281" s="5" t="str">
        <f t="shared" si="277"/>
        <v/>
      </c>
      <c r="I281" s="3"/>
      <c r="J281" s="3"/>
      <c r="K281" s="3"/>
      <c r="L281" s="192"/>
      <c r="M281" s="192"/>
      <c r="N281" s="19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</row>
    <row r="282" spans="1:100" ht="16.5" customHeight="1">
      <c r="A282" s="3"/>
      <c r="B282" s="3"/>
      <c r="C282" s="3"/>
      <c r="D282" s="5"/>
      <c r="E282" s="3" t="str">
        <f t="shared" ref="E282:H282" si="278">IF(A282&lt;&gt;"", IF(A282=A281, "", A282), "")</f>
        <v/>
      </c>
      <c r="F282" s="191" t="str">
        <f t="shared" si="278"/>
        <v/>
      </c>
      <c r="G282" s="3" t="str">
        <f t="shared" si="278"/>
        <v/>
      </c>
      <c r="H282" s="5" t="str">
        <f t="shared" si="278"/>
        <v/>
      </c>
      <c r="I282" s="3"/>
      <c r="J282" s="3"/>
      <c r="K282" s="3"/>
      <c r="L282" s="192"/>
      <c r="M282" s="192"/>
      <c r="N282" s="19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</row>
    <row r="283" spans="1:100" ht="16.5" customHeight="1">
      <c r="A283" s="3"/>
      <c r="B283" s="3"/>
      <c r="C283" s="3"/>
      <c r="D283" s="5"/>
      <c r="E283" s="3" t="str">
        <f t="shared" ref="E283:H283" si="279">IF(A283&lt;&gt;"", IF(A283=A282, "", A283), "")</f>
        <v/>
      </c>
      <c r="F283" s="191" t="str">
        <f t="shared" si="279"/>
        <v/>
      </c>
      <c r="G283" s="3" t="str">
        <f t="shared" si="279"/>
        <v/>
      </c>
      <c r="H283" s="5" t="str">
        <f t="shared" si="279"/>
        <v/>
      </c>
      <c r="I283" s="3"/>
      <c r="J283" s="3"/>
      <c r="K283" s="3"/>
      <c r="L283" s="192"/>
      <c r="M283" s="192"/>
      <c r="N283" s="19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</row>
    <row r="284" spans="1:100" ht="16.5" customHeight="1">
      <c r="A284" s="3"/>
      <c r="B284" s="3"/>
      <c r="C284" s="3"/>
      <c r="D284" s="5"/>
      <c r="E284" s="3" t="str">
        <f t="shared" ref="E284:H284" si="280">IF(A284&lt;&gt;"", IF(A284=A283, "", A284), "")</f>
        <v/>
      </c>
      <c r="F284" s="191" t="str">
        <f t="shared" si="280"/>
        <v/>
      </c>
      <c r="G284" s="3" t="str">
        <f t="shared" si="280"/>
        <v/>
      </c>
      <c r="H284" s="5" t="str">
        <f t="shared" si="280"/>
        <v/>
      </c>
      <c r="I284" s="3"/>
      <c r="J284" s="3"/>
      <c r="K284" s="3"/>
      <c r="L284" s="192"/>
      <c r="M284" s="192"/>
      <c r="N284" s="19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</row>
    <row r="285" spans="1:100" ht="16.5" customHeight="1">
      <c r="A285" s="3"/>
      <c r="B285" s="3"/>
      <c r="C285" s="3"/>
      <c r="D285" s="5"/>
      <c r="E285" s="3" t="str">
        <f t="shared" ref="E285:H285" si="281">IF(A285&lt;&gt;"", IF(A285=A284, "", A285), "")</f>
        <v/>
      </c>
      <c r="F285" s="191" t="str">
        <f t="shared" si="281"/>
        <v/>
      </c>
      <c r="G285" s="3" t="str">
        <f t="shared" si="281"/>
        <v/>
      </c>
      <c r="H285" s="5" t="str">
        <f t="shared" si="281"/>
        <v/>
      </c>
      <c r="I285" s="3"/>
      <c r="J285" s="3"/>
      <c r="K285" s="3"/>
      <c r="L285" s="192"/>
      <c r="M285" s="192"/>
      <c r="N285" s="19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</row>
    <row r="286" spans="1:100" ht="16.5" customHeight="1">
      <c r="A286" s="3"/>
      <c r="B286" s="3"/>
      <c r="C286" s="3"/>
      <c r="D286" s="5"/>
      <c r="E286" s="3" t="str">
        <f t="shared" ref="E286:H286" si="282">IF(A286&lt;&gt;"", IF(A286=A285, "", A286), "")</f>
        <v/>
      </c>
      <c r="F286" s="191" t="str">
        <f t="shared" si="282"/>
        <v/>
      </c>
      <c r="G286" s="3" t="str">
        <f t="shared" si="282"/>
        <v/>
      </c>
      <c r="H286" s="5" t="str">
        <f t="shared" si="282"/>
        <v/>
      </c>
      <c r="I286" s="3"/>
      <c r="J286" s="3"/>
      <c r="K286" s="3"/>
      <c r="L286" s="192"/>
      <c r="M286" s="192"/>
      <c r="N286" s="19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</row>
    <row r="287" spans="1:100" ht="16.5" customHeight="1">
      <c r="A287" s="3"/>
      <c r="B287" s="3"/>
      <c r="C287" s="3"/>
      <c r="D287" s="5"/>
      <c r="E287" s="3" t="str">
        <f t="shared" ref="E287:H287" si="283">IF(A287&lt;&gt;"", IF(A287=A286, "", A287), "")</f>
        <v/>
      </c>
      <c r="F287" s="191" t="str">
        <f t="shared" si="283"/>
        <v/>
      </c>
      <c r="G287" s="3" t="str">
        <f t="shared" si="283"/>
        <v/>
      </c>
      <c r="H287" s="5" t="str">
        <f t="shared" si="283"/>
        <v/>
      </c>
      <c r="I287" s="3"/>
      <c r="J287" s="3"/>
      <c r="K287" s="3"/>
      <c r="L287" s="192"/>
      <c r="M287" s="192"/>
      <c r="N287" s="19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</row>
    <row r="288" spans="1:100" ht="16.5" customHeight="1">
      <c r="A288" s="3"/>
      <c r="B288" s="3"/>
      <c r="C288" s="3"/>
      <c r="D288" s="5"/>
      <c r="E288" s="3" t="str">
        <f t="shared" ref="E288:H288" si="284">IF(A288&lt;&gt;"", IF(A288=A287, "", A288), "")</f>
        <v/>
      </c>
      <c r="F288" s="191" t="str">
        <f t="shared" si="284"/>
        <v/>
      </c>
      <c r="G288" s="3" t="str">
        <f t="shared" si="284"/>
        <v/>
      </c>
      <c r="H288" s="5" t="str">
        <f t="shared" si="284"/>
        <v/>
      </c>
      <c r="I288" s="3"/>
      <c r="J288" s="3"/>
      <c r="K288" s="3"/>
      <c r="L288" s="192"/>
      <c r="M288" s="192"/>
      <c r="N288" s="19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</row>
    <row r="289" spans="1:100" ht="16.5" customHeight="1">
      <c r="A289" s="3"/>
      <c r="B289" s="3"/>
      <c r="C289" s="3"/>
      <c r="D289" s="5"/>
      <c r="E289" s="3" t="str">
        <f t="shared" ref="E289:H289" si="285">IF(A289&lt;&gt;"", IF(A289=A288, "", A289), "")</f>
        <v/>
      </c>
      <c r="F289" s="191" t="str">
        <f t="shared" si="285"/>
        <v/>
      </c>
      <c r="G289" s="3" t="str">
        <f t="shared" si="285"/>
        <v/>
      </c>
      <c r="H289" s="5" t="str">
        <f t="shared" si="285"/>
        <v/>
      </c>
      <c r="I289" s="3"/>
      <c r="J289" s="3"/>
      <c r="K289" s="3"/>
      <c r="L289" s="192"/>
      <c r="M289" s="192"/>
      <c r="N289" s="19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</row>
    <row r="290" spans="1:100" ht="16.5" customHeight="1">
      <c r="A290" s="3"/>
      <c r="B290" s="3"/>
      <c r="C290" s="3"/>
      <c r="D290" s="5"/>
      <c r="E290" s="3" t="str">
        <f t="shared" ref="E290:H290" si="286">IF(A290&lt;&gt;"", IF(A290=A289, "", A290), "")</f>
        <v/>
      </c>
      <c r="F290" s="191" t="str">
        <f t="shared" si="286"/>
        <v/>
      </c>
      <c r="G290" s="3" t="str">
        <f t="shared" si="286"/>
        <v/>
      </c>
      <c r="H290" s="5" t="str">
        <f t="shared" si="286"/>
        <v/>
      </c>
      <c r="I290" s="3"/>
      <c r="J290" s="3"/>
      <c r="K290" s="3"/>
      <c r="L290" s="192"/>
      <c r="M290" s="192"/>
      <c r="N290" s="19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</row>
    <row r="291" spans="1:100" ht="16.5" customHeight="1">
      <c r="A291" s="3"/>
      <c r="B291" s="3"/>
      <c r="C291" s="3"/>
      <c r="D291" s="5"/>
      <c r="E291" s="3" t="str">
        <f t="shared" ref="E291:H291" si="287">IF(A291&lt;&gt;"", IF(A291=A290, "", A291), "")</f>
        <v/>
      </c>
      <c r="F291" s="191" t="str">
        <f t="shared" si="287"/>
        <v/>
      </c>
      <c r="G291" s="3" t="str">
        <f t="shared" si="287"/>
        <v/>
      </c>
      <c r="H291" s="5" t="str">
        <f t="shared" si="287"/>
        <v/>
      </c>
      <c r="I291" s="3"/>
      <c r="J291" s="3"/>
      <c r="K291" s="3"/>
      <c r="L291" s="192"/>
      <c r="M291" s="192"/>
      <c r="N291" s="19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</row>
    <row r="292" spans="1:100" ht="16.5" customHeight="1">
      <c r="A292" s="3"/>
      <c r="B292" s="3"/>
      <c r="C292" s="3"/>
      <c r="D292" s="5"/>
      <c r="E292" s="3" t="str">
        <f t="shared" ref="E292:H292" si="288">IF(A292&lt;&gt;"", IF(A292=A291, "", A292), "")</f>
        <v/>
      </c>
      <c r="F292" s="191" t="str">
        <f t="shared" si="288"/>
        <v/>
      </c>
      <c r="G292" s="3" t="str">
        <f t="shared" si="288"/>
        <v/>
      </c>
      <c r="H292" s="5" t="str">
        <f t="shared" si="288"/>
        <v/>
      </c>
      <c r="I292" s="3"/>
      <c r="J292" s="3"/>
      <c r="K292" s="3"/>
      <c r="L292" s="192"/>
      <c r="M292" s="192"/>
      <c r="N292" s="19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</row>
    <row r="293" spans="1:100" ht="16.5" customHeight="1">
      <c r="A293" s="3"/>
      <c r="B293" s="3"/>
      <c r="C293" s="3"/>
      <c r="D293" s="5"/>
      <c r="E293" s="3" t="str">
        <f t="shared" ref="E293:H293" si="289">IF(A293&lt;&gt;"", IF(A293=A292, "", A293), "")</f>
        <v/>
      </c>
      <c r="F293" s="191" t="str">
        <f t="shared" si="289"/>
        <v/>
      </c>
      <c r="G293" s="3" t="str">
        <f t="shared" si="289"/>
        <v/>
      </c>
      <c r="H293" s="5" t="str">
        <f t="shared" si="289"/>
        <v/>
      </c>
      <c r="I293" s="3"/>
      <c r="J293" s="3"/>
      <c r="K293" s="3"/>
      <c r="L293" s="192"/>
      <c r="M293" s="192"/>
      <c r="N293" s="19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</row>
    <row r="294" spans="1:100" ht="16.5" customHeight="1">
      <c r="A294" s="3"/>
      <c r="B294" s="3"/>
      <c r="C294" s="3"/>
      <c r="D294" s="5"/>
      <c r="E294" s="3" t="str">
        <f t="shared" ref="E294:H294" si="290">IF(A294&lt;&gt;"", IF(A294=A293, "", A294), "")</f>
        <v/>
      </c>
      <c r="F294" s="191" t="str">
        <f t="shared" si="290"/>
        <v/>
      </c>
      <c r="G294" s="3" t="str">
        <f t="shared" si="290"/>
        <v/>
      </c>
      <c r="H294" s="5" t="str">
        <f t="shared" si="290"/>
        <v/>
      </c>
      <c r="I294" s="3"/>
      <c r="J294" s="3"/>
      <c r="K294" s="3"/>
      <c r="L294" s="192"/>
      <c r="M294" s="192"/>
      <c r="N294" s="19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</row>
    <row r="295" spans="1:100" ht="16.5" customHeight="1">
      <c r="A295" s="3"/>
      <c r="B295" s="3"/>
      <c r="C295" s="3"/>
      <c r="D295" s="5"/>
      <c r="E295" s="3" t="str">
        <f t="shared" ref="E295:H295" si="291">IF(A295&lt;&gt;"", IF(A295=A294, "", A295), "")</f>
        <v/>
      </c>
      <c r="F295" s="191" t="str">
        <f t="shared" si="291"/>
        <v/>
      </c>
      <c r="G295" s="3" t="str">
        <f t="shared" si="291"/>
        <v/>
      </c>
      <c r="H295" s="5" t="str">
        <f t="shared" si="291"/>
        <v/>
      </c>
      <c r="I295" s="3"/>
      <c r="J295" s="3"/>
      <c r="K295" s="3"/>
      <c r="L295" s="192"/>
      <c r="M295" s="192"/>
      <c r="N295" s="19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</row>
    <row r="296" spans="1:100" ht="16.5" customHeight="1">
      <c r="A296" s="3"/>
      <c r="B296" s="3"/>
      <c r="C296" s="3"/>
      <c r="D296" s="5"/>
      <c r="E296" s="3" t="str">
        <f t="shared" ref="E296:H296" si="292">IF(A296&lt;&gt;"", IF(A296=A295, "", A296), "")</f>
        <v/>
      </c>
      <c r="F296" s="191" t="str">
        <f t="shared" si="292"/>
        <v/>
      </c>
      <c r="G296" s="3" t="str">
        <f t="shared" si="292"/>
        <v/>
      </c>
      <c r="H296" s="5" t="str">
        <f t="shared" si="292"/>
        <v/>
      </c>
      <c r="I296" s="3"/>
      <c r="J296" s="3"/>
      <c r="K296" s="3"/>
      <c r="L296" s="192"/>
      <c r="M296" s="192"/>
      <c r="N296" s="19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</row>
    <row r="297" spans="1:100" ht="16.5" customHeight="1">
      <c r="A297" s="3"/>
      <c r="B297" s="3"/>
      <c r="C297" s="3"/>
      <c r="D297" s="5"/>
      <c r="E297" s="3" t="str">
        <f t="shared" ref="E297:H297" si="293">IF(A297&lt;&gt;"", IF(A297=A296, "", A297), "")</f>
        <v/>
      </c>
      <c r="F297" s="191" t="str">
        <f t="shared" si="293"/>
        <v/>
      </c>
      <c r="G297" s="3" t="str">
        <f t="shared" si="293"/>
        <v/>
      </c>
      <c r="H297" s="5" t="str">
        <f t="shared" si="293"/>
        <v/>
      </c>
      <c r="I297" s="3"/>
      <c r="J297" s="3"/>
      <c r="K297" s="3"/>
      <c r="L297" s="192"/>
      <c r="M297" s="192"/>
      <c r="N297" s="19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</row>
  </sheetData>
  <conditionalFormatting sqref="H5:M38">
    <cfRule type="expression" dxfId="30" priority="1">
      <formula>$I5="DX道場"</formula>
    </cfRule>
  </conditionalFormatting>
  <conditionalFormatting sqref="N5:N297">
    <cfRule type="containsText" dxfId="29" priority="2" operator="containsText" text="準備中">
      <formula>NOT(ISERROR(SEARCH(("準備中"),(N5))))</formula>
    </cfRule>
  </conditionalFormatting>
  <conditionalFormatting sqref="O3:CU38">
    <cfRule type="expression" dxfId="28" priority="3">
      <formula>AND(OR(O$4="土",O$4="日"))</formula>
    </cfRule>
  </conditionalFormatting>
  <conditionalFormatting sqref="O5:CU38">
    <cfRule type="expression" dxfId="27" priority="4">
      <formula>AND($I5="DX道場",O$3&gt;=$L5,O$3&lt;=$M5)</formula>
    </cfRule>
  </conditionalFormatting>
  <conditionalFormatting sqref="O5:CU38">
    <cfRule type="expression" dxfId="26" priority="5">
      <formula>AND($I5="インフラ",O$3&gt;=$L5,O$3&lt;=$M5)</formula>
    </cfRule>
  </conditionalFormatting>
  <conditionalFormatting sqref="F5:J38">
    <cfRule type="expression" dxfId="25" priority="6">
      <formula>NOT(ISNUMBER($F5))</formula>
    </cfRule>
  </conditionalFormatting>
  <conditionalFormatting sqref="J5:J38">
    <cfRule type="expression" dxfId="24" priority="7">
      <formula>AND($H5&lt;&gt;"",$J5="")</formula>
    </cfRule>
  </conditionalFormatting>
  <conditionalFormatting sqref="N5:N297">
    <cfRule type="containsText" dxfId="23" priority="8" operator="containsText" text="完了">
      <formula>NOT(ISERROR(SEARCH(("完了"),(N5))))</formula>
    </cfRule>
  </conditionalFormatting>
  <conditionalFormatting sqref="N5:N297">
    <cfRule type="containsText" dxfId="22" priority="9" operator="containsText" text="進行中">
      <formula>NOT(ISERROR(SEARCH(("進行中"),(N5))))</formula>
    </cfRule>
  </conditionalFormatting>
  <conditionalFormatting sqref="M10">
    <cfRule type="containsText" dxfId="21" priority="10" operator="containsText" text="完了">
      <formula>NOT(ISERROR(SEARCH(("完了"),(M10))))</formula>
    </cfRule>
  </conditionalFormatting>
  <conditionalFormatting sqref="M10">
    <cfRule type="containsText" dxfId="20" priority="11" operator="containsText" text="進行中">
      <formula>NOT(ISERROR(SEARCH(("進行中"),(M10))))</formula>
    </cfRule>
  </conditionalFormatting>
  <dataValidations count="2">
    <dataValidation type="list" allowBlank="1" showErrorMessage="1" sqref="N5:N297" xr:uid="{00000000-0002-0000-0200-000000000000}">
      <formula1>"準備中,進行中,完了"</formula1>
    </dataValidation>
    <dataValidation type="list" allowBlank="1" showErrorMessage="1" sqref="I5:I297" xr:uid="{00000000-0002-0000-0200-000001000000}">
      <formula1>"データ基盤,インフラ,DX道場"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zoomScaleSheetLayoutView="100" workbookViewId="0"/>
  </sheetViews>
  <sheetFormatPr defaultColWidth="14.42578125" defaultRowHeight="15"/>
  <cols>
    <col min="1" max="1" width="14.42578125" customWidth="1"/>
    <col min="2" max="2" width="9.42578125" customWidth="1"/>
    <col min="3" max="6" width="9" customWidth="1"/>
    <col min="7" max="26" width="8.7109375" customWidth="1"/>
  </cols>
  <sheetData>
    <row r="1" spans="1:26" ht="16.5" customHeight="1">
      <c r="A1" s="1" t="s">
        <v>315</v>
      </c>
      <c r="B1" s="1" t="s">
        <v>316</v>
      </c>
      <c r="C1" s="1" t="s">
        <v>317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1" t="s">
        <v>318</v>
      </c>
      <c r="B2" s="6">
        <v>46023</v>
      </c>
      <c r="C2" s="1" t="s">
        <v>257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1" t="s">
        <v>319</v>
      </c>
      <c r="B3" s="6">
        <v>46034</v>
      </c>
      <c r="C3" s="1" t="s">
        <v>254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1" t="s">
        <v>320</v>
      </c>
      <c r="B4" s="6">
        <v>46064</v>
      </c>
      <c r="C4" s="1" t="s">
        <v>256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1" t="s">
        <v>321</v>
      </c>
      <c r="B5" s="6">
        <v>46076</v>
      </c>
      <c r="C5" s="1" t="s">
        <v>254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1" t="s">
        <v>322</v>
      </c>
      <c r="B6" s="6">
        <v>46101</v>
      </c>
      <c r="C6" s="1" t="s">
        <v>258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1" t="s">
        <v>323</v>
      </c>
      <c r="B7" s="6">
        <v>46141</v>
      </c>
      <c r="C7" s="1" t="s">
        <v>256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>
      <c r="A8" s="1" t="s">
        <v>324</v>
      </c>
      <c r="B8" s="6">
        <v>46145</v>
      </c>
      <c r="C8" s="1" t="s">
        <v>260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1" t="s">
        <v>325</v>
      </c>
      <c r="B9" s="6">
        <v>46146</v>
      </c>
      <c r="C9" s="1" t="s">
        <v>254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1" t="s">
        <v>326</v>
      </c>
      <c r="B10" s="6">
        <v>46147</v>
      </c>
      <c r="C10" s="1" t="s">
        <v>255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1" t="s">
        <v>327</v>
      </c>
      <c r="B11" s="6">
        <v>46148</v>
      </c>
      <c r="C11" s="1" t="s">
        <v>256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1" t="s">
        <v>328</v>
      </c>
      <c r="B12" s="6">
        <v>46223</v>
      </c>
      <c r="C12" s="1" t="s">
        <v>254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1" t="s">
        <v>329</v>
      </c>
      <c r="B13" s="6">
        <v>46245</v>
      </c>
      <c r="C13" s="1" t="s">
        <v>255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1" t="s">
        <v>330</v>
      </c>
      <c r="B14" s="6">
        <v>46286</v>
      </c>
      <c r="C14" s="1" t="s">
        <v>254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1" t="s">
        <v>331</v>
      </c>
      <c r="B15" s="6">
        <v>46287</v>
      </c>
      <c r="C15" s="1" t="s">
        <v>255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1" t="s">
        <v>332</v>
      </c>
      <c r="B16" s="6">
        <v>46288</v>
      </c>
      <c r="C16" s="1" t="s">
        <v>256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1" t="s">
        <v>333</v>
      </c>
      <c r="B17" s="6">
        <v>46307</v>
      </c>
      <c r="C17" s="1" t="s">
        <v>254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1" t="s">
        <v>334</v>
      </c>
      <c r="B18" s="6">
        <v>46329</v>
      </c>
      <c r="C18" s="1" t="s">
        <v>255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3" t="s">
        <v>335</v>
      </c>
      <c r="B19" s="29">
        <v>46349</v>
      </c>
      <c r="C19" s="3" t="s">
        <v>254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3" t="s">
        <v>336</v>
      </c>
      <c r="B20" s="29">
        <v>46244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3" t="s">
        <v>336</v>
      </c>
      <c r="B21" s="29">
        <v>46246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3" t="s">
        <v>336</v>
      </c>
      <c r="B22" s="29">
        <v>46247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3" t="s">
        <v>336</v>
      </c>
      <c r="B23" s="29">
        <v>46248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zoomScaleNormal="100" zoomScaleSheetLayoutView="100" workbookViewId="0"/>
  </sheetViews>
  <sheetFormatPr defaultColWidth="14.42578125" defaultRowHeight="15"/>
  <cols>
    <col min="1" max="1" width="11" customWidth="1"/>
    <col min="2" max="3" width="24" customWidth="1"/>
    <col min="4" max="4" width="38" customWidth="1"/>
    <col min="5" max="5" width="15" customWidth="1"/>
    <col min="6" max="7" width="44" customWidth="1"/>
    <col min="8" max="9" width="15" customWidth="1"/>
    <col min="10" max="10" width="19" customWidth="1"/>
    <col min="11" max="12" width="13" customWidth="1"/>
    <col min="13" max="13" width="16" customWidth="1"/>
    <col min="14" max="14" width="32" customWidth="1"/>
    <col min="15" max="15" width="9" customWidth="1"/>
    <col min="16" max="16" width="23" customWidth="1"/>
    <col min="17" max="17" width="16" customWidth="1"/>
    <col min="18" max="18" width="48" customWidth="1"/>
    <col min="19" max="26" width="8.7109375" customWidth="1"/>
  </cols>
  <sheetData>
    <row r="1" spans="1:18" ht="30" customHeight="1">
      <c r="A1" s="270" t="s">
        <v>337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8" ht="45.75" customHeight="1">
      <c r="A2" s="271" t="s">
        <v>338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19"/>
      <c r="Q2" s="19"/>
      <c r="R2" s="19"/>
    </row>
    <row r="3" spans="1:18" ht="24" customHeight="1">
      <c r="A3" s="272" t="s">
        <v>339</v>
      </c>
      <c r="B3" s="298"/>
      <c r="C3" s="273" t="s">
        <v>340</v>
      </c>
      <c r="D3" s="298"/>
      <c r="E3" s="274" t="s">
        <v>341</v>
      </c>
      <c r="F3" s="298"/>
      <c r="G3" s="275" t="s">
        <v>242</v>
      </c>
      <c r="H3" s="298"/>
      <c r="I3" s="275" t="s">
        <v>342</v>
      </c>
      <c r="J3" s="298"/>
      <c r="K3" s="276" t="s">
        <v>343</v>
      </c>
      <c r="L3" s="298"/>
      <c r="M3" s="298"/>
      <c r="N3" s="298"/>
      <c r="O3" s="298"/>
    </row>
    <row r="4" spans="1:1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8" ht="27.75" customHeight="1">
      <c r="A5" s="107" t="s">
        <v>344</v>
      </c>
      <c r="B5" s="107" t="s">
        <v>76</v>
      </c>
      <c r="C5" s="107" t="s">
        <v>77</v>
      </c>
      <c r="D5" s="107" t="s">
        <v>78</v>
      </c>
      <c r="E5" s="107" t="s">
        <v>345</v>
      </c>
      <c r="F5" s="107" t="s">
        <v>346</v>
      </c>
      <c r="G5" s="107" t="s">
        <v>347</v>
      </c>
      <c r="H5" s="107" t="s">
        <v>88</v>
      </c>
      <c r="I5" s="107" t="s">
        <v>89</v>
      </c>
      <c r="J5" s="107" t="s">
        <v>348</v>
      </c>
      <c r="K5" s="107" t="s">
        <v>92</v>
      </c>
      <c r="L5" s="107" t="s">
        <v>93</v>
      </c>
      <c r="M5" s="107" t="s">
        <v>349</v>
      </c>
      <c r="N5" s="107" t="s">
        <v>350</v>
      </c>
      <c r="O5" s="107" t="s">
        <v>351</v>
      </c>
      <c r="P5" s="203" t="s">
        <v>352</v>
      </c>
      <c r="Q5" s="203" t="s">
        <v>353</v>
      </c>
      <c r="R5" s="203" t="s">
        <v>354</v>
      </c>
    </row>
    <row r="6" spans="1:18" ht="42" customHeight="1">
      <c r="A6" s="204" t="s">
        <v>355</v>
      </c>
      <c r="B6" s="205" t="s">
        <v>95</v>
      </c>
      <c r="C6" s="205" t="s">
        <v>96</v>
      </c>
      <c r="D6" s="205" t="s">
        <v>97</v>
      </c>
      <c r="E6" s="204" t="s">
        <v>339</v>
      </c>
      <c r="F6" s="206" t="s">
        <v>356</v>
      </c>
      <c r="G6" s="206" t="s">
        <v>357</v>
      </c>
      <c r="H6" s="204"/>
      <c r="I6" s="204"/>
      <c r="J6" s="204" t="s">
        <v>358</v>
      </c>
      <c r="K6" s="207">
        <v>46251</v>
      </c>
      <c r="L6" s="207">
        <v>46262</v>
      </c>
      <c r="M6" s="205" t="s">
        <v>359</v>
      </c>
      <c r="N6" s="205" t="s">
        <v>360</v>
      </c>
      <c r="O6" s="204">
        <v>5</v>
      </c>
      <c r="P6" s="208" t="s">
        <v>361</v>
      </c>
      <c r="Q6" s="208" t="s">
        <v>362</v>
      </c>
      <c r="R6" s="208" t="s">
        <v>363</v>
      </c>
    </row>
    <row r="7" spans="1:18" ht="42" customHeight="1">
      <c r="A7" s="204" t="s">
        <v>364</v>
      </c>
      <c r="B7" s="205" t="s">
        <v>95</v>
      </c>
      <c r="C7" s="205" t="s">
        <v>96</v>
      </c>
      <c r="D7" s="205" t="s">
        <v>99</v>
      </c>
      <c r="E7" s="204" t="s">
        <v>339</v>
      </c>
      <c r="F7" s="206" t="s">
        <v>365</v>
      </c>
      <c r="G7" s="206" t="s">
        <v>366</v>
      </c>
      <c r="H7" s="204"/>
      <c r="I7" s="204"/>
      <c r="J7" s="204" t="s">
        <v>358</v>
      </c>
      <c r="K7" s="207">
        <v>46251</v>
      </c>
      <c r="L7" s="207">
        <v>46260</v>
      </c>
      <c r="M7" s="205" t="s">
        <v>359</v>
      </c>
      <c r="N7" s="205" t="s">
        <v>367</v>
      </c>
      <c r="O7" s="204">
        <v>6</v>
      </c>
      <c r="P7" s="208" t="s">
        <v>361</v>
      </c>
      <c r="Q7" s="208" t="s">
        <v>362</v>
      </c>
      <c r="R7" s="208" t="s">
        <v>363</v>
      </c>
    </row>
    <row r="8" spans="1:18" ht="42" customHeight="1">
      <c r="A8" s="204" t="s">
        <v>368</v>
      </c>
      <c r="B8" s="205" t="s">
        <v>95</v>
      </c>
      <c r="C8" s="205" t="s">
        <v>96</v>
      </c>
      <c r="D8" s="205" t="s">
        <v>100</v>
      </c>
      <c r="E8" s="204" t="s">
        <v>339</v>
      </c>
      <c r="F8" s="206" t="s">
        <v>369</v>
      </c>
      <c r="G8" s="206" t="s">
        <v>370</v>
      </c>
      <c r="H8" s="204"/>
      <c r="I8" s="204"/>
      <c r="J8" s="204" t="s">
        <v>358</v>
      </c>
      <c r="K8" s="207">
        <v>46251</v>
      </c>
      <c r="L8" s="207">
        <v>46262</v>
      </c>
      <c r="M8" s="205" t="s">
        <v>371</v>
      </c>
      <c r="N8" s="205" t="s">
        <v>372</v>
      </c>
      <c r="O8" s="204">
        <v>7</v>
      </c>
      <c r="P8" s="208" t="s">
        <v>361</v>
      </c>
      <c r="Q8" s="208" t="s">
        <v>362</v>
      </c>
      <c r="R8" s="208" t="s">
        <v>363</v>
      </c>
    </row>
    <row r="9" spans="1:18" ht="42" customHeight="1">
      <c r="A9" s="204" t="s">
        <v>373</v>
      </c>
      <c r="B9" s="205" t="s">
        <v>95</v>
      </c>
      <c r="C9" s="205" t="s">
        <v>96</v>
      </c>
      <c r="D9" s="205" t="s">
        <v>101</v>
      </c>
      <c r="E9" s="204" t="s">
        <v>339</v>
      </c>
      <c r="F9" s="206" t="s">
        <v>374</v>
      </c>
      <c r="G9" s="206" t="s">
        <v>375</v>
      </c>
      <c r="H9" s="204"/>
      <c r="I9" s="204"/>
      <c r="J9" s="204" t="s">
        <v>376</v>
      </c>
      <c r="K9" s="207">
        <v>46251</v>
      </c>
      <c r="L9" s="207">
        <v>46255</v>
      </c>
      <c r="M9" s="205" t="s">
        <v>371</v>
      </c>
      <c r="N9" s="205" t="s">
        <v>377</v>
      </c>
      <c r="O9" s="204">
        <v>8</v>
      </c>
      <c r="P9" s="208" t="s">
        <v>361</v>
      </c>
      <c r="Q9" s="208" t="s">
        <v>362</v>
      </c>
      <c r="R9" s="208" t="s">
        <v>363</v>
      </c>
    </row>
    <row r="10" spans="1:18" ht="42" customHeight="1">
      <c r="A10" s="204" t="s">
        <v>378</v>
      </c>
      <c r="B10" s="205" t="s">
        <v>95</v>
      </c>
      <c r="C10" s="205" t="s">
        <v>96</v>
      </c>
      <c r="D10" s="205" t="s">
        <v>102</v>
      </c>
      <c r="E10" s="204" t="s">
        <v>339</v>
      </c>
      <c r="F10" s="206" t="s">
        <v>379</v>
      </c>
      <c r="G10" s="206" t="s">
        <v>380</v>
      </c>
      <c r="H10" s="204"/>
      <c r="I10" s="204"/>
      <c r="J10" s="204" t="s">
        <v>381</v>
      </c>
      <c r="K10" s="207">
        <v>46251</v>
      </c>
      <c r="L10" s="207">
        <v>46260</v>
      </c>
      <c r="M10" s="205" t="s">
        <v>382</v>
      </c>
      <c r="N10" s="205" t="s">
        <v>383</v>
      </c>
      <c r="O10" s="204">
        <v>9</v>
      </c>
      <c r="P10" s="208" t="s">
        <v>361</v>
      </c>
      <c r="Q10" s="208" t="s">
        <v>362</v>
      </c>
      <c r="R10" s="208" t="s">
        <v>363</v>
      </c>
    </row>
    <row r="11" spans="1:18" ht="42" customHeight="1">
      <c r="A11" s="204" t="s">
        <v>384</v>
      </c>
      <c r="B11" s="205" t="s">
        <v>95</v>
      </c>
      <c r="C11" s="205" t="s">
        <v>96</v>
      </c>
      <c r="D11" s="205" t="s">
        <v>103</v>
      </c>
      <c r="E11" s="204" t="s">
        <v>342</v>
      </c>
      <c r="F11" s="206" t="s">
        <v>385</v>
      </c>
      <c r="G11" s="206" t="s">
        <v>386</v>
      </c>
      <c r="H11" s="204"/>
      <c r="I11" s="204"/>
      <c r="J11" s="204" t="s">
        <v>387</v>
      </c>
      <c r="K11" s="207">
        <v>46262</v>
      </c>
      <c r="L11" s="207">
        <v>46262</v>
      </c>
      <c r="M11" s="205" t="s">
        <v>371</v>
      </c>
      <c r="N11" s="205" t="s">
        <v>388</v>
      </c>
      <c r="O11" s="204">
        <v>10</v>
      </c>
      <c r="P11" s="208" t="s">
        <v>361</v>
      </c>
      <c r="Q11" s="208" t="s">
        <v>362</v>
      </c>
      <c r="R11" s="208" t="s">
        <v>363</v>
      </c>
    </row>
    <row r="12" spans="1:18" ht="42" customHeight="1">
      <c r="A12" s="204" t="s">
        <v>389</v>
      </c>
      <c r="B12" s="205" t="s">
        <v>95</v>
      </c>
      <c r="C12" s="205" t="s">
        <v>104</v>
      </c>
      <c r="D12" s="205" t="s">
        <v>105</v>
      </c>
      <c r="E12" s="204" t="s">
        <v>390</v>
      </c>
      <c r="F12" s="206" t="s">
        <v>391</v>
      </c>
      <c r="G12" s="206" t="s">
        <v>392</v>
      </c>
      <c r="H12" s="204" t="s">
        <v>106</v>
      </c>
      <c r="I12" s="204" t="s">
        <v>107</v>
      </c>
      <c r="J12" s="204" t="s">
        <v>387</v>
      </c>
      <c r="K12" s="207">
        <v>46251</v>
      </c>
      <c r="L12" s="207">
        <v>46302</v>
      </c>
      <c r="M12" s="205" t="s">
        <v>371</v>
      </c>
      <c r="N12" s="205" t="s">
        <v>393</v>
      </c>
      <c r="O12" s="204">
        <v>11</v>
      </c>
      <c r="P12" s="208" t="s">
        <v>361</v>
      </c>
      <c r="Q12" s="208" t="s">
        <v>394</v>
      </c>
      <c r="R12" s="208" t="s">
        <v>395</v>
      </c>
    </row>
    <row r="13" spans="1:18" ht="42" customHeight="1">
      <c r="A13" s="204" t="s">
        <v>396</v>
      </c>
      <c r="B13" s="205" t="s">
        <v>95</v>
      </c>
      <c r="C13" s="205" t="s">
        <v>104</v>
      </c>
      <c r="D13" s="205" t="s">
        <v>108</v>
      </c>
      <c r="E13" s="204" t="s">
        <v>390</v>
      </c>
      <c r="F13" s="206" t="s">
        <v>397</v>
      </c>
      <c r="G13" s="206" t="s">
        <v>398</v>
      </c>
      <c r="H13" s="204" t="s">
        <v>106</v>
      </c>
      <c r="I13" s="204" t="s">
        <v>107</v>
      </c>
      <c r="J13" s="204" t="s">
        <v>387</v>
      </c>
      <c r="K13" s="207">
        <v>46251</v>
      </c>
      <c r="L13" s="207">
        <v>46302</v>
      </c>
      <c r="M13" s="205" t="s">
        <v>371</v>
      </c>
      <c r="N13" s="205" t="s">
        <v>393</v>
      </c>
      <c r="O13" s="204">
        <v>12</v>
      </c>
      <c r="P13" s="208" t="s">
        <v>361</v>
      </c>
      <c r="Q13" s="208" t="s">
        <v>394</v>
      </c>
      <c r="R13" s="208" t="s">
        <v>395</v>
      </c>
    </row>
    <row r="14" spans="1:18" ht="42" customHeight="1">
      <c r="A14" s="204" t="s">
        <v>399</v>
      </c>
      <c r="B14" s="205" t="s">
        <v>95</v>
      </c>
      <c r="C14" s="205" t="s">
        <v>104</v>
      </c>
      <c r="D14" s="205" t="s">
        <v>109</v>
      </c>
      <c r="E14" s="204" t="s">
        <v>390</v>
      </c>
      <c r="F14" s="206" t="s">
        <v>400</v>
      </c>
      <c r="G14" s="206" t="s">
        <v>401</v>
      </c>
      <c r="H14" s="204" t="s">
        <v>106</v>
      </c>
      <c r="I14" s="204" t="s">
        <v>107</v>
      </c>
      <c r="J14" s="204" t="s">
        <v>387</v>
      </c>
      <c r="K14" s="207">
        <v>46251</v>
      </c>
      <c r="L14" s="207">
        <v>46302</v>
      </c>
      <c r="M14" s="205" t="s">
        <v>359</v>
      </c>
      <c r="N14" s="205" t="s">
        <v>402</v>
      </c>
      <c r="O14" s="204">
        <v>13</v>
      </c>
      <c r="P14" s="208" t="s">
        <v>361</v>
      </c>
      <c r="Q14" s="208" t="s">
        <v>394</v>
      </c>
      <c r="R14" s="208" t="s">
        <v>395</v>
      </c>
    </row>
    <row r="15" spans="1:18" ht="42" customHeight="1">
      <c r="A15" s="204" t="s">
        <v>403</v>
      </c>
      <c r="B15" s="205" t="s">
        <v>95</v>
      </c>
      <c r="C15" s="205" t="s">
        <v>104</v>
      </c>
      <c r="D15" s="205" t="s">
        <v>110</v>
      </c>
      <c r="E15" s="204" t="s">
        <v>390</v>
      </c>
      <c r="F15" s="206" t="s">
        <v>404</v>
      </c>
      <c r="G15" s="206" t="s">
        <v>405</v>
      </c>
      <c r="H15" s="204" t="s">
        <v>106</v>
      </c>
      <c r="I15" s="204" t="s">
        <v>107</v>
      </c>
      <c r="J15" s="204" t="s">
        <v>387</v>
      </c>
      <c r="K15" s="207">
        <v>46258</v>
      </c>
      <c r="L15" s="207">
        <v>46295</v>
      </c>
      <c r="M15" s="205" t="s">
        <v>371</v>
      </c>
      <c r="N15" s="205" t="s">
        <v>393</v>
      </c>
      <c r="O15" s="204">
        <v>14</v>
      </c>
      <c r="P15" s="208" t="s">
        <v>361</v>
      </c>
      <c r="Q15" s="208" t="s">
        <v>394</v>
      </c>
      <c r="R15" s="208" t="s">
        <v>395</v>
      </c>
    </row>
    <row r="16" spans="1:18" ht="42" customHeight="1">
      <c r="A16" s="204" t="s">
        <v>406</v>
      </c>
      <c r="B16" s="205" t="s">
        <v>95</v>
      </c>
      <c r="C16" s="205" t="s">
        <v>104</v>
      </c>
      <c r="D16" s="205" t="s">
        <v>111</v>
      </c>
      <c r="E16" s="204" t="s">
        <v>390</v>
      </c>
      <c r="F16" s="206" t="s">
        <v>407</v>
      </c>
      <c r="G16" s="206" t="s">
        <v>408</v>
      </c>
      <c r="H16" s="204" t="s">
        <v>106</v>
      </c>
      <c r="I16" s="204" t="s">
        <v>107</v>
      </c>
      <c r="J16" s="204" t="s">
        <v>387</v>
      </c>
      <c r="K16" s="207">
        <v>46279</v>
      </c>
      <c r="L16" s="207">
        <v>46302</v>
      </c>
      <c r="M16" s="205" t="s">
        <v>371</v>
      </c>
      <c r="N16" s="205" t="s">
        <v>409</v>
      </c>
      <c r="O16" s="204">
        <v>15</v>
      </c>
      <c r="P16" s="208" t="s">
        <v>361</v>
      </c>
      <c r="Q16" s="208" t="s">
        <v>410</v>
      </c>
      <c r="R16" s="208" t="s">
        <v>395</v>
      </c>
    </row>
    <row r="17" spans="1:18" ht="42" customHeight="1">
      <c r="A17" s="204" t="s">
        <v>411</v>
      </c>
      <c r="B17" s="205" t="s">
        <v>95</v>
      </c>
      <c r="C17" s="205" t="s">
        <v>104</v>
      </c>
      <c r="D17" s="205" t="s">
        <v>112</v>
      </c>
      <c r="E17" s="204" t="s">
        <v>390</v>
      </c>
      <c r="F17" s="206" t="s">
        <v>412</v>
      </c>
      <c r="G17" s="206" t="s">
        <v>413</v>
      </c>
      <c r="H17" s="204" t="s">
        <v>106</v>
      </c>
      <c r="I17" s="204" t="s">
        <v>107</v>
      </c>
      <c r="J17" s="204" t="s">
        <v>387</v>
      </c>
      <c r="K17" s="207"/>
      <c r="L17" s="207"/>
      <c r="M17" s="205" t="s">
        <v>414</v>
      </c>
      <c r="N17" s="205" t="s">
        <v>393</v>
      </c>
      <c r="O17" s="204">
        <v>16</v>
      </c>
      <c r="P17" s="209" t="s">
        <v>415</v>
      </c>
      <c r="Q17" s="209" t="s">
        <v>394</v>
      </c>
      <c r="R17" s="209" t="s">
        <v>416</v>
      </c>
    </row>
    <row r="18" spans="1:18" ht="42" customHeight="1">
      <c r="A18" s="204" t="s">
        <v>417</v>
      </c>
      <c r="B18" s="205" t="s">
        <v>95</v>
      </c>
      <c r="C18" s="205" t="s">
        <v>113</v>
      </c>
      <c r="D18" s="205" t="s">
        <v>114</v>
      </c>
      <c r="E18" s="204" t="s">
        <v>390</v>
      </c>
      <c r="F18" s="206" t="s">
        <v>418</v>
      </c>
      <c r="G18" s="206" t="s">
        <v>419</v>
      </c>
      <c r="H18" s="204" t="s">
        <v>106</v>
      </c>
      <c r="I18" s="204" t="s">
        <v>107</v>
      </c>
      <c r="J18" s="204" t="s">
        <v>376</v>
      </c>
      <c r="K18" s="207">
        <v>46251</v>
      </c>
      <c r="L18" s="207">
        <v>46260</v>
      </c>
      <c r="M18" s="205" t="s">
        <v>420</v>
      </c>
      <c r="N18" s="205"/>
      <c r="O18" s="204">
        <v>17</v>
      </c>
      <c r="P18" s="208" t="s">
        <v>361</v>
      </c>
      <c r="Q18" s="208" t="s">
        <v>394</v>
      </c>
      <c r="R18" s="208" t="s">
        <v>421</v>
      </c>
    </row>
    <row r="19" spans="1:18" ht="42" customHeight="1">
      <c r="A19" s="204" t="s">
        <v>422</v>
      </c>
      <c r="B19" s="205" t="s">
        <v>95</v>
      </c>
      <c r="C19" s="205" t="s">
        <v>113</v>
      </c>
      <c r="D19" s="205" t="s">
        <v>115</v>
      </c>
      <c r="E19" s="204" t="s">
        <v>390</v>
      </c>
      <c r="F19" s="206" t="s">
        <v>423</v>
      </c>
      <c r="G19" s="206" t="s">
        <v>424</v>
      </c>
      <c r="H19" s="204" t="s">
        <v>106</v>
      </c>
      <c r="I19" s="204" t="s">
        <v>107</v>
      </c>
      <c r="J19" s="204" t="s">
        <v>376</v>
      </c>
      <c r="K19" s="207">
        <v>46251</v>
      </c>
      <c r="L19" s="207">
        <v>46260</v>
      </c>
      <c r="M19" s="205" t="s">
        <v>414</v>
      </c>
      <c r="N19" s="205"/>
      <c r="O19" s="204">
        <v>18</v>
      </c>
      <c r="P19" s="208" t="s">
        <v>361</v>
      </c>
      <c r="Q19" s="208" t="s">
        <v>394</v>
      </c>
      <c r="R19" s="208" t="s">
        <v>421</v>
      </c>
    </row>
    <row r="20" spans="1:18" ht="42" customHeight="1">
      <c r="A20" s="204" t="s">
        <v>425</v>
      </c>
      <c r="B20" s="205" t="s">
        <v>95</v>
      </c>
      <c r="C20" s="205" t="s">
        <v>113</v>
      </c>
      <c r="D20" s="205" t="s">
        <v>116</v>
      </c>
      <c r="E20" s="204" t="s">
        <v>390</v>
      </c>
      <c r="F20" s="206" t="s">
        <v>426</v>
      </c>
      <c r="G20" s="206" t="s">
        <v>427</v>
      </c>
      <c r="H20" s="204" t="s">
        <v>106</v>
      </c>
      <c r="I20" s="204" t="s">
        <v>107</v>
      </c>
      <c r="J20" s="204" t="s">
        <v>376</v>
      </c>
      <c r="K20" s="207">
        <v>46251</v>
      </c>
      <c r="L20" s="207">
        <v>46260</v>
      </c>
      <c r="M20" s="205" t="s">
        <v>414</v>
      </c>
      <c r="N20" s="205"/>
      <c r="O20" s="204">
        <v>19</v>
      </c>
      <c r="P20" s="208" t="s">
        <v>361</v>
      </c>
      <c r="Q20" s="208" t="s">
        <v>394</v>
      </c>
      <c r="R20" s="208" t="s">
        <v>421</v>
      </c>
    </row>
    <row r="21" spans="1:18" ht="42" customHeight="1">
      <c r="A21" s="204" t="s">
        <v>428</v>
      </c>
      <c r="B21" s="205" t="s">
        <v>95</v>
      </c>
      <c r="C21" s="205" t="s">
        <v>113</v>
      </c>
      <c r="D21" s="205" t="s">
        <v>117</v>
      </c>
      <c r="E21" s="204" t="s">
        <v>390</v>
      </c>
      <c r="F21" s="206" t="s">
        <v>429</v>
      </c>
      <c r="G21" s="206" t="s">
        <v>430</v>
      </c>
      <c r="H21" s="204" t="s">
        <v>106</v>
      </c>
      <c r="I21" s="204" t="s">
        <v>107</v>
      </c>
      <c r="J21" s="204" t="s">
        <v>376</v>
      </c>
      <c r="K21" s="207"/>
      <c r="L21" s="207"/>
      <c r="M21" s="205" t="s">
        <v>382</v>
      </c>
      <c r="N21" s="205"/>
      <c r="O21" s="204">
        <v>20</v>
      </c>
      <c r="P21" s="209" t="s">
        <v>415</v>
      </c>
      <c r="Q21" s="209" t="s">
        <v>394</v>
      </c>
      <c r="R21" s="209" t="s">
        <v>416</v>
      </c>
    </row>
    <row r="22" spans="1:18" ht="42" customHeight="1">
      <c r="A22" s="204" t="s">
        <v>431</v>
      </c>
      <c r="B22" s="205" t="s">
        <v>95</v>
      </c>
      <c r="C22" s="205" t="s">
        <v>113</v>
      </c>
      <c r="D22" s="205" t="s">
        <v>118</v>
      </c>
      <c r="E22" s="204" t="s">
        <v>390</v>
      </c>
      <c r="F22" s="206" t="s">
        <v>432</v>
      </c>
      <c r="G22" s="206" t="s">
        <v>433</v>
      </c>
      <c r="H22" s="204" t="s">
        <v>106</v>
      </c>
      <c r="I22" s="204" t="s">
        <v>107</v>
      </c>
      <c r="J22" s="204" t="s">
        <v>376</v>
      </c>
      <c r="K22" s="207"/>
      <c r="L22" s="207"/>
      <c r="M22" s="205" t="s">
        <v>359</v>
      </c>
      <c r="N22" s="205" t="s">
        <v>434</v>
      </c>
      <c r="O22" s="204">
        <v>21</v>
      </c>
      <c r="P22" s="209" t="s">
        <v>415</v>
      </c>
      <c r="Q22" s="209" t="s">
        <v>394</v>
      </c>
      <c r="R22" s="209" t="s">
        <v>435</v>
      </c>
    </row>
    <row r="23" spans="1:18" ht="42" customHeight="1">
      <c r="A23" s="204" t="s">
        <v>436</v>
      </c>
      <c r="B23" s="205" t="s">
        <v>95</v>
      </c>
      <c r="C23" s="205" t="s">
        <v>119</v>
      </c>
      <c r="D23" s="205" t="s">
        <v>120</v>
      </c>
      <c r="E23" s="204" t="s">
        <v>390</v>
      </c>
      <c r="F23" s="206" t="s">
        <v>437</v>
      </c>
      <c r="G23" s="206" t="s">
        <v>438</v>
      </c>
      <c r="H23" s="204" t="s">
        <v>106</v>
      </c>
      <c r="I23" s="204" t="s">
        <v>121</v>
      </c>
      <c r="J23" s="204" t="s">
        <v>376</v>
      </c>
      <c r="K23" s="207">
        <v>46241</v>
      </c>
      <c r="L23" s="207">
        <v>46254</v>
      </c>
      <c r="M23" s="205" t="s">
        <v>371</v>
      </c>
      <c r="N23" s="205" t="s">
        <v>439</v>
      </c>
      <c r="O23" s="204">
        <v>22</v>
      </c>
      <c r="P23" s="208" t="s">
        <v>361</v>
      </c>
      <c r="Q23" s="208" t="s">
        <v>394</v>
      </c>
      <c r="R23" s="208" t="s">
        <v>421</v>
      </c>
    </row>
    <row r="24" spans="1:18" ht="42" customHeight="1">
      <c r="A24" s="204" t="s">
        <v>440</v>
      </c>
      <c r="B24" s="205" t="s">
        <v>95</v>
      </c>
      <c r="C24" s="205" t="s">
        <v>119</v>
      </c>
      <c r="D24" s="205" t="s">
        <v>123</v>
      </c>
      <c r="E24" s="204" t="s">
        <v>390</v>
      </c>
      <c r="F24" s="206" t="s">
        <v>441</v>
      </c>
      <c r="G24" s="206" t="s">
        <v>442</v>
      </c>
      <c r="H24" s="204" t="s">
        <v>106</v>
      </c>
      <c r="I24" s="204" t="s">
        <v>121</v>
      </c>
      <c r="J24" s="204" t="s">
        <v>376</v>
      </c>
      <c r="K24" s="207">
        <v>46241</v>
      </c>
      <c r="L24" s="207">
        <v>46254</v>
      </c>
      <c r="M24" s="205" t="s">
        <v>414</v>
      </c>
      <c r="N24" s="205"/>
      <c r="O24" s="204">
        <v>23</v>
      </c>
      <c r="P24" s="208" t="s">
        <v>361</v>
      </c>
      <c r="Q24" s="208" t="s">
        <v>394</v>
      </c>
      <c r="R24" s="208" t="s">
        <v>421</v>
      </c>
    </row>
    <row r="25" spans="1:18" ht="42" customHeight="1">
      <c r="A25" s="204" t="s">
        <v>443</v>
      </c>
      <c r="B25" s="205" t="s">
        <v>95</v>
      </c>
      <c r="C25" s="205" t="s">
        <v>119</v>
      </c>
      <c r="D25" s="205" t="s">
        <v>124</v>
      </c>
      <c r="E25" s="204" t="s">
        <v>390</v>
      </c>
      <c r="F25" s="206" t="s">
        <v>444</v>
      </c>
      <c r="G25" s="206" t="s">
        <v>445</v>
      </c>
      <c r="H25" s="204" t="s">
        <v>106</v>
      </c>
      <c r="I25" s="204" t="s">
        <v>121</v>
      </c>
      <c r="J25" s="204" t="s">
        <v>376</v>
      </c>
      <c r="K25" s="207">
        <v>46241</v>
      </c>
      <c r="L25" s="207">
        <v>46254</v>
      </c>
      <c r="M25" s="205" t="s">
        <v>414</v>
      </c>
      <c r="N25" s="205" t="s">
        <v>446</v>
      </c>
      <c r="O25" s="204">
        <v>24</v>
      </c>
      <c r="P25" s="208" t="s">
        <v>361</v>
      </c>
      <c r="Q25" s="208" t="s">
        <v>394</v>
      </c>
      <c r="R25" s="208" t="s">
        <v>421</v>
      </c>
    </row>
    <row r="26" spans="1:18" ht="42" customHeight="1">
      <c r="A26" s="204" t="s">
        <v>447</v>
      </c>
      <c r="B26" s="205" t="s">
        <v>95</v>
      </c>
      <c r="C26" s="205" t="s">
        <v>119</v>
      </c>
      <c r="D26" s="205" t="s">
        <v>125</v>
      </c>
      <c r="E26" s="204" t="s">
        <v>390</v>
      </c>
      <c r="F26" s="206" t="s">
        <v>448</v>
      </c>
      <c r="G26" s="206" t="s">
        <v>449</v>
      </c>
      <c r="H26" s="204" t="s">
        <v>106</v>
      </c>
      <c r="I26" s="204" t="s">
        <v>121</v>
      </c>
      <c r="J26" s="204" t="s">
        <v>376</v>
      </c>
      <c r="K26" s="207">
        <v>46241</v>
      </c>
      <c r="L26" s="207">
        <v>46254</v>
      </c>
      <c r="M26" s="205" t="s">
        <v>414</v>
      </c>
      <c r="N26" s="205" t="s">
        <v>450</v>
      </c>
      <c r="O26" s="204">
        <v>25</v>
      </c>
      <c r="P26" s="208" t="s">
        <v>361</v>
      </c>
      <c r="Q26" s="208" t="s">
        <v>394</v>
      </c>
      <c r="R26" s="208" t="s">
        <v>421</v>
      </c>
    </row>
    <row r="27" spans="1:18" ht="42" customHeight="1">
      <c r="A27" s="204" t="s">
        <v>451</v>
      </c>
      <c r="B27" s="205" t="s">
        <v>95</v>
      </c>
      <c r="C27" s="205" t="s">
        <v>119</v>
      </c>
      <c r="D27" s="205" t="s">
        <v>126</v>
      </c>
      <c r="E27" s="204" t="s">
        <v>390</v>
      </c>
      <c r="F27" s="206" t="s">
        <v>452</v>
      </c>
      <c r="G27" s="206" t="s">
        <v>453</v>
      </c>
      <c r="H27" s="204" t="s">
        <v>106</v>
      </c>
      <c r="I27" s="204" t="s">
        <v>121</v>
      </c>
      <c r="J27" s="204" t="s">
        <v>376</v>
      </c>
      <c r="K27" s="207">
        <v>46241</v>
      </c>
      <c r="L27" s="207">
        <v>46254</v>
      </c>
      <c r="M27" s="205" t="s">
        <v>414</v>
      </c>
      <c r="N27" s="205" t="s">
        <v>454</v>
      </c>
      <c r="O27" s="204">
        <v>26</v>
      </c>
      <c r="P27" s="208" t="s">
        <v>361</v>
      </c>
      <c r="Q27" s="208" t="s">
        <v>394</v>
      </c>
      <c r="R27" s="208" t="s">
        <v>421</v>
      </c>
    </row>
    <row r="28" spans="1:18" ht="42" customHeight="1">
      <c r="A28" s="204" t="s">
        <v>455</v>
      </c>
      <c r="B28" s="205" t="s">
        <v>95</v>
      </c>
      <c r="C28" s="205" t="s">
        <v>119</v>
      </c>
      <c r="D28" s="205" t="s">
        <v>127</v>
      </c>
      <c r="E28" s="204" t="s">
        <v>390</v>
      </c>
      <c r="F28" s="206" t="s">
        <v>456</v>
      </c>
      <c r="G28" s="206" t="s">
        <v>457</v>
      </c>
      <c r="H28" s="204" t="s">
        <v>106</v>
      </c>
      <c r="I28" s="204" t="s">
        <v>121</v>
      </c>
      <c r="J28" s="204" t="s">
        <v>376</v>
      </c>
      <c r="K28" s="207"/>
      <c r="L28" s="207"/>
      <c r="M28" s="205" t="s">
        <v>371</v>
      </c>
      <c r="N28" s="205"/>
      <c r="O28" s="204">
        <v>27</v>
      </c>
      <c r="P28" s="209" t="s">
        <v>415</v>
      </c>
      <c r="Q28" s="209" t="s">
        <v>394</v>
      </c>
      <c r="R28" s="209" t="s">
        <v>435</v>
      </c>
    </row>
    <row r="29" spans="1:18" ht="42" customHeight="1">
      <c r="A29" s="204" t="s">
        <v>458</v>
      </c>
      <c r="B29" s="205" t="s">
        <v>95</v>
      </c>
      <c r="C29" s="205" t="s">
        <v>128</v>
      </c>
      <c r="D29" s="205" t="s">
        <v>129</v>
      </c>
      <c r="E29" s="204" t="s">
        <v>390</v>
      </c>
      <c r="F29" s="206" t="s">
        <v>459</v>
      </c>
      <c r="G29" s="206" t="s">
        <v>460</v>
      </c>
      <c r="H29" s="204" t="s">
        <v>106</v>
      </c>
      <c r="I29" s="204" t="s">
        <v>121</v>
      </c>
      <c r="J29" s="204" t="s">
        <v>461</v>
      </c>
      <c r="K29" s="207">
        <v>46258</v>
      </c>
      <c r="L29" s="207">
        <v>46267</v>
      </c>
      <c r="M29" s="205" t="s">
        <v>371</v>
      </c>
      <c r="N29" s="205" t="s">
        <v>462</v>
      </c>
      <c r="O29" s="204">
        <v>28</v>
      </c>
      <c r="P29" s="208" t="s">
        <v>361</v>
      </c>
      <c r="Q29" s="208" t="s">
        <v>394</v>
      </c>
      <c r="R29" s="208" t="s">
        <v>395</v>
      </c>
    </row>
    <row r="30" spans="1:18" ht="42" customHeight="1">
      <c r="A30" s="204" t="s">
        <v>463</v>
      </c>
      <c r="B30" s="205" t="s">
        <v>95</v>
      </c>
      <c r="C30" s="205" t="s">
        <v>128</v>
      </c>
      <c r="D30" s="205" t="s">
        <v>130</v>
      </c>
      <c r="E30" s="204" t="s">
        <v>390</v>
      </c>
      <c r="F30" s="206" t="s">
        <v>464</v>
      </c>
      <c r="G30" s="206" t="s">
        <v>465</v>
      </c>
      <c r="H30" s="204" t="s">
        <v>106</v>
      </c>
      <c r="I30" s="204" t="s">
        <v>121</v>
      </c>
      <c r="J30" s="204" t="s">
        <v>461</v>
      </c>
      <c r="K30" s="207">
        <v>46258</v>
      </c>
      <c r="L30" s="207">
        <v>46267</v>
      </c>
      <c r="M30" s="205" t="s">
        <v>359</v>
      </c>
      <c r="N30" s="205"/>
      <c r="O30" s="204">
        <v>29</v>
      </c>
      <c r="P30" s="208" t="s">
        <v>361</v>
      </c>
      <c r="Q30" s="208" t="s">
        <v>394</v>
      </c>
      <c r="R30" s="208" t="s">
        <v>395</v>
      </c>
    </row>
    <row r="31" spans="1:18" ht="42" customHeight="1">
      <c r="A31" s="204" t="s">
        <v>466</v>
      </c>
      <c r="B31" s="205" t="s">
        <v>95</v>
      </c>
      <c r="C31" s="205" t="s">
        <v>128</v>
      </c>
      <c r="D31" s="205" t="s">
        <v>131</v>
      </c>
      <c r="E31" s="204" t="s">
        <v>390</v>
      </c>
      <c r="F31" s="206" t="s">
        <v>467</v>
      </c>
      <c r="G31" s="206" t="s">
        <v>468</v>
      </c>
      <c r="H31" s="204" t="s">
        <v>106</v>
      </c>
      <c r="I31" s="204" t="s">
        <v>121</v>
      </c>
      <c r="J31" s="204" t="s">
        <v>461</v>
      </c>
      <c r="K31" s="207"/>
      <c r="L31" s="207"/>
      <c r="M31" s="205" t="s">
        <v>414</v>
      </c>
      <c r="N31" s="205" t="s">
        <v>469</v>
      </c>
      <c r="O31" s="204">
        <v>30</v>
      </c>
      <c r="P31" s="209" t="s">
        <v>415</v>
      </c>
      <c r="Q31" s="209" t="s">
        <v>394</v>
      </c>
      <c r="R31" s="209" t="s">
        <v>470</v>
      </c>
    </row>
    <row r="32" spans="1:18" ht="42" customHeight="1">
      <c r="A32" s="204" t="s">
        <v>471</v>
      </c>
      <c r="B32" s="205" t="s">
        <v>95</v>
      </c>
      <c r="C32" s="205" t="s">
        <v>128</v>
      </c>
      <c r="D32" s="205" t="s">
        <v>132</v>
      </c>
      <c r="E32" s="204" t="s">
        <v>390</v>
      </c>
      <c r="F32" s="206" t="s">
        <v>472</v>
      </c>
      <c r="G32" s="206" t="s">
        <v>473</v>
      </c>
      <c r="H32" s="204" t="s">
        <v>106</v>
      </c>
      <c r="I32" s="204" t="s">
        <v>121</v>
      </c>
      <c r="J32" s="204" t="s">
        <v>461</v>
      </c>
      <c r="K32" s="207"/>
      <c r="L32" s="207"/>
      <c r="M32" s="205" t="s">
        <v>414</v>
      </c>
      <c r="N32" s="205"/>
      <c r="O32" s="204">
        <v>31</v>
      </c>
      <c r="P32" s="209" t="s">
        <v>415</v>
      </c>
      <c r="Q32" s="209" t="s">
        <v>394</v>
      </c>
      <c r="R32" s="209" t="s">
        <v>474</v>
      </c>
    </row>
    <row r="33" spans="1:18" ht="42" customHeight="1">
      <c r="A33" s="204" t="s">
        <v>475</v>
      </c>
      <c r="B33" s="205" t="s">
        <v>95</v>
      </c>
      <c r="C33" s="205" t="s">
        <v>128</v>
      </c>
      <c r="D33" s="205" t="s">
        <v>133</v>
      </c>
      <c r="E33" s="204" t="s">
        <v>390</v>
      </c>
      <c r="F33" s="206" t="s">
        <v>476</v>
      </c>
      <c r="G33" s="206" t="s">
        <v>477</v>
      </c>
      <c r="H33" s="204" t="s">
        <v>106</v>
      </c>
      <c r="I33" s="204" t="s">
        <v>121</v>
      </c>
      <c r="J33" s="204" t="s">
        <v>461</v>
      </c>
      <c r="K33" s="207">
        <v>46258</v>
      </c>
      <c r="L33" s="207">
        <v>46267</v>
      </c>
      <c r="M33" s="205" t="s">
        <v>371</v>
      </c>
      <c r="N33" s="205"/>
      <c r="O33" s="204">
        <v>32</v>
      </c>
      <c r="P33" s="208" t="s">
        <v>361</v>
      </c>
      <c r="Q33" s="208" t="s">
        <v>394</v>
      </c>
      <c r="R33" s="208" t="s">
        <v>395</v>
      </c>
    </row>
    <row r="34" spans="1:18" ht="42" customHeight="1">
      <c r="A34" s="204" t="s">
        <v>478</v>
      </c>
      <c r="B34" s="205" t="s">
        <v>95</v>
      </c>
      <c r="C34" s="205" t="s">
        <v>128</v>
      </c>
      <c r="D34" s="205" t="s">
        <v>134</v>
      </c>
      <c r="E34" s="204" t="s">
        <v>390</v>
      </c>
      <c r="F34" s="206" t="s">
        <v>479</v>
      </c>
      <c r="G34" s="206" t="s">
        <v>480</v>
      </c>
      <c r="H34" s="204" t="s">
        <v>106</v>
      </c>
      <c r="I34" s="204" t="s">
        <v>121</v>
      </c>
      <c r="J34" s="204" t="s">
        <v>461</v>
      </c>
      <c r="K34" s="207"/>
      <c r="L34" s="207"/>
      <c r="M34" s="205" t="s">
        <v>414</v>
      </c>
      <c r="N34" s="205"/>
      <c r="O34" s="204">
        <v>33</v>
      </c>
      <c r="P34" s="209" t="s">
        <v>415</v>
      </c>
      <c r="Q34" s="209" t="s">
        <v>394</v>
      </c>
      <c r="R34" s="209" t="s">
        <v>481</v>
      </c>
    </row>
    <row r="35" spans="1:18" ht="42" customHeight="1">
      <c r="A35" s="204" t="s">
        <v>482</v>
      </c>
      <c r="B35" s="205" t="s">
        <v>95</v>
      </c>
      <c r="C35" s="205" t="s">
        <v>128</v>
      </c>
      <c r="D35" s="205" t="s">
        <v>135</v>
      </c>
      <c r="E35" s="204" t="s">
        <v>390</v>
      </c>
      <c r="F35" s="206" t="s">
        <v>483</v>
      </c>
      <c r="G35" s="206" t="s">
        <v>484</v>
      </c>
      <c r="H35" s="204" t="s">
        <v>106</v>
      </c>
      <c r="I35" s="204" t="s">
        <v>121</v>
      </c>
      <c r="J35" s="204" t="s">
        <v>461</v>
      </c>
      <c r="K35" s="207"/>
      <c r="L35" s="207"/>
      <c r="M35" s="205" t="s">
        <v>414</v>
      </c>
      <c r="N35" s="205"/>
      <c r="O35" s="204">
        <v>34</v>
      </c>
      <c r="P35" s="209" t="s">
        <v>415</v>
      </c>
      <c r="Q35" s="209" t="s">
        <v>394</v>
      </c>
      <c r="R35" s="209" t="s">
        <v>435</v>
      </c>
    </row>
    <row r="36" spans="1:18" ht="42" customHeight="1">
      <c r="A36" s="204" t="s">
        <v>485</v>
      </c>
      <c r="B36" s="205" t="s">
        <v>95</v>
      </c>
      <c r="C36" s="205" t="s">
        <v>136</v>
      </c>
      <c r="D36" s="205" t="s">
        <v>137</v>
      </c>
      <c r="E36" s="204" t="s">
        <v>390</v>
      </c>
      <c r="F36" s="206" t="s">
        <v>486</v>
      </c>
      <c r="G36" s="206" t="s">
        <v>487</v>
      </c>
      <c r="H36" s="204" t="s">
        <v>106</v>
      </c>
      <c r="I36" s="204" t="s">
        <v>121</v>
      </c>
      <c r="J36" s="204" t="s">
        <v>488</v>
      </c>
      <c r="K36" s="207">
        <v>46258</v>
      </c>
      <c r="L36" s="207">
        <v>46267</v>
      </c>
      <c r="M36" s="205" t="s">
        <v>371</v>
      </c>
      <c r="N36" s="205"/>
      <c r="O36" s="204">
        <v>35</v>
      </c>
      <c r="P36" s="208" t="s">
        <v>361</v>
      </c>
      <c r="Q36" s="208" t="s">
        <v>394</v>
      </c>
      <c r="R36" s="208" t="s">
        <v>489</v>
      </c>
    </row>
    <row r="37" spans="1:18" ht="42" customHeight="1">
      <c r="A37" s="204" t="s">
        <v>490</v>
      </c>
      <c r="B37" s="205" t="s">
        <v>95</v>
      </c>
      <c r="C37" s="205" t="s">
        <v>136</v>
      </c>
      <c r="D37" s="205" t="s">
        <v>138</v>
      </c>
      <c r="E37" s="204" t="s">
        <v>390</v>
      </c>
      <c r="F37" s="206" t="s">
        <v>491</v>
      </c>
      <c r="G37" s="206" t="s">
        <v>492</v>
      </c>
      <c r="H37" s="204" t="s">
        <v>106</v>
      </c>
      <c r="I37" s="204" t="s">
        <v>121</v>
      </c>
      <c r="J37" s="204" t="s">
        <v>488</v>
      </c>
      <c r="K37" s="207">
        <v>46258</v>
      </c>
      <c r="L37" s="207">
        <v>46267</v>
      </c>
      <c r="M37" s="205" t="s">
        <v>371</v>
      </c>
      <c r="N37" s="205" t="s">
        <v>493</v>
      </c>
      <c r="O37" s="204">
        <v>36</v>
      </c>
      <c r="P37" s="208" t="s">
        <v>361</v>
      </c>
      <c r="Q37" s="208" t="s">
        <v>394</v>
      </c>
      <c r="R37" s="208" t="s">
        <v>489</v>
      </c>
    </row>
    <row r="38" spans="1:18" ht="42" customHeight="1">
      <c r="A38" s="204" t="s">
        <v>494</v>
      </c>
      <c r="B38" s="205" t="s">
        <v>95</v>
      </c>
      <c r="C38" s="205" t="s">
        <v>136</v>
      </c>
      <c r="D38" s="205" t="s">
        <v>139</v>
      </c>
      <c r="E38" s="204" t="s">
        <v>390</v>
      </c>
      <c r="F38" s="206" t="s">
        <v>495</v>
      </c>
      <c r="G38" s="206" t="s">
        <v>496</v>
      </c>
      <c r="H38" s="204" t="s">
        <v>106</v>
      </c>
      <c r="I38" s="204" t="s">
        <v>121</v>
      </c>
      <c r="J38" s="204" t="s">
        <v>488</v>
      </c>
      <c r="K38" s="207">
        <v>46258</v>
      </c>
      <c r="L38" s="207">
        <v>46267</v>
      </c>
      <c r="M38" s="205" t="s">
        <v>414</v>
      </c>
      <c r="N38" s="205" t="s">
        <v>497</v>
      </c>
      <c r="O38" s="204">
        <v>37</v>
      </c>
      <c r="P38" s="208" t="s">
        <v>361</v>
      </c>
      <c r="Q38" s="208" t="s">
        <v>394</v>
      </c>
      <c r="R38" s="208" t="s">
        <v>489</v>
      </c>
    </row>
    <row r="39" spans="1:18" ht="42" customHeight="1">
      <c r="A39" s="204" t="s">
        <v>498</v>
      </c>
      <c r="B39" s="205" t="s">
        <v>95</v>
      </c>
      <c r="C39" s="205" t="s">
        <v>136</v>
      </c>
      <c r="D39" s="205" t="s">
        <v>140</v>
      </c>
      <c r="E39" s="204" t="s">
        <v>390</v>
      </c>
      <c r="F39" s="206" t="s">
        <v>499</v>
      </c>
      <c r="G39" s="206" t="s">
        <v>500</v>
      </c>
      <c r="H39" s="204" t="s">
        <v>106</v>
      </c>
      <c r="I39" s="204" t="s">
        <v>121</v>
      </c>
      <c r="J39" s="204" t="s">
        <v>488</v>
      </c>
      <c r="K39" s="207">
        <v>46258</v>
      </c>
      <c r="L39" s="207">
        <v>46267</v>
      </c>
      <c r="M39" s="205" t="s">
        <v>371</v>
      </c>
      <c r="N39" s="205"/>
      <c r="O39" s="204">
        <v>38</v>
      </c>
      <c r="P39" s="208" t="s">
        <v>361</v>
      </c>
      <c r="Q39" s="208" t="s">
        <v>394</v>
      </c>
      <c r="R39" s="208" t="s">
        <v>489</v>
      </c>
    </row>
    <row r="40" spans="1:18" ht="42" customHeight="1">
      <c r="A40" s="204" t="s">
        <v>501</v>
      </c>
      <c r="B40" s="205" t="s">
        <v>95</v>
      </c>
      <c r="C40" s="205" t="s">
        <v>136</v>
      </c>
      <c r="D40" s="205" t="s">
        <v>141</v>
      </c>
      <c r="E40" s="204" t="s">
        <v>390</v>
      </c>
      <c r="F40" s="206" t="s">
        <v>502</v>
      </c>
      <c r="G40" s="206" t="s">
        <v>503</v>
      </c>
      <c r="H40" s="204" t="s">
        <v>106</v>
      </c>
      <c r="I40" s="204" t="s">
        <v>121</v>
      </c>
      <c r="J40" s="204" t="s">
        <v>488</v>
      </c>
      <c r="K40" s="207"/>
      <c r="L40" s="207"/>
      <c r="M40" s="205" t="s">
        <v>414</v>
      </c>
      <c r="N40" s="205"/>
      <c r="O40" s="204">
        <v>39</v>
      </c>
      <c r="P40" s="209" t="s">
        <v>415</v>
      </c>
      <c r="Q40" s="209" t="s">
        <v>394</v>
      </c>
      <c r="R40" s="209" t="s">
        <v>481</v>
      </c>
    </row>
    <row r="41" spans="1:18" ht="42" customHeight="1">
      <c r="A41" s="204" t="s">
        <v>504</v>
      </c>
      <c r="B41" s="205" t="s">
        <v>95</v>
      </c>
      <c r="C41" s="205" t="s">
        <v>136</v>
      </c>
      <c r="D41" s="205" t="s">
        <v>142</v>
      </c>
      <c r="E41" s="204" t="s">
        <v>390</v>
      </c>
      <c r="F41" s="206" t="s">
        <v>505</v>
      </c>
      <c r="G41" s="206" t="s">
        <v>506</v>
      </c>
      <c r="H41" s="204" t="s">
        <v>106</v>
      </c>
      <c r="I41" s="204" t="s">
        <v>121</v>
      </c>
      <c r="J41" s="204" t="s">
        <v>488</v>
      </c>
      <c r="K41" s="207"/>
      <c r="L41" s="207"/>
      <c r="M41" s="205" t="s">
        <v>359</v>
      </c>
      <c r="N41" s="205"/>
      <c r="O41" s="204">
        <v>40</v>
      </c>
      <c r="P41" s="209" t="s">
        <v>415</v>
      </c>
      <c r="Q41" s="209" t="s">
        <v>394</v>
      </c>
      <c r="R41" s="209" t="s">
        <v>435</v>
      </c>
    </row>
    <row r="42" spans="1:18" ht="42" customHeight="1">
      <c r="A42" s="204" t="s">
        <v>507</v>
      </c>
      <c r="B42" s="205" t="s">
        <v>95</v>
      </c>
      <c r="C42" s="205" t="s">
        <v>143</v>
      </c>
      <c r="D42" s="205" t="s">
        <v>144</v>
      </c>
      <c r="E42" s="204" t="s">
        <v>390</v>
      </c>
      <c r="F42" s="206" t="s">
        <v>508</v>
      </c>
      <c r="G42" s="206" t="s">
        <v>509</v>
      </c>
      <c r="H42" s="204" t="s">
        <v>145</v>
      </c>
      <c r="I42" s="204" t="s">
        <v>146</v>
      </c>
      <c r="J42" s="204" t="s">
        <v>488</v>
      </c>
      <c r="K42" s="207">
        <v>46258</v>
      </c>
      <c r="L42" s="207">
        <v>46262</v>
      </c>
      <c r="M42" s="205" t="s">
        <v>371</v>
      </c>
      <c r="N42" s="205"/>
      <c r="O42" s="204">
        <v>41</v>
      </c>
      <c r="P42" s="208" t="s">
        <v>361</v>
      </c>
      <c r="Q42" s="208" t="s">
        <v>394</v>
      </c>
      <c r="R42" s="208" t="s">
        <v>489</v>
      </c>
    </row>
    <row r="43" spans="1:18" ht="42" customHeight="1">
      <c r="A43" s="204" t="s">
        <v>510</v>
      </c>
      <c r="B43" s="205" t="s">
        <v>95</v>
      </c>
      <c r="C43" s="205" t="s">
        <v>143</v>
      </c>
      <c r="D43" s="205" t="s">
        <v>147</v>
      </c>
      <c r="E43" s="204" t="s">
        <v>390</v>
      </c>
      <c r="F43" s="206" t="s">
        <v>511</v>
      </c>
      <c r="G43" s="206" t="s">
        <v>512</v>
      </c>
      <c r="H43" s="204" t="s">
        <v>145</v>
      </c>
      <c r="I43" s="204" t="s">
        <v>146</v>
      </c>
      <c r="J43" s="204" t="s">
        <v>488</v>
      </c>
      <c r="K43" s="207">
        <v>46258</v>
      </c>
      <c r="L43" s="207">
        <v>46262</v>
      </c>
      <c r="M43" s="205" t="s">
        <v>414</v>
      </c>
      <c r="N43" s="205"/>
      <c r="O43" s="204">
        <v>42</v>
      </c>
      <c r="P43" s="208" t="s">
        <v>361</v>
      </c>
      <c r="Q43" s="208" t="s">
        <v>394</v>
      </c>
      <c r="R43" s="208" t="s">
        <v>489</v>
      </c>
    </row>
    <row r="44" spans="1:18" ht="42" customHeight="1">
      <c r="A44" s="204" t="s">
        <v>513</v>
      </c>
      <c r="B44" s="205" t="s">
        <v>95</v>
      </c>
      <c r="C44" s="205" t="s">
        <v>143</v>
      </c>
      <c r="D44" s="205" t="s">
        <v>148</v>
      </c>
      <c r="E44" s="204" t="s">
        <v>390</v>
      </c>
      <c r="F44" s="206" t="s">
        <v>514</v>
      </c>
      <c r="G44" s="206" t="s">
        <v>515</v>
      </c>
      <c r="H44" s="204" t="s">
        <v>145</v>
      </c>
      <c r="I44" s="204" t="s">
        <v>146</v>
      </c>
      <c r="J44" s="204" t="s">
        <v>488</v>
      </c>
      <c r="K44" s="207">
        <v>46258</v>
      </c>
      <c r="L44" s="207">
        <v>46262</v>
      </c>
      <c r="M44" s="205" t="s">
        <v>371</v>
      </c>
      <c r="N44" s="205"/>
      <c r="O44" s="204">
        <v>43</v>
      </c>
      <c r="P44" s="208" t="s">
        <v>361</v>
      </c>
      <c r="Q44" s="208" t="s">
        <v>394</v>
      </c>
      <c r="R44" s="208" t="s">
        <v>489</v>
      </c>
    </row>
    <row r="45" spans="1:18" ht="42" customHeight="1">
      <c r="A45" s="204" t="s">
        <v>516</v>
      </c>
      <c r="B45" s="205" t="s">
        <v>95</v>
      </c>
      <c r="C45" s="205" t="s">
        <v>143</v>
      </c>
      <c r="D45" s="205" t="s">
        <v>149</v>
      </c>
      <c r="E45" s="204" t="s">
        <v>390</v>
      </c>
      <c r="F45" s="206" t="s">
        <v>517</v>
      </c>
      <c r="G45" s="206" t="s">
        <v>518</v>
      </c>
      <c r="H45" s="204" t="s">
        <v>145</v>
      </c>
      <c r="I45" s="204" t="s">
        <v>146</v>
      </c>
      <c r="J45" s="204" t="s">
        <v>488</v>
      </c>
      <c r="K45" s="207">
        <v>46265</v>
      </c>
      <c r="L45" s="207">
        <v>46269</v>
      </c>
      <c r="M45" s="205" t="s">
        <v>371</v>
      </c>
      <c r="N45" s="205" t="s">
        <v>519</v>
      </c>
      <c r="O45" s="204">
        <v>44</v>
      </c>
      <c r="P45" s="208" t="s">
        <v>361</v>
      </c>
      <c r="Q45" s="208" t="s">
        <v>394</v>
      </c>
      <c r="R45" s="208" t="s">
        <v>489</v>
      </c>
    </row>
    <row r="46" spans="1:18" ht="42" customHeight="1">
      <c r="A46" s="204" t="s">
        <v>520</v>
      </c>
      <c r="B46" s="205" t="s">
        <v>95</v>
      </c>
      <c r="C46" s="205" t="s">
        <v>143</v>
      </c>
      <c r="D46" s="205" t="s">
        <v>150</v>
      </c>
      <c r="E46" s="204" t="s">
        <v>390</v>
      </c>
      <c r="F46" s="206" t="s">
        <v>521</v>
      </c>
      <c r="G46" s="206" t="s">
        <v>522</v>
      </c>
      <c r="H46" s="204" t="s">
        <v>145</v>
      </c>
      <c r="I46" s="204" t="s">
        <v>146</v>
      </c>
      <c r="J46" s="204" t="s">
        <v>488</v>
      </c>
      <c r="K46" s="207">
        <v>46265</v>
      </c>
      <c r="L46" s="207">
        <v>46269</v>
      </c>
      <c r="M46" s="205" t="s">
        <v>414</v>
      </c>
      <c r="N46" s="205"/>
      <c r="O46" s="204">
        <v>45</v>
      </c>
      <c r="P46" s="208" t="s">
        <v>361</v>
      </c>
      <c r="Q46" s="208" t="s">
        <v>394</v>
      </c>
      <c r="R46" s="208" t="s">
        <v>489</v>
      </c>
    </row>
    <row r="47" spans="1:18" ht="42" customHeight="1">
      <c r="A47" s="204" t="s">
        <v>523</v>
      </c>
      <c r="B47" s="205" t="s">
        <v>95</v>
      </c>
      <c r="C47" s="205" t="s">
        <v>143</v>
      </c>
      <c r="D47" s="205" t="s">
        <v>151</v>
      </c>
      <c r="E47" s="204" t="s">
        <v>390</v>
      </c>
      <c r="F47" s="206" t="s">
        <v>524</v>
      </c>
      <c r="G47" s="206" t="s">
        <v>525</v>
      </c>
      <c r="H47" s="204" t="s">
        <v>145</v>
      </c>
      <c r="I47" s="204" t="s">
        <v>146</v>
      </c>
      <c r="J47" s="204" t="s">
        <v>488</v>
      </c>
      <c r="K47" s="207"/>
      <c r="L47" s="207"/>
      <c r="M47" s="205" t="s">
        <v>414</v>
      </c>
      <c r="N47" s="205"/>
      <c r="O47" s="204">
        <v>46</v>
      </c>
      <c r="P47" s="209" t="s">
        <v>415</v>
      </c>
      <c r="Q47" s="209" t="s">
        <v>394</v>
      </c>
      <c r="R47" s="209" t="s">
        <v>481</v>
      </c>
    </row>
    <row r="48" spans="1:18" ht="42" customHeight="1">
      <c r="A48" s="204" t="s">
        <v>526</v>
      </c>
      <c r="B48" s="205" t="s">
        <v>95</v>
      </c>
      <c r="C48" s="205" t="s">
        <v>143</v>
      </c>
      <c r="D48" s="205" t="s">
        <v>152</v>
      </c>
      <c r="E48" s="204" t="s">
        <v>390</v>
      </c>
      <c r="F48" s="206" t="s">
        <v>527</v>
      </c>
      <c r="G48" s="206" t="s">
        <v>506</v>
      </c>
      <c r="H48" s="204" t="s">
        <v>145</v>
      </c>
      <c r="I48" s="204" t="s">
        <v>146</v>
      </c>
      <c r="J48" s="204" t="s">
        <v>488</v>
      </c>
      <c r="K48" s="207"/>
      <c r="L48" s="207"/>
      <c r="M48" s="205" t="s">
        <v>359</v>
      </c>
      <c r="N48" s="205"/>
      <c r="O48" s="204">
        <v>47</v>
      </c>
      <c r="P48" s="209" t="s">
        <v>415</v>
      </c>
      <c r="Q48" s="209" t="s">
        <v>394</v>
      </c>
      <c r="R48" s="209" t="s">
        <v>435</v>
      </c>
    </row>
    <row r="49" spans="1:18" ht="42" customHeight="1">
      <c r="A49" s="204" t="s">
        <v>528</v>
      </c>
      <c r="B49" s="205" t="s">
        <v>95</v>
      </c>
      <c r="C49" s="205" t="s">
        <v>153</v>
      </c>
      <c r="D49" s="205" t="s">
        <v>154</v>
      </c>
      <c r="E49" s="204" t="s">
        <v>390</v>
      </c>
      <c r="F49" s="206" t="s">
        <v>529</v>
      </c>
      <c r="G49" s="206" t="s">
        <v>530</v>
      </c>
      <c r="H49" s="204" t="s">
        <v>106</v>
      </c>
      <c r="I49" s="204" t="s">
        <v>121</v>
      </c>
      <c r="J49" s="204" t="s">
        <v>531</v>
      </c>
      <c r="K49" s="207">
        <v>46265</v>
      </c>
      <c r="L49" s="207">
        <v>46274</v>
      </c>
      <c r="M49" s="205" t="s">
        <v>371</v>
      </c>
      <c r="N49" s="205"/>
      <c r="O49" s="204">
        <v>48</v>
      </c>
      <c r="P49" s="208" t="s">
        <v>361</v>
      </c>
      <c r="Q49" s="208" t="s">
        <v>394</v>
      </c>
      <c r="R49" s="208" t="s">
        <v>532</v>
      </c>
    </row>
    <row r="50" spans="1:18" ht="42" customHeight="1">
      <c r="A50" s="204" t="s">
        <v>533</v>
      </c>
      <c r="B50" s="205" t="s">
        <v>95</v>
      </c>
      <c r="C50" s="205" t="s">
        <v>153</v>
      </c>
      <c r="D50" s="205" t="s">
        <v>155</v>
      </c>
      <c r="E50" s="204" t="s">
        <v>390</v>
      </c>
      <c r="F50" s="206" t="s">
        <v>534</v>
      </c>
      <c r="G50" s="206" t="s">
        <v>535</v>
      </c>
      <c r="H50" s="204" t="s">
        <v>106</v>
      </c>
      <c r="I50" s="204" t="s">
        <v>121</v>
      </c>
      <c r="J50" s="204" t="s">
        <v>531</v>
      </c>
      <c r="K50" s="207">
        <v>46265</v>
      </c>
      <c r="L50" s="207">
        <v>46274</v>
      </c>
      <c r="M50" s="205" t="s">
        <v>371</v>
      </c>
      <c r="N50" s="205"/>
      <c r="O50" s="204">
        <v>49</v>
      </c>
      <c r="P50" s="208" t="s">
        <v>361</v>
      </c>
      <c r="Q50" s="208" t="s">
        <v>394</v>
      </c>
      <c r="R50" s="208" t="s">
        <v>532</v>
      </c>
    </row>
    <row r="51" spans="1:18" ht="42" customHeight="1">
      <c r="A51" s="204" t="s">
        <v>536</v>
      </c>
      <c r="B51" s="205" t="s">
        <v>95</v>
      </c>
      <c r="C51" s="205" t="s">
        <v>153</v>
      </c>
      <c r="D51" s="205" t="s">
        <v>156</v>
      </c>
      <c r="E51" s="204" t="s">
        <v>390</v>
      </c>
      <c r="F51" s="206" t="s">
        <v>537</v>
      </c>
      <c r="G51" s="206" t="s">
        <v>538</v>
      </c>
      <c r="H51" s="204" t="s">
        <v>106</v>
      </c>
      <c r="I51" s="204" t="s">
        <v>121</v>
      </c>
      <c r="J51" s="204" t="s">
        <v>531</v>
      </c>
      <c r="K51" s="207">
        <v>46265</v>
      </c>
      <c r="L51" s="207">
        <v>46274</v>
      </c>
      <c r="M51" s="205" t="s">
        <v>414</v>
      </c>
      <c r="N51" s="205"/>
      <c r="O51" s="204">
        <v>50</v>
      </c>
      <c r="P51" s="208" t="s">
        <v>361</v>
      </c>
      <c r="Q51" s="208" t="s">
        <v>394</v>
      </c>
      <c r="R51" s="208" t="s">
        <v>532</v>
      </c>
    </row>
    <row r="52" spans="1:18" ht="42" customHeight="1">
      <c r="A52" s="204" t="s">
        <v>539</v>
      </c>
      <c r="B52" s="205" t="s">
        <v>95</v>
      </c>
      <c r="C52" s="205" t="s">
        <v>153</v>
      </c>
      <c r="D52" s="205" t="s">
        <v>157</v>
      </c>
      <c r="E52" s="204" t="s">
        <v>390</v>
      </c>
      <c r="F52" s="206" t="s">
        <v>540</v>
      </c>
      <c r="G52" s="206" t="s">
        <v>541</v>
      </c>
      <c r="H52" s="204" t="s">
        <v>106</v>
      </c>
      <c r="I52" s="204" t="s">
        <v>121</v>
      </c>
      <c r="J52" s="204" t="s">
        <v>542</v>
      </c>
      <c r="K52" s="207">
        <v>46265</v>
      </c>
      <c r="L52" s="207">
        <v>46274</v>
      </c>
      <c r="M52" s="205" t="s">
        <v>359</v>
      </c>
      <c r="N52" s="205"/>
      <c r="O52" s="204">
        <v>51</v>
      </c>
      <c r="P52" s="208" t="s">
        <v>361</v>
      </c>
      <c r="Q52" s="208" t="s">
        <v>394</v>
      </c>
      <c r="R52" s="208" t="s">
        <v>532</v>
      </c>
    </row>
    <row r="53" spans="1:18" ht="42" customHeight="1">
      <c r="A53" s="204" t="s">
        <v>543</v>
      </c>
      <c r="B53" s="205" t="s">
        <v>95</v>
      </c>
      <c r="C53" s="205" t="s">
        <v>153</v>
      </c>
      <c r="D53" s="205" t="s">
        <v>158</v>
      </c>
      <c r="E53" s="204" t="s">
        <v>390</v>
      </c>
      <c r="F53" s="206" t="s">
        <v>544</v>
      </c>
      <c r="G53" s="206" t="s">
        <v>545</v>
      </c>
      <c r="H53" s="204" t="s">
        <v>106</v>
      </c>
      <c r="I53" s="204" t="s">
        <v>121</v>
      </c>
      <c r="J53" s="204" t="s">
        <v>542</v>
      </c>
      <c r="K53" s="207"/>
      <c r="L53" s="207"/>
      <c r="M53" s="205" t="s">
        <v>359</v>
      </c>
      <c r="N53" s="205"/>
      <c r="O53" s="204">
        <v>52</v>
      </c>
      <c r="P53" s="209" t="s">
        <v>415</v>
      </c>
      <c r="Q53" s="209" t="s">
        <v>394</v>
      </c>
      <c r="R53" s="209" t="s">
        <v>546</v>
      </c>
    </row>
    <row r="54" spans="1:18" ht="42" customHeight="1">
      <c r="A54" s="204" t="s">
        <v>547</v>
      </c>
      <c r="B54" s="205" t="s">
        <v>95</v>
      </c>
      <c r="C54" s="205" t="s">
        <v>153</v>
      </c>
      <c r="D54" s="205" t="s">
        <v>159</v>
      </c>
      <c r="E54" s="204" t="s">
        <v>390</v>
      </c>
      <c r="F54" s="206" t="s">
        <v>548</v>
      </c>
      <c r="G54" s="206" t="s">
        <v>506</v>
      </c>
      <c r="H54" s="204" t="s">
        <v>106</v>
      </c>
      <c r="I54" s="204" t="s">
        <v>121</v>
      </c>
      <c r="J54" s="204" t="s">
        <v>461</v>
      </c>
      <c r="K54" s="207"/>
      <c r="L54" s="207"/>
      <c r="M54" s="205" t="s">
        <v>359</v>
      </c>
      <c r="N54" s="205"/>
      <c r="O54" s="204">
        <v>53</v>
      </c>
      <c r="P54" s="209" t="s">
        <v>415</v>
      </c>
      <c r="Q54" s="209" t="s">
        <v>394</v>
      </c>
      <c r="R54" s="209" t="s">
        <v>435</v>
      </c>
    </row>
    <row r="55" spans="1:18" ht="42" customHeight="1">
      <c r="A55" s="204" t="s">
        <v>549</v>
      </c>
      <c r="B55" s="205" t="s">
        <v>95</v>
      </c>
      <c r="C55" s="205" t="s">
        <v>153</v>
      </c>
      <c r="D55" s="205" t="s">
        <v>160</v>
      </c>
      <c r="E55" s="204" t="s">
        <v>390</v>
      </c>
      <c r="F55" s="206" t="s">
        <v>550</v>
      </c>
      <c r="G55" s="206" t="s">
        <v>506</v>
      </c>
      <c r="H55" s="204" t="s">
        <v>106</v>
      </c>
      <c r="I55" s="204" t="s">
        <v>121</v>
      </c>
      <c r="J55" s="204" t="s">
        <v>531</v>
      </c>
      <c r="K55" s="207">
        <v>46272</v>
      </c>
      <c r="L55" s="207">
        <v>46276</v>
      </c>
      <c r="M55" s="205" t="s">
        <v>359</v>
      </c>
      <c r="N55" s="205"/>
      <c r="O55" s="204">
        <v>54</v>
      </c>
      <c r="P55" s="208" t="s">
        <v>361</v>
      </c>
      <c r="Q55" s="208" t="s">
        <v>394</v>
      </c>
      <c r="R55" s="208" t="s">
        <v>532</v>
      </c>
    </row>
    <row r="56" spans="1:18" ht="42" customHeight="1">
      <c r="A56" s="204" t="s">
        <v>551</v>
      </c>
      <c r="B56" s="205" t="s">
        <v>95</v>
      </c>
      <c r="C56" s="205" t="s">
        <v>161</v>
      </c>
      <c r="D56" s="205" t="s">
        <v>162</v>
      </c>
      <c r="E56" s="204" t="s">
        <v>390</v>
      </c>
      <c r="F56" s="206" t="s">
        <v>552</v>
      </c>
      <c r="G56" s="206" t="s">
        <v>553</v>
      </c>
      <c r="H56" s="204" t="s">
        <v>106</v>
      </c>
      <c r="I56" s="204" t="s">
        <v>121</v>
      </c>
      <c r="J56" s="204" t="s">
        <v>542</v>
      </c>
      <c r="K56" s="207">
        <v>46265</v>
      </c>
      <c r="L56" s="207">
        <v>46276</v>
      </c>
      <c r="M56" s="205" t="s">
        <v>359</v>
      </c>
      <c r="N56" s="205" t="s">
        <v>493</v>
      </c>
      <c r="O56" s="204">
        <v>55</v>
      </c>
      <c r="P56" s="208" t="s">
        <v>361</v>
      </c>
      <c r="Q56" s="208" t="s">
        <v>394</v>
      </c>
      <c r="R56" s="208" t="s">
        <v>532</v>
      </c>
    </row>
    <row r="57" spans="1:18" ht="42" customHeight="1">
      <c r="A57" s="204" t="s">
        <v>554</v>
      </c>
      <c r="B57" s="205" t="s">
        <v>95</v>
      </c>
      <c r="C57" s="205" t="s">
        <v>161</v>
      </c>
      <c r="D57" s="205" t="s">
        <v>163</v>
      </c>
      <c r="E57" s="204" t="s">
        <v>390</v>
      </c>
      <c r="F57" s="206" t="s">
        <v>555</v>
      </c>
      <c r="G57" s="206" t="s">
        <v>556</v>
      </c>
      <c r="H57" s="204" t="s">
        <v>106</v>
      </c>
      <c r="I57" s="204" t="s">
        <v>121</v>
      </c>
      <c r="J57" s="204" t="s">
        <v>542</v>
      </c>
      <c r="K57" s="207"/>
      <c r="L57" s="207"/>
      <c r="M57" s="205" t="s">
        <v>414</v>
      </c>
      <c r="N57" s="205" t="s">
        <v>557</v>
      </c>
      <c r="O57" s="204">
        <v>56</v>
      </c>
      <c r="P57" s="209" t="s">
        <v>415</v>
      </c>
      <c r="Q57" s="209" t="s">
        <v>394</v>
      </c>
      <c r="R57" s="209" t="s">
        <v>470</v>
      </c>
    </row>
    <row r="58" spans="1:18" ht="42" customHeight="1">
      <c r="A58" s="204" t="s">
        <v>558</v>
      </c>
      <c r="B58" s="205" t="s">
        <v>95</v>
      </c>
      <c r="C58" s="205" t="s">
        <v>161</v>
      </c>
      <c r="D58" s="205" t="s">
        <v>164</v>
      </c>
      <c r="E58" s="204" t="s">
        <v>390</v>
      </c>
      <c r="F58" s="206" t="s">
        <v>559</v>
      </c>
      <c r="G58" s="206" t="s">
        <v>560</v>
      </c>
      <c r="H58" s="204" t="s">
        <v>106</v>
      </c>
      <c r="I58" s="204" t="s">
        <v>121</v>
      </c>
      <c r="J58" s="204" t="s">
        <v>542</v>
      </c>
      <c r="K58" s="207">
        <v>46265</v>
      </c>
      <c r="L58" s="207">
        <v>46276</v>
      </c>
      <c r="M58" s="205" t="s">
        <v>359</v>
      </c>
      <c r="N58" s="205"/>
      <c r="O58" s="204">
        <v>57</v>
      </c>
      <c r="P58" s="208" t="s">
        <v>361</v>
      </c>
      <c r="Q58" s="208" t="s">
        <v>394</v>
      </c>
      <c r="R58" s="208" t="s">
        <v>532</v>
      </c>
    </row>
    <row r="59" spans="1:18" ht="42" customHeight="1">
      <c r="A59" s="204" t="s">
        <v>561</v>
      </c>
      <c r="B59" s="205" t="s">
        <v>95</v>
      </c>
      <c r="C59" s="205" t="s">
        <v>165</v>
      </c>
      <c r="D59" s="205" t="s">
        <v>166</v>
      </c>
      <c r="E59" s="204" t="s">
        <v>390</v>
      </c>
      <c r="F59" s="206" t="s">
        <v>562</v>
      </c>
      <c r="G59" s="206" t="s">
        <v>563</v>
      </c>
      <c r="H59" s="204" t="s">
        <v>106</v>
      </c>
      <c r="I59" s="204" t="s">
        <v>167</v>
      </c>
      <c r="J59" s="204" t="s">
        <v>488</v>
      </c>
      <c r="K59" s="207">
        <v>46265</v>
      </c>
      <c r="L59" s="207">
        <v>46269</v>
      </c>
      <c r="M59" s="205" t="s">
        <v>371</v>
      </c>
      <c r="N59" s="205" t="s">
        <v>564</v>
      </c>
      <c r="O59" s="204">
        <v>58</v>
      </c>
      <c r="P59" s="208" t="s">
        <v>361</v>
      </c>
      <c r="Q59" s="208" t="s">
        <v>410</v>
      </c>
      <c r="R59" s="208" t="s">
        <v>565</v>
      </c>
    </row>
    <row r="60" spans="1:18" ht="42" customHeight="1">
      <c r="A60" s="204" t="s">
        <v>566</v>
      </c>
      <c r="B60" s="205" t="s">
        <v>95</v>
      </c>
      <c r="C60" s="205" t="s">
        <v>165</v>
      </c>
      <c r="D60" s="205" t="s">
        <v>168</v>
      </c>
      <c r="E60" s="204" t="s">
        <v>390</v>
      </c>
      <c r="F60" s="206" t="s">
        <v>567</v>
      </c>
      <c r="G60" s="206" t="s">
        <v>568</v>
      </c>
      <c r="H60" s="204" t="s">
        <v>106</v>
      </c>
      <c r="I60" s="204" t="s">
        <v>167</v>
      </c>
      <c r="J60" s="204" t="s">
        <v>542</v>
      </c>
      <c r="K60" s="207">
        <v>46265</v>
      </c>
      <c r="L60" s="207">
        <v>46269</v>
      </c>
      <c r="M60" s="205" t="s">
        <v>359</v>
      </c>
      <c r="N60" s="205" t="s">
        <v>569</v>
      </c>
      <c r="O60" s="204">
        <v>59</v>
      </c>
      <c r="P60" s="208" t="s">
        <v>361</v>
      </c>
      <c r="Q60" s="208" t="s">
        <v>410</v>
      </c>
      <c r="R60" s="208" t="s">
        <v>565</v>
      </c>
    </row>
    <row r="61" spans="1:18" ht="42" customHeight="1">
      <c r="A61" s="204" t="s">
        <v>570</v>
      </c>
      <c r="B61" s="205" t="s">
        <v>95</v>
      </c>
      <c r="C61" s="205" t="s">
        <v>165</v>
      </c>
      <c r="D61" s="205" t="s">
        <v>169</v>
      </c>
      <c r="E61" s="204" t="s">
        <v>390</v>
      </c>
      <c r="F61" s="206" t="s">
        <v>571</v>
      </c>
      <c r="G61" s="206" t="s">
        <v>572</v>
      </c>
      <c r="H61" s="204" t="s">
        <v>106</v>
      </c>
      <c r="I61" s="204" t="s">
        <v>167</v>
      </c>
      <c r="J61" s="204" t="s">
        <v>542</v>
      </c>
      <c r="K61" s="207">
        <v>46265</v>
      </c>
      <c r="L61" s="207">
        <v>46269</v>
      </c>
      <c r="M61" s="205" t="s">
        <v>371</v>
      </c>
      <c r="N61" s="205"/>
      <c r="O61" s="204">
        <v>60</v>
      </c>
      <c r="P61" s="208" t="s">
        <v>361</v>
      </c>
      <c r="Q61" s="208" t="s">
        <v>410</v>
      </c>
      <c r="R61" s="208" t="s">
        <v>565</v>
      </c>
    </row>
    <row r="62" spans="1:18" ht="42" customHeight="1">
      <c r="A62" s="204" t="s">
        <v>573</v>
      </c>
      <c r="B62" s="205" t="s">
        <v>95</v>
      </c>
      <c r="C62" s="205" t="s">
        <v>165</v>
      </c>
      <c r="D62" s="205" t="s">
        <v>170</v>
      </c>
      <c r="E62" s="204" t="s">
        <v>390</v>
      </c>
      <c r="F62" s="206" t="s">
        <v>574</v>
      </c>
      <c r="G62" s="206" t="s">
        <v>575</v>
      </c>
      <c r="H62" s="204" t="s">
        <v>106</v>
      </c>
      <c r="I62" s="204" t="s">
        <v>167</v>
      </c>
      <c r="J62" s="204" t="s">
        <v>542</v>
      </c>
      <c r="K62" s="207">
        <v>46265</v>
      </c>
      <c r="L62" s="207">
        <v>46269</v>
      </c>
      <c r="M62" s="205" t="s">
        <v>414</v>
      </c>
      <c r="N62" s="205" t="s">
        <v>576</v>
      </c>
      <c r="O62" s="204">
        <v>61</v>
      </c>
      <c r="P62" s="208" t="s">
        <v>361</v>
      </c>
      <c r="Q62" s="208" t="s">
        <v>410</v>
      </c>
      <c r="R62" s="208" t="s">
        <v>565</v>
      </c>
    </row>
    <row r="63" spans="1:18" ht="42" customHeight="1">
      <c r="A63" s="204" t="s">
        <v>577</v>
      </c>
      <c r="B63" s="205" t="s">
        <v>95</v>
      </c>
      <c r="C63" s="205" t="s">
        <v>171</v>
      </c>
      <c r="D63" s="205" t="s">
        <v>172</v>
      </c>
      <c r="E63" s="204" t="s">
        <v>390</v>
      </c>
      <c r="F63" s="206" t="s">
        <v>578</v>
      </c>
      <c r="G63" s="206" t="s">
        <v>579</v>
      </c>
      <c r="H63" s="204" t="s">
        <v>106</v>
      </c>
      <c r="I63" s="204" t="s">
        <v>167</v>
      </c>
      <c r="J63" s="204" t="s">
        <v>542</v>
      </c>
      <c r="K63" s="207">
        <v>46272</v>
      </c>
      <c r="L63" s="207">
        <v>46281</v>
      </c>
      <c r="M63" s="205" t="s">
        <v>359</v>
      </c>
      <c r="N63" s="205"/>
      <c r="O63" s="204">
        <v>62</v>
      </c>
      <c r="P63" s="208" t="s">
        <v>361</v>
      </c>
      <c r="Q63" s="208" t="s">
        <v>410</v>
      </c>
      <c r="R63" s="208" t="s">
        <v>580</v>
      </c>
    </row>
    <row r="64" spans="1:18" ht="42" customHeight="1">
      <c r="A64" s="204" t="s">
        <v>581</v>
      </c>
      <c r="B64" s="205" t="s">
        <v>95</v>
      </c>
      <c r="C64" s="205" t="s">
        <v>171</v>
      </c>
      <c r="D64" s="205" t="s">
        <v>173</v>
      </c>
      <c r="E64" s="204" t="s">
        <v>390</v>
      </c>
      <c r="F64" s="206" t="s">
        <v>582</v>
      </c>
      <c r="G64" s="206" t="s">
        <v>583</v>
      </c>
      <c r="H64" s="204" t="s">
        <v>106</v>
      </c>
      <c r="I64" s="204" t="s">
        <v>167</v>
      </c>
      <c r="J64" s="204" t="s">
        <v>542</v>
      </c>
      <c r="K64" s="207">
        <v>46272</v>
      </c>
      <c r="L64" s="207">
        <v>46281</v>
      </c>
      <c r="M64" s="205" t="s">
        <v>359</v>
      </c>
      <c r="N64" s="205" t="s">
        <v>493</v>
      </c>
      <c r="O64" s="204">
        <v>63</v>
      </c>
      <c r="P64" s="208" t="s">
        <v>361</v>
      </c>
      <c r="Q64" s="208" t="s">
        <v>410</v>
      </c>
      <c r="R64" s="208" t="s">
        <v>580</v>
      </c>
    </row>
    <row r="65" spans="1:18" ht="42" customHeight="1">
      <c r="A65" s="204" t="s">
        <v>584</v>
      </c>
      <c r="B65" s="205" t="s">
        <v>95</v>
      </c>
      <c r="C65" s="205" t="s">
        <v>171</v>
      </c>
      <c r="D65" s="205" t="s">
        <v>174</v>
      </c>
      <c r="E65" s="204" t="s">
        <v>390</v>
      </c>
      <c r="F65" s="206" t="s">
        <v>585</v>
      </c>
      <c r="G65" s="206" t="s">
        <v>586</v>
      </c>
      <c r="H65" s="204" t="s">
        <v>106</v>
      </c>
      <c r="I65" s="204" t="s">
        <v>167</v>
      </c>
      <c r="J65" s="204" t="s">
        <v>542</v>
      </c>
      <c r="K65" s="207"/>
      <c r="L65" s="207"/>
      <c r="M65" s="205" t="s">
        <v>414</v>
      </c>
      <c r="N65" s="205"/>
      <c r="O65" s="204">
        <v>64</v>
      </c>
      <c r="P65" s="209" t="s">
        <v>415</v>
      </c>
      <c r="Q65" s="209" t="s">
        <v>394</v>
      </c>
      <c r="R65" s="209" t="s">
        <v>587</v>
      </c>
    </row>
    <row r="66" spans="1:18" ht="42" customHeight="1">
      <c r="A66" s="204" t="s">
        <v>588</v>
      </c>
      <c r="B66" s="205" t="s">
        <v>95</v>
      </c>
      <c r="C66" s="205" t="s">
        <v>171</v>
      </c>
      <c r="D66" s="205" t="s">
        <v>175</v>
      </c>
      <c r="E66" s="204" t="s">
        <v>390</v>
      </c>
      <c r="F66" s="206" t="s">
        <v>589</v>
      </c>
      <c r="G66" s="206" t="s">
        <v>590</v>
      </c>
      <c r="H66" s="204" t="s">
        <v>106</v>
      </c>
      <c r="I66" s="204" t="s">
        <v>167</v>
      </c>
      <c r="J66" s="204" t="s">
        <v>542</v>
      </c>
      <c r="K66" s="207">
        <v>46272</v>
      </c>
      <c r="L66" s="207">
        <v>46281</v>
      </c>
      <c r="M66" s="205" t="s">
        <v>414</v>
      </c>
      <c r="N66" s="205"/>
      <c r="O66" s="204">
        <v>65</v>
      </c>
      <c r="P66" s="208" t="s">
        <v>361</v>
      </c>
      <c r="Q66" s="208" t="s">
        <v>410</v>
      </c>
      <c r="R66" s="208" t="s">
        <v>580</v>
      </c>
    </row>
    <row r="67" spans="1:18" ht="42" customHeight="1">
      <c r="A67" s="204" t="s">
        <v>591</v>
      </c>
      <c r="B67" s="205" t="s">
        <v>95</v>
      </c>
      <c r="C67" s="205" t="s">
        <v>171</v>
      </c>
      <c r="D67" s="205" t="s">
        <v>176</v>
      </c>
      <c r="E67" s="204" t="s">
        <v>390</v>
      </c>
      <c r="F67" s="206" t="s">
        <v>592</v>
      </c>
      <c r="G67" s="206" t="s">
        <v>593</v>
      </c>
      <c r="H67" s="204" t="s">
        <v>106</v>
      </c>
      <c r="I67" s="204" t="s">
        <v>167</v>
      </c>
      <c r="J67" s="204" t="s">
        <v>542</v>
      </c>
      <c r="K67" s="207">
        <v>46272</v>
      </c>
      <c r="L67" s="207">
        <v>46281</v>
      </c>
      <c r="M67" s="205" t="s">
        <v>371</v>
      </c>
      <c r="N67" s="205"/>
      <c r="O67" s="204">
        <v>66</v>
      </c>
      <c r="P67" s="208" t="s">
        <v>361</v>
      </c>
      <c r="Q67" s="208" t="s">
        <v>410</v>
      </c>
      <c r="R67" s="208" t="s">
        <v>580</v>
      </c>
    </row>
    <row r="68" spans="1:18" ht="42" customHeight="1">
      <c r="A68" s="204" t="s">
        <v>594</v>
      </c>
      <c r="B68" s="205" t="s">
        <v>95</v>
      </c>
      <c r="C68" s="205" t="s">
        <v>171</v>
      </c>
      <c r="D68" s="205" t="s">
        <v>177</v>
      </c>
      <c r="E68" s="204" t="s">
        <v>390</v>
      </c>
      <c r="F68" s="206" t="s">
        <v>595</v>
      </c>
      <c r="G68" s="206" t="s">
        <v>596</v>
      </c>
      <c r="H68" s="204" t="s">
        <v>106</v>
      </c>
      <c r="I68" s="204" t="s">
        <v>167</v>
      </c>
      <c r="J68" s="204" t="s">
        <v>542</v>
      </c>
      <c r="K68" s="207"/>
      <c r="L68" s="207"/>
      <c r="M68" s="205" t="s">
        <v>414</v>
      </c>
      <c r="N68" s="205" t="s">
        <v>597</v>
      </c>
      <c r="O68" s="204">
        <v>67</v>
      </c>
      <c r="P68" s="209" t="s">
        <v>415</v>
      </c>
      <c r="Q68" s="209" t="s">
        <v>394</v>
      </c>
      <c r="R68" s="209" t="s">
        <v>470</v>
      </c>
    </row>
    <row r="69" spans="1:18" ht="42" customHeight="1">
      <c r="A69" s="204" t="s">
        <v>598</v>
      </c>
      <c r="B69" s="205" t="s">
        <v>95</v>
      </c>
      <c r="C69" s="205" t="s">
        <v>171</v>
      </c>
      <c r="D69" s="205" t="s">
        <v>178</v>
      </c>
      <c r="E69" s="204" t="s">
        <v>390</v>
      </c>
      <c r="F69" s="206" t="s">
        <v>599</v>
      </c>
      <c r="G69" s="206" t="s">
        <v>600</v>
      </c>
      <c r="H69" s="204" t="s">
        <v>106</v>
      </c>
      <c r="I69" s="204" t="s">
        <v>167</v>
      </c>
      <c r="J69" s="204" t="s">
        <v>542</v>
      </c>
      <c r="K69" s="207">
        <v>46279</v>
      </c>
      <c r="L69" s="207">
        <v>46283</v>
      </c>
      <c r="M69" s="205" t="s">
        <v>601</v>
      </c>
      <c r="N69" s="205" t="s">
        <v>602</v>
      </c>
      <c r="O69" s="204">
        <v>68</v>
      </c>
      <c r="P69" s="208" t="s">
        <v>361</v>
      </c>
      <c r="Q69" s="208" t="s">
        <v>410</v>
      </c>
      <c r="R69" s="208" t="s">
        <v>580</v>
      </c>
    </row>
    <row r="70" spans="1:18" ht="42" customHeight="1">
      <c r="A70" s="204" t="s">
        <v>603</v>
      </c>
      <c r="B70" s="205" t="s">
        <v>95</v>
      </c>
      <c r="C70" s="205" t="s">
        <v>171</v>
      </c>
      <c r="D70" s="205" t="s">
        <v>179</v>
      </c>
      <c r="E70" s="204" t="s">
        <v>340</v>
      </c>
      <c r="F70" s="206" t="s">
        <v>604</v>
      </c>
      <c r="G70" s="206" t="s">
        <v>605</v>
      </c>
      <c r="H70" s="204"/>
      <c r="I70" s="204"/>
      <c r="J70" s="204" t="s">
        <v>606</v>
      </c>
      <c r="K70" s="207"/>
      <c r="L70" s="207"/>
      <c r="M70" s="205" t="s">
        <v>607</v>
      </c>
      <c r="N70" s="205" t="s">
        <v>608</v>
      </c>
      <c r="O70" s="204">
        <v>69</v>
      </c>
      <c r="P70" s="210" t="s">
        <v>609</v>
      </c>
      <c r="Q70" s="210" t="s">
        <v>610</v>
      </c>
      <c r="R70" s="210" t="s">
        <v>611</v>
      </c>
    </row>
    <row r="71" spans="1:18" ht="42" customHeight="1">
      <c r="A71" s="204" t="s">
        <v>612</v>
      </c>
      <c r="B71" s="205" t="s">
        <v>95</v>
      </c>
      <c r="C71" s="205" t="s">
        <v>180</v>
      </c>
      <c r="D71" s="205" t="s">
        <v>181</v>
      </c>
      <c r="E71" s="204" t="s">
        <v>390</v>
      </c>
      <c r="F71" s="206" t="s">
        <v>613</v>
      </c>
      <c r="G71" s="206" t="s">
        <v>614</v>
      </c>
      <c r="H71" s="204" t="s">
        <v>106</v>
      </c>
      <c r="I71" s="204" t="s">
        <v>167</v>
      </c>
      <c r="J71" s="204" t="s">
        <v>542</v>
      </c>
      <c r="K71" s="207">
        <v>46279</v>
      </c>
      <c r="L71" s="207">
        <v>46281</v>
      </c>
      <c r="M71" s="205" t="s">
        <v>359</v>
      </c>
      <c r="N71" s="205"/>
      <c r="O71" s="204">
        <v>70</v>
      </c>
      <c r="P71" s="208" t="s">
        <v>361</v>
      </c>
      <c r="Q71" s="208" t="s">
        <v>394</v>
      </c>
      <c r="R71" s="208" t="s">
        <v>615</v>
      </c>
    </row>
    <row r="72" spans="1:18" ht="42" customHeight="1">
      <c r="A72" s="204" t="s">
        <v>616</v>
      </c>
      <c r="B72" s="205" t="s">
        <v>95</v>
      </c>
      <c r="C72" s="205" t="s">
        <v>180</v>
      </c>
      <c r="D72" s="205" t="s">
        <v>182</v>
      </c>
      <c r="E72" s="204" t="s">
        <v>390</v>
      </c>
      <c r="F72" s="206" t="s">
        <v>617</v>
      </c>
      <c r="G72" s="206" t="s">
        <v>618</v>
      </c>
      <c r="H72" s="204" t="s">
        <v>106</v>
      </c>
      <c r="I72" s="204" t="s">
        <v>167</v>
      </c>
      <c r="J72" s="204" t="s">
        <v>619</v>
      </c>
      <c r="K72" s="207">
        <v>46282</v>
      </c>
      <c r="L72" s="207">
        <v>46289</v>
      </c>
      <c r="M72" s="205" t="s">
        <v>371</v>
      </c>
      <c r="N72" s="205" t="s">
        <v>620</v>
      </c>
      <c r="O72" s="204">
        <v>71</v>
      </c>
      <c r="P72" s="208" t="s">
        <v>361</v>
      </c>
      <c r="Q72" s="208" t="s">
        <v>394</v>
      </c>
      <c r="R72" s="208" t="s">
        <v>615</v>
      </c>
    </row>
    <row r="73" spans="1:18" ht="42" customHeight="1">
      <c r="A73" s="204" t="s">
        <v>621</v>
      </c>
      <c r="B73" s="205" t="s">
        <v>95</v>
      </c>
      <c r="C73" s="205" t="s">
        <v>180</v>
      </c>
      <c r="D73" s="205" t="s">
        <v>183</v>
      </c>
      <c r="E73" s="204" t="s">
        <v>390</v>
      </c>
      <c r="F73" s="206" t="s">
        <v>622</v>
      </c>
      <c r="G73" s="206" t="s">
        <v>623</v>
      </c>
      <c r="H73" s="204" t="s">
        <v>106</v>
      </c>
      <c r="I73" s="204" t="s">
        <v>167</v>
      </c>
      <c r="J73" s="204" t="s">
        <v>619</v>
      </c>
      <c r="K73" s="207">
        <v>46282</v>
      </c>
      <c r="L73" s="207">
        <v>46289</v>
      </c>
      <c r="M73" s="205" t="s">
        <v>371</v>
      </c>
      <c r="N73" s="205" t="s">
        <v>620</v>
      </c>
      <c r="O73" s="204">
        <v>72</v>
      </c>
      <c r="P73" s="208" t="s">
        <v>361</v>
      </c>
      <c r="Q73" s="208" t="s">
        <v>394</v>
      </c>
      <c r="R73" s="208" t="s">
        <v>615</v>
      </c>
    </row>
    <row r="74" spans="1:18" ht="42" customHeight="1">
      <c r="A74" s="204" t="s">
        <v>624</v>
      </c>
      <c r="B74" s="205" t="s">
        <v>95</v>
      </c>
      <c r="C74" s="205" t="s">
        <v>180</v>
      </c>
      <c r="D74" s="205" t="s">
        <v>184</v>
      </c>
      <c r="E74" s="204" t="s">
        <v>390</v>
      </c>
      <c r="F74" s="206" t="s">
        <v>625</v>
      </c>
      <c r="G74" s="206" t="s">
        <v>626</v>
      </c>
      <c r="H74" s="204" t="s">
        <v>106</v>
      </c>
      <c r="I74" s="204" t="s">
        <v>167</v>
      </c>
      <c r="J74" s="204" t="s">
        <v>619</v>
      </c>
      <c r="K74" s="207"/>
      <c r="L74" s="207"/>
      <c r="M74" s="205" t="s">
        <v>371</v>
      </c>
      <c r="N74" s="205" t="s">
        <v>627</v>
      </c>
      <c r="O74" s="204">
        <v>73</v>
      </c>
      <c r="P74" s="209" t="s">
        <v>415</v>
      </c>
      <c r="Q74" s="209" t="s">
        <v>394</v>
      </c>
      <c r="R74" s="209" t="s">
        <v>587</v>
      </c>
    </row>
    <row r="75" spans="1:18" ht="42" customHeight="1">
      <c r="A75" s="204" t="s">
        <v>628</v>
      </c>
      <c r="B75" s="205" t="s">
        <v>95</v>
      </c>
      <c r="C75" s="205" t="s">
        <v>180</v>
      </c>
      <c r="D75" s="205" t="s">
        <v>185</v>
      </c>
      <c r="E75" s="204" t="s">
        <v>390</v>
      </c>
      <c r="F75" s="206" t="s">
        <v>629</v>
      </c>
      <c r="G75" s="206" t="s">
        <v>630</v>
      </c>
      <c r="H75" s="204" t="s">
        <v>106</v>
      </c>
      <c r="I75" s="204" t="s">
        <v>167</v>
      </c>
      <c r="J75" s="204" t="s">
        <v>619</v>
      </c>
      <c r="K75" s="207">
        <v>46282</v>
      </c>
      <c r="L75" s="207">
        <v>46289</v>
      </c>
      <c r="M75" s="205" t="s">
        <v>371</v>
      </c>
      <c r="N75" s="205" t="s">
        <v>620</v>
      </c>
      <c r="O75" s="204">
        <v>74</v>
      </c>
      <c r="P75" s="208" t="s">
        <v>361</v>
      </c>
      <c r="Q75" s="208" t="s">
        <v>394</v>
      </c>
      <c r="R75" s="208" t="s">
        <v>615</v>
      </c>
    </row>
    <row r="76" spans="1:18" ht="42" customHeight="1">
      <c r="A76" s="204" t="s">
        <v>631</v>
      </c>
      <c r="B76" s="205" t="s">
        <v>95</v>
      </c>
      <c r="C76" s="205" t="s">
        <v>180</v>
      </c>
      <c r="D76" s="205" t="s">
        <v>186</v>
      </c>
      <c r="E76" s="204" t="s">
        <v>390</v>
      </c>
      <c r="F76" s="206" t="s">
        <v>632</v>
      </c>
      <c r="G76" s="206" t="s">
        <v>633</v>
      </c>
      <c r="H76" s="204" t="s">
        <v>106</v>
      </c>
      <c r="I76" s="204" t="s">
        <v>167</v>
      </c>
      <c r="J76" s="204" t="s">
        <v>619</v>
      </c>
      <c r="K76" s="207"/>
      <c r="L76" s="207"/>
      <c r="M76" s="205" t="s">
        <v>359</v>
      </c>
      <c r="N76" s="205" t="s">
        <v>634</v>
      </c>
      <c r="O76" s="204">
        <v>75</v>
      </c>
      <c r="P76" s="209" t="s">
        <v>415</v>
      </c>
      <c r="Q76" s="209" t="s">
        <v>394</v>
      </c>
      <c r="R76" s="209" t="s">
        <v>435</v>
      </c>
    </row>
    <row r="77" spans="1:18" ht="42" customHeight="1">
      <c r="A77" s="204" t="s">
        <v>635</v>
      </c>
      <c r="B77" s="205" t="s">
        <v>95</v>
      </c>
      <c r="C77" s="205" t="s">
        <v>187</v>
      </c>
      <c r="D77" s="205" t="s">
        <v>188</v>
      </c>
      <c r="E77" s="204" t="s">
        <v>390</v>
      </c>
      <c r="F77" s="206" t="s">
        <v>636</v>
      </c>
      <c r="G77" s="206" t="s">
        <v>637</v>
      </c>
      <c r="H77" s="204" t="s">
        <v>106</v>
      </c>
      <c r="I77" s="204" t="s">
        <v>167</v>
      </c>
      <c r="J77" s="204" t="s">
        <v>638</v>
      </c>
      <c r="K77" s="207">
        <v>46289</v>
      </c>
      <c r="L77" s="207">
        <v>46290</v>
      </c>
      <c r="M77" s="205" t="s">
        <v>601</v>
      </c>
      <c r="N77" s="205"/>
      <c r="O77" s="204">
        <v>76</v>
      </c>
      <c r="P77" s="208" t="s">
        <v>361</v>
      </c>
      <c r="Q77" s="208" t="s">
        <v>410</v>
      </c>
      <c r="R77" s="208" t="s">
        <v>615</v>
      </c>
    </row>
    <row r="78" spans="1:18" ht="42" customHeight="1">
      <c r="A78" s="204" t="s">
        <v>639</v>
      </c>
      <c r="B78" s="205" t="s">
        <v>95</v>
      </c>
      <c r="C78" s="205" t="s">
        <v>187</v>
      </c>
      <c r="D78" s="205" t="s">
        <v>189</v>
      </c>
      <c r="E78" s="204" t="s">
        <v>390</v>
      </c>
      <c r="F78" s="206" t="s">
        <v>640</v>
      </c>
      <c r="G78" s="206" t="s">
        <v>641</v>
      </c>
      <c r="H78" s="204" t="s">
        <v>106</v>
      </c>
      <c r="I78" s="204" t="s">
        <v>167</v>
      </c>
      <c r="J78" s="204" t="s">
        <v>638</v>
      </c>
      <c r="K78" s="207">
        <v>46293</v>
      </c>
      <c r="L78" s="207">
        <v>46297</v>
      </c>
      <c r="M78" s="205" t="s">
        <v>371</v>
      </c>
      <c r="N78" s="205" t="s">
        <v>620</v>
      </c>
      <c r="O78" s="204">
        <v>77</v>
      </c>
      <c r="P78" s="208" t="s">
        <v>361</v>
      </c>
      <c r="Q78" s="208" t="s">
        <v>410</v>
      </c>
      <c r="R78" s="208" t="s">
        <v>615</v>
      </c>
    </row>
    <row r="79" spans="1:18" ht="42" customHeight="1">
      <c r="A79" s="204" t="s">
        <v>642</v>
      </c>
      <c r="B79" s="205" t="s">
        <v>95</v>
      </c>
      <c r="C79" s="205" t="s">
        <v>187</v>
      </c>
      <c r="D79" s="205" t="s">
        <v>190</v>
      </c>
      <c r="E79" s="204" t="s">
        <v>390</v>
      </c>
      <c r="F79" s="206" t="s">
        <v>643</v>
      </c>
      <c r="G79" s="206" t="s">
        <v>644</v>
      </c>
      <c r="H79" s="204" t="s">
        <v>106</v>
      </c>
      <c r="I79" s="204" t="s">
        <v>167</v>
      </c>
      <c r="J79" s="204" t="s">
        <v>638</v>
      </c>
      <c r="K79" s="207">
        <v>46293</v>
      </c>
      <c r="L79" s="207">
        <v>46297</v>
      </c>
      <c r="M79" s="205" t="s">
        <v>414</v>
      </c>
      <c r="N79" s="205"/>
      <c r="O79" s="204">
        <v>78</v>
      </c>
      <c r="P79" s="208" t="s">
        <v>361</v>
      </c>
      <c r="Q79" s="208" t="s">
        <v>410</v>
      </c>
      <c r="R79" s="208" t="s">
        <v>615</v>
      </c>
    </row>
    <row r="80" spans="1:18" ht="42" customHeight="1">
      <c r="A80" s="204" t="s">
        <v>645</v>
      </c>
      <c r="B80" s="205" t="s">
        <v>95</v>
      </c>
      <c r="C80" s="205" t="s">
        <v>187</v>
      </c>
      <c r="D80" s="205" t="s">
        <v>191</v>
      </c>
      <c r="E80" s="204" t="s">
        <v>390</v>
      </c>
      <c r="F80" s="206" t="s">
        <v>646</v>
      </c>
      <c r="G80" s="206" t="s">
        <v>647</v>
      </c>
      <c r="H80" s="204" t="s">
        <v>106</v>
      </c>
      <c r="I80" s="204" t="s">
        <v>167</v>
      </c>
      <c r="J80" s="204" t="s">
        <v>638</v>
      </c>
      <c r="K80" s="207">
        <v>46293</v>
      </c>
      <c r="L80" s="207">
        <v>46297</v>
      </c>
      <c r="M80" s="205" t="s">
        <v>371</v>
      </c>
      <c r="N80" s="205"/>
      <c r="O80" s="204">
        <v>79</v>
      </c>
      <c r="P80" s="208" t="s">
        <v>361</v>
      </c>
      <c r="Q80" s="208" t="s">
        <v>410</v>
      </c>
      <c r="R80" s="208" t="s">
        <v>615</v>
      </c>
    </row>
    <row r="81" spans="1:18" ht="42" customHeight="1">
      <c r="A81" s="204" t="s">
        <v>648</v>
      </c>
      <c r="B81" s="205" t="s">
        <v>95</v>
      </c>
      <c r="C81" s="205" t="s">
        <v>187</v>
      </c>
      <c r="D81" s="205" t="s">
        <v>192</v>
      </c>
      <c r="E81" s="204" t="s">
        <v>390</v>
      </c>
      <c r="F81" s="206" t="s">
        <v>649</v>
      </c>
      <c r="G81" s="206" t="s">
        <v>650</v>
      </c>
      <c r="H81" s="204" t="s">
        <v>106</v>
      </c>
      <c r="I81" s="204" t="s">
        <v>167</v>
      </c>
      <c r="J81" s="204" t="s">
        <v>638</v>
      </c>
      <c r="K81" s="207"/>
      <c r="L81" s="207"/>
      <c r="M81" s="205" t="s">
        <v>414</v>
      </c>
      <c r="N81" s="205"/>
      <c r="O81" s="204">
        <v>80</v>
      </c>
      <c r="P81" s="209" t="s">
        <v>415</v>
      </c>
      <c r="Q81" s="209" t="s">
        <v>394</v>
      </c>
      <c r="R81" s="209" t="s">
        <v>474</v>
      </c>
    </row>
    <row r="82" spans="1:18" ht="42" customHeight="1">
      <c r="A82" s="204" t="s">
        <v>651</v>
      </c>
      <c r="B82" s="205" t="s">
        <v>95</v>
      </c>
      <c r="C82" s="205" t="s">
        <v>187</v>
      </c>
      <c r="D82" s="205" t="s">
        <v>193</v>
      </c>
      <c r="E82" s="204" t="s">
        <v>390</v>
      </c>
      <c r="F82" s="206" t="s">
        <v>652</v>
      </c>
      <c r="G82" s="206" t="s">
        <v>653</v>
      </c>
      <c r="H82" s="204" t="s">
        <v>106</v>
      </c>
      <c r="I82" s="204" t="s">
        <v>167</v>
      </c>
      <c r="J82" s="204" t="s">
        <v>638</v>
      </c>
      <c r="K82" s="207"/>
      <c r="L82" s="207"/>
      <c r="M82" s="205" t="s">
        <v>359</v>
      </c>
      <c r="N82" s="205" t="s">
        <v>654</v>
      </c>
      <c r="O82" s="204">
        <v>81</v>
      </c>
      <c r="P82" s="209" t="s">
        <v>415</v>
      </c>
      <c r="Q82" s="209" t="s">
        <v>394</v>
      </c>
      <c r="R82" s="209" t="s">
        <v>435</v>
      </c>
    </row>
    <row r="83" spans="1:18" ht="42" customHeight="1">
      <c r="A83" s="204" t="s">
        <v>655</v>
      </c>
      <c r="B83" s="205" t="s">
        <v>95</v>
      </c>
      <c r="C83" s="205" t="s">
        <v>194</v>
      </c>
      <c r="D83" s="205" t="s">
        <v>195</v>
      </c>
      <c r="E83" s="204" t="s">
        <v>390</v>
      </c>
      <c r="F83" s="206" t="s">
        <v>656</v>
      </c>
      <c r="G83" s="206" t="s">
        <v>657</v>
      </c>
      <c r="H83" s="204"/>
      <c r="I83" s="204" t="s">
        <v>196</v>
      </c>
      <c r="J83" s="204" t="s">
        <v>658</v>
      </c>
      <c r="K83" s="207">
        <v>46279</v>
      </c>
      <c r="L83" s="207">
        <v>46289</v>
      </c>
      <c r="M83" s="205" t="s">
        <v>371</v>
      </c>
      <c r="N83" s="205"/>
      <c r="O83" s="204">
        <v>82</v>
      </c>
      <c r="P83" s="208" t="s">
        <v>361</v>
      </c>
      <c r="Q83" s="208" t="s">
        <v>394</v>
      </c>
      <c r="R83" s="208" t="s">
        <v>615</v>
      </c>
    </row>
    <row r="84" spans="1:18" ht="42" customHeight="1">
      <c r="A84" s="204" t="s">
        <v>659</v>
      </c>
      <c r="B84" s="205" t="s">
        <v>95</v>
      </c>
      <c r="C84" s="205" t="s">
        <v>194</v>
      </c>
      <c r="D84" s="205" t="s">
        <v>197</v>
      </c>
      <c r="E84" s="204" t="s">
        <v>390</v>
      </c>
      <c r="F84" s="206" t="s">
        <v>660</v>
      </c>
      <c r="G84" s="206" t="s">
        <v>661</v>
      </c>
      <c r="H84" s="204"/>
      <c r="I84" s="204" t="s">
        <v>196</v>
      </c>
      <c r="J84" s="204" t="s">
        <v>658</v>
      </c>
      <c r="K84" s="207">
        <v>46279</v>
      </c>
      <c r="L84" s="207">
        <v>46289</v>
      </c>
      <c r="M84" s="205" t="s">
        <v>371</v>
      </c>
      <c r="N84" s="205"/>
      <c r="O84" s="204">
        <v>83</v>
      </c>
      <c r="P84" s="208" t="s">
        <v>361</v>
      </c>
      <c r="Q84" s="208" t="s">
        <v>394</v>
      </c>
      <c r="R84" s="208" t="s">
        <v>615</v>
      </c>
    </row>
    <row r="85" spans="1:18" ht="42" customHeight="1">
      <c r="A85" s="204" t="s">
        <v>662</v>
      </c>
      <c r="B85" s="205" t="s">
        <v>95</v>
      </c>
      <c r="C85" s="205" t="s">
        <v>194</v>
      </c>
      <c r="D85" s="205" t="s">
        <v>198</v>
      </c>
      <c r="E85" s="204" t="s">
        <v>390</v>
      </c>
      <c r="F85" s="206" t="s">
        <v>663</v>
      </c>
      <c r="G85" s="206" t="s">
        <v>664</v>
      </c>
      <c r="H85" s="204"/>
      <c r="I85" s="204" t="s">
        <v>196</v>
      </c>
      <c r="J85" s="204" t="s">
        <v>658</v>
      </c>
      <c r="K85" s="207">
        <v>46279</v>
      </c>
      <c r="L85" s="207">
        <v>46289</v>
      </c>
      <c r="M85" s="205" t="s">
        <v>414</v>
      </c>
      <c r="N85" s="205"/>
      <c r="O85" s="204">
        <v>84</v>
      </c>
      <c r="P85" s="208" t="s">
        <v>361</v>
      </c>
      <c r="Q85" s="208" t="s">
        <v>394</v>
      </c>
      <c r="R85" s="208" t="s">
        <v>615</v>
      </c>
    </row>
    <row r="86" spans="1:18" ht="42" customHeight="1">
      <c r="A86" s="204" t="s">
        <v>665</v>
      </c>
      <c r="B86" s="205" t="s">
        <v>95</v>
      </c>
      <c r="C86" s="205" t="s">
        <v>194</v>
      </c>
      <c r="D86" s="205" t="s">
        <v>199</v>
      </c>
      <c r="E86" s="204" t="s">
        <v>390</v>
      </c>
      <c r="F86" s="206" t="s">
        <v>666</v>
      </c>
      <c r="G86" s="206" t="s">
        <v>667</v>
      </c>
      <c r="H86" s="204" t="s">
        <v>145</v>
      </c>
      <c r="I86" s="204" t="s">
        <v>196</v>
      </c>
      <c r="J86" s="204" t="s">
        <v>658</v>
      </c>
      <c r="K86" s="207">
        <v>46279</v>
      </c>
      <c r="L86" s="207">
        <v>46289</v>
      </c>
      <c r="M86" s="205" t="s">
        <v>371</v>
      </c>
      <c r="N86" s="205"/>
      <c r="O86" s="204">
        <v>85</v>
      </c>
      <c r="P86" s="208" t="s">
        <v>361</v>
      </c>
      <c r="Q86" s="208" t="s">
        <v>394</v>
      </c>
      <c r="R86" s="208" t="s">
        <v>615</v>
      </c>
    </row>
    <row r="87" spans="1:18" ht="42" customHeight="1">
      <c r="A87" s="204" t="s">
        <v>668</v>
      </c>
      <c r="B87" s="205" t="s">
        <v>95</v>
      </c>
      <c r="C87" s="205" t="s">
        <v>194</v>
      </c>
      <c r="D87" s="205" t="s">
        <v>200</v>
      </c>
      <c r="E87" s="204" t="s">
        <v>390</v>
      </c>
      <c r="F87" s="206" t="s">
        <v>669</v>
      </c>
      <c r="G87" s="206" t="s">
        <v>670</v>
      </c>
      <c r="H87" s="204" t="s">
        <v>145</v>
      </c>
      <c r="I87" s="204" t="s">
        <v>196</v>
      </c>
      <c r="J87" s="204" t="s">
        <v>658</v>
      </c>
      <c r="K87" s="207">
        <v>46279</v>
      </c>
      <c r="L87" s="207">
        <v>46289</v>
      </c>
      <c r="M87" s="205" t="s">
        <v>414</v>
      </c>
      <c r="N87" s="205"/>
      <c r="O87" s="204">
        <v>86</v>
      </c>
      <c r="P87" s="208" t="s">
        <v>361</v>
      </c>
      <c r="Q87" s="208" t="s">
        <v>394</v>
      </c>
      <c r="R87" s="208" t="s">
        <v>615</v>
      </c>
    </row>
    <row r="88" spans="1:18" ht="42" customHeight="1">
      <c r="A88" s="204" t="s">
        <v>671</v>
      </c>
      <c r="B88" s="205" t="s">
        <v>95</v>
      </c>
      <c r="C88" s="205" t="s">
        <v>194</v>
      </c>
      <c r="D88" s="205" t="s">
        <v>201</v>
      </c>
      <c r="E88" s="204" t="s">
        <v>390</v>
      </c>
      <c r="F88" s="206" t="s">
        <v>672</v>
      </c>
      <c r="G88" s="206" t="s">
        <v>673</v>
      </c>
      <c r="H88" s="204" t="s">
        <v>145</v>
      </c>
      <c r="I88" s="204" t="s">
        <v>196</v>
      </c>
      <c r="J88" s="204" t="s">
        <v>658</v>
      </c>
      <c r="K88" s="207"/>
      <c r="L88" s="207"/>
      <c r="M88" s="205" t="s">
        <v>371</v>
      </c>
      <c r="N88" s="205"/>
      <c r="O88" s="204">
        <v>87</v>
      </c>
      <c r="P88" s="209" t="s">
        <v>415</v>
      </c>
      <c r="Q88" s="209" t="s">
        <v>394</v>
      </c>
      <c r="R88" s="209" t="s">
        <v>435</v>
      </c>
    </row>
    <row r="89" spans="1:18" ht="42" customHeight="1">
      <c r="A89" s="204" t="s">
        <v>674</v>
      </c>
      <c r="B89" s="205" t="s">
        <v>95</v>
      </c>
      <c r="C89" s="205" t="s">
        <v>202</v>
      </c>
      <c r="D89" s="205" t="s">
        <v>203</v>
      </c>
      <c r="E89" s="204" t="s">
        <v>390</v>
      </c>
      <c r="F89" s="206" t="s">
        <v>675</v>
      </c>
      <c r="G89" s="206" t="s">
        <v>676</v>
      </c>
      <c r="H89" s="204"/>
      <c r="I89" s="204"/>
      <c r="J89" s="204" t="s">
        <v>677</v>
      </c>
      <c r="K89" s="207"/>
      <c r="L89" s="207"/>
      <c r="M89" s="205" t="s">
        <v>414</v>
      </c>
      <c r="N89" s="205" t="s">
        <v>678</v>
      </c>
      <c r="O89" s="204">
        <v>88</v>
      </c>
      <c r="P89" s="209" t="s">
        <v>415</v>
      </c>
      <c r="Q89" s="209" t="s">
        <v>679</v>
      </c>
      <c r="R89" s="209" t="s">
        <v>680</v>
      </c>
    </row>
    <row r="90" spans="1:18" ht="42" customHeight="1">
      <c r="A90" s="204" t="s">
        <v>681</v>
      </c>
      <c r="B90" s="205" t="s">
        <v>95</v>
      </c>
      <c r="C90" s="205" t="s">
        <v>202</v>
      </c>
      <c r="D90" s="205" t="s">
        <v>204</v>
      </c>
      <c r="E90" s="204" t="s">
        <v>390</v>
      </c>
      <c r="F90" s="206" t="s">
        <v>682</v>
      </c>
      <c r="G90" s="206" t="s">
        <v>683</v>
      </c>
      <c r="H90" s="204"/>
      <c r="I90" s="204"/>
      <c r="J90" s="204" t="s">
        <v>677</v>
      </c>
      <c r="K90" s="207"/>
      <c r="L90" s="207"/>
      <c r="M90" s="205" t="s">
        <v>414</v>
      </c>
      <c r="N90" s="205"/>
      <c r="O90" s="204">
        <v>89</v>
      </c>
      <c r="P90" s="209" t="s">
        <v>415</v>
      </c>
      <c r="Q90" s="209" t="s">
        <v>679</v>
      </c>
      <c r="R90" s="209" t="s">
        <v>680</v>
      </c>
    </row>
    <row r="91" spans="1:18" ht="42" customHeight="1">
      <c r="A91" s="204" t="s">
        <v>684</v>
      </c>
      <c r="B91" s="205" t="s">
        <v>95</v>
      </c>
      <c r="C91" s="205" t="s">
        <v>202</v>
      </c>
      <c r="D91" s="205" t="s">
        <v>205</v>
      </c>
      <c r="E91" s="204" t="s">
        <v>390</v>
      </c>
      <c r="F91" s="206" t="s">
        <v>685</v>
      </c>
      <c r="G91" s="206" t="s">
        <v>686</v>
      </c>
      <c r="H91" s="204"/>
      <c r="I91" s="204"/>
      <c r="J91" s="204" t="s">
        <v>677</v>
      </c>
      <c r="K91" s="207"/>
      <c r="L91" s="207"/>
      <c r="M91" s="205" t="s">
        <v>371</v>
      </c>
      <c r="N91" s="205"/>
      <c r="O91" s="204">
        <v>90</v>
      </c>
      <c r="P91" s="209" t="s">
        <v>415</v>
      </c>
      <c r="Q91" s="209" t="s">
        <v>679</v>
      </c>
      <c r="R91" s="209" t="s">
        <v>680</v>
      </c>
    </row>
    <row r="92" spans="1:18" ht="42" customHeight="1">
      <c r="A92" s="204" t="s">
        <v>687</v>
      </c>
      <c r="B92" s="205" t="s">
        <v>95</v>
      </c>
      <c r="C92" s="205" t="s">
        <v>202</v>
      </c>
      <c r="D92" s="205" t="s">
        <v>206</v>
      </c>
      <c r="E92" s="204" t="s">
        <v>390</v>
      </c>
      <c r="F92" s="206" t="s">
        <v>688</v>
      </c>
      <c r="G92" s="206" t="s">
        <v>689</v>
      </c>
      <c r="H92" s="204"/>
      <c r="I92" s="204"/>
      <c r="J92" s="204" t="s">
        <v>677</v>
      </c>
      <c r="K92" s="207"/>
      <c r="L92" s="207"/>
      <c r="M92" s="205" t="s">
        <v>414</v>
      </c>
      <c r="N92" s="205"/>
      <c r="O92" s="204">
        <v>91</v>
      </c>
      <c r="P92" s="209" t="s">
        <v>415</v>
      </c>
      <c r="Q92" s="209" t="s">
        <v>679</v>
      </c>
      <c r="R92" s="209" t="s">
        <v>680</v>
      </c>
    </row>
    <row r="93" spans="1:18" ht="42" customHeight="1">
      <c r="A93" s="204" t="s">
        <v>690</v>
      </c>
      <c r="B93" s="205" t="s">
        <v>95</v>
      </c>
      <c r="C93" s="205" t="s">
        <v>202</v>
      </c>
      <c r="D93" s="205" t="s">
        <v>207</v>
      </c>
      <c r="E93" s="204" t="s">
        <v>390</v>
      </c>
      <c r="F93" s="206" t="s">
        <v>691</v>
      </c>
      <c r="G93" s="206" t="s">
        <v>692</v>
      </c>
      <c r="H93" s="204"/>
      <c r="I93" s="204"/>
      <c r="J93" s="204" t="s">
        <v>677</v>
      </c>
      <c r="K93" s="207"/>
      <c r="L93" s="207"/>
      <c r="M93" s="205" t="s">
        <v>414</v>
      </c>
      <c r="N93" s="205"/>
      <c r="O93" s="204">
        <v>92</v>
      </c>
      <c r="P93" s="209" t="s">
        <v>415</v>
      </c>
      <c r="Q93" s="209" t="s">
        <v>679</v>
      </c>
      <c r="R93" s="209" t="s">
        <v>680</v>
      </c>
    </row>
    <row r="94" spans="1:18" ht="42" customHeight="1">
      <c r="A94" s="204" t="s">
        <v>693</v>
      </c>
      <c r="B94" s="205" t="s">
        <v>95</v>
      </c>
      <c r="C94" s="205" t="s">
        <v>202</v>
      </c>
      <c r="D94" s="205" t="s">
        <v>208</v>
      </c>
      <c r="E94" s="204" t="s">
        <v>390</v>
      </c>
      <c r="F94" s="206" t="s">
        <v>694</v>
      </c>
      <c r="G94" s="206" t="s">
        <v>695</v>
      </c>
      <c r="H94" s="204"/>
      <c r="I94" s="204"/>
      <c r="J94" s="204" t="s">
        <v>677</v>
      </c>
      <c r="K94" s="207"/>
      <c r="L94" s="207"/>
      <c r="M94" s="205" t="s">
        <v>414</v>
      </c>
      <c r="N94" s="205" t="s">
        <v>696</v>
      </c>
      <c r="O94" s="204">
        <v>93</v>
      </c>
      <c r="P94" s="209" t="s">
        <v>415</v>
      </c>
      <c r="Q94" s="209" t="s">
        <v>679</v>
      </c>
      <c r="R94" s="209" t="s">
        <v>680</v>
      </c>
    </row>
    <row r="95" spans="1:18" ht="42" customHeight="1">
      <c r="A95" s="204" t="s">
        <v>697</v>
      </c>
      <c r="B95" s="205" t="s">
        <v>95</v>
      </c>
      <c r="C95" s="205" t="s">
        <v>209</v>
      </c>
      <c r="D95" s="205" t="s">
        <v>210</v>
      </c>
      <c r="E95" s="204" t="s">
        <v>340</v>
      </c>
      <c r="F95" s="206" t="s">
        <v>698</v>
      </c>
      <c r="G95" s="206" t="s">
        <v>699</v>
      </c>
      <c r="H95" s="204"/>
      <c r="I95" s="204"/>
      <c r="J95" s="204" t="s">
        <v>700</v>
      </c>
      <c r="K95" s="207"/>
      <c r="L95" s="207"/>
      <c r="M95" s="205" t="s">
        <v>607</v>
      </c>
      <c r="N95" s="205" t="s">
        <v>701</v>
      </c>
      <c r="O95" s="204">
        <v>94</v>
      </c>
      <c r="P95" s="209" t="s">
        <v>415</v>
      </c>
      <c r="Q95" s="209" t="s">
        <v>679</v>
      </c>
      <c r="R95" s="209" t="s">
        <v>702</v>
      </c>
    </row>
    <row r="96" spans="1:18" ht="42" customHeight="1">
      <c r="A96" s="204" t="s">
        <v>703</v>
      </c>
      <c r="B96" s="205" t="s">
        <v>95</v>
      </c>
      <c r="C96" s="205" t="s">
        <v>209</v>
      </c>
      <c r="D96" s="205" t="s">
        <v>211</v>
      </c>
      <c r="E96" s="204" t="s">
        <v>340</v>
      </c>
      <c r="F96" s="206" t="s">
        <v>704</v>
      </c>
      <c r="G96" s="206" t="s">
        <v>705</v>
      </c>
      <c r="H96" s="204"/>
      <c r="I96" s="204"/>
      <c r="J96" s="204" t="s">
        <v>700</v>
      </c>
      <c r="K96" s="207"/>
      <c r="L96" s="207"/>
      <c r="M96" s="205" t="s">
        <v>607</v>
      </c>
      <c r="N96" s="205" t="s">
        <v>701</v>
      </c>
      <c r="O96" s="204">
        <v>95</v>
      </c>
      <c r="P96" s="209" t="s">
        <v>415</v>
      </c>
      <c r="Q96" s="209" t="s">
        <v>679</v>
      </c>
      <c r="R96" s="209" t="s">
        <v>702</v>
      </c>
    </row>
    <row r="97" spans="1:18" ht="42" customHeight="1">
      <c r="A97" s="204" t="s">
        <v>706</v>
      </c>
      <c r="B97" s="205" t="s">
        <v>95</v>
      </c>
      <c r="C97" s="205" t="s">
        <v>209</v>
      </c>
      <c r="D97" s="205" t="s">
        <v>212</v>
      </c>
      <c r="E97" s="204" t="s">
        <v>340</v>
      </c>
      <c r="F97" s="206" t="s">
        <v>707</v>
      </c>
      <c r="G97" s="206" t="s">
        <v>708</v>
      </c>
      <c r="H97" s="204"/>
      <c r="I97" s="204"/>
      <c r="J97" s="204" t="s">
        <v>700</v>
      </c>
      <c r="K97" s="207"/>
      <c r="L97" s="207"/>
      <c r="M97" s="205" t="s">
        <v>607</v>
      </c>
      <c r="N97" s="205" t="s">
        <v>701</v>
      </c>
      <c r="O97" s="204">
        <v>96</v>
      </c>
      <c r="P97" s="209" t="s">
        <v>415</v>
      </c>
      <c r="Q97" s="209" t="s">
        <v>679</v>
      </c>
      <c r="R97" s="209" t="s">
        <v>702</v>
      </c>
    </row>
    <row r="98" spans="1:18" ht="42" customHeight="1">
      <c r="A98" s="204" t="s">
        <v>709</v>
      </c>
      <c r="B98" s="205" t="s">
        <v>95</v>
      </c>
      <c r="C98" s="205" t="s">
        <v>209</v>
      </c>
      <c r="D98" s="205" t="s">
        <v>213</v>
      </c>
      <c r="E98" s="204" t="s">
        <v>340</v>
      </c>
      <c r="F98" s="206" t="s">
        <v>710</v>
      </c>
      <c r="G98" s="206" t="s">
        <v>711</v>
      </c>
      <c r="H98" s="204"/>
      <c r="I98" s="204"/>
      <c r="J98" s="204" t="s">
        <v>700</v>
      </c>
      <c r="K98" s="207"/>
      <c r="L98" s="207"/>
      <c r="M98" s="205" t="s">
        <v>607</v>
      </c>
      <c r="N98" s="205" t="s">
        <v>701</v>
      </c>
      <c r="O98" s="204">
        <v>97</v>
      </c>
      <c r="P98" s="209" t="s">
        <v>415</v>
      </c>
      <c r="Q98" s="209" t="s">
        <v>679</v>
      </c>
      <c r="R98" s="209" t="s">
        <v>702</v>
      </c>
    </row>
    <row r="99" spans="1:18" ht="42" customHeight="1">
      <c r="A99" s="204" t="s">
        <v>712</v>
      </c>
      <c r="B99" s="205" t="s">
        <v>95</v>
      </c>
      <c r="C99" s="205" t="s">
        <v>209</v>
      </c>
      <c r="D99" s="205" t="s">
        <v>214</v>
      </c>
      <c r="E99" s="204" t="s">
        <v>340</v>
      </c>
      <c r="F99" s="206" t="s">
        <v>713</v>
      </c>
      <c r="G99" s="206" t="s">
        <v>714</v>
      </c>
      <c r="H99" s="204"/>
      <c r="I99" s="204"/>
      <c r="J99" s="204" t="s">
        <v>700</v>
      </c>
      <c r="K99" s="207"/>
      <c r="L99" s="207"/>
      <c r="M99" s="205" t="s">
        <v>607</v>
      </c>
      <c r="N99" s="205" t="s">
        <v>701</v>
      </c>
      <c r="O99" s="204">
        <v>98</v>
      </c>
      <c r="P99" s="209" t="s">
        <v>415</v>
      </c>
      <c r="Q99" s="209" t="s">
        <v>679</v>
      </c>
      <c r="R99" s="209" t="s">
        <v>702</v>
      </c>
    </row>
    <row r="100" spans="1:18" ht="42" customHeight="1">
      <c r="A100" s="204" t="s">
        <v>715</v>
      </c>
      <c r="B100" s="205" t="s">
        <v>95</v>
      </c>
      <c r="C100" s="205" t="s">
        <v>209</v>
      </c>
      <c r="D100" s="205" t="s">
        <v>215</v>
      </c>
      <c r="E100" s="204" t="s">
        <v>340</v>
      </c>
      <c r="F100" s="206" t="s">
        <v>716</v>
      </c>
      <c r="G100" s="206" t="s">
        <v>717</v>
      </c>
      <c r="H100" s="204"/>
      <c r="I100" s="204"/>
      <c r="J100" s="204" t="s">
        <v>700</v>
      </c>
      <c r="K100" s="207"/>
      <c r="L100" s="207"/>
      <c r="M100" s="205" t="s">
        <v>607</v>
      </c>
      <c r="N100" s="205" t="s">
        <v>701</v>
      </c>
      <c r="O100" s="204">
        <v>99</v>
      </c>
      <c r="P100" s="209" t="s">
        <v>415</v>
      </c>
      <c r="Q100" s="209" t="s">
        <v>679</v>
      </c>
      <c r="R100" s="209" t="s">
        <v>702</v>
      </c>
    </row>
    <row r="101" spans="1:18" ht="42" customHeight="1">
      <c r="A101" s="204" t="s">
        <v>718</v>
      </c>
      <c r="B101" s="205" t="s">
        <v>95</v>
      </c>
      <c r="C101" s="205" t="s">
        <v>209</v>
      </c>
      <c r="D101" s="205" t="s">
        <v>216</v>
      </c>
      <c r="E101" s="204" t="s">
        <v>340</v>
      </c>
      <c r="F101" s="206" t="s">
        <v>719</v>
      </c>
      <c r="G101" s="206" t="s">
        <v>720</v>
      </c>
      <c r="H101" s="204"/>
      <c r="I101" s="204"/>
      <c r="J101" s="204" t="s">
        <v>700</v>
      </c>
      <c r="K101" s="207"/>
      <c r="L101" s="207"/>
      <c r="M101" s="205" t="s">
        <v>607</v>
      </c>
      <c r="N101" s="205" t="s">
        <v>701</v>
      </c>
      <c r="O101" s="204">
        <v>100</v>
      </c>
      <c r="P101" s="209" t="s">
        <v>415</v>
      </c>
      <c r="Q101" s="209" t="s">
        <v>679</v>
      </c>
      <c r="R101" s="209" t="s">
        <v>702</v>
      </c>
    </row>
    <row r="102" spans="1:18" ht="42" customHeight="1">
      <c r="A102" s="204" t="s">
        <v>721</v>
      </c>
      <c r="B102" s="205" t="s">
        <v>95</v>
      </c>
      <c r="C102" s="205" t="s">
        <v>209</v>
      </c>
      <c r="D102" s="205" t="s">
        <v>217</v>
      </c>
      <c r="E102" s="204" t="s">
        <v>340</v>
      </c>
      <c r="F102" s="206" t="s">
        <v>722</v>
      </c>
      <c r="G102" s="206" t="s">
        <v>723</v>
      </c>
      <c r="H102" s="204"/>
      <c r="I102" s="204"/>
      <c r="J102" s="204" t="s">
        <v>700</v>
      </c>
      <c r="K102" s="207"/>
      <c r="L102" s="207"/>
      <c r="M102" s="205" t="s">
        <v>607</v>
      </c>
      <c r="N102" s="205" t="s">
        <v>701</v>
      </c>
      <c r="O102" s="204">
        <v>101</v>
      </c>
      <c r="P102" s="209" t="s">
        <v>415</v>
      </c>
      <c r="Q102" s="209" t="s">
        <v>679</v>
      </c>
      <c r="R102" s="209" t="s">
        <v>702</v>
      </c>
    </row>
    <row r="103" spans="1:18" ht="42" customHeight="1">
      <c r="A103" s="204" t="s">
        <v>724</v>
      </c>
      <c r="B103" s="205" t="s">
        <v>95</v>
      </c>
      <c r="C103" s="205" t="s">
        <v>218</v>
      </c>
      <c r="D103" s="205" t="s">
        <v>219</v>
      </c>
      <c r="E103" s="204" t="s">
        <v>342</v>
      </c>
      <c r="F103" s="206" t="s">
        <v>725</v>
      </c>
      <c r="G103" s="206" t="s">
        <v>726</v>
      </c>
      <c r="H103" s="204"/>
      <c r="I103" s="204"/>
      <c r="J103" s="204" t="s">
        <v>387</v>
      </c>
      <c r="K103" s="207">
        <v>46302</v>
      </c>
      <c r="L103" s="207">
        <v>46302</v>
      </c>
      <c r="M103" s="205" t="s">
        <v>382</v>
      </c>
      <c r="N103" s="205" t="s">
        <v>727</v>
      </c>
      <c r="O103" s="204">
        <v>102</v>
      </c>
      <c r="P103" s="208" t="s">
        <v>361</v>
      </c>
      <c r="Q103" s="208" t="s">
        <v>410</v>
      </c>
      <c r="R103" s="208" t="s">
        <v>728</v>
      </c>
    </row>
    <row r="104" spans="1:18" ht="42" customHeight="1">
      <c r="A104" s="204" t="s">
        <v>729</v>
      </c>
      <c r="B104" s="205" t="s">
        <v>95</v>
      </c>
      <c r="C104" s="205" t="s">
        <v>220</v>
      </c>
      <c r="D104" s="205" t="s">
        <v>221</v>
      </c>
      <c r="E104" s="204" t="s">
        <v>340</v>
      </c>
      <c r="F104" s="206" t="s">
        <v>730</v>
      </c>
      <c r="G104" s="206" t="s">
        <v>731</v>
      </c>
      <c r="H104" s="204"/>
      <c r="I104" s="204"/>
      <c r="J104" s="204" t="s">
        <v>732</v>
      </c>
      <c r="K104" s="207"/>
      <c r="L104" s="207"/>
      <c r="M104" s="205" t="s">
        <v>414</v>
      </c>
      <c r="N104" s="205" t="s">
        <v>733</v>
      </c>
      <c r="O104" s="204">
        <v>103</v>
      </c>
      <c r="P104" s="209" t="s">
        <v>415</v>
      </c>
      <c r="Q104" s="209" t="s">
        <v>679</v>
      </c>
      <c r="R104" s="209" t="s">
        <v>734</v>
      </c>
    </row>
    <row r="105" spans="1:18" ht="42" customHeight="1">
      <c r="A105" s="204" t="s">
        <v>735</v>
      </c>
      <c r="B105" s="205" t="s">
        <v>95</v>
      </c>
      <c r="C105" s="205" t="s">
        <v>220</v>
      </c>
      <c r="D105" s="205" t="s">
        <v>222</v>
      </c>
      <c r="E105" s="204" t="s">
        <v>340</v>
      </c>
      <c r="F105" s="206" t="s">
        <v>736</v>
      </c>
      <c r="G105" s="206" t="s">
        <v>737</v>
      </c>
      <c r="H105" s="204"/>
      <c r="I105" s="204"/>
      <c r="J105" s="204" t="s">
        <v>732</v>
      </c>
      <c r="K105" s="207"/>
      <c r="L105" s="207"/>
      <c r="M105" s="205" t="s">
        <v>414</v>
      </c>
      <c r="N105" s="205" t="s">
        <v>733</v>
      </c>
      <c r="O105" s="204">
        <v>104</v>
      </c>
      <c r="P105" s="209" t="s">
        <v>415</v>
      </c>
      <c r="Q105" s="209" t="s">
        <v>679</v>
      </c>
      <c r="R105" s="209" t="s">
        <v>734</v>
      </c>
    </row>
    <row r="106" spans="1:18" ht="42" customHeight="1">
      <c r="A106" s="204" t="s">
        <v>738</v>
      </c>
      <c r="B106" s="205" t="s">
        <v>95</v>
      </c>
      <c r="C106" s="205" t="s">
        <v>220</v>
      </c>
      <c r="D106" s="205" t="s">
        <v>223</v>
      </c>
      <c r="E106" s="204" t="s">
        <v>340</v>
      </c>
      <c r="F106" s="206" t="s">
        <v>739</v>
      </c>
      <c r="G106" s="206" t="s">
        <v>740</v>
      </c>
      <c r="H106" s="204"/>
      <c r="I106" s="204"/>
      <c r="J106" s="204" t="s">
        <v>732</v>
      </c>
      <c r="K106" s="207"/>
      <c r="L106" s="207"/>
      <c r="M106" s="205" t="s">
        <v>414</v>
      </c>
      <c r="N106" s="205" t="s">
        <v>741</v>
      </c>
      <c r="O106" s="204">
        <v>105</v>
      </c>
      <c r="P106" s="209" t="s">
        <v>415</v>
      </c>
      <c r="Q106" s="209" t="s">
        <v>679</v>
      </c>
      <c r="R106" s="209" t="s">
        <v>734</v>
      </c>
    </row>
    <row r="107" spans="1:18" ht="42" customHeight="1">
      <c r="A107" s="204" t="s">
        <v>742</v>
      </c>
      <c r="B107" s="205" t="s">
        <v>95</v>
      </c>
      <c r="C107" s="205" t="s">
        <v>220</v>
      </c>
      <c r="D107" s="205" t="s">
        <v>224</v>
      </c>
      <c r="E107" s="204" t="s">
        <v>340</v>
      </c>
      <c r="F107" s="206" t="s">
        <v>743</v>
      </c>
      <c r="G107" s="206" t="s">
        <v>744</v>
      </c>
      <c r="H107" s="204"/>
      <c r="I107" s="204"/>
      <c r="J107" s="204" t="s">
        <v>732</v>
      </c>
      <c r="K107" s="207"/>
      <c r="L107" s="207"/>
      <c r="M107" s="205" t="s">
        <v>414</v>
      </c>
      <c r="N107" s="205" t="s">
        <v>733</v>
      </c>
      <c r="O107" s="204">
        <v>106</v>
      </c>
      <c r="P107" s="209" t="s">
        <v>415</v>
      </c>
      <c r="Q107" s="209" t="s">
        <v>679</v>
      </c>
      <c r="R107" s="209" t="s">
        <v>734</v>
      </c>
    </row>
    <row r="108" spans="1:18" ht="42" customHeight="1">
      <c r="A108" s="204" t="s">
        <v>745</v>
      </c>
      <c r="B108" s="205" t="s">
        <v>95</v>
      </c>
      <c r="C108" s="205" t="s">
        <v>220</v>
      </c>
      <c r="D108" s="205" t="s">
        <v>225</v>
      </c>
      <c r="E108" s="204" t="s">
        <v>340</v>
      </c>
      <c r="F108" s="206" t="s">
        <v>746</v>
      </c>
      <c r="G108" s="206" t="s">
        <v>747</v>
      </c>
      <c r="H108" s="204"/>
      <c r="I108" s="204"/>
      <c r="J108" s="204" t="s">
        <v>732</v>
      </c>
      <c r="K108" s="207"/>
      <c r="L108" s="207"/>
      <c r="M108" s="205" t="s">
        <v>414</v>
      </c>
      <c r="N108" s="205" t="s">
        <v>748</v>
      </c>
      <c r="O108" s="204">
        <v>107</v>
      </c>
      <c r="P108" s="209" t="s">
        <v>415</v>
      </c>
      <c r="Q108" s="209" t="s">
        <v>679</v>
      </c>
      <c r="R108" s="209" t="s">
        <v>734</v>
      </c>
    </row>
    <row r="109" spans="1:18" ht="42" customHeight="1">
      <c r="A109" s="204" t="s">
        <v>749</v>
      </c>
      <c r="B109" s="205" t="s">
        <v>95</v>
      </c>
      <c r="C109" s="205" t="s">
        <v>220</v>
      </c>
      <c r="D109" s="205" t="s">
        <v>226</v>
      </c>
      <c r="E109" s="204" t="s">
        <v>340</v>
      </c>
      <c r="F109" s="206" t="s">
        <v>750</v>
      </c>
      <c r="G109" s="206" t="s">
        <v>751</v>
      </c>
      <c r="H109" s="204"/>
      <c r="I109" s="204"/>
      <c r="J109" s="204" t="s">
        <v>732</v>
      </c>
      <c r="K109" s="207"/>
      <c r="L109" s="207"/>
      <c r="M109" s="205" t="s">
        <v>414</v>
      </c>
      <c r="N109" s="205" t="s">
        <v>733</v>
      </c>
      <c r="O109" s="204">
        <v>108</v>
      </c>
      <c r="P109" s="209" t="s">
        <v>415</v>
      </c>
      <c r="Q109" s="209" t="s">
        <v>679</v>
      </c>
      <c r="R109" s="209" t="s">
        <v>734</v>
      </c>
    </row>
    <row r="110" spans="1:18" ht="42" customHeight="1">
      <c r="A110" s="204" t="s">
        <v>752</v>
      </c>
      <c r="B110" s="205" t="s">
        <v>95</v>
      </c>
      <c r="C110" s="205" t="s">
        <v>220</v>
      </c>
      <c r="D110" s="205" t="s">
        <v>227</v>
      </c>
      <c r="E110" s="204" t="s">
        <v>340</v>
      </c>
      <c r="F110" s="206" t="s">
        <v>753</v>
      </c>
      <c r="G110" s="206" t="s">
        <v>754</v>
      </c>
      <c r="H110" s="204"/>
      <c r="I110" s="204"/>
      <c r="J110" s="204" t="s">
        <v>732</v>
      </c>
      <c r="K110" s="207"/>
      <c r="L110" s="207"/>
      <c r="M110" s="205" t="s">
        <v>414</v>
      </c>
      <c r="N110" s="205" t="s">
        <v>755</v>
      </c>
      <c r="O110" s="204">
        <v>109</v>
      </c>
      <c r="P110" s="209" t="s">
        <v>415</v>
      </c>
      <c r="Q110" s="209" t="s">
        <v>679</v>
      </c>
      <c r="R110" s="209" t="s">
        <v>734</v>
      </c>
    </row>
    <row r="111" spans="1:18" ht="42" customHeight="1">
      <c r="A111" s="204" t="s">
        <v>756</v>
      </c>
      <c r="B111" s="205" t="s">
        <v>95</v>
      </c>
      <c r="C111" s="205" t="s">
        <v>220</v>
      </c>
      <c r="D111" s="205" t="s">
        <v>228</v>
      </c>
      <c r="E111" s="204" t="s">
        <v>340</v>
      </c>
      <c r="F111" s="206" t="s">
        <v>757</v>
      </c>
      <c r="G111" s="206" t="s">
        <v>758</v>
      </c>
      <c r="H111" s="204"/>
      <c r="I111" s="204"/>
      <c r="J111" s="204" t="s">
        <v>732</v>
      </c>
      <c r="K111" s="207"/>
      <c r="L111" s="207"/>
      <c r="M111" s="205" t="s">
        <v>414</v>
      </c>
      <c r="N111" s="205" t="s">
        <v>755</v>
      </c>
      <c r="O111" s="204">
        <v>110</v>
      </c>
      <c r="P111" s="209" t="s">
        <v>415</v>
      </c>
      <c r="Q111" s="209" t="s">
        <v>679</v>
      </c>
      <c r="R111" s="209" t="s">
        <v>734</v>
      </c>
    </row>
    <row r="112" spans="1:18" ht="42" customHeight="1">
      <c r="A112" s="204" t="s">
        <v>759</v>
      </c>
      <c r="B112" s="205" t="s">
        <v>95</v>
      </c>
      <c r="C112" s="205" t="s">
        <v>220</v>
      </c>
      <c r="D112" s="205" t="s">
        <v>229</v>
      </c>
      <c r="E112" s="204" t="s">
        <v>340</v>
      </c>
      <c r="F112" s="206" t="s">
        <v>760</v>
      </c>
      <c r="G112" s="206" t="s">
        <v>761</v>
      </c>
      <c r="H112" s="204"/>
      <c r="I112" s="204"/>
      <c r="J112" s="204" t="s">
        <v>732</v>
      </c>
      <c r="K112" s="207"/>
      <c r="L112" s="207"/>
      <c r="M112" s="205" t="s">
        <v>414</v>
      </c>
      <c r="N112" s="205" t="s">
        <v>755</v>
      </c>
      <c r="O112" s="204">
        <v>111</v>
      </c>
      <c r="P112" s="209" t="s">
        <v>415</v>
      </c>
      <c r="Q112" s="209" t="s">
        <v>679</v>
      </c>
      <c r="R112" s="209" t="s">
        <v>734</v>
      </c>
    </row>
    <row r="113" spans="1:18" ht="42" customHeight="1">
      <c r="A113" s="204" t="s">
        <v>762</v>
      </c>
      <c r="B113" s="205" t="s">
        <v>95</v>
      </c>
      <c r="C113" s="205" t="s">
        <v>220</v>
      </c>
      <c r="D113" s="205" t="s">
        <v>230</v>
      </c>
      <c r="E113" s="204" t="s">
        <v>340</v>
      </c>
      <c r="F113" s="206" t="s">
        <v>763</v>
      </c>
      <c r="G113" s="206" t="s">
        <v>764</v>
      </c>
      <c r="H113" s="204"/>
      <c r="I113" s="204"/>
      <c r="J113" s="204" t="s">
        <v>732</v>
      </c>
      <c r="K113" s="207"/>
      <c r="L113" s="207"/>
      <c r="M113" s="205" t="s">
        <v>414</v>
      </c>
      <c r="N113" s="205" t="s">
        <v>765</v>
      </c>
      <c r="O113" s="204">
        <v>112</v>
      </c>
      <c r="P113" s="209" t="s">
        <v>415</v>
      </c>
      <c r="Q113" s="209" t="s">
        <v>679</v>
      </c>
      <c r="R113" s="209" t="s">
        <v>734</v>
      </c>
    </row>
    <row r="114" spans="1:18" ht="42" customHeight="1">
      <c r="A114" s="204" t="s">
        <v>766</v>
      </c>
      <c r="B114" s="205" t="s">
        <v>95</v>
      </c>
      <c r="C114" s="205" t="s">
        <v>220</v>
      </c>
      <c r="D114" s="205" t="s">
        <v>231</v>
      </c>
      <c r="E114" s="204" t="s">
        <v>340</v>
      </c>
      <c r="F114" s="206" t="s">
        <v>767</v>
      </c>
      <c r="G114" s="206" t="s">
        <v>768</v>
      </c>
      <c r="H114" s="204"/>
      <c r="I114" s="204"/>
      <c r="J114" s="204" t="s">
        <v>732</v>
      </c>
      <c r="K114" s="207"/>
      <c r="L114" s="207"/>
      <c r="M114" s="205" t="s">
        <v>371</v>
      </c>
      <c r="N114" s="205" t="s">
        <v>769</v>
      </c>
      <c r="O114" s="204">
        <v>113</v>
      </c>
      <c r="P114" s="209" t="s">
        <v>415</v>
      </c>
      <c r="Q114" s="209" t="s">
        <v>679</v>
      </c>
      <c r="R114" s="209" t="s">
        <v>734</v>
      </c>
    </row>
    <row r="115" spans="1:18" ht="42" customHeight="1">
      <c r="A115" s="204" t="s">
        <v>770</v>
      </c>
      <c r="B115" s="205" t="s">
        <v>95</v>
      </c>
      <c r="C115" s="205" t="s">
        <v>232</v>
      </c>
      <c r="D115" s="205" t="s">
        <v>233</v>
      </c>
      <c r="E115" s="204" t="s">
        <v>771</v>
      </c>
      <c r="F115" s="206" t="s">
        <v>772</v>
      </c>
      <c r="G115" s="206" t="s">
        <v>773</v>
      </c>
      <c r="H115" s="204"/>
      <c r="I115" s="204"/>
      <c r="J115" s="204" t="s">
        <v>774</v>
      </c>
      <c r="K115" s="207"/>
      <c r="L115" s="207"/>
      <c r="M115" s="205" t="s">
        <v>414</v>
      </c>
      <c r="N115" s="205" t="s">
        <v>775</v>
      </c>
      <c r="O115" s="204">
        <v>114</v>
      </c>
      <c r="P115" s="210" t="s">
        <v>609</v>
      </c>
      <c r="Q115" s="210" t="s">
        <v>610</v>
      </c>
      <c r="R115" s="210" t="s">
        <v>776</v>
      </c>
    </row>
    <row r="116" spans="1:18" ht="42" customHeight="1">
      <c r="A116" s="204" t="s">
        <v>777</v>
      </c>
      <c r="B116" s="205" t="s">
        <v>95</v>
      </c>
      <c r="C116" s="205" t="s">
        <v>232</v>
      </c>
      <c r="D116" s="205" t="s">
        <v>234</v>
      </c>
      <c r="E116" s="204" t="s">
        <v>771</v>
      </c>
      <c r="F116" s="206" t="s">
        <v>778</v>
      </c>
      <c r="G116" s="206" t="s">
        <v>773</v>
      </c>
      <c r="H116" s="204"/>
      <c r="I116" s="204"/>
      <c r="J116" s="204" t="s">
        <v>774</v>
      </c>
      <c r="K116" s="207"/>
      <c r="L116" s="207"/>
      <c r="M116" s="205" t="s">
        <v>414</v>
      </c>
      <c r="N116" s="205" t="s">
        <v>779</v>
      </c>
      <c r="O116" s="204">
        <v>115</v>
      </c>
      <c r="P116" s="210" t="s">
        <v>609</v>
      </c>
      <c r="Q116" s="210" t="s">
        <v>610</v>
      </c>
      <c r="R116" s="210" t="s">
        <v>776</v>
      </c>
    </row>
    <row r="117" spans="1:18" ht="42" customHeight="1">
      <c r="A117" s="204" t="s">
        <v>780</v>
      </c>
      <c r="B117" s="205" t="s">
        <v>95</v>
      </c>
      <c r="C117" s="205" t="s">
        <v>232</v>
      </c>
      <c r="D117" s="205" t="s">
        <v>235</v>
      </c>
      <c r="E117" s="204" t="s">
        <v>771</v>
      </c>
      <c r="F117" s="206" t="s">
        <v>781</v>
      </c>
      <c r="G117" s="206" t="s">
        <v>773</v>
      </c>
      <c r="H117" s="204"/>
      <c r="I117" s="204"/>
      <c r="J117" s="204" t="s">
        <v>774</v>
      </c>
      <c r="K117" s="207"/>
      <c r="L117" s="207"/>
      <c r="M117" s="205" t="s">
        <v>414</v>
      </c>
      <c r="N117" s="205" t="s">
        <v>782</v>
      </c>
      <c r="O117" s="204">
        <v>116</v>
      </c>
      <c r="P117" s="210" t="s">
        <v>609</v>
      </c>
      <c r="Q117" s="210" t="s">
        <v>610</v>
      </c>
      <c r="R117" s="210" t="s">
        <v>776</v>
      </c>
    </row>
    <row r="118" spans="1:18" ht="42" customHeight="1">
      <c r="A118" s="204" t="s">
        <v>783</v>
      </c>
      <c r="B118" s="205" t="s">
        <v>95</v>
      </c>
      <c r="C118" s="205" t="s">
        <v>232</v>
      </c>
      <c r="D118" s="205" t="s">
        <v>236</v>
      </c>
      <c r="E118" s="204" t="s">
        <v>771</v>
      </c>
      <c r="F118" s="206" t="s">
        <v>784</v>
      </c>
      <c r="G118" s="206" t="s">
        <v>773</v>
      </c>
      <c r="H118" s="204"/>
      <c r="I118" s="204"/>
      <c r="J118" s="204" t="s">
        <v>774</v>
      </c>
      <c r="K118" s="207"/>
      <c r="L118" s="207"/>
      <c r="M118" s="205" t="s">
        <v>414</v>
      </c>
      <c r="N118" s="205" t="s">
        <v>785</v>
      </c>
      <c r="O118" s="204">
        <v>117</v>
      </c>
      <c r="P118" s="210" t="s">
        <v>609</v>
      </c>
      <c r="Q118" s="210" t="s">
        <v>610</v>
      </c>
      <c r="R118" s="210" t="s">
        <v>776</v>
      </c>
    </row>
    <row r="119" spans="1:18" ht="42" customHeight="1">
      <c r="A119" s="204" t="s">
        <v>786</v>
      </c>
      <c r="B119" s="205" t="s">
        <v>95</v>
      </c>
      <c r="C119" s="205" t="s">
        <v>237</v>
      </c>
      <c r="D119" s="205" t="s">
        <v>238</v>
      </c>
      <c r="E119" s="204" t="s">
        <v>771</v>
      </c>
      <c r="F119" s="206" t="s">
        <v>787</v>
      </c>
      <c r="G119" s="206" t="s">
        <v>773</v>
      </c>
      <c r="H119" s="204"/>
      <c r="I119" s="204"/>
      <c r="J119" s="204" t="s">
        <v>788</v>
      </c>
      <c r="K119" s="207"/>
      <c r="L119" s="207"/>
      <c r="M119" s="205" t="s">
        <v>414</v>
      </c>
      <c r="N119" s="205" t="s">
        <v>789</v>
      </c>
      <c r="O119" s="204">
        <v>118</v>
      </c>
      <c r="P119" s="210" t="s">
        <v>609</v>
      </c>
      <c r="Q119" s="210" t="s">
        <v>610</v>
      </c>
      <c r="R119" s="210" t="s">
        <v>776</v>
      </c>
    </row>
    <row r="120" spans="1:18" ht="42" customHeight="1">
      <c r="A120" s="204" t="s">
        <v>790</v>
      </c>
      <c r="B120" s="205" t="s">
        <v>95</v>
      </c>
      <c r="C120" s="205" t="s">
        <v>237</v>
      </c>
      <c r="D120" s="205" t="s">
        <v>239</v>
      </c>
      <c r="E120" s="204" t="s">
        <v>771</v>
      </c>
      <c r="F120" s="206" t="s">
        <v>791</v>
      </c>
      <c r="G120" s="206" t="s">
        <v>773</v>
      </c>
      <c r="H120" s="204"/>
      <c r="I120" s="204"/>
      <c r="J120" s="204" t="s">
        <v>788</v>
      </c>
      <c r="K120" s="207"/>
      <c r="L120" s="207"/>
      <c r="M120" s="205" t="s">
        <v>414</v>
      </c>
      <c r="N120" s="205" t="s">
        <v>792</v>
      </c>
      <c r="O120" s="204">
        <v>119</v>
      </c>
      <c r="P120" s="210" t="s">
        <v>609</v>
      </c>
      <c r="Q120" s="210" t="s">
        <v>610</v>
      </c>
      <c r="R120" s="210" t="s">
        <v>776</v>
      </c>
    </row>
    <row r="121" spans="1:18" ht="42" customHeight="1">
      <c r="A121" s="204" t="s">
        <v>793</v>
      </c>
      <c r="B121" s="205" t="s">
        <v>95</v>
      </c>
      <c r="C121" s="205" t="s">
        <v>237</v>
      </c>
      <c r="D121" s="205" t="s">
        <v>240</v>
      </c>
      <c r="E121" s="204" t="s">
        <v>771</v>
      </c>
      <c r="F121" s="206" t="s">
        <v>794</v>
      </c>
      <c r="G121" s="206" t="s">
        <v>773</v>
      </c>
      <c r="H121" s="204"/>
      <c r="I121" s="204"/>
      <c r="J121" s="204" t="s">
        <v>788</v>
      </c>
      <c r="K121" s="207"/>
      <c r="L121" s="207"/>
      <c r="M121" s="205" t="s">
        <v>414</v>
      </c>
      <c r="N121" s="205" t="s">
        <v>795</v>
      </c>
      <c r="O121" s="204">
        <v>120</v>
      </c>
      <c r="P121" s="210" t="s">
        <v>609</v>
      </c>
      <c r="Q121" s="210" t="s">
        <v>610</v>
      </c>
      <c r="R121" s="210" t="s">
        <v>776</v>
      </c>
    </row>
    <row r="122" spans="1:18" ht="42" customHeight="1">
      <c r="A122" s="204" t="s">
        <v>796</v>
      </c>
      <c r="B122" s="205" t="s">
        <v>95</v>
      </c>
      <c r="C122" s="205" t="s">
        <v>237</v>
      </c>
      <c r="D122" s="205" t="s">
        <v>241</v>
      </c>
      <c r="E122" s="204" t="s">
        <v>771</v>
      </c>
      <c r="F122" s="206" t="s">
        <v>797</v>
      </c>
      <c r="G122" s="206" t="s">
        <v>773</v>
      </c>
      <c r="H122" s="204"/>
      <c r="I122" s="204"/>
      <c r="J122" s="204" t="s">
        <v>788</v>
      </c>
      <c r="K122" s="207"/>
      <c r="L122" s="207"/>
      <c r="M122" s="205" t="s">
        <v>414</v>
      </c>
      <c r="N122" s="205" t="s">
        <v>798</v>
      </c>
      <c r="O122" s="204">
        <v>121</v>
      </c>
      <c r="P122" s="210" t="s">
        <v>609</v>
      </c>
      <c r="Q122" s="210" t="s">
        <v>610</v>
      </c>
      <c r="R122" s="210" t="s">
        <v>776</v>
      </c>
    </row>
    <row r="123" spans="1:18" ht="42" customHeight="1">
      <c r="A123" s="204" t="s">
        <v>799</v>
      </c>
      <c r="B123" s="205" t="s">
        <v>95</v>
      </c>
      <c r="C123" s="205" t="s">
        <v>242</v>
      </c>
      <c r="D123" s="205" t="s">
        <v>243</v>
      </c>
      <c r="E123" s="204" t="s">
        <v>242</v>
      </c>
      <c r="F123" s="206" t="s">
        <v>800</v>
      </c>
      <c r="G123" s="206" t="s">
        <v>801</v>
      </c>
      <c r="H123" s="204"/>
      <c r="I123" s="204"/>
      <c r="J123" s="204" t="s">
        <v>242</v>
      </c>
      <c r="K123" s="207"/>
      <c r="L123" s="207"/>
      <c r="M123" s="205" t="s">
        <v>414</v>
      </c>
      <c r="N123" s="205" t="s">
        <v>802</v>
      </c>
      <c r="O123" s="204">
        <v>122</v>
      </c>
      <c r="P123" s="209" t="s">
        <v>415</v>
      </c>
      <c r="Q123" s="209" t="s">
        <v>679</v>
      </c>
      <c r="R123" s="209" t="s">
        <v>803</v>
      </c>
    </row>
    <row r="124" spans="1:18" ht="42" customHeight="1">
      <c r="A124" s="204" t="s">
        <v>804</v>
      </c>
      <c r="B124" s="205" t="s">
        <v>95</v>
      </c>
      <c r="C124" s="205" t="s">
        <v>242</v>
      </c>
      <c r="D124" s="205" t="s">
        <v>244</v>
      </c>
      <c r="E124" s="204" t="s">
        <v>242</v>
      </c>
      <c r="F124" s="206" t="s">
        <v>805</v>
      </c>
      <c r="G124" s="206" t="s">
        <v>801</v>
      </c>
      <c r="H124" s="204"/>
      <c r="I124" s="204"/>
      <c r="J124" s="204" t="s">
        <v>242</v>
      </c>
      <c r="K124" s="207"/>
      <c r="L124" s="207"/>
      <c r="M124" s="205" t="s">
        <v>414</v>
      </c>
      <c r="N124" s="205" t="s">
        <v>802</v>
      </c>
      <c r="O124" s="204">
        <v>123</v>
      </c>
      <c r="P124" s="209" t="s">
        <v>415</v>
      </c>
      <c r="Q124" s="209" t="s">
        <v>679</v>
      </c>
      <c r="R124" s="209" t="s">
        <v>803</v>
      </c>
    </row>
    <row r="125" spans="1:18" ht="42" customHeight="1">
      <c r="A125" s="204" t="s">
        <v>806</v>
      </c>
      <c r="B125" s="205" t="s">
        <v>95</v>
      </c>
      <c r="C125" s="205" t="s">
        <v>242</v>
      </c>
      <c r="D125" s="205" t="s">
        <v>245</v>
      </c>
      <c r="E125" s="204" t="s">
        <v>242</v>
      </c>
      <c r="F125" s="206" t="s">
        <v>807</v>
      </c>
      <c r="G125" s="206" t="s">
        <v>808</v>
      </c>
      <c r="H125" s="204"/>
      <c r="I125" s="204"/>
      <c r="J125" s="204" t="s">
        <v>242</v>
      </c>
      <c r="K125" s="207"/>
      <c r="L125" s="207"/>
      <c r="M125" s="205" t="s">
        <v>420</v>
      </c>
      <c r="N125" s="205" t="s">
        <v>809</v>
      </c>
      <c r="O125" s="204">
        <v>124</v>
      </c>
      <c r="P125" s="209" t="s">
        <v>415</v>
      </c>
      <c r="Q125" s="209" t="s">
        <v>679</v>
      </c>
      <c r="R125" s="209" t="s">
        <v>803</v>
      </c>
    </row>
    <row r="126" spans="1:18" ht="42" customHeight="1">
      <c r="A126" s="204" t="s">
        <v>810</v>
      </c>
      <c r="B126" s="205" t="s">
        <v>95</v>
      </c>
      <c r="C126" s="205" t="s">
        <v>242</v>
      </c>
      <c r="D126" s="205" t="s">
        <v>246</v>
      </c>
      <c r="E126" s="204" t="s">
        <v>242</v>
      </c>
      <c r="F126" s="206" t="s">
        <v>811</v>
      </c>
      <c r="G126" s="206" t="s">
        <v>812</v>
      </c>
      <c r="H126" s="204"/>
      <c r="I126" s="204"/>
      <c r="J126" s="204" t="s">
        <v>242</v>
      </c>
      <c r="K126" s="207"/>
      <c r="L126" s="207"/>
      <c r="M126" s="205" t="s">
        <v>420</v>
      </c>
      <c r="N126" s="205" t="s">
        <v>813</v>
      </c>
      <c r="O126" s="204">
        <v>125</v>
      </c>
      <c r="P126" s="209" t="s">
        <v>415</v>
      </c>
      <c r="Q126" s="209" t="s">
        <v>679</v>
      </c>
      <c r="R126" s="209" t="s">
        <v>803</v>
      </c>
    </row>
    <row r="127" spans="1:18" ht="15.75" customHeight="1"/>
    <row r="128" spans="1:1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O1"/>
    <mergeCell ref="A2:O2"/>
    <mergeCell ref="A3:B3"/>
    <mergeCell ref="C3:D3"/>
    <mergeCell ref="E3:F3"/>
    <mergeCell ref="G3:H3"/>
    <mergeCell ref="I3:J3"/>
    <mergeCell ref="K3:O3"/>
  </mergeCells>
  <conditionalFormatting sqref="A6:O126">
    <cfRule type="expression" dxfId="19" priority="1">
      <formula>$E6="外部依存"</formula>
    </cfRule>
  </conditionalFormatting>
  <conditionalFormatting sqref="A6:O126">
    <cfRule type="expression" dxfId="18" priority="2">
      <formula>$E6="条件付き"</formula>
    </cfRule>
  </conditionalFormatting>
  <conditionalFormatting sqref="A6:O126">
    <cfRule type="expression" dxfId="17" priority="3">
      <formula>$E6="対象範囲確認"</formula>
    </cfRule>
  </conditionalFormatting>
  <conditionalFormatting sqref="A6:O126">
    <cfRule type="expression" dxfId="16" priority="4">
      <formula>$E6="将来対応"</formula>
    </cfRule>
  </conditionalFormatting>
  <conditionalFormatting sqref="A6:O126">
    <cfRule type="expression" dxfId="15" priority="5">
      <formula>$E6="マイルストーン"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25" customWidth="1"/>
    <col min="2" max="4" width="14" customWidth="1"/>
    <col min="5" max="5" width="40" customWidth="1"/>
    <col min="6" max="6" width="20" customWidth="1"/>
    <col min="7" max="7" width="38" customWidth="1"/>
    <col min="8" max="8" width="26" customWidth="1"/>
    <col min="9" max="26" width="8.7109375" customWidth="1"/>
  </cols>
  <sheetData>
    <row r="1" spans="1:8" ht="33.75" customHeight="1">
      <c r="A1" s="278" t="s">
        <v>814</v>
      </c>
      <c r="B1" s="298"/>
      <c r="C1" s="298"/>
      <c r="D1" s="298"/>
      <c r="E1" s="298"/>
      <c r="F1" s="298"/>
      <c r="G1" s="298"/>
      <c r="H1" s="298"/>
    </row>
    <row r="2" spans="1:8" ht="43.5" customHeight="1">
      <c r="A2" s="279" t="s">
        <v>815</v>
      </c>
      <c r="B2" s="298"/>
      <c r="C2" s="298"/>
      <c r="D2" s="298"/>
      <c r="E2" s="298"/>
      <c r="F2" s="298"/>
      <c r="G2" s="298"/>
      <c r="H2" s="298"/>
    </row>
    <row r="3" spans="1:8" ht="30" customHeight="1">
      <c r="A3" s="280"/>
      <c r="B3" s="298"/>
      <c r="C3" s="281"/>
      <c r="D3" s="298"/>
      <c r="E3" s="282"/>
      <c r="F3" s="298"/>
      <c r="G3" s="283"/>
      <c r="H3" s="298"/>
    </row>
    <row r="4" spans="1:8" ht="27.75" customHeight="1">
      <c r="A4" s="211" t="s">
        <v>816</v>
      </c>
      <c r="B4" s="211" t="s">
        <v>817</v>
      </c>
      <c r="C4" s="212" t="s">
        <v>818</v>
      </c>
      <c r="D4" s="212" t="s">
        <v>819</v>
      </c>
      <c r="E4" s="213" t="s">
        <v>50</v>
      </c>
      <c r="F4" s="213" t="s">
        <v>820</v>
      </c>
      <c r="G4" s="214" t="s">
        <v>821</v>
      </c>
      <c r="H4" s="214" t="s">
        <v>822</v>
      </c>
    </row>
    <row r="5" spans="1:8" ht="27.75" customHeight="1">
      <c r="A5" s="211">
        <v>57.5</v>
      </c>
      <c r="B5" s="211"/>
      <c r="C5" s="215">
        <v>53.5</v>
      </c>
      <c r="D5" s="212"/>
      <c r="E5" s="213">
        <v>4</v>
      </c>
      <c r="F5" s="216"/>
      <c r="G5" s="217" t="s">
        <v>823</v>
      </c>
      <c r="H5" s="214"/>
    </row>
    <row r="6" spans="1:8" ht="33.75" customHeight="1">
      <c r="A6" s="211" t="s">
        <v>824</v>
      </c>
      <c r="B6" s="211"/>
      <c r="C6" s="215" t="s">
        <v>825</v>
      </c>
      <c r="D6" s="212"/>
      <c r="E6" s="213" t="s">
        <v>826</v>
      </c>
      <c r="F6" s="216"/>
      <c r="G6" s="217" t="s">
        <v>827</v>
      </c>
      <c r="H6" s="214"/>
    </row>
    <row r="7" spans="1:8" ht="33.75" customHeight="1">
      <c r="A7" s="205"/>
      <c r="B7" s="205"/>
      <c r="C7" s="218"/>
      <c r="D7" s="205"/>
      <c r="E7" s="204"/>
      <c r="F7" s="219"/>
      <c r="G7" s="219"/>
      <c r="H7" s="205"/>
    </row>
    <row r="8" spans="1:8" ht="33.75" customHeight="1">
      <c r="A8" s="107" t="s">
        <v>828</v>
      </c>
      <c r="B8" s="107" t="s">
        <v>829</v>
      </c>
      <c r="C8" s="220" t="s">
        <v>818</v>
      </c>
      <c r="D8" s="107" t="s">
        <v>340</v>
      </c>
      <c r="E8" s="107" t="s">
        <v>830</v>
      </c>
      <c r="F8" s="220" t="s">
        <v>831</v>
      </c>
      <c r="G8" s="220" t="s">
        <v>832</v>
      </c>
      <c r="H8" s="107" t="s">
        <v>833</v>
      </c>
    </row>
    <row r="9" spans="1:8" ht="37.5" customHeight="1">
      <c r="A9" s="221" t="s">
        <v>113</v>
      </c>
      <c r="B9" s="222">
        <v>10</v>
      </c>
      <c r="C9" s="223">
        <v>10</v>
      </c>
      <c r="D9" s="222">
        <v>0</v>
      </c>
      <c r="E9" s="224" t="s">
        <v>834</v>
      </c>
      <c r="F9" s="225" t="s">
        <v>835</v>
      </c>
      <c r="G9" s="225" t="s">
        <v>836</v>
      </c>
      <c r="H9" s="221" t="s">
        <v>837</v>
      </c>
    </row>
    <row r="10" spans="1:8" ht="37.5" customHeight="1">
      <c r="A10" s="221" t="s">
        <v>838</v>
      </c>
      <c r="B10" s="222">
        <v>7</v>
      </c>
      <c r="C10" s="223">
        <v>7</v>
      </c>
      <c r="D10" s="222">
        <v>0</v>
      </c>
      <c r="E10" s="224" t="s">
        <v>839</v>
      </c>
      <c r="F10" s="225" t="s">
        <v>835</v>
      </c>
      <c r="G10" s="225" t="s">
        <v>840</v>
      </c>
      <c r="H10" s="221" t="s">
        <v>841</v>
      </c>
    </row>
    <row r="11" spans="1:8" ht="37.5" customHeight="1">
      <c r="A11" s="221" t="s">
        <v>842</v>
      </c>
      <c r="B11" s="222">
        <v>9.5</v>
      </c>
      <c r="C11" s="223">
        <v>9.5</v>
      </c>
      <c r="D11" s="222">
        <v>0</v>
      </c>
      <c r="E11" s="224" t="s">
        <v>843</v>
      </c>
      <c r="F11" s="225" t="s">
        <v>835</v>
      </c>
      <c r="G11" s="225" t="s">
        <v>844</v>
      </c>
      <c r="H11" s="221" t="s">
        <v>837</v>
      </c>
    </row>
    <row r="12" spans="1:8" ht="37.5" customHeight="1">
      <c r="A12" s="284" t="s">
        <v>845</v>
      </c>
      <c r="B12" s="298"/>
      <c r="C12" s="227">
        <v>13</v>
      </c>
      <c r="D12" s="228">
        <v>0</v>
      </c>
      <c r="E12" s="229" t="s">
        <v>846</v>
      </c>
      <c r="F12" s="230" t="s">
        <v>835</v>
      </c>
      <c r="G12" s="230" t="s">
        <v>847</v>
      </c>
      <c r="H12" s="226" t="s">
        <v>837</v>
      </c>
    </row>
    <row r="13" spans="1:8" ht="37.5" customHeight="1">
      <c r="A13" s="221" t="s">
        <v>848</v>
      </c>
      <c r="B13" s="222">
        <v>4</v>
      </c>
      <c r="C13" s="222">
        <v>4</v>
      </c>
      <c r="D13" s="222">
        <v>0</v>
      </c>
      <c r="E13" s="221" t="s">
        <v>849</v>
      </c>
      <c r="F13" s="221" t="s">
        <v>835</v>
      </c>
      <c r="G13" s="221" t="s">
        <v>850</v>
      </c>
      <c r="H13" s="221" t="s">
        <v>837</v>
      </c>
    </row>
    <row r="14" spans="1:8" ht="37.5" customHeight="1">
      <c r="A14" s="285" t="s">
        <v>851</v>
      </c>
      <c r="B14" s="298"/>
      <c r="C14" s="298"/>
      <c r="D14" s="298"/>
      <c r="E14" s="298"/>
      <c r="F14" s="298"/>
      <c r="G14" s="298"/>
      <c r="H14" s="298"/>
    </row>
    <row r="15" spans="1:8" ht="37.5" customHeight="1">
      <c r="A15" s="231" t="s">
        <v>104</v>
      </c>
      <c r="B15" s="232">
        <v>10</v>
      </c>
      <c r="C15" s="222">
        <v>10</v>
      </c>
      <c r="D15" s="222">
        <v>0</v>
      </c>
      <c r="E15" s="221" t="s">
        <v>852</v>
      </c>
      <c r="F15" s="221" t="s">
        <v>835</v>
      </c>
      <c r="G15" s="221" t="s">
        <v>853</v>
      </c>
      <c r="H15" s="221" t="s">
        <v>837</v>
      </c>
    </row>
    <row r="16" spans="1:8" ht="37.5" customHeight="1">
      <c r="A16" s="233" t="s">
        <v>854</v>
      </c>
      <c r="B16" s="222">
        <v>57.5</v>
      </c>
      <c r="C16" s="222">
        <v>53.5</v>
      </c>
      <c r="D16" s="222">
        <v>4</v>
      </c>
      <c r="E16" s="221"/>
      <c r="F16" s="221"/>
      <c r="G16" s="221"/>
      <c r="H16" s="221"/>
    </row>
    <row r="17" spans="1:8" ht="33.75" customHeight="1">
      <c r="A17" s="19"/>
      <c r="B17" s="19"/>
    </row>
    <row r="18" spans="1:8" ht="33.75" customHeight="1">
      <c r="A18" s="234" t="s">
        <v>855</v>
      </c>
      <c r="B18" s="234" t="s">
        <v>856</v>
      </c>
      <c r="C18" s="235"/>
      <c r="D18" s="235"/>
      <c r="E18" s="235"/>
      <c r="F18" s="235"/>
      <c r="G18" s="235"/>
      <c r="H18" s="235"/>
    </row>
    <row r="19" spans="1:8" ht="42" customHeight="1">
      <c r="A19" s="236" t="s">
        <v>857</v>
      </c>
      <c r="B19" s="277" t="s">
        <v>858</v>
      </c>
      <c r="C19" s="298"/>
      <c r="D19" s="298"/>
      <c r="E19" s="298"/>
      <c r="F19" s="298"/>
      <c r="G19" s="298"/>
      <c r="H19" s="298"/>
    </row>
    <row r="20" spans="1:8" ht="42" customHeight="1">
      <c r="A20" s="236" t="s">
        <v>859</v>
      </c>
      <c r="B20" s="277" t="s">
        <v>860</v>
      </c>
      <c r="C20" s="298"/>
      <c r="D20" s="298"/>
      <c r="E20" s="298"/>
      <c r="F20" s="298"/>
      <c r="G20" s="298"/>
      <c r="H20" s="298"/>
    </row>
    <row r="21" spans="1:8" ht="42" customHeight="1">
      <c r="A21" s="236" t="s">
        <v>220</v>
      </c>
      <c r="B21" s="277" t="s">
        <v>861</v>
      </c>
      <c r="C21" s="298"/>
      <c r="D21" s="298"/>
      <c r="E21" s="298"/>
      <c r="F21" s="298"/>
      <c r="G21" s="298"/>
      <c r="H21" s="298"/>
    </row>
    <row r="22" spans="1:8" ht="42" customHeight="1">
      <c r="A22" s="236" t="s">
        <v>339</v>
      </c>
      <c r="B22" s="277" t="s">
        <v>862</v>
      </c>
      <c r="C22" s="298"/>
      <c r="D22" s="298"/>
      <c r="E22" s="298"/>
      <c r="F22" s="298"/>
      <c r="G22" s="298"/>
      <c r="H22" s="298"/>
    </row>
    <row r="23" spans="1:8" ht="42" customHeight="1">
      <c r="A23" s="236" t="s">
        <v>863</v>
      </c>
      <c r="B23" s="277" t="s">
        <v>864</v>
      </c>
      <c r="C23" s="298"/>
      <c r="D23" s="298"/>
      <c r="E23" s="298"/>
      <c r="F23" s="298"/>
      <c r="G23" s="298"/>
      <c r="H23" s="298"/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3:H23"/>
    <mergeCell ref="A1:H1"/>
    <mergeCell ref="A2:H2"/>
    <mergeCell ref="A3:B3"/>
    <mergeCell ref="C3:D3"/>
    <mergeCell ref="E3:F3"/>
    <mergeCell ref="G3:H3"/>
    <mergeCell ref="A12:B12"/>
    <mergeCell ref="A14:H14"/>
    <mergeCell ref="B19:H19"/>
    <mergeCell ref="B20:H20"/>
    <mergeCell ref="B21:H21"/>
    <mergeCell ref="B22:H22"/>
  </mergeCells>
  <conditionalFormatting sqref="E5:E11">
    <cfRule type="expression" dxfId="14" priority="1">
      <formula>E5="未配賦"</formula>
    </cfRule>
  </conditionalFormatting>
  <conditionalFormatting sqref="E5:E11">
    <cfRule type="expression" dxfId="13" priority="2">
      <formula>E5="仮配賦"</formula>
    </cfRule>
  </conditionalFormatting>
  <conditionalFormatting sqref="E5:E11">
    <cfRule type="expression" dxfId="12" priority="3">
      <formula>E5="配賦確定"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tabSelected="1" zoomScaleNormal="100" zoomScaleSheetLayoutView="100" workbookViewId="0">
      <pane xSplit="3" ySplit="6" topLeftCell="D7" activePane="bottomRight" state="frozen"/>
      <selection pane="bottomRight" activeCell="D7" sqref="D7"/>
      <selection pane="bottomLeft"/>
      <selection pane="topRight"/>
    </sheetView>
  </sheetViews>
  <sheetFormatPr defaultColWidth="14.42578125" defaultRowHeight="15"/>
  <cols>
    <col min="1" max="1" width="12.7109375" customWidth="1"/>
    <col min="2" max="2" width="11" customWidth="1"/>
    <col min="3" max="3" width="28.5703125" customWidth="1"/>
    <col min="4" max="4" width="42" customWidth="1"/>
    <col min="5" max="5" width="15" customWidth="1"/>
    <col min="6" max="7" width="14" customWidth="1"/>
    <col min="8" max="9" width="12" customWidth="1"/>
    <col min="10" max="10" width="11" customWidth="1"/>
    <col min="11" max="11" width="76.85546875" customWidth="1"/>
    <col min="12" max="22" width="9" customWidth="1"/>
    <col min="23" max="26" width="8.7109375" customWidth="1"/>
  </cols>
  <sheetData>
    <row r="1" spans="1:22" ht="33.75" customHeight="1">
      <c r="A1" s="278" t="s">
        <v>865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</row>
    <row r="2" spans="1:22" ht="42" customHeight="1">
      <c r="A2" s="286" t="s">
        <v>866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</row>
    <row r="3" spans="1:22" ht="48">
      <c r="A3" s="211" t="s">
        <v>867</v>
      </c>
      <c r="D3" s="212" t="s">
        <v>868</v>
      </c>
      <c r="G3" s="237" t="s">
        <v>869</v>
      </c>
      <c r="J3" s="238" t="s">
        <v>870</v>
      </c>
      <c r="M3" s="239" t="s">
        <v>871</v>
      </c>
      <c r="P3" s="212" t="s">
        <v>872</v>
      </c>
      <c r="S3" s="240" t="s">
        <v>873</v>
      </c>
    </row>
    <row r="4" spans="1:22" ht="12" customHeight="1">
      <c r="A4" s="298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</row>
    <row r="5" spans="1:22">
      <c r="A5" s="287" t="s">
        <v>874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88" t="s">
        <v>875</v>
      </c>
      <c r="M5" s="298"/>
      <c r="N5" s="298"/>
      <c r="O5" s="298"/>
      <c r="P5" s="298"/>
      <c r="Q5" s="298"/>
      <c r="R5" s="298"/>
      <c r="S5" s="298"/>
      <c r="T5" s="298"/>
      <c r="U5" s="298"/>
      <c r="V5" s="298"/>
    </row>
    <row r="6" spans="1:22">
      <c r="A6" s="149" t="s">
        <v>876</v>
      </c>
      <c r="B6" s="149" t="s">
        <v>344</v>
      </c>
      <c r="C6" s="149" t="s">
        <v>77</v>
      </c>
      <c r="D6" s="149" t="s">
        <v>78</v>
      </c>
      <c r="E6" s="149" t="s">
        <v>345</v>
      </c>
      <c r="F6" s="149" t="s">
        <v>88</v>
      </c>
      <c r="G6" s="149" t="s">
        <v>89</v>
      </c>
      <c r="H6" s="149" t="s">
        <v>92</v>
      </c>
      <c r="I6" s="149" t="s">
        <v>93</v>
      </c>
      <c r="J6" s="149" t="s">
        <v>84</v>
      </c>
      <c r="K6" s="149" t="s">
        <v>350</v>
      </c>
      <c r="L6" s="241">
        <v>46237</v>
      </c>
      <c r="M6" s="241">
        <v>46244</v>
      </c>
      <c r="N6" s="241">
        <v>46251</v>
      </c>
      <c r="O6" s="241">
        <v>46258</v>
      </c>
      <c r="P6" s="241">
        <v>46265</v>
      </c>
      <c r="Q6" s="241">
        <v>46272</v>
      </c>
      <c r="R6" s="241">
        <v>46279</v>
      </c>
      <c r="S6" s="241">
        <v>46286</v>
      </c>
      <c r="T6" s="241">
        <v>46293</v>
      </c>
      <c r="U6" s="241">
        <v>46300</v>
      </c>
      <c r="V6" s="241">
        <v>46307</v>
      </c>
    </row>
    <row r="7" spans="1:22" ht="15.75">
      <c r="A7" s="224">
        <v>1</v>
      </c>
      <c r="B7" s="224" t="s">
        <v>355</v>
      </c>
      <c r="C7" s="221" t="s">
        <v>96</v>
      </c>
      <c r="D7" s="221" t="s">
        <v>97</v>
      </c>
      <c r="E7" s="224" t="s">
        <v>339</v>
      </c>
      <c r="F7" s="224"/>
      <c r="G7" s="224"/>
      <c r="H7" s="242">
        <v>46251</v>
      </c>
      <c r="I7" s="242">
        <v>46262</v>
      </c>
      <c r="J7" s="224" t="s">
        <v>98</v>
      </c>
      <c r="K7" s="243" t="s">
        <v>877</v>
      </c>
      <c r="L7" s="268" t="str">
        <f t="shared" ref="L7:V7" si="0">IF(AND(L$6&lt;=$I7,L$6+6&gt;=$H7,$H7&lt;&gt;"",$I7&lt;&gt;""),1,"")</f>
        <v/>
      </c>
      <c r="M7" s="268" t="str">
        <f t="shared" si="0"/>
        <v/>
      </c>
      <c r="N7" s="268">
        <f t="shared" si="0"/>
        <v>1</v>
      </c>
      <c r="O7" s="268">
        <f t="shared" si="0"/>
        <v>1</v>
      </c>
      <c r="P7" s="268" t="str">
        <f t="shared" si="0"/>
        <v/>
      </c>
      <c r="Q7" s="268" t="str">
        <f t="shared" si="0"/>
        <v/>
      </c>
      <c r="R7" s="268" t="str">
        <f t="shared" si="0"/>
        <v/>
      </c>
      <c r="S7" s="268" t="str">
        <f t="shared" si="0"/>
        <v/>
      </c>
      <c r="T7" s="268" t="str">
        <f t="shared" si="0"/>
        <v/>
      </c>
      <c r="U7" s="268" t="str">
        <f t="shared" si="0"/>
        <v/>
      </c>
      <c r="V7" s="268" t="str">
        <f t="shared" si="0"/>
        <v/>
      </c>
    </row>
    <row r="8" spans="1:22" ht="15.75">
      <c r="A8" s="224">
        <v>2</v>
      </c>
      <c r="B8" s="224" t="s">
        <v>364</v>
      </c>
      <c r="C8" s="221" t="s">
        <v>96</v>
      </c>
      <c r="D8" s="221" t="s">
        <v>99</v>
      </c>
      <c r="E8" s="224" t="s">
        <v>339</v>
      </c>
      <c r="F8" s="224"/>
      <c r="G8" s="224"/>
      <c r="H8" s="242">
        <v>46251</v>
      </c>
      <c r="I8" s="242">
        <v>46260</v>
      </c>
      <c r="J8" s="224" t="s">
        <v>98</v>
      </c>
      <c r="K8" s="243" t="s">
        <v>878</v>
      </c>
      <c r="L8" s="268" t="str">
        <f t="shared" ref="L8:V8" si="1">IF(AND(L$6&lt;=$I8,L$6+6&gt;=$H8,$H8&lt;&gt;"",$I8&lt;&gt;""),1,"")</f>
        <v/>
      </c>
      <c r="M8" s="268" t="str">
        <f t="shared" si="1"/>
        <v/>
      </c>
      <c r="N8" s="268">
        <f t="shared" si="1"/>
        <v>1</v>
      </c>
      <c r="O8" s="268">
        <f t="shared" si="1"/>
        <v>1</v>
      </c>
      <c r="P8" s="268" t="str">
        <f t="shared" si="1"/>
        <v/>
      </c>
      <c r="Q8" s="268" t="str">
        <f t="shared" si="1"/>
        <v/>
      </c>
      <c r="R8" s="268" t="str">
        <f t="shared" si="1"/>
        <v/>
      </c>
      <c r="S8" s="268" t="str">
        <f t="shared" si="1"/>
        <v/>
      </c>
      <c r="T8" s="268" t="str">
        <f t="shared" si="1"/>
        <v/>
      </c>
      <c r="U8" s="268" t="str">
        <f t="shared" si="1"/>
        <v/>
      </c>
      <c r="V8" s="268" t="str">
        <f t="shared" si="1"/>
        <v/>
      </c>
    </row>
    <row r="9" spans="1:22" ht="15.75">
      <c r="A9" s="224">
        <v>3</v>
      </c>
      <c r="B9" s="224" t="s">
        <v>368</v>
      </c>
      <c r="C9" s="221" t="s">
        <v>96</v>
      </c>
      <c r="D9" s="221" t="s">
        <v>100</v>
      </c>
      <c r="E9" s="224" t="s">
        <v>339</v>
      </c>
      <c r="F9" s="224"/>
      <c r="G9" s="224"/>
      <c r="H9" s="242">
        <v>46251</v>
      </c>
      <c r="I9" s="242">
        <v>46262</v>
      </c>
      <c r="J9" s="224" t="s">
        <v>98</v>
      </c>
      <c r="K9" s="243" t="s">
        <v>879</v>
      </c>
      <c r="L9" s="268" t="str">
        <f t="shared" ref="L9:V9" si="2">IF(AND(L$6&lt;=$I9,L$6+6&gt;=$H9,$H9&lt;&gt;"",$I9&lt;&gt;""),1,"")</f>
        <v/>
      </c>
      <c r="M9" s="268" t="str">
        <f t="shared" si="2"/>
        <v/>
      </c>
      <c r="N9" s="268">
        <f t="shared" si="2"/>
        <v>1</v>
      </c>
      <c r="O9" s="268">
        <f t="shared" si="2"/>
        <v>1</v>
      </c>
      <c r="P9" s="268" t="str">
        <f t="shared" si="2"/>
        <v/>
      </c>
      <c r="Q9" s="268" t="str">
        <f t="shared" si="2"/>
        <v/>
      </c>
      <c r="R9" s="268" t="str">
        <f t="shared" si="2"/>
        <v/>
      </c>
      <c r="S9" s="268" t="str">
        <f t="shared" si="2"/>
        <v/>
      </c>
      <c r="T9" s="268" t="str">
        <f t="shared" si="2"/>
        <v/>
      </c>
      <c r="U9" s="268" t="str">
        <f t="shared" si="2"/>
        <v/>
      </c>
      <c r="V9" s="268" t="str">
        <f t="shared" si="2"/>
        <v/>
      </c>
    </row>
    <row r="10" spans="1:22" ht="15.75">
      <c r="A10" s="224">
        <v>4</v>
      </c>
      <c r="B10" s="224" t="s">
        <v>373</v>
      </c>
      <c r="C10" s="221" t="s">
        <v>96</v>
      </c>
      <c r="D10" s="221" t="s">
        <v>101</v>
      </c>
      <c r="E10" s="224" t="s">
        <v>339</v>
      </c>
      <c r="F10" s="224"/>
      <c r="G10" s="224"/>
      <c r="H10" s="242">
        <v>46251</v>
      </c>
      <c r="I10" s="242">
        <v>46255</v>
      </c>
      <c r="J10" s="224" t="s">
        <v>98</v>
      </c>
      <c r="K10" s="243" t="s">
        <v>880</v>
      </c>
      <c r="L10" s="268" t="str">
        <f t="shared" ref="L10:V10" si="3">IF(AND(L$6&lt;=$I10,L$6+6&gt;=$H10,$H10&lt;&gt;"",$I10&lt;&gt;""),1,"")</f>
        <v/>
      </c>
      <c r="M10" s="268" t="str">
        <f t="shared" si="3"/>
        <v/>
      </c>
      <c r="N10" s="268">
        <f t="shared" si="3"/>
        <v>1</v>
      </c>
      <c r="O10" s="268" t="str">
        <f t="shared" si="3"/>
        <v/>
      </c>
      <c r="P10" s="268" t="str">
        <f t="shared" si="3"/>
        <v/>
      </c>
      <c r="Q10" s="268" t="str">
        <f t="shared" si="3"/>
        <v/>
      </c>
      <c r="R10" s="268" t="str">
        <f t="shared" si="3"/>
        <v/>
      </c>
      <c r="S10" s="268" t="str">
        <f t="shared" si="3"/>
        <v/>
      </c>
      <c r="T10" s="268" t="str">
        <f t="shared" si="3"/>
        <v/>
      </c>
      <c r="U10" s="268" t="str">
        <f t="shared" si="3"/>
        <v/>
      </c>
      <c r="V10" s="268" t="str">
        <f t="shared" si="3"/>
        <v/>
      </c>
    </row>
    <row r="11" spans="1:22" ht="15.75">
      <c r="A11" s="224">
        <v>5</v>
      </c>
      <c r="B11" s="224" t="s">
        <v>378</v>
      </c>
      <c r="C11" s="221" t="s">
        <v>96</v>
      </c>
      <c r="D11" s="221" t="s">
        <v>102</v>
      </c>
      <c r="E11" s="224" t="s">
        <v>339</v>
      </c>
      <c r="F11" s="224"/>
      <c r="G11" s="224"/>
      <c r="H11" s="242">
        <v>46251</v>
      </c>
      <c r="I11" s="242">
        <v>46260</v>
      </c>
      <c r="J11" s="224" t="s">
        <v>98</v>
      </c>
      <c r="K11" s="243" t="s">
        <v>881</v>
      </c>
      <c r="L11" s="268" t="str">
        <f t="shared" ref="L11:V11" si="4">IF(AND(L$6&lt;=$I11,L$6+6&gt;=$H11,$H11&lt;&gt;"",$I11&lt;&gt;""),1,"")</f>
        <v/>
      </c>
      <c r="M11" s="268" t="str">
        <f t="shared" si="4"/>
        <v/>
      </c>
      <c r="N11" s="268">
        <f t="shared" si="4"/>
        <v>1</v>
      </c>
      <c r="O11" s="268">
        <f t="shared" si="4"/>
        <v>1</v>
      </c>
      <c r="P11" s="268" t="str">
        <f t="shared" si="4"/>
        <v/>
      </c>
      <c r="Q11" s="268" t="str">
        <f t="shared" si="4"/>
        <v/>
      </c>
      <c r="R11" s="268" t="str">
        <f t="shared" si="4"/>
        <v/>
      </c>
      <c r="S11" s="268" t="str">
        <f t="shared" si="4"/>
        <v/>
      </c>
      <c r="T11" s="268" t="str">
        <f t="shared" si="4"/>
        <v/>
      </c>
      <c r="U11" s="268" t="str">
        <f t="shared" si="4"/>
        <v/>
      </c>
      <c r="V11" s="268" t="str">
        <f t="shared" si="4"/>
        <v/>
      </c>
    </row>
    <row r="12" spans="1:22" ht="15.75">
      <c r="A12" s="224">
        <v>6</v>
      </c>
      <c r="B12" s="224" t="s">
        <v>384</v>
      </c>
      <c r="C12" s="221" t="s">
        <v>96</v>
      </c>
      <c r="D12" s="221" t="s">
        <v>103</v>
      </c>
      <c r="E12" s="224" t="s">
        <v>342</v>
      </c>
      <c r="F12" s="224"/>
      <c r="G12" s="224"/>
      <c r="H12" s="242">
        <v>46262</v>
      </c>
      <c r="I12" s="242">
        <v>46262</v>
      </c>
      <c r="J12" s="224" t="s">
        <v>98</v>
      </c>
      <c r="K12" s="243" t="s">
        <v>882</v>
      </c>
      <c r="L12" s="268" t="str">
        <f t="shared" ref="L12:V12" si="5">IF(AND(L$6&lt;=$I12,L$6+6&gt;=$H12,$H12&lt;&gt;"",$I12&lt;&gt;""),1,"")</f>
        <v/>
      </c>
      <c r="M12" s="268" t="str">
        <f t="shared" si="5"/>
        <v/>
      </c>
      <c r="N12" s="268" t="str">
        <f t="shared" si="5"/>
        <v/>
      </c>
      <c r="O12" s="268">
        <f t="shared" si="5"/>
        <v>1</v>
      </c>
      <c r="P12" s="268" t="str">
        <f t="shared" si="5"/>
        <v/>
      </c>
      <c r="Q12" s="268" t="str">
        <f t="shared" si="5"/>
        <v/>
      </c>
      <c r="R12" s="268" t="str">
        <f t="shared" si="5"/>
        <v/>
      </c>
      <c r="S12" s="268" t="str">
        <f t="shared" si="5"/>
        <v/>
      </c>
      <c r="T12" s="268" t="str">
        <f t="shared" si="5"/>
        <v/>
      </c>
      <c r="U12" s="268" t="str">
        <f t="shared" si="5"/>
        <v/>
      </c>
      <c r="V12" s="268" t="str">
        <f t="shared" si="5"/>
        <v/>
      </c>
    </row>
    <row r="13" spans="1:22" ht="15.75">
      <c r="A13" s="224">
        <v>7</v>
      </c>
      <c r="B13" s="224" t="s">
        <v>389</v>
      </c>
      <c r="C13" s="221" t="s">
        <v>104</v>
      </c>
      <c r="D13" s="221" t="s">
        <v>105</v>
      </c>
      <c r="E13" s="224" t="s">
        <v>390</v>
      </c>
      <c r="F13" s="224" t="s">
        <v>106</v>
      </c>
      <c r="G13" s="224" t="s">
        <v>107</v>
      </c>
      <c r="H13" s="242">
        <v>46251</v>
      </c>
      <c r="I13" s="242">
        <v>46302</v>
      </c>
      <c r="J13" s="224" t="s">
        <v>98</v>
      </c>
      <c r="K13" s="243" t="s">
        <v>883</v>
      </c>
      <c r="L13" s="268" t="str">
        <f t="shared" ref="L13:V13" si="6">IF(AND(L$6&lt;=$I13,L$6+6&gt;=$H13,$H13&lt;&gt;"",$I13&lt;&gt;""),1,"")</f>
        <v/>
      </c>
      <c r="M13" s="268" t="str">
        <f t="shared" si="6"/>
        <v/>
      </c>
      <c r="N13" s="268">
        <f t="shared" si="6"/>
        <v>1</v>
      </c>
      <c r="O13" s="268">
        <f t="shared" si="6"/>
        <v>1</v>
      </c>
      <c r="P13" s="268">
        <f t="shared" si="6"/>
        <v>1</v>
      </c>
      <c r="Q13" s="268">
        <f t="shared" si="6"/>
        <v>1</v>
      </c>
      <c r="R13" s="268">
        <f t="shared" si="6"/>
        <v>1</v>
      </c>
      <c r="S13" s="268">
        <f t="shared" si="6"/>
        <v>1</v>
      </c>
      <c r="T13" s="268">
        <f t="shared" si="6"/>
        <v>1</v>
      </c>
      <c r="U13" s="268">
        <f t="shared" si="6"/>
        <v>1</v>
      </c>
      <c r="V13" s="268" t="str">
        <f t="shared" si="6"/>
        <v/>
      </c>
    </row>
    <row r="14" spans="1:22" ht="15.75">
      <c r="A14" s="224">
        <v>8</v>
      </c>
      <c r="B14" s="224" t="s">
        <v>396</v>
      </c>
      <c r="C14" s="221" t="s">
        <v>104</v>
      </c>
      <c r="D14" s="221" t="s">
        <v>108</v>
      </c>
      <c r="E14" s="224" t="s">
        <v>390</v>
      </c>
      <c r="F14" s="224" t="s">
        <v>106</v>
      </c>
      <c r="G14" s="224" t="s">
        <v>107</v>
      </c>
      <c r="H14" s="242">
        <v>46251</v>
      </c>
      <c r="I14" s="242">
        <v>46302</v>
      </c>
      <c r="J14" s="224" t="s">
        <v>98</v>
      </c>
      <c r="K14" s="243" t="s">
        <v>883</v>
      </c>
      <c r="L14" s="268" t="str">
        <f t="shared" ref="L14:V14" si="7">IF(AND(L$6&lt;=$I14,L$6+6&gt;=$H14,$H14&lt;&gt;"",$I14&lt;&gt;""),1,"")</f>
        <v/>
      </c>
      <c r="M14" s="268" t="str">
        <f t="shared" si="7"/>
        <v/>
      </c>
      <c r="N14" s="268">
        <f t="shared" si="7"/>
        <v>1</v>
      </c>
      <c r="O14" s="268">
        <f t="shared" si="7"/>
        <v>1</v>
      </c>
      <c r="P14" s="268">
        <f t="shared" si="7"/>
        <v>1</v>
      </c>
      <c r="Q14" s="268">
        <f t="shared" si="7"/>
        <v>1</v>
      </c>
      <c r="R14" s="268">
        <f t="shared" si="7"/>
        <v>1</v>
      </c>
      <c r="S14" s="268">
        <f t="shared" si="7"/>
        <v>1</v>
      </c>
      <c r="T14" s="268">
        <f t="shared" si="7"/>
        <v>1</v>
      </c>
      <c r="U14" s="268">
        <f t="shared" si="7"/>
        <v>1</v>
      </c>
      <c r="V14" s="268" t="str">
        <f t="shared" si="7"/>
        <v/>
      </c>
    </row>
    <row r="15" spans="1:22" ht="15.75">
      <c r="A15" s="224">
        <v>9</v>
      </c>
      <c r="B15" s="224" t="s">
        <v>399</v>
      </c>
      <c r="C15" s="221" t="s">
        <v>104</v>
      </c>
      <c r="D15" s="221" t="s">
        <v>109</v>
      </c>
      <c r="E15" s="224" t="s">
        <v>390</v>
      </c>
      <c r="F15" s="224" t="s">
        <v>106</v>
      </c>
      <c r="G15" s="224" t="s">
        <v>107</v>
      </c>
      <c r="H15" s="242">
        <v>46251</v>
      </c>
      <c r="I15" s="242">
        <v>46302</v>
      </c>
      <c r="J15" s="224" t="s">
        <v>98</v>
      </c>
      <c r="K15" s="243" t="s">
        <v>884</v>
      </c>
      <c r="L15" s="268" t="str">
        <f t="shared" ref="L15:V15" si="8">IF(AND(L$6&lt;=$I15,L$6+6&gt;=$H15,$H15&lt;&gt;"",$I15&lt;&gt;""),1,"")</f>
        <v/>
      </c>
      <c r="M15" s="268" t="str">
        <f t="shared" si="8"/>
        <v/>
      </c>
      <c r="N15" s="268">
        <f t="shared" si="8"/>
        <v>1</v>
      </c>
      <c r="O15" s="268">
        <f t="shared" si="8"/>
        <v>1</v>
      </c>
      <c r="P15" s="268">
        <f t="shared" si="8"/>
        <v>1</v>
      </c>
      <c r="Q15" s="268">
        <f t="shared" si="8"/>
        <v>1</v>
      </c>
      <c r="R15" s="268">
        <f t="shared" si="8"/>
        <v>1</v>
      </c>
      <c r="S15" s="268">
        <f t="shared" si="8"/>
        <v>1</v>
      </c>
      <c r="T15" s="268">
        <f t="shared" si="8"/>
        <v>1</v>
      </c>
      <c r="U15" s="268">
        <f t="shared" si="8"/>
        <v>1</v>
      </c>
      <c r="V15" s="268" t="str">
        <f t="shared" si="8"/>
        <v/>
      </c>
    </row>
    <row r="16" spans="1:22" ht="15.75">
      <c r="A16" s="224">
        <v>10</v>
      </c>
      <c r="B16" s="224" t="s">
        <v>403</v>
      </c>
      <c r="C16" s="221" t="s">
        <v>104</v>
      </c>
      <c r="D16" s="221" t="s">
        <v>110</v>
      </c>
      <c r="E16" s="224" t="s">
        <v>390</v>
      </c>
      <c r="F16" s="224" t="s">
        <v>106</v>
      </c>
      <c r="G16" s="224" t="s">
        <v>107</v>
      </c>
      <c r="H16" s="242">
        <v>46258</v>
      </c>
      <c r="I16" s="242">
        <v>46295</v>
      </c>
      <c r="J16" s="224" t="s">
        <v>98</v>
      </c>
      <c r="K16" s="243" t="s">
        <v>883</v>
      </c>
      <c r="L16" s="268" t="str">
        <f t="shared" ref="L16:V16" si="9">IF(AND(L$6&lt;=$I16,L$6+6&gt;=$H16,$H16&lt;&gt;"",$I16&lt;&gt;""),1,"")</f>
        <v/>
      </c>
      <c r="M16" s="268" t="str">
        <f t="shared" si="9"/>
        <v/>
      </c>
      <c r="N16" s="268" t="str">
        <f t="shared" si="9"/>
        <v/>
      </c>
      <c r="O16" s="268">
        <f t="shared" si="9"/>
        <v>1</v>
      </c>
      <c r="P16" s="268">
        <f t="shared" si="9"/>
        <v>1</v>
      </c>
      <c r="Q16" s="268">
        <f t="shared" si="9"/>
        <v>1</v>
      </c>
      <c r="R16" s="268">
        <f t="shared" si="9"/>
        <v>1</v>
      </c>
      <c r="S16" s="268">
        <f t="shared" si="9"/>
        <v>1</v>
      </c>
      <c r="T16" s="268">
        <f t="shared" si="9"/>
        <v>1</v>
      </c>
      <c r="U16" s="268" t="str">
        <f t="shared" si="9"/>
        <v/>
      </c>
      <c r="V16" s="268" t="str">
        <f t="shared" si="9"/>
        <v/>
      </c>
    </row>
    <row r="17" spans="1:22" ht="15.75">
      <c r="A17" s="224">
        <v>11</v>
      </c>
      <c r="B17" s="224" t="s">
        <v>406</v>
      </c>
      <c r="C17" s="221" t="s">
        <v>104</v>
      </c>
      <c r="D17" s="221" t="s">
        <v>111</v>
      </c>
      <c r="E17" s="224" t="s">
        <v>390</v>
      </c>
      <c r="F17" s="224" t="s">
        <v>106</v>
      </c>
      <c r="G17" s="224" t="s">
        <v>107</v>
      </c>
      <c r="H17" s="242">
        <v>46279</v>
      </c>
      <c r="I17" s="242">
        <v>46302</v>
      </c>
      <c r="J17" s="224" t="s">
        <v>98</v>
      </c>
      <c r="K17" s="243" t="s">
        <v>885</v>
      </c>
      <c r="L17" s="268" t="str">
        <f t="shared" ref="L17:V17" si="10">IF(AND(L$6&lt;=$I17,L$6+6&gt;=$H17,$H17&lt;&gt;"",$I17&lt;&gt;""),1,"")</f>
        <v/>
      </c>
      <c r="M17" s="268" t="str">
        <f t="shared" si="10"/>
        <v/>
      </c>
      <c r="N17" s="268" t="str">
        <f t="shared" si="10"/>
        <v/>
      </c>
      <c r="O17" s="268" t="str">
        <f t="shared" si="10"/>
        <v/>
      </c>
      <c r="P17" s="268" t="str">
        <f t="shared" si="10"/>
        <v/>
      </c>
      <c r="Q17" s="268" t="str">
        <f t="shared" si="10"/>
        <v/>
      </c>
      <c r="R17" s="268">
        <f t="shared" si="10"/>
        <v>1</v>
      </c>
      <c r="S17" s="268">
        <f t="shared" si="10"/>
        <v>1</v>
      </c>
      <c r="T17" s="268">
        <f t="shared" si="10"/>
        <v>1</v>
      </c>
      <c r="U17" s="268">
        <f t="shared" si="10"/>
        <v>1</v>
      </c>
      <c r="V17" s="268" t="str">
        <f t="shared" si="10"/>
        <v/>
      </c>
    </row>
    <row r="18" spans="1:22" ht="15.75">
      <c r="A18" s="224">
        <v>12</v>
      </c>
      <c r="B18" s="224" t="s">
        <v>411</v>
      </c>
      <c r="C18" s="221" t="s">
        <v>104</v>
      </c>
      <c r="D18" s="221" t="s">
        <v>112</v>
      </c>
      <c r="E18" s="224" t="s">
        <v>390</v>
      </c>
      <c r="F18" s="224" t="s">
        <v>106</v>
      </c>
      <c r="G18" s="224" t="s">
        <v>107</v>
      </c>
      <c r="H18" s="242"/>
      <c r="I18" s="242"/>
      <c r="J18" s="224" t="s">
        <v>98</v>
      </c>
      <c r="K18" s="244" t="s">
        <v>886</v>
      </c>
      <c r="L18" s="268" t="str">
        <f t="shared" ref="L18:V18" si="11">IF(AND(L$6&lt;=$I18,L$6+6&gt;=$H18,$H18&lt;&gt;"",$I18&lt;&gt;""),1,"")</f>
        <v/>
      </c>
      <c r="M18" s="268" t="str">
        <f t="shared" si="11"/>
        <v/>
      </c>
      <c r="N18" s="268" t="str">
        <f t="shared" si="11"/>
        <v/>
      </c>
      <c r="O18" s="268" t="str">
        <f t="shared" si="11"/>
        <v/>
      </c>
      <c r="P18" s="268" t="str">
        <f t="shared" si="11"/>
        <v/>
      </c>
      <c r="Q18" s="268" t="str">
        <f t="shared" si="11"/>
        <v/>
      </c>
      <c r="R18" s="268" t="str">
        <f t="shared" si="11"/>
        <v/>
      </c>
      <c r="S18" s="268" t="str">
        <f t="shared" si="11"/>
        <v/>
      </c>
      <c r="T18" s="268" t="str">
        <f t="shared" si="11"/>
        <v/>
      </c>
      <c r="U18" s="268" t="str">
        <f t="shared" si="11"/>
        <v/>
      </c>
      <c r="V18" s="268" t="str">
        <f t="shared" si="11"/>
        <v/>
      </c>
    </row>
    <row r="19" spans="1:22" ht="15.75">
      <c r="A19" s="224">
        <v>13</v>
      </c>
      <c r="B19" s="224" t="s">
        <v>417</v>
      </c>
      <c r="C19" s="221" t="s">
        <v>113</v>
      </c>
      <c r="D19" s="221" t="s">
        <v>114</v>
      </c>
      <c r="E19" s="224" t="s">
        <v>390</v>
      </c>
      <c r="F19" s="224" t="s">
        <v>106</v>
      </c>
      <c r="G19" s="224" t="s">
        <v>107</v>
      </c>
      <c r="H19" s="242">
        <v>46251</v>
      </c>
      <c r="I19" s="242">
        <v>46260</v>
      </c>
      <c r="J19" s="224" t="s">
        <v>98</v>
      </c>
      <c r="K19" s="243" t="s">
        <v>887</v>
      </c>
      <c r="L19" s="268" t="str">
        <f t="shared" ref="L19:V19" si="12">IF(AND(L$6&lt;=$I19,L$6+6&gt;=$H19,$H19&lt;&gt;"",$I19&lt;&gt;""),1,"")</f>
        <v/>
      </c>
      <c r="M19" s="268" t="str">
        <f t="shared" si="12"/>
        <v/>
      </c>
      <c r="N19" s="268">
        <f t="shared" si="12"/>
        <v>1</v>
      </c>
      <c r="O19" s="268">
        <f t="shared" si="12"/>
        <v>1</v>
      </c>
      <c r="P19" s="268" t="str">
        <f t="shared" si="12"/>
        <v/>
      </c>
      <c r="Q19" s="268" t="str">
        <f t="shared" si="12"/>
        <v/>
      </c>
      <c r="R19" s="268" t="str">
        <f t="shared" si="12"/>
        <v/>
      </c>
      <c r="S19" s="268" t="str">
        <f t="shared" si="12"/>
        <v/>
      </c>
      <c r="T19" s="268" t="str">
        <f t="shared" si="12"/>
        <v/>
      </c>
      <c r="U19" s="268" t="str">
        <f t="shared" si="12"/>
        <v/>
      </c>
      <c r="V19" s="268" t="str">
        <f t="shared" si="12"/>
        <v/>
      </c>
    </row>
    <row r="20" spans="1:22" ht="15.75">
      <c r="A20" s="224">
        <v>14</v>
      </c>
      <c r="B20" s="224" t="s">
        <v>422</v>
      </c>
      <c r="C20" s="221" t="s">
        <v>113</v>
      </c>
      <c r="D20" s="221" t="s">
        <v>115</v>
      </c>
      <c r="E20" s="224" t="s">
        <v>390</v>
      </c>
      <c r="F20" s="224" t="s">
        <v>106</v>
      </c>
      <c r="G20" s="224" t="s">
        <v>107</v>
      </c>
      <c r="H20" s="242">
        <v>46251</v>
      </c>
      <c r="I20" s="242">
        <v>46260</v>
      </c>
      <c r="J20" s="224" t="s">
        <v>98</v>
      </c>
      <c r="K20" s="243" t="s">
        <v>887</v>
      </c>
      <c r="L20" s="268" t="str">
        <f t="shared" ref="L20:V20" si="13">IF(AND(L$6&lt;=$I20,L$6+6&gt;=$H20,$H20&lt;&gt;"",$I20&lt;&gt;""),1,"")</f>
        <v/>
      </c>
      <c r="M20" s="268" t="str">
        <f t="shared" si="13"/>
        <v/>
      </c>
      <c r="N20" s="268">
        <f t="shared" si="13"/>
        <v>1</v>
      </c>
      <c r="O20" s="268">
        <f t="shared" si="13"/>
        <v>1</v>
      </c>
      <c r="P20" s="268" t="str">
        <f t="shared" si="13"/>
        <v/>
      </c>
      <c r="Q20" s="268" t="str">
        <f t="shared" si="13"/>
        <v/>
      </c>
      <c r="R20" s="268" t="str">
        <f t="shared" si="13"/>
        <v/>
      </c>
      <c r="S20" s="268" t="str">
        <f t="shared" si="13"/>
        <v/>
      </c>
      <c r="T20" s="268" t="str">
        <f t="shared" si="13"/>
        <v/>
      </c>
      <c r="U20" s="268" t="str">
        <f t="shared" si="13"/>
        <v/>
      </c>
      <c r="V20" s="268" t="str">
        <f t="shared" si="13"/>
        <v/>
      </c>
    </row>
    <row r="21" spans="1:22" ht="15.75">
      <c r="A21" s="224">
        <v>15</v>
      </c>
      <c r="B21" s="224" t="s">
        <v>425</v>
      </c>
      <c r="C21" s="221" t="s">
        <v>113</v>
      </c>
      <c r="D21" s="221" t="s">
        <v>116</v>
      </c>
      <c r="E21" s="224" t="s">
        <v>390</v>
      </c>
      <c r="F21" s="224" t="s">
        <v>106</v>
      </c>
      <c r="G21" s="224" t="s">
        <v>107</v>
      </c>
      <c r="H21" s="242">
        <v>46251</v>
      </c>
      <c r="I21" s="242">
        <v>46260</v>
      </c>
      <c r="J21" s="224" t="s">
        <v>98</v>
      </c>
      <c r="K21" s="243" t="s">
        <v>887</v>
      </c>
      <c r="L21" s="268" t="str">
        <f t="shared" ref="L21:V21" si="14">IF(AND(L$6&lt;=$I21,L$6+6&gt;=$H21,$H21&lt;&gt;"",$I21&lt;&gt;""),1,"")</f>
        <v/>
      </c>
      <c r="M21" s="268" t="str">
        <f t="shared" si="14"/>
        <v/>
      </c>
      <c r="N21" s="268">
        <f t="shared" si="14"/>
        <v>1</v>
      </c>
      <c r="O21" s="268">
        <f t="shared" si="14"/>
        <v>1</v>
      </c>
      <c r="P21" s="268" t="str">
        <f t="shared" si="14"/>
        <v/>
      </c>
      <c r="Q21" s="268" t="str">
        <f t="shared" si="14"/>
        <v/>
      </c>
      <c r="R21" s="268" t="str">
        <f t="shared" si="14"/>
        <v/>
      </c>
      <c r="S21" s="268" t="str">
        <f t="shared" si="14"/>
        <v/>
      </c>
      <c r="T21" s="268" t="str">
        <f t="shared" si="14"/>
        <v/>
      </c>
      <c r="U21" s="268" t="str">
        <f t="shared" si="14"/>
        <v/>
      </c>
      <c r="V21" s="268" t="str">
        <f t="shared" si="14"/>
        <v/>
      </c>
    </row>
    <row r="22" spans="1:22" ht="15.75">
      <c r="A22" s="224">
        <v>16</v>
      </c>
      <c r="B22" s="224" t="s">
        <v>428</v>
      </c>
      <c r="C22" s="221" t="s">
        <v>113</v>
      </c>
      <c r="D22" s="221" t="s">
        <v>117</v>
      </c>
      <c r="E22" s="224" t="s">
        <v>390</v>
      </c>
      <c r="F22" s="224" t="s">
        <v>106</v>
      </c>
      <c r="G22" s="224" t="s">
        <v>107</v>
      </c>
      <c r="H22" s="242"/>
      <c r="I22" s="242"/>
      <c r="J22" s="224" t="s">
        <v>98</v>
      </c>
      <c r="K22" s="244" t="s">
        <v>888</v>
      </c>
      <c r="L22" s="268" t="str">
        <f t="shared" ref="L22:V22" si="15">IF(AND(L$6&lt;=$I22,L$6+6&gt;=$H22,$H22&lt;&gt;"",$I22&lt;&gt;""),1,"")</f>
        <v/>
      </c>
      <c r="M22" s="268" t="str">
        <f t="shared" si="15"/>
        <v/>
      </c>
      <c r="N22" s="268" t="str">
        <f t="shared" si="15"/>
        <v/>
      </c>
      <c r="O22" s="268" t="str">
        <f t="shared" si="15"/>
        <v/>
      </c>
      <c r="P22" s="268" t="str">
        <f t="shared" si="15"/>
        <v/>
      </c>
      <c r="Q22" s="268" t="str">
        <f t="shared" si="15"/>
        <v/>
      </c>
      <c r="R22" s="268" t="str">
        <f t="shared" si="15"/>
        <v/>
      </c>
      <c r="S22" s="268" t="str">
        <f t="shared" si="15"/>
        <v/>
      </c>
      <c r="T22" s="268" t="str">
        <f t="shared" si="15"/>
        <v/>
      </c>
      <c r="U22" s="268" t="str">
        <f t="shared" si="15"/>
        <v/>
      </c>
      <c r="V22" s="268" t="str">
        <f t="shared" si="15"/>
        <v/>
      </c>
    </row>
    <row r="23" spans="1:22" ht="15.75">
      <c r="A23" s="224">
        <v>17</v>
      </c>
      <c r="B23" s="224" t="s">
        <v>431</v>
      </c>
      <c r="C23" s="221" t="s">
        <v>113</v>
      </c>
      <c r="D23" s="221" t="s">
        <v>118</v>
      </c>
      <c r="E23" s="224" t="s">
        <v>390</v>
      </c>
      <c r="F23" s="224" t="s">
        <v>106</v>
      </c>
      <c r="G23" s="224" t="s">
        <v>107</v>
      </c>
      <c r="H23" s="242"/>
      <c r="I23" s="242"/>
      <c r="J23" s="224" t="s">
        <v>98</v>
      </c>
      <c r="K23" s="244" t="s">
        <v>889</v>
      </c>
      <c r="L23" s="268" t="str">
        <f t="shared" ref="L23:V23" si="16">IF(AND(L$6&lt;=$I23,L$6+6&gt;=$H23,$H23&lt;&gt;"",$I23&lt;&gt;""),1,"")</f>
        <v/>
      </c>
      <c r="M23" s="268" t="str">
        <f t="shared" si="16"/>
        <v/>
      </c>
      <c r="N23" s="268" t="str">
        <f t="shared" si="16"/>
        <v/>
      </c>
      <c r="O23" s="268" t="str">
        <f t="shared" si="16"/>
        <v/>
      </c>
      <c r="P23" s="268" t="str">
        <f t="shared" si="16"/>
        <v/>
      </c>
      <c r="Q23" s="268" t="str">
        <f t="shared" si="16"/>
        <v/>
      </c>
      <c r="R23" s="268" t="str">
        <f t="shared" si="16"/>
        <v/>
      </c>
      <c r="S23" s="268" t="str">
        <f t="shared" si="16"/>
        <v/>
      </c>
      <c r="T23" s="268" t="str">
        <f t="shared" si="16"/>
        <v/>
      </c>
      <c r="U23" s="268" t="str">
        <f t="shared" si="16"/>
        <v/>
      </c>
      <c r="V23" s="268" t="str">
        <f t="shared" si="16"/>
        <v/>
      </c>
    </row>
    <row r="24" spans="1:22" ht="15.75">
      <c r="A24" s="224">
        <v>18</v>
      </c>
      <c r="B24" s="224" t="s">
        <v>436</v>
      </c>
      <c r="C24" s="221" t="s">
        <v>119</v>
      </c>
      <c r="D24" s="221" t="s">
        <v>120</v>
      </c>
      <c r="E24" s="224" t="s">
        <v>390</v>
      </c>
      <c r="F24" s="224" t="s">
        <v>106</v>
      </c>
      <c r="G24" s="224" t="s">
        <v>121</v>
      </c>
      <c r="H24" s="242">
        <v>46241</v>
      </c>
      <c r="I24" s="242">
        <v>46254</v>
      </c>
      <c r="J24" s="224" t="s">
        <v>122</v>
      </c>
      <c r="K24" s="243" t="s">
        <v>890</v>
      </c>
      <c r="L24" s="268">
        <f t="shared" ref="L24:V24" si="17">IF(AND(L$6&lt;=$I24,L$6+6&gt;=$H24,$H24&lt;&gt;"",$I24&lt;&gt;""),1,"")</f>
        <v>1</v>
      </c>
      <c r="M24" s="268">
        <f t="shared" si="17"/>
        <v>1</v>
      </c>
      <c r="N24" s="268">
        <f t="shared" si="17"/>
        <v>1</v>
      </c>
      <c r="O24" s="268" t="str">
        <f t="shared" si="17"/>
        <v/>
      </c>
      <c r="P24" s="268" t="str">
        <f t="shared" si="17"/>
        <v/>
      </c>
      <c r="Q24" s="268" t="str">
        <f t="shared" si="17"/>
        <v/>
      </c>
      <c r="R24" s="268" t="str">
        <f t="shared" si="17"/>
        <v/>
      </c>
      <c r="S24" s="268" t="str">
        <f t="shared" si="17"/>
        <v/>
      </c>
      <c r="T24" s="268" t="str">
        <f t="shared" si="17"/>
        <v/>
      </c>
      <c r="U24" s="268" t="str">
        <f t="shared" si="17"/>
        <v/>
      </c>
      <c r="V24" s="268" t="str">
        <f t="shared" si="17"/>
        <v/>
      </c>
    </row>
    <row r="25" spans="1:22" ht="15.75">
      <c r="A25" s="224">
        <v>19</v>
      </c>
      <c r="B25" s="224" t="s">
        <v>440</v>
      </c>
      <c r="C25" s="221" t="s">
        <v>119</v>
      </c>
      <c r="D25" s="221" t="s">
        <v>123</v>
      </c>
      <c r="E25" s="224" t="s">
        <v>390</v>
      </c>
      <c r="F25" s="224" t="s">
        <v>106</v>
      </c>
      <c r="G25" s="224" t="s">
        <v>121</v>
      </c>
      <c r="H25" s="242">
        <v>46241</v>
      </c>
      <c r="I25" s="242">
        <v>46254</v>
      </c>
      <c r="J25" s="224" t="s">
        <v>122</v>
      </c>
      <c r="K25" s="243" t="s">
        <v>887</v>
      </c>
      <c r="L25" s="268">
        <f t="shared" ref="L25:V25" si="18">IF(AND(L$6&lt;=$I25,L$6+6&gt;=$H25,$H25&lt;&gt;"",$I25&lt;&gt;""),1,"")</f>
        <v>1</v>
      </c>
      <c r="M25" s="268">
        <f t="shared" si="18"/>
        <v>1</v>
      </c>
      <c r="N25" s="268">
        <f t="shared" si="18"/>
        <v>1</v>
      </c>
      <c r="O25" s="268" t="str">
        <f t="shared" si="18"/>
        <v/>
      </c>
      <c r="P25" s="268" t="str">
        <f t="shared" si="18"/>
        <v/>
      </c>
      <c r="Q25" s="268" t="str">
        <f t="shared" si="18"/>
        <v/>
      </c>
      <c r="R25" s="268" t="str">
        <f t="shared" si="18"/>
        <v/>
      </c>
      <c r="S25" s="268" t="str">
        <f t="shared" si="18"/>
        <v/>
      </c>
      <c r="T25" s="268" t="str">
        <f t="shared" si="18"/>
        <v/>
      </c>
      <c r="U25" s="268" t="str">
        <f t="shared" si="18"/>
        <v/>
      </c>
      <c r="V25" s="268" t="str">
        <f t="shared" si="18"/>
        <v/>
      </c>
    </row>
    <row r="26" spans="1:22" ht="15.75">
      <c r="A26" s="224">
        <v>20</v>
      </c>
      <c r="B26" s="224" t="s">
        <v>443</v>
      </c>
      <c r="C26" s="221" t="s">
        <v>119</v>
      </c>
      <c r="D26" s="221" t="s">
        <v>124</v>
      </c>
      <c r="E26" s="224" t="s">
        <v>390</v>
      </c>
      <c r="F26" s="224" t="s">
        <v>106</v>
      </c>
      <c r="G26" s="224" t="s">
        <v>121</v>
      </c>
      <c r="H26" s="242">
        <v>46241</v>
      </c>
      <c r="I26" s="242">
        <v>46254</v>
      </c>
      <c r="J26" s="224" t="s">
        <v>122</v>
      </c>
      <c r="K26" s="243" t="s">
        <v>891</v>
      </c>
      <c r="L26" s="268">
        <f t="shared" ref="L26:V26" si="19">IF(AND(L$6&lt;=$I26,L$6+6&gt;=$H26,$H26&lt;&gt;"",$I26&lt;&gt;""),1,"")</f>
        <v>1</v>
      </c>
      <c r="M26" s="268">
        <f t="shared" si="19"/>
        <v>1</v>
      </c>
      <c r="N26" s="268">
        <f t="shared" si="19"/>
        <v>1</v>
      </c>
      <c r="O26" s="268" t="str">
        <f t="shared" si="19"/>
        <v/>
      </c>
      <c r="P26" s="268" t="str">
        <f t="shared" si="19"/>
        <v/>
      </c>
      <c r="Q26" s="268" t="str">
        <f t="shared" si="19"/>
        <v/>
      </c>
      <c r="R26" s="268" t="str">
        <f t="shared" si="19"/>
        <v/>
      </c>
      <c r="S26" s="268" t="str">
        <f t="shared" si="19"/>
        <v/>
      </c>
      <c r="T26" s="268" t="str">
        <f t="shared" si="19"/>
        <v/>
      </c>
      <c r="U26" s="268" t="str">
        <f t="shared" si="19"/>
        <v/>
      </c>
      <c r="V26" s="268" t="str">
        <f t="shared" si="19"/>
        <v/>
      </c>
    </row>
    <row r="27" spans="1:22" ht="15.75">
      <c r="A27" s="224">
        <v>21</v>
      </c>
      <c r="B27" s="224" t="s">
        <v>447</v>
      </c>
      <c r="C27" s="221" t="s">
        <v>119</v>
      </c>
      <c r="D27" s="221" t="s">
        <v>125</v>
      </c>
      <c r="E27" s="224" t="s">
        <v>390</v>
      </c>
      <c r="F27" s="224" t="s">
        <v>106</v>
      </c>
      <c r="G27" s="224" t="s">
        <v>121</v>
      </c>
      <c r="H27" s="242">
        <v>46241</v>
      </c>
      <c r="I27" s="242">
        <v>46254</v>
      </c>
      <c r="J27" s="224" t="s">
        <v>122</v>
      </c>
      <c r="K27" s="243" t="s">
        <v>892</v>
      </c>
      <c r="L27" s="268">
        <f t="shared" ref="L27:V27" si="20">IF(AND(L$6&lt;=$I27,L$6+6&gt;=$H27,$H27&lt;&gt;"",$I27&lt;&gt;""),1,"")</f>
        <v>1</v>
      </c>
      <c r="M27" s="268">
        <f t="shared" si="20"/>
        <v>1</v>
      </c>
      <c r="N27" s="268">
        <f t="shared" si="20"/>
        <v>1</v>
      </c>
      <c r="O27" s="268" t="str">
        <f t="shared" si="20"/>
        <v/>
      </c>
      <c r="P27" s="268" t="str">
        <f t="shared" si="20"/>
        <v/>
      </c>
      <c r="Q27" s="268" t="str">
        <f t="shared" si="20"/>
        <v/>
      </c>
      <c r="R27" s="268" t="str">
        <f t="shared" si="20"/>
        <v/>
      </c>
      <c r="S27" s="268" t="str">
        <f t="shared" si="20"/>
        <v/>
      </c>
      <c r="T27" s="268" t="str">
        <f t="shared" si="20"/>
        <v/>
      </c>
      <c r="U27" s="268" t="str">
        <f t="shared" si="20"/>
        <v/>
      </c>
      <c r="V27" s="268" t="str">
        <f t="shared" si="20"/>
        <v/>
      </c>
    </row>
    <row r="28" spans="1:22" ht="15.75">
      <c r="A28" s="224">
        <v>22</v>
      </c>
      <c r="B28" s="224" t="s">
        <v>451</v>
      </c>
      <c r="C28" s="221" t="s">
        <v>119</v>
      </c>
      <c r="D28" s="221" t="s">
        <v>126</v>
      </c>
      <c r="E28" s="224" t="s">
        <v>390</v>
      </c>
      <c r="F28" s="224" t="s">
        <v>106</v>
      </c>
      <c r="G28" s="224" t="s">
        <v>121</v>
      </c>
      <c r="H28" s="242">
        <v>46241</v>
      </c>
      <c r="I28" s="242">
        <v>46254</v>
      </c>
      <c r="J28" s="224" t="s">
        <v>122</v>
      </c>
      <c r="K28" s="243" t="s">
        <v>893</v>
      </c>
      <c r="L28" s="268">
        <f t="shared" ref="L28:V28" si="21">IF(AND(L$6&lt;=$I28,L$6+6&gt;=$H28,$H28&lt;&gt;"",$I28&lt;&gt;""),1,"")</f>
        <v>1</v>
      </c>
      <c r="M28" s="268">
        <f t="shared" si="21"/>
        <v>1</v>
      </c>
      <c r="N28" s="268">
        <f t="shared" si="21"/>
        <v>1</v>
      </c>
      <c r="O28" s="268" t="str">
        <f t="shared" si="21"/>
        <v/>
      </c>
      <c r="P28" s="268" t="str">
        <f t="shared" si="21"/>
        <v/>
      </c>
      <c r="Q28" s="268" t="str">
        <f t="shared" si="21"/>
        <v/>
      </c>
      <c r="R28" s="268" t="str">
        <f t="shared" si="21"/>
        <v/>
      </c>
      <c r="S28" s="268" t="str">
        <f t="shared" si="21"/>
        <v/>
      </c>
      <c r="T28" s="268" t="str">
        <f t="shared" si="21"/>
        <v/>
      </c>
      <c r="U28" s="268" t="str">
        <f t="shared" si="21"/>
        <v/>
      </c>
      <c r="V28" s="268" t="str">
        <f t="shared" si="21"/>
        <v/>
      </c>
    </row>
    <row r="29" spans="1:22" ht="15.75">
      <c r="A29" s="224">
        <v>23</v>
      </c>
      <c r="B29" s="224" t="s">
        <v>455</v>
      </c>
      <c r="C29" s="221" t="s">
        <v>119</v>
      </c>
      <c r="D29" s="221" t="s">
        <v>127</v>
      </c>
      <c r="E29" s="224" t="s">
        <v>390</v>
      </c>
      <c r="F29" s="224" t="s">
        <v>106</v>
      </c>
      <c r="G29" s="224" t="s">
        <v>121</v>
      </c>
      <c r="H29" s="242"/>
      <c r="I29" s="242"/>
      <c r="J29" s="224" t="s">
        <v>98</v>
      </c>
      <c r="K29" s="244" t="s">
        <v>888</v>
      </c>
      <c r="L29" s="268" t="str">
        <f t="shared" ref="L29:V29" si="22">IF(AND(L$6&lt;=$I29,L$6+6&gt;=$H29,$H29&lt;&gt;"",$I29&lt;&gt;""),1,"")</f>
        <v/>
      </c>
      <c r="M29" s="268" t="str">
        <f t="shared" si="22"/>
        <v/>
      </c>
      <c r="N29" s="268" t="str">
        <f t="shared" si="22"/>
        <v/>
      </c>
      <c r="O29" s="268" t="str">
        <f t="shared" si="22"/>
        <v/>
      </c>
      <c r="P29" s="268" t="str">
        <f t="shared" si="22"/>
        <v/>
      </c>
      <c r="Q29" s="268" t="str">
        <f t="shared" si="22"/>
        <v/>
      </c>
      <c r="R29" s="268" t="str">
        <f t="shared" si="22"/>
        <v/>
      </c>
      <c r="S29" s="268" t="str">
        <f t="shared" si="22"/>
        <v/>
      </c>
      <c r="T29" s="268" t="str">
        <f t="shared" si="22"/>
        <v/>
      </c>
      <c r="U29" s="268" t="str">
        <f t="shared" si="22"/>
        <v/>
      </c>
      <c r="V29" s="268" t="str">
        <f t="shared" si="22"/>
        <v/>
      </c>
    </row>
    <row r="30" spans="1:22" ht="25.5">
      <c r="A30" s="224">
        <v>24</v>
      </c>
      <c r="B30" s="224" t="s">
        <v>458</v>
      </c>
      <c r="C30" s="221" t="s">
        <v>128</v>
      </c>
      <c r="D30" s="221" t="s">
        <v>129</v>
      </c>
      <c r="E30" s="224" t="s">
        <v>390</v>
      </c>
      <c r="F30" s="224" t="s">
        <v>106</v>
      </c>
      <c r="G30" s="224" t="s">
        <v>121</v>
      </c>
      <c r="H30" s="242">
        <v>46258</v>
      </c>
      <c r="I30" s="242">
        <v>46267</v>
      </c>
      <c r="J30" s="224" t="s">
        <v>98</v>
      </c>
      <c r="K30" s="243" t="s">
        <v>894</v>
      </c>
      <c r="L30" s="268" t="str">
        <f t="shared" ref="L30:V30" si="23">IF(AND(L$6&lt;=$I30,L$6+6&gt;=$H30,$H30&lt;&gt;"",$I30&lt;&gt;""),1,"")</f>
        <v/>
      </c>
      <c r="M30" s="268" t="str">
        <f t="shared" si="23"/>
        <v/>
      </c>
      <c r="N30" s="268" t="str">
        <f t="shared" si="23"/>
        <v/>
      </c>
      <c r="O30" s="268">
        <f t="shared" si="23"/>
        <v>1</v>
      </c>
      <c r="P30" s="268">
        <f t="shared" si="23"/>
        <v>1</v>
      </c>
      <c r="Q30" s="268" t="str">
        <f t="shared" si="23"/>
        <v/>
      </c>
      <c r="R30" s="268" t="str">
        <f t="shared" si="23"/>
        <v/>
      </c>
      <c r="S30" s="268" t="str">
        <f t="shared" si="23"/>
        <v/>
      </c>
      <c r="T30" s="268" t="str">
        <f t="shared" si="23"/>
        <v/>
      </c>
      <c r="U30" s="268" t="str">
        <f t="shared" si="23"/>
        <v/>
      </c>
      <c r="V30" s="268" t="str">
        <f t="shared" si="23"/>
        <v/>
      </c>
    </row>
    <row r="31" spans="1:22" ht="15.75">
      <c r="A31" s="224">
        <v>25</v>
      </c>
      <c r="B31" s="224" t="s">
        <v>463</v>
      </c>
      <c r="C31" s="221" t="s">
        <v>128</v>
      </c>
      <c r="D31" s="221" t="s">
        <v>130</v>
      </c>
      <c r="E31" s="224" t="s">
        <v>390</v>
      </c>
      <c r="F31" s="224" t="s">
        <v>106</v>
      </c>
      <c r="G31" s="224" t="s">
        <v>121</v>
      </c>
      <c r="H31" s="242">
        <v>46258</v>
      </c>
      <c r="I31" s="242">
        <v>46267</v>
      </c>
      <c r="J31" s="224" t="s">
        <v>98</v>
      </c>
      <c r="K31" s="243" t="s">
        <v>887</v>
      </c>
      <c r="L31" s="268" t="str">
        <f t="shared" ref="L31:V31" si="24">IF(AND(L$6&lt;=$I31,L$6+6&gt;=$H31,$H31&lt;&gt;"",$I31&lt;&gt;""),1,"")</f>
        <v/>
      </c>
      <c r="M31" s="268" t="str">
        <f t="shared" si="24"/>
        <v/>
      </c>
      <c r="N31" s="268" t="str">
        <f t="shared" si="24"/>
        <v/>
      </c>
      <c r="O31" s="268">
        <f t="shared" si="24"/>
        <v>1</v>
      </c>
      <c r="P31" s="268">
        <f t="shared" si="24"/>
        <v>1</v>
      </c>
      <c r="Q31" s="268" t="str">
        <f t="shared" si="24"/>
        <v/>
      </c>
      <c r="R31" s="268" t="str">
        <f t="shared" si="24"/>
        <v/>
      </c>
      <c r="S31" s="268" t="str">
        <f t="shared" si="24"/>
        <v/>
      </c>
      <c r="T31" s="268" t="str">
        <f t="shared" si="24"/>
        <v/>
      </c>
      <c r="U31" s="268" t="str">
        <f t="shared" si="24"/>
        <v/>
      </c>
      <c r="V31" s="268" t="str">
        <f t="shared" si="24"/>
        <v/>
      </c>
    </row>
    <row r="32" spans="1:22" ht="15.75">
      <c r="A32" s="224">
        <v>26</v>
      </c>
      <c r="B32" s="224" t="s">
        <v>466</v>
      </c>
      <c r="C32" s="221" t="s">
        <v>128</v>
      </c>
      <c r="D32" s="221" t="s">
        <v>131</v>
      </c>
      <c r="E32" s="224" t="s">
        <v>390</v>
      </c>
      <c r="F32" s="224" t="s">
        <v>106</v>
      </c>
      <c r="G32" s="224" t="s">
        <v>121</v>
      </c>
      <c r="H32" s="242"/>
      <c r="I32" s="242"/>
      <c r="J32" s="224" t="s">
        <v>98</v>
      </c>
      <c r="K32" s="244" t="s">
        <v>895</v>
      </c>
      <c r="L32" s="268" t="str">
        <f t="shared" ref="L32:V32" si="25">IF(AND(L$6&lt;=$I32,L$6+6&gt;=$H32,$H32&lt;&gt;"",$I32&lt;&gt;""),1,"")</f>
        <v/>
      </c>
      <c r="M32" s="268" t="str">
        <f t="shared" si="25"/>
        <v/>
      </c>
      <c r="N32" s="268" t="str">
        <f t="shared" si="25"/>
        <v/>
      </c>
      <c r="O32" s="268" t="str">
        <f t="shared" si="25"/>
        <v/>
      </c>
      <c r="P32" s="268" t="str">
        <f t="shared" si="25"/>
        <v/>
      </c>
      <c r="Q32" s="268" t="str">
        <f t="shared" si="25"/>
        <v/>
      </c>
      <c r="R32" s="268" t="str">
        <f t="shared" si="25"/>
        <v/>
      </c>
      <c r="S32" s="268" t="str">
        <f t="shared" si="25"/>
        <v/>
      </c>
      <c r="T32" s="268" t="str">
        <f t="shared" si="25"/>
        <v/>
      </c>
      <c r="U32" s="268" t="str">
        <f t="shared" si="25"/>
        <v/>
      </c>
      <c r="V32" s="268" t="str">
        <f t="shared" si="25"/>
        <v/>
      </c>
    </row>
    <row r="33" spans="1:22" ht="15.75">
      <c r="A33" s="224">
        <v>27</v>
      </c>
      <c r="B33" s="224" t="s">
        <v>471</v>
      </c>
      <c r="C33" s="221" t="s">
        <v>128</v>
      </c>
      <c r="D33" s="221" t="s">
        <v>132</v>
      </c>
      <c r="E33" s="224" t="s">
        <v>390</v>
      </c>
      <c r="F33" s="224" t="s">
        <v>106</v>
      </c>
      <c r="G33" s="224" t="s">
        <v>121</v>
      </c>
      <c r="H33" s="242"/>
      <c r="I33" s="242"/>
      <c r="J33" s="224" t="s">
        <v>98</v>
      </c>
      <c r="K33" s="244" t="s">
        <v>888</v>
      </c>
      <c r="L33" s="268" t="str">
        <f t="shared" ref="L33:V33" si="26">IF(AND(L$6&lt;=$I33,L$6+6&gt;=$H33,$H33&lt;&gt;"",$I33&lt;&gt;""),1,"")</f>
        <v/>
      </c>
      <c r="M33" s="268" t="str">
        <f t="shared" si="26"/>
        <v/>
      </c>
      <c r="N33" s="268" t="str">
        <f t="shared" si="26"/>
        <v/>
      </c>
      <c r="O33" s="268" t="str">
        <f t="shared" si="26"/>
        <v/>
      </c>
      <c r="P33" s="268" t="str">
        <f t="shared" si="26"/>
        <v/>
      </c>
      <c r="Q33" s="268" t="str">
        <f t="shared" si="26"/>
        <v/>
      </c>
      <c r="R33" s="268" t="str">
        <f t="shared" si="26"/>
        <v/>
      </c>
      <c r="S33" s="268" t="str">
        <f t="shared" si="26"/>
        <v/>
      </c>
      <c r="T33" s="268" t="str">
        <f t="shared" si="26"/>
        <v/>
      </c>
      <c r="U33" s="268" t="str">
        <f t="shared" si="26"/>
        <v/>
      </c>
      <c r="V33" s="268" t="str">
        <f t="shared" si="26"/>
        <v/>
      </c>
    </row>
    <row r="34" spans="1:22" ht="15.75">
      <c r="A34" s="224">
        <v>28</v>
      </c>
      <c r="B34" s="224" t="s">
        <v>475</v>
      </c>
      <c r="C34" s="221" t="s">
        <v>128</v>
      </c>
      <c r="D34" s="221" t="s">
        <v>133</v>
      </c>
      <c r="E34" s="224" t="s">
        <v>390</v>
      </c>
      <c r="F34" s="224" t="s">
        <v>106</v>
      </c>
      <c r="G34" s="224" t="s">
        <v>121</v>
      </c>
      <c r="H34" s="242">
        <v>46258</v>
      </c>
      <c r="I34" s="242">
        <v>46267</v>
      </c>
      <c r="J34" s="224" t="s">
        <v>98</v>
      </c>
      <c r="K34" s="243" t="s">
        <v>887</v>
      </c>
      <c r="L34" s="268" t="str">
        <f t="shared" ref="L34:V34" si="27">IF(AND(L$6&lt;=$I34,L$6+6&gt;=$H34,$H34&lt;&gt;"",$I34&lt;&gt;""),1,"")</f>
        <v/>
      </c>
      <c r="M34" s="268" t="str">
        <f t="shared" si="27"/>
        <v/>
      </c>
      <c r="N34" s="268" t="str">
        <f t="shared" si="27"/>
        <v/>
      </c>
      <c r="O34" s="268">
        <f t="shared" si="27"/>
        <v>1</v>
      </c>
      <c r="P34" s="268">
        <f t="shared" si="27"/>
        <v>1</v>
      </c>
      <c r="Q34" s="268" t="str">
        <f t="shared" si="27"/>
        <v/>
      </c>
      <c r="R34" s="268" t="str">
        <f t="shared" si="27"/>
        <v/>
      </c>
      <c r="S34" s="268" t="str">
        <f t="shared" si="27"/>
        <v/>
      </c>
      <c r="T34" s="268" t="str">
        <f t="shared" si="27"/>
        <v/>
      </c>
      <c r="U34" s="268" t="str">
        <f t="shared" si="27"/>
        <v/>
      </c>
      <c r="V34" s="268" t="str">
        <f t="shared" si="27"/>
        <v/>
      </c>
    </row>
    <row r="35" spans="1:22" ht="15.75">
      <c r="A35" s="224">
        <v>29</v>
      </c>
      <c r="B35" s="224" t="s">
        <v>478</v>
      </c>
      <c r="C35" s="221" t="s">
        <v>128</v>
      </c>
      <c r="D35" s="221" t="s">
        <v>134</v>
      </c>
      <c r="E35" s="224" t="s">
        <v>390</v>
      </c>
      <c r="F35" s="224" t="s">
        <v>106</v>
      </c>
      <c r="G35" s="224" t="s">
        <v>121</v>
      </c>
      <c r="H35" s="242"/>
      <c r="I35" s="242"/>
      <c r="J35" s="224" t="s">
        <v>98</v>
      </c>
      <c r="K35" s="244" t="s">
        <v>888</v>
      </c>
      <c r="L35" s="268" t="str">
        <f t="shared" ref="L35:V35" si="28">IF(AND(L$6&lt;=$I35,L$6+6&gt;=$H35,$H35&lt;&gt;"",$I35&lt;&gt;""),1,"")</f>
        <v/>
      </c>
      <c r="M35" s="268" t="str">
        <f t="shared" si="28"/>
        <v/>
      </c>
      <c r="N35" s="268" t="str">
        <f t="shared" si="28"/>
        <v/>
      </c>
      <c r="O35" s="268" t="str">
        <f t="shared" si="28"/>
        <v/>
      </c>
      <c r="P35" s="268" t="str">
        <f t="shared" si="28"/>
        <v/>
      </c>
      <c r="Q35" s="268" t="str">
        <f t="shared" si="28"/>
        <v/>
      </c>
      <c r="R35" s="268" t="str">
        <f t="shared" si="28"/>
        <v/>
      </c>
      <c r="S35" s="268" t="str">
        <f t="shared" si="28"/>
        <v/>
      </c>
      <c r="T35" s="268" t="str">
        <f t="shared" si="28"/>
        <v/>
      </c>
      <c r="U35" s="268" t="str">
        <f t="shared" si="28"/>
        <v/>
      </c>
      <c r="V35" s="268" t="str">
        <f t="shared" si="28"/>
        <v/>
      </c>
    </row>
    <row r="36" spans="1:22" ht="15.75">
      <c r="A36" s="224">
        <v>30</v>
      </c>
      <c r="B36" s="224" t="s">
        <v>482</v>
      </c>
      <c r="C36" s="221" t="s">
        <v>128</v>
      </c>
      <c r="D36" s="221" t="s">
        <v>135</v>
      </c>
      <c r="E36" s="224" t="s">
        <v>390</v>
      </c>
      <c r="F36" s="224" t="s">
        <v>106</v>
      </c>
      <c r="G36" s="224" t="s">
        <v>121</v>
      </c>
      <c r="H36" s="242"/>
      <c r="I36" s="242"/>
      <c r="J36" s="224" t="s">
        <v>98</v>
      </c>
      <c r="K36" s="244" t="s">
        <v>888</v>
      </c>
      <c r="L36" s="268" t="str">
        <f t="shared" ref="L36:V36" si="29">IF(AND(L$6&lt;=$I36,L$6+6&gt;=$H36,$H36&lt;&gt;"",$I36&lt;&gt;""),1,"")</f>
        <v/>
      </c>
      <c r="M36" s="268" t="str">
        <f t="shared" si="29"/>
        <v/>
      </c>
      <c r="N36" s="268" t="str">
        <f t="shared" si="29"/>
        <v/>
      </c>
      <c r="O36" s="268" t="str">
        <f t="shared" si="29"/>
        <v/>
      </c>
      <c r="P36" s="268" t="str">
        <f t="shared" si="29"/>
        <v/>
      </c>
      <c r="Q36" s="268" t="str">
        <f t="shared" si="29"/>
        <v/>
      </c>
      <c r="R36" s="268" t="str">
        <f t="shared" si="29"/>
        <v/>
      </c>
      <c r="S36" s="268" t="str">
        <f t="shared" si="29"/>
        <v/>
      </c>
      <c r="T36" s="268" t="str">
        <f t="shared" si="29"/>
        <v/>
      </c>
      <c r="U36" s="268" t="str">
        <f t="shared" si="29"/>
        <v/>
      </c>
      <c r="V36" s="268" t="str">
        <f t="shared" si="29"/>
        <v/>
      </c>
    </row>
    <row r="37" spans="1:22" ht="15.75">
      <c r="A37" s="224">
        <v>31</v>
      </c>
      <c r="B37" s="224" t="s">
        <v>485</v>
      </c>
      <c r="C37" s="221" t="s">
        <v>136</v>
      </c>
      <c r="D37" s="221" t="s">
        <v>137</v>
      </c>
      <c r="E37" s="224" t="s">
        <v>390</v>
      </c>
      <c r="F37" s="224" t="s">
        <v>106</v>
      </c>
      <c r="G37" s="224" t="s">
        <v>121</v>
      </c>
      <c r="H37" s="242">
        <v>46258</v>
      </c>
      <c r="I37" s="242">
        <v>46267</v>
      </c>
      <c r="J37" s="224" t="s">
        <v>98</v>
      </c>
      <c r="K37" s="243" t="s">
        <v>887</v>
      </c>
      <c r="L37" s="268" t="str">
        <f t="shared" ref="L37:V37" si="30">IF(AND(L$6&lt;=$I37,L$6+6&gt;=$H37,$H37&lt;&gt;"",$I37&lt;&gt;""),1,"")</f>
        <v/>
      </c>
      <c r="M37" s="268" t="str">
        <f t="shared" si="30"/>
        <v/>
      </c>
      <c r="N37" s="268" t="str">
        <f t="shared" si="30"/>
        <v/>
      </c>
      <c r="O37" s="268">
        <f t="shared" si="30"/>
        <v>1</v>
      </c>
      <c r="P37" s="268">
        <f t="shared" si="30"/>
        <v>1</v>
      </c>
      <c r="Q37" s="268" t="str">
        <f t="shared" si="30"/>
        <v/>
      </c>
      <c r="R37" s="268" t="str">
        <f t="shared" si="30"/>
        <v/>
      </c>
      <c r="S37" s="268" t="str">
        <f t="shared" si="30"/>
        <v/>
      </c>
      <c r="T37" s="268" t="str">
        <f t="shared" si="30"/>
        <v/>
      </c>
      <c r="U37" s="268" t="str">
        <f t="shared" si="30"/>
        <v/>
      </c>
      <c r="V37" s="268" t="str">
        <f t="shared" si="30"/>
        <v/>
      </c>
    </row>
    <row r="38" spans="1:22" ht="15.75">
      <c r="A38" s="224">
        <v>32</v>
      </c>
      <c r="B38" s="224" t="s">
        <v>490</v>
      </c>
      <c r="C38" s="221" t="s">
        <v>136</v>
      </c>
      <c r="D38" s="221" t="s">
        <v>138</v>
      </c>
      <c r="E38" s="224" t="s">
        <v>390</v>
      </c>
      <c r="F38" s="224" t="s">
        <v>106</v>
      </c>
      <c r="G38" s="224" t="s">
        <v>121</v>
      </c>
      <c r="H38" s="242">
        <v>46258</v>
      </c>
      <c r="I38" s="242">
        <v>46267</v>
      </c>
      <c r="J38" s="224" t="s">
        <v>98</v>
      </c>
      <c r="K38" s="243" t="s">
        <v>896</v>
      </c>
      <c r="L38" s="268" t="str">
        <f t="shared" ref="L38:V38" si="31">IF(AND(L$6&lt;=$I38,L$6+6&gt;=$H38,$H38&lt;&gt;"",$I38&lt;&gt;""),1,"")</f>
        <v/>
      </c>
      <c r="M38" s="268" t="str">
        <f t="shared" si="31"/>
        <v/>
      </c>
      <c r="N38" s="268" t="str">
        <f t="shared" si="31"/>
        <v/>
      </c>
      <c r="O38" s="268">
        <f t="shared" si="31"/>
        <v>1</v>
      </c>
      <c r="P38" s="268">
        <f t="shared" si="31"/>
        <v>1</v>
      </c>
      <c r="Q38" s="268" t="str">
        <f t="shared" si="31"/>
        <v/>
      </c>
      <c r="R38" s="268" t="str">
        <f t="shared" si="31"/>
        <v/>
      </c>
      <c r="S38" s="268" t="str">
        <f t="shared" si="31"/>
        <v/>
      </c>
      <c r="T38" s="268" t="str">
        <f t="shared" si="31"/>
        <v/>
      </c>
      <c r="U38" s="268" t="str">
        <f t="shared" si="31"/>
        <v/>
      </c>
      <c r="V38" s="268" t="str">
        <f t="shared" si="31"/>
        <v/>
      </c>
    </row>
    <row r="39" spans="1:22" ht="15.75">
      <c r="A39" s="224">
        <v>33</v>
      </c>
      <c r="B39" s="224" t="s">
        <v>494</v>
      </c>
      <c r="C39" s="221" t="s">
        <v>136</v>
      </c>
      <c r="D39" s="221" t="s">
        <v>139</v>
      </c>
      <c r="E39" s="224" t="s">
        <v>390</v>
      </c>
      <c r="F39" s="224" t="s">
        <v>106</v>
      </c>
      <c r="G39" s="224" t="s">
        <v>121</v>
      </c>
      <c r="H39" s="242">
        <v>46258</v>
      </c>
      <c r="I39" s="242">
        <v>46267</v>
      </c>
      <c r="J39" s="224" t="s">
        <v>98</v>
      </c>
      <c r="K39" s="243" t="s">
        <v>897</v>
      </c>
      <c r="L39" s="268" t="str">
        <f t="shared" ref="L39:V39" si="32">IF(AND(L$6&lt;=$I39,L$6+6&gt;=$H39,$H39&lt;&gt;"",$I39&lt;&gt;""),1,"")</f>
        <v/>
      </c>
      <c r="M39" s="268" t="str">
        <f t="shared" si="32"/>
        <v/>
      </c>
      <c r="N39" s="268" t="str">
        <f t="shared" si="32"/>
        <v/>
      </c>
      <c r="O39" s="268">
        <f t="shared" si="32"/>
        <v>1</v>
      </c>
      <c r="P39" s="268">
        <f t="shared" si="32"/>
        <v>1</v>
      </c>
      <c r="Q39" s="268" t="str">
        <f t="shared" si="32"/>
        <v/>
      </c>
      <c r="R39" s="268" t="str">
        <f t="shared" si="32"/>
        <v/>
      </c>
      <c r="S39" s="268" t="str">
        <f t="shared" si="32"/>
        <v/>
      </c>
      <c r="T39" s="268" t="str">
        <f t="shared" si="32"/>
        <v/>
      </c>
      <c r="U39" s="268" t="str">
        <f t="shared" si="32"/>
        <v/>
      </c>
      <c r="V39" s="268" t="str">
        <f t="shared" si="32"/>
        <v/>
      </c>
    </row>
    <row r="40" spans="1:22" ht="15.75">
      <c r="A40" s="224">
        <v>34</v>
      </c>
      <c r="B40" s="224" t="s">
        <v>498</v>
      </c>
      <c r="C40" s="221" t="s">
        <v>136</v>
      </c>
      <c r="D40" s="221" t="s">
        <v>140</v>
      </c>
      <c r="E40" s="224" t="s">
        <v>390</v>
      </c>
      <c r="F40" s="224" t="s">
        <v>106</v>
      </c>
      <c r="G40" s="224" t="s">
        <v>121</v>
      </c>
      <c r="H40" s="242">
        <v>46258</v>
      </c>
      <c r="I40" s="242">
        <v>46267</v>
      </c>
      <c r="J40" s="224" t="s">
        <v>98</v>
      </c>
      <c r="K40" s="243" t="s">
        <v>887</v>
      </c>
      <c r="L40" s="268" t="str">
        <f t="shared" ref="L40:V40" si="33">IF(AND(L$6&lt;=$I40,L$6+6&gt;=$H40,$H40&lt;&gt;"",$I40&lt;&gt;""),1,"")</f>
        <v/>
      </c>
      <c r="M40" s="268" t="str">
        <f t="shared" si="33"/>
        <v/>
      </c>
      <c r="N40" s="268" t="str">
        <f t="shared" si="33"/>
        <v/>
      </c>
      <c r="O40" s="268">
        <f t="shared" si="33"/>
        <v>1</v>
      </c>
      <c r="P40" s="268">
        <f t="shared" si="33"/>
        <v>1</v>
      </c>
      <c r="Q40" s="268" t="str">
        <f t="shared" si="33"/>
        <v/>
      </c>
      <c r="R40" s="268" t="str">
        <f t="shared" si="33"/>
        <v/>
      </c>
      <c r="S40" s="268" t="str">
        <f t="shared" si="33"/>
        <v/>
      </c>
      <c r="T40" s="268" t="str">
        <f t="shared" si="33"/>
        <v/>
      </c>
      <c r="U40" s="268" t="str">
        <f t="shared" si="33"/>
        <v/>
      </c>
      <c r="V40" s="268" t="str">
        <f t="shared" si="33"/>
        <v/>
      </c>
    </row>
    <row r="41" spans="1:22" ht="15.75">
      <c r="A41" s="224">
        <v>35</v>
      </c>
      <c r="B41" s="224" t="s">
        <v>501</v>
      </c>
      <c r="C41" s="221" t="s">
        <v>136</v>
      </c>
      <c r="D41" s="221" t="s">
        <v>141</v>
      </c>
      <c r="E41" s="224" t="s">
        <v>390</v>
      </c>
      <c r="F41" s="224" t="s">
        <v>106</v>
      </c>
      <c r="G41" s="224" t="s">
        <v>121</v>
      </c>
      <c r="H41" s="242"/>
      <c r="I41" s="242"/>
      <c r="J41" s="224" t="s">
        <v>98</v>
      </c>
      <c r="K41" s="244" t="s">
        <v>888</v>
      </c>
      <c r="L41" s="268" t="str">
        <f t="shared" ref="L41:V41" si="34">IF(AND(L$6&lt;=$I41,L$6+6&gt;=$H41,$H41&lt;&gt;"",$I41&lt;&gt;""),1,"")</f>
        <v/>
      </c>
      <c r="M41" s="268" t="str">
        <f t="shared" si="34"/>
        <v/>
      </c>
      <c r="N41" s="268" t="str">
        <f t="shared" si="34"/>
        <v/>
      </c>
      <c r="O41" s="268" t="str">
        <f t="shared" si="34"/>
        <v/>
      </c>
      <c r="P41" s="268" t="str">
        <f t="shared" si="34"/>
        <v/>
      </c>
      <c r="Q41" s="268" t="str">
        <f t="shared" si="34"/>
        <v/>
      </c>
      <c r="R41" s="268" t="str">
        <f t="shared" si="34"/>
        <v/>
      </c>
      <c r="S41" s="268" t="str">
        <f t="shared" si="34"/>
        <v/>
      </c>
      <c r="T41" s="268" t="str">
        <f t="shared" si="34"/>
        <v/>
      </c>
      <c r="U41" s="268" t="str">
        <f t="shared" si="34"/>
        <v/>
      </c>
      <c r="V41" s="268" t="str">
        <f t="shared" si="34"/>
        <v/>
      </c>
    </row>
    <row r="42" spans="1:22" ht="15.75">
      <c r="A42" s="224">
        <v>36</v>
      </c>
      <c r="B42" s="224" t="s">
        <v>504</v>
      </c>
      <c r="C42" s="221" t="s">
        <v>136</v>
      </c>
      <c r="D42" s="221" t="s">
        <v>142</v>
      </c>
      <c r="E42" s="224" t="s">
        <v>390</v>
      </c>
      <c r="F42" s="224" t="s">
        <v>106</v>
      </c>
      <c r="G42" s="224" t="s">
        <v>121</v>
      </c>
      <c r="H42" s="242"/>
      <c r="I42" s="242"/>
      <c r="J42" s="224" t="s">
        <v>98</v>
      </c>
      <c r="K42" s="244" t="s">
        <v>888</v>
      </c>
      <c r="L42" s="268" t="str">
        <f t="shared" ref="L42:V42" si="35">IF(AND(L$6&lt;=$I42,L$6+6&gt;=$H42,$H42&lt;&gt;"",$I42&lt;&gt;""),1,"")</f>
        <v/>
      </c>
      <c r="M42" s="268" t="str">
        <f t="shared" si="35"/>
        <v/>
      </c>
      <c r="N42" s="268" t="str">
        <f t="shared" si="35"/>
        <v/>
      </c>
      <c r="O42" s="268" t="str">
        <f t="shared" si="35"/>
        <v/>
      </c>
      <c r="P42" s="268" t="str">
        <f t="shared" si="35"/>
        <v/>
      </c>
      <c r="Q42" s="268" t="str">
        <f t="shared" si="35"/>
        <v/>
      </c>
      <c r="R42" s="268" t="str">
        <f t="shared" si="35"/>
        <v/>
      </c>
      <c r="S42" s="268" t="str">
        <f t="shared" si="35"/>
        <v/>
      </c>
      <c r="T42" s="268" t="str">
        <f t="shared" si="35"/>
        <v/>
      </c>
      <c r="U42" s="268" t="str">
        <f t="shared" si="35"/>
        <v/>
      </c>
      <c r="V42" s="268" t="str">
        <f t="shared" si="35"/>
        <v/>
      </c>
    </row>
    <row r="43" spans="1:22" ht="15.75">
      <c r="A43" s="224">
        <v>37</v>
      </c>
      <c r="B43" s="224" t="s">
        <v>507</v>
      </c>
      <c r="C43" s="221" t="s">
        <v>143</v>
      </c>
      <c r="D43" s="221" t="s">
        <v>144</v>
      </c>
      <c r="E43" s="224" t="s">
        <v>390</v>
      </c>
      <c r="F43" s="224" t="s">
        <v>145</v>
      </c>
      <c r="G43" s="224" t="s">
        <v>146</v>
      </c>
      <c r="H43" s="242">
        <v>46258</v>
      </c>
      <c r="I43" s="242">
        <v>46262</v>
      </c>
      <c r="J43" s="224" t="s">
        <v>98</v>
      </c>
      <c r="K43" s="243" t="s">
        <v>887</v>
      </c>
      <c r="L43" s="268" t="str">
        <f t="shared" ref="L43:V43" si="36">IF(AND(L$6&lt;=$I43,L$6+6&gt;=$H43,$H43&lt;&gt;"",$I43&lt;&gt;""),1,"")</f>
        <v/>
      </c>
      <c r="M43" s="268" t="str">
        <f t="shared" si="36"/>
        <v/>
      </c>
      <c r="N43" s="268" t="str">
        <f t="shared" si="36"/>
        <v/>
      </c>
      <c r="O43" s="268">
        <f t="shared" si="36"/>
        <v>1</v>
      </c>
      <c r="P43" s="268" t="str">
        <f t="shared" si="36"/>
        <v/>
      </c>
      <c r="Q43" s="268" t="str">
        <f t="shared" si="36"/>
        <v/>
      </c>
      <c r="R43" s="268" t="str">
        <f t="shared" si="36"/>
        <v/>
      </c>
      <c r="S43" s="268" t="str">
        <f t="shared" si="36"/>
        <v/>
      </c>
      <c r="T43" s="268" t="str">
        <f t="shared" si="36"/>
        <v/>
      </c>
      <c r="U43" s="268" t="str">
        <f t="shared" si="36"/>
        <v/>
      </c>
      <c r="V43" s="268" t="str">
        <f t="shared" si="36"/>
        <v/>
      </c>
    </row>
    <row r="44" spans="1:22" ht="15.75">
      <c r="A44" s="224">
        <v>38</v>
      </c>
      <c r="B44" s="224" t="s">
        <v>510</v>
      </c>
      <c r="C44" s="221" t="s">
        <v>143</v>
      </c>
      <c r="D44" s="221" t="s">
        <v>147</v>
      </c>
      <c r="E44" s="224" t="s">
        <v>390</v>
      </c>
      <c r="F44" s="224" t="s">
        <v>145</v>
      </c>
      <c r="G44" s="224" t="s">
        <v>146</v>
      </c>
      <c r="H44" s="242">
        <v>46258</v>
      </c>
      <c r="I44" s="242">
        <v>46262</v>
      </c>
      <c r="J44" s="224" t="s">
        <v>98</v>
      </c>
      <c r="K44" s="243" t="s">
        <v>887</v>
      </c>
      <c r="L44" s="268" t="str">
        <f t="shared" ref="L44:V44" si="37">IF(AND(L$6&lt;=$I44,L$6+6&gt;=$H44,$H44&lt;&gt;"",$I44&lt;&gt;""),1,"")</f>
        <v/>
      </c>
      <c r="M44" s="268" t="str">
        <f t="shared" si="37"/>
        <v/>
      </c>
      <c r="N44" s="268" t="str">
        <f t="shared" si="37"/>
        <v/>
      </c>
      <c r="O44" s="268">
        <f t="shared" si="37"/>
        <v>1</v>
      </c>
      <c r="P44" s="268" t="str">
        <f t="shared" si="37"/>
        <v/>
      </c>
      <c r="Q44" s="268" t="str">
        <f t="shared" si="37"/>
        <v/>
      </c>
      <c r="R44" s="268" t="str">
        <f t="shared" si="37"/>
        <v/>
      </c>
      <c r="S44" s="268" t="str">
        <f t="shared" si="37"/>
        <v/>
      </c>
      <c r="T44" s="268" t="str">
        <f t="shared" si="37"/>
        <v/>
      </c>
      <c r="U44" s="268" t="str">
        <f t="shared" si="37"/>
        <v/>
      </c>
      <c r="V44" s="268" t="str">
        <f t="shared" si="37"/>
        <v/>
      </c>
    </row>
    <row r="45" spans="1:22" ht="15.75">
      <c r="A45" s="224">
        <v>39</v>
      </c>
      <c r="B45" s="224" t="s">
        <v>513</v>
      </c>
      <c r="C45" s="221" t="s">
        <v>143</v>
      </c>
      <c r="D45" s="221" t="s">
        <v>148</v>
      </c>
      <c r="E45" s="224" t="s">
        <v>390</v>
      </c>
      <c r="F45" s="224" t="s">
        <v>145</v>
      </c>
      <c r="G45" s="224" t="s">
        <v>146</v>
      </c>
      <c r="H45" s="242">
        <v>46258</v>
      </c>
      <c r="I45" s="242">
        <v>46262</v>
      </c>
      <c r="J45" s="224" t="s">
        <v>98</v>
      </c>
      <c r="K45" s="243" t="s">
        <v>887</v>
      </c>
      <c r="L45" s="268" t="str">
        <f t="shared" ref="L45:V45" si="38">IF(AND(L$6&lt;=$I45,L$6+6&gt;=$H45,$H45&lt;&gt;"",$I45&lt;&gt;""),1,"")</f>
        <v/>
      </c>
      <c r="M45" s="268" t="str">
        <f t="shared" si="38"/>
        <v/>
      </c>
      <c r="N45" s="268" t="str">
        <f t="shared" si="38"/>
        <v/>
      </c>
      <c r="O45" s="268">
        <f t="shared" si="38"/>
        <v>1</v>
      </c>
      <c r="P45" s="268" t="str">
        <f t="shared" si="38"/>
        <v/>
      </c>
      <c r="Q45" s="268" t="str">
        <f t="shared" si="38"/>
        <v/>
      </c>
      <c r="R45" s="268" t="str">
        <f t="shared" si="38"/>
        <v/>
      </c>
      <c r="S45" s="268" t="str">
        <f t="shared" si="38"/>
        <v/>
      </c>
      <c r="T45" s="268" t="str">
        <f t="shared" si="38"/>
        <v/>
      </c>
      <c r="U45" s="268" t="str">
        <f t="shared" si="38"/>
        <v/>
      </c>
      <c r="V45" s="268" t="str">
        <f t="shared" si="38"/>
        <v/>
      </c>
    </row>
    <row r="46" spans="1:22" ht="15.75">
      <c r="A46" s="224">
        <v>40</v>
      </c>
      <c r="B46" s="224" t="s">
        <v>516</v>
      </c>
      <c r="C46" s="221" t="s">
        <v>143</v>
      </c>
      <c r="D46" s="221" t="s">
        <v>149</v>
      </c>
      <c r="E46" s="224" t="s">
        <v>390</v>
      </c>
      <c r="F46" s="224" t="s">
        <v>145</v>
      </c>
      <c r="G46" s="224" t="s">
        <v>146</v>
      </c>
      <c r="H46" s="242">
        <v>46265</v>
      </c>
      <c r="I46" s="242">
        <v>46269</v>
      </c>
      <c r="J46" s="224" t="s">
        <v>98</v>
      </c>
      <c r="K46" s="243" t="s">
        <v>898</v>
      </c>
      <c r="L46" s="268" t="str">
        <f t="shared" ref="L46:V46" si="39">IF(AND(L$6&lt;=$I46,L$6+6&gt;=$H46,$H46&lt;&gt;"",$I46&lt;&gt;""),1,"")</f>
        <v/>
      </c>
      <c r="M46" s="268" t="str">
        <f t="shared" si="39"/>
        <v/>
      </c>
      <c r="N46" s="268" t="str">
        <f t="shared" si="39"/>
        <v/>
      </c>
      <c r="O46" s="268" t="str">
        <f t="shared" si="39"/>
        <v/>
      </c>
      <c r="P46" s="268">
        <f t="shared" si="39"/>
        <v>1</v>
      </c>
      <c r="Q46" s="268" t="str">
        <f t="shared" si="39"/>
        <v/>
      </c>
      <c r="R46" s="268" t="str">
        <f t="shared" si="39"/>
        <v/>
      </c>
      <c r="S46" s="268" t="str">
        <f t="shared" si="39"/>
        <v/>
      </c>
      <c r="T46" s="268" t="str">
        <f t="shared" si="39"/>
        <v/>
      </c>
      <c r="U46" s="268" t="str">
        <f t="shared" si="39"/>
        <v/>
      </c>
      <c r="V46" s="268" t="str">
        <f t="shared" si="39"/>
        <v/>
      </c>
    </row>
    <row r="47" spans="1:22" ht="15.75">
      <c r="A47" s="224">
        <v>41</v>
      </c>
      <c r="B47" s="224" t="s">
        <v>520</v>
      </c>
      <c r="C47" s="221" t="s">
        <v>143</v>
      </c>
      <c r="D47" s="221" t="s">
        <v>150</v>
      </c>
      <c r="E47" s="224" t="s">
        <v>390</v>
      </c>
      <c r="F47" s="224" t="s">
        <v>145</v>
      </c>
      <c r="G47" s="224" t="s">
        <v>146</v>
      </c>
      <c r="H47" s="242">
        <v>46265</v>
      </c>
      <c r="I47" s="242">
        <v>46269</v>
      </c>
      <c r="J47" s="224" t="s">
        <v>98</v>
      </c>
      <c r="K47" s="243" t="s">
        <v>887</v>
      </c>
      <c r="L47" s="268" t="str">
        <f t="shared" ref="L47:V47" si="40">IF(AND(L$6&lt;=$I47,L$6+6&gt;=$H47,$H47&lt;&gt;"",$I47&lt;&gt;""),1,"")</f>
        <v/>
      </c>
      <c r="M47" s="268" t="str">
        <f t="shared" si="40"/>
        <v/>
      </c>
      <c r="N47" s="268" t="str">
        <f t="shared" si="40"/>
        <v/>
      </c>
      <c r="O47" s="268" t="str">
        <f t="shared" si="40"/>
        <v/>
      </c>
      <c r="P47" s="268">
        <f t="shared" si="40"/>
        <v>1</v>
      </c>
      <c r="Q47" s="268" t="str">
        <f t="shared" si="40"/>
        <v/>
      </c>
      <c r="R47" s="268" t="str">
        <f t="shared" si="40"/>
        <v/>
      </c>
      <c r="S47" s="268" t="str">
        <f t="shared" si="40"/>
        <v/>
      </c>
      <c r="T47" s="268" t="str">
        <f t="shared" si="40"/>
        <v/>
      </c>
      <c r="U47" s="268" t="str">
        <f t="shared" si="40"/>
        <v/>
      </c>
      <c r="V47" s="268" t="str">
        <f t="shared" si="40"/>
        <v/>
      </c>
    </row>
    <row r="48" spans="1:22" ht="15.75">
      <c r="A48" s="224">
        <v>42</v>
      </c>
      <c r="B48" s="224" t="s">
        <v>523</v>
      </c>
      <c r="C48" s="221" t="s">
        <v>143</v>
      </c>
      <c r="D48" s="221" t="s">
        <v>151</v>
      </c>
      <c r="E48" s="224" t="s">
        <v>390</v>
      </c>
      <c r="F48" s="224" t="s">
        <v>145</v>
      </c>
      <c r="G48" s="224" t="s">
        <v>146</v>
      </c>
      <c r="H48" s="242"/>
      <c r="I48" s="242"/>
      <c r="J48" s="224" t="s">
        <v>98</v>
      </c>
      <c r="K48" s="244" t="s">
        <v>888</v>
      </c>
      <c r="L48" s="268" t="str">
        <f t="shared" ref="L48:V48" si="41">IF(AND(L$6&lt;=$I48,L$6+6&gt;=$H48,$H48&lt;&gt;"",$I48&lt;&gt;""),1,"")</f>
        <v/>
      </c>
      <c r="M48" s="268" t="str">
        <f t="shared" si="41"/>
        <v/>
      </c>
      <c r="N48" s="268" t="str">
        <f t="shared" si="41"/>
        <v/>
      </c>
      <c r="O48" s="268" t="str">
        <f t="shared" si="41"/>
        <v/>
      </c>
      <c r="P48" s="268" t="str">
        <f t="shared" si="41"/>
        <v/>
      </c>
      <c r="Q48" s="268" t="str">
        <f t="shared" si="41"/>
        <v/>
      </c>
      <c r="R48" s="268" t="str">
        <f t="shared" si="41"/>
        <v/>
      </c>
      <c r="S48" s="268" t="str">
        <f t="shared" si="41"/>
        <v/>
      </c>
      <c r="T48" s="268" t="str">
        <f t="shared" si="41"/>
        <v/>
      </c>
      <c r="U48" s="268" t="str">
        <f t="shared" si="41"/>
        <v/>
      </c>
      <c r="V48" s="268" t="str">
        <f t="shared" si="41"/>
        <v/>
      </c>
    </row>
    <row r="49" spans="1:22" ht="15.75">
      <c r="A49" s="224">
        <v>43</v>
      </c>
      <c r="B49" s="224" t="s">
        <v>526</v>
      </c>
      <c r="C49" s="221" t="s">
        <v>143</v>
      </c>
      <c r="D49" s="221" t="s">
        <v>152</v>
      </c>
      <c r="E49" s="224" t="s">
        <v>390</v>
      </c>
      <c r="F49" s="224" t="s">
        <v>145</v>
      </c>
      <c r="G49" s="224" t="s">
        <v>146</v>
      </c>
      <c r="H49" s="242"/>
      <c r="I49" s="242"/>
      <c r="J49" s="224" t="s">
        <v>98</v>
      </c>
      <c r="K49" s="244" t="s">
        <v>888</v>
      </c>
      <c r="L49" s="268" t="str">
        <f t="shared" ref="L49:V49" si="42">IF(AND(L$6&lt;=$I49,L$6+6&gt;=$H49,$H49&lt;&gt;"",$I49&lt;&gt;""),1,"")</f>
        <v/>
      </c>
      <c r="M49" s="268" t="str">
        <f t="shared" si="42"/>
        <v/>
      </c>
      <c r="N49" s="268" t="str">
        <f t="shared" si="42"/>
        <v/>
      </c>
      <c r="O49" s="268" t="str">
        <f t="shared" si="42"/>
        <v/>
      </c>
      <c r="P49" s="268" t="str">
        <f t="shared" si="42"/>
        <v/>
      </c>
      <c r="Q49" s="268" t="str">
        <f t="shared" si="42"/>
        <v/>
      </c>
      <c r="R49" s="268" t="str">
        <f t="shared" si="42"/>
        <v/>
      </c>
      <c r="S49" s="268" t="str">
        <f t="shared" si="42"/>
        <v/>
      </c>
      <c r="T49" s="268" t="str">
        <f t="shared" si="42"/>
        <v/>
      </c>
      <c r="U49" s="268" t="str">
        <f t="shared" si="42"/>
        <v/>
      </c>
      <c r="V49" s="268" t="str">
        <f t="shared" si="42"/>
        <v/>
      </c>
    </row>
    <row r="50" spans="1:22" ht="15.75">
      <c r="A50" s="224">
        <v>44</v>
      </c>
      <c r="B50" s="224" t="s">
        <v>528</v>
      </c>
      <c r="C50" s="221" t="s">
        <v>153</v>
      </c>
      <c r="D50" s="221" t="s">
        <v>154</v>
      </c>
      <c r="E50" s="224" t="s">
        <v>390</v>
      </c>
      <c r="F50" s="224" t="s">
        <v>106</v>
      </c>
      <c r="G50" s="224" t="s">
        <v>121</v>
      </c>
      <c r="H50" s="242">
        <v>46265</v>
      </c>
      <c r="I50" s="242">
        <v>46274</v>
      </c>
      <c r="J50" s="224" t="s">
        <v>98</v>
      </c>
      <c r="K50" s="243" t="s">
        <v>887</v>
      </c>
      <c r="L50" s="268" t="str">
        <f t="shared" ref="L50:V50" si="43">IF(AND(L$6&lt;=$I50,L$6+6&gt;=$H50,$H50&lt;&gt;"",$I50&lt;&gt;""),1,"")</f>
        <v/>
      </c>
      <c r="M50" s="268" t="str">
        <f t="shared" si="43"/>
        <v/>
      </c>
      <c r="N50" s="268" t="str">
        <f t="shared" si="43"/>
        <v/>
      </c>
      <c r="O50" s="268" t="str">
        <f t="shared" si="43"/>
        <v/>
      </c>
      <c r="P50" s="268">
        <f t="shared" si="43"/>
        <v>1</v>
      </c>
      <c r="Q50" s="268">
        <f t="shared" si="43"/>
        <v>1</v>
      </c>
      <c r="R50" s="268" t="str">
        <f t="shared" si="43"/>
        <v/>
      </c>
      <c r="S50" s="268" t="str">
        <f t="shared" si="43"/>
        <v/>
      </c>
      <c r="T50" s="268" t="str">
        <f t="shared" si="43"/>
        <v/>
      </c>
      <c r="U50" s="268" t="str">
        <f t="shared" si="43"/>
        <v/>
      </c>
      <c r="V50" s="268" t="str">
        <f t="shared" si="43"/>
        <v/>
      </c>
    </row>
    <row r="51" spans="1:22" ht="15.75">
      <c r="A51" s="224">
        <v>45</v>
      </c>
      <c r="B51" s="224" t="s">
        <v>533</v>
      </c>
      <c r="C51" s="221" t="s">
        <v>153</v>
      </c>
      <c r="D51" s="221" t="s">
        <v>155</v>
      </c>
      <c r="E51" s="224" t="s">
        <v>390</v>
      </c>
      <c r="F51" s="224" t="s">
        <v>106</v>
      </c>
      <c r="G51" s="224" t="s">
        <v>121</v>
      </c>
      <c r="H51" s="242">
        <v>46265</v>
      </c>
      <c r="I51" s="242">
        <v>46274</v>
      </c>
      <c r="J51" s="224" t="s">
        <v>98</v>
      </c>
      <c r="K51" s="243" t="s">
        <v>887</v>
      </c>
      <c r="L51" s="268" t="str">
        <f t="shared" ref="L51:V51" si="44">IF(AND(L$6&lt;=$I51,L$6+6&gt;=$H51,$H51&lt;&gt;"",$I51&lt;&gt;""),1,"")</f>
        <v/>
      </c>
      <c r="M51" s="268" t="str">
        <f t="shared" si="44"/>
        <v/>
      </c>
      <c r="N51" s="268" t="str">
        <f t="shared" si="44"/>
        <v/>
      </c>
      <c r="O51" s="268" t="str">
        <f t="shared" si="44"/>
        <v/>
      </c>
      <c r="P51" s="268">
        <f t="shared" si="44"/>
        <v>1</v>
      </c>
      <c r="Q51" s="268">
        <f t="shared" si="44"/>
        <v>1</v>
      </c>
      <c r="R51" s="268" t="str">
        <f t="shared" si="44"/>
        <v/>
      </c>
      <c r="S51" s="268" t="str">
        <f t="shared" si="44"/>
        <v/>
      </c>
      <c r="T51" s="268" t="str">
        <f t="shared" si="44"/>
        <v/>
      </c>
      <c r="U51" s="268" t="str">
        <f t="shared" si="44"/>
        <v/>
      </c>
      <c r="V51" s="268" t="str">
        <f t="shared" si="44"/>
        <v/>
      </c>
    </row>
    <row r="52" spans="1:22" ht="15.75">
      <c r="A52" s="224">
        <v>46</v>
      </c>
      <c r="B52" s="224" t="s">
        <v>536</v>
      </c>
      <c r="C52" s="221" t="s">
        <v>153</v>
      </c>
      <c r="D52" s="221" t="s">
        <v>156</v>
      </c>
      <c r="E52" s="224" t="s">
        <v>390</v>
      </c>
      <c r="F52" s="224" t="s">
        <v>106</v>
      </c>
      <c r="G52" s="224" t="s">
        <v>121</v>
      </c>
      <c r="H52" s="242">
        <v>46265</v>
      </c>
      <c r="I52" s="242">
        <v>46274</v>
      </c>
      <c r="J52" s="224" t="s">
        <v>98</v>
      </c>
      <c r="K52" s="243" t="s">
        <v>887</v>
      </c>
      <c r="L52" s="268" t="str">
        <f t="shared" ref="L52:V52" si="45">IF(AND(L$6&lt;=$I52,L$6+6&gt;=$H52,$H52&lt;&gt;"",$I52&lt;&gt;""),1,"")</f>
        <v/>
      </c>
      <c r="M52" s="268" t="str">
        <f t="shared" si="45"/>
        <v/>
      </c>
      <c r="N52" s="268" t="str">
        <f t="shared" si="45"/>
        <v/>
      </c>
      <c r="O52" s="268" t="str">
        <f t="shared" si="45"/>
        <v/>
      </c>
      <c r="P52" s="268">
        <f t="shared" si="45"/>
        <v>1</v>
      </c>
      <c r="Q52" s="268">
        <f t="shared" si="45"/>
        <v>1</v>
      </c>
      <c r="R52" s="268" t="str">
        <f t="shared" si="45"/>
        <v/>
      </c>
      <c r="S52" s="268" t="str">
        <f t="shared" si="45"/>
        <v/>
      </c>
      <c r="T52" s="268" t="str">
        <f t="shared" si="45"/>
        <v/>
      </c>
      <c r="U52" s="268" t="str">
        <f t="shared" si="45"/>
        <v/>
      </c>
      <c r="V52" s="268" t="str">
        <f t="shared" si="45"/>
        <v/>
      </c>
    </row>
    <row r="53" spans="1:22" ht="15.75">
      <c r="A53" s="224">
        <v>47</v>
      </c>
      <c r="B53" s="224" t="s">
        <v>539</v>
      </c>
      <c r="C53" s="221" t="s">
        <v>153</v>
      </c>
      <c r="D53" s="221" t="s">
        <v>157</v>
      </c>
      <c r="E53" s="224" t="s">
        <v>390</v>
      </c>
      <c r="F53" s="224" t="s">
        <v>106</v>
      </c>
      <c r="G53" s="224" t="s">
        <v>121</v>
      </c>
      <c r="H53" s="242">
        <v>46265</v>
      </c>
      <c r="I53" s="242">
        <v>46274</v>
      </c>
      <c r="J53" s="224" t="s">
        <v>98</v>
      </c>
      <c r="K53" s="243" t="s">
        <v>887</v>
      </c>
      <c r="L53" s="268" t="str">
        <f t="shared" ref="L53:V53" si="46">IF(AND(L$6&lt;=$I53,L$6+6&gt;=$H53,$H53&lt;&gt;"",$I53&lt;&gt;""),1,"")</f>
        <v/>
      </c>
      <c r="M53" s="268" t="str">
        <f t="shared" si="46"/>
        <v/>
      </c>
      <c r="N53" s="268" t="str">
        <f t="shared" si="46"/>
        <v/>
      </c>
      <c r="O53" s="268" t="str">
        <f t="shared" si="46"/>
        <v/>
      </c>
      <c r="P53" s="268">
        <f t="shared" si="46"/>
        <v>1</v>
      </c>
      <c r="Q53" s="268">
        <f t="shared" si="46"/>
        <v>1</v>
      </c>
      <c r="R53" s="268" t="str">
        <f t="shared" si="46"/>
        <v/>
      </c>
      <c r="S53" s="268" t="str">
        <f t="shared" si="46"/>
        <v/>
      </c>
      <c r="T53" s="268" t="str">
        <f t="shared" si="46"/>
        <v/>
      </c>
      <c r="U53" s="268" t="str">
        <f t="shared" si="46"/>
        <v/>
      </c>
      <c r="V53" s="268" t="str">
        <f t="shared" si="46"/>
        <v/>
      </c>
    </row>
    <row r="54" spans="1:22" ht="15.75">
      <c r="A54" s="224">
        <v>48</v>
      </c>
      <c r="B54" s="224" t="s">
        <v>543</v>
      </c>
      <c r="C54" s="221" t="s">
        <v>153</v>
      </c>
      <c r="D54" s="221" t="s">
        <v>158</v>
      </c>
      <c r="E54" s="224" t="s">
        <v>390</v>
      </c>
      <c r="F54" s="224" t="s">
        <v>106</v>
      </c>
      <c r="G54" s="224" t="s">
        <v>121</v>
      </c>
      <c r="H54" s="242"/>
      <c r="I54" s="242"/>
      <c r="J54" s="224" t="s">
        <v>98</v>
      </c>
      <c r="K54" s="244" t="s">
        <v>888</v>
      </c>
      <c r="L54" s="268" t="str">
        <f t="shared" ref="L54:V54" si="47">IF(AND(L$6&lt;=$I54,L$6+6&gt;=$H54,$H54&lt;&gt;"",$I54&lt;&gt;""),1,"")</f>
        <v/>
      </c>
      <c r="M54" s="268" t="str">
        <f t="shared" si="47"/>
        <v/>
      </c>
      <c r="N54" s="268" t="str">
        <f t="shared" si="47"/>
        <v/>
      </c>
      <c r="O54" s="268" t="str">
        <f t="shared" si="47"/>
        <v/>
      </c>
      <c r="P54" s="268" t="str">
        <f t="shared" si="47"/>
        <v/>
      </c>
      <c r="Q54" s="268" t="str">
        <f t="shared" si="47"/>
        <v/>
      </c>
      <c r="R54" s="268" t="str">
        <f t="shared" si="47"/>
        <v/>
      </c>
      <c r="S54" s="268" t="str">
        <f t="shared" si="47"/>
        <v/>
      </c>
      <c r="T54" s="268" t="str">
        <f t="shared" si="47"/>
        <v/>
      </c>
      <c r="U54" s="268" t="str">
        <f t="shared" si="47"/>
        <v/>
      </c>
      <c r="V54" s="268" t="str">
        <f t="shared" si="47"/>
        <v/>
      </c>
    </row>
    <row r="55" spans="1:22" ht="15.75">
      <c r="A55" s="224">
        <v>49</v>
      </c>
      <c r="B55" s="224" t="s">
        <v>547</v>
      </c>
      <c r="C55" s="221" t="s">
        <v>153</v>
      </c>
      <c r="D55" s="221" t="s">
        <v>159</v>
      </c>
      <c r="E55" s="224" t="s">
        <v>390</v>
      </c>
      <c r="F55" s="224" t="s">
        <v>106</v>
      </c>
      <c r="G55" s="224" t="s">
        <v>121</v>
      </c>
      <c r="H55" s="242"/>
      <c r="I55" s="242"/>
      <c r="J55" s="224" t="s">
        <v>98</v>
      </c>
      <c r="K55" s="244" t="s">
        <v>888</v>
      </c>
      <c r="L55" s="268" t="str">
        <f t="shared" ref="L55:V55" si="48">IF(AND(L$6&lt;=$I55,L$6+6&gt;=$H55,$H55&lt;&gt;"",$I55&lt;&gt;""),1,"")</f>
        <v/>
      </c>
      <c r="M55" s="268" t="str">
        <f t="shared" si="48"/>
        <v/>
      </c>
      <c r="N55" s="268" t="str">
        <f t="shared" si="48"/>
        <v/>
      </c>
      <c r="O55" s="268" t="str">
        <f t="shared" si="48"/>
        <v/>
      </c>
      <c r="P55" s="268" t="str">
        <f t="shared" si="48"/>
        <v/>
      </c>
      <c r="Q55" s="268" t="str">
        <f t="shared" si="48"/>
        <v/>
      </c>
      <c r="R55" s="268" t="str">
        <f t="shared" si="48"/>
        <v/>
      </c>
      <c r="S55" s="268" t="str">
        <f t="shared" si="48"/>
        <v/>
      </c>
      <c r="T55" s="268" t="str">
        <f t="shared" si="48"/>
        <v/>
      </c>
      <c r="U55" s="268" t="str">
        <f t="shared" si="48"/>
        <v/>
      </c>
      <c r="V55" s="268" t="str">
        <f t="shared" si="48"/>
        <v/>
      </c>
    </row>
    <row r="56" spans="1:22" ht="15.75">
      <c r="A56" s="224">
        <v>50</v>
      </c>
      <c r="B56" s="224" t="s">
        <v>549</v>
      </c>
      <c r="C56" s="221" t="s">
        <v>153</v>
      </c>
      <c r="D56" s="221" t="s">
        <v>160</v>
      </c>
      <c r="E56" s="224" t="s">
        <v>390</v>
      </c>
      <c r="F56" s="224" t="s">
        <v>106</v>
      </c>
      <c r="G56" s="224" t="s">
        <v>121</v>
      </c>
      <c r="H56" s="242">
        <v>46272</v>
      </c>
      <c r="I56" s="242">
        <v>46276</v>
      </c>
      <c r="J56" s="224" t="s">
        <v>98</v>
      </c>
      <c r="K56" s="243" t="s">
        <v>887</v>
      </c>
      <c r="L56" s="268" t="str">
        <f t="shared" ref="L56:V56" si="49">IF(AND(L$6&lt;=$I56,L$6+6&gt;=$H56,$H56&lt;&gt;"",$I56&lt;&gt;""),1,"")</f>
        <v/>
      </c>
      <c r="M56" s="268" t="str">
        <f t="shared" si="49"/>
        <v/>
      </c>
      <c r="N56" s="268" t="str">
        <f t="shared" si="49"/>
        <v/>
      </c>
      <c r="O56" s="268" t="str">
        <f t="shared" si="49"/>
        <v/>
      </c>
      <c r="P56" s="268" t="str">
        <f t="shared" si="49"/>
        <v/>
      </c>
      <c r="Q56" s="268">
        <f t="shared" si="49"/>
        <v>1</v>
      </c>
      <c r="R56" s="268" t="str">
        <f t="shared" si="49"/>
        <v/>
      </c>
      <c r="S56" s="268" t="str">
        <f t="shared" si="49"/>
        <v/>
      </c>
      <c r="T56" s="268" t="str">
        <f t="shared" si="49"/>
        <v/>
      </c>
      <c r="U56" s="268" t="str">
        <f t="shared" si="49"/>
        <v/>
      </c>
      <c r="V56" s="268" t="str">
        <f t="shared" si="49"/>
        <v/>
      </c>
    </row>
    <row r="57" spans="1:22" ht="15.75">
      <c r="A57" s="224">
        <v>51</v>
      </c>
      <c r="B57" s="224" t="s">
        <v>551</v>
      </c>
      <c r="C57" s="221" t="s">
        <v>161</v>
      </c>
      <c r="D57" s="221" t="s">
        <v>162</v>
      </c>
      <c r="E57" s="224" t="s">
        <v>390</v>
      </c>
      <c r="F57" s="224" t="s">
        <v>106</v>
      </c>
      <c r="G57" s="224" t="s">
        <v>121</v>
      </c>
      <c r="H57" s="242">
        <v>46265</v>
      </c>
      <c r="I57" s="242">
        <v>46276</v>
      </c>
      <c r="J57" s="224" t="s">
        <v>98</v>
      </c>
      <c r="K57" s="243" t="s">
        <v>896</v>
      </c>
      <c r="L57" s="268" t="str">
        <f t="shared" ref="L57:V57" si="50">IF(AND(L$6&lt;=$I57,L$6+6&gt;=$H57,$H57&lt;&gt;"",$I57&lt;&gt;""),1,"")</f>
        <v/>
      </c>
      <c r="M57" s="268" t="str">
        <f t="shared" si="50"/>
        <v/>
      </c>
      <c r="N57" s="268" t="str">
        <f t="shared" si="50"/>
        <v/>
      </c>
      <c r="O57" s="268" t="str">
        <f t="shared" si="50"/>
        <v/>
      </c>
      <c r="P57" s="268">
        <f t="shared" si="50"/>
        <v>1</v>
      </c>
      <c r="Q57" s="268">
        <f t="shared" si="50"/>
        <v>1</v>
      </c>
      <c r="R57" s="268" t="str">
        <f t="shared" si="50"/>
        <v/>
      </c>
      <c r="S57" s="268" t="str">
        <f t="shared" si="50"/>
        <v/>
      </c>
      <c r="T57" s="268" t="str">
        <f t="shared" si="50"/>
        <v/>
      </c>
      <c r="U57" s="268" t="str">
        <f t="shared" si="50"/>
        <v/>
      </c>
      <c r="V57" s="268" t="str">
        <f t="shared" si="50"/>
        <v/>
      </c>
    </row>
    <row r="58" spans="1:22" ht="15.75">
      <c r="A58" s="224">
        <v>52</v>
      </c>
      <c r="B58" s="224" t="s">
        <v>554</v>
      </c>
      <c r="C58" s="221" t="s">
        <v>161</v>
      </c>
      <c r="D58" s="221" t="s">
        <v>163</v>
      </c>
      <c r="E58" s="224" t="s">
        <v>390</v>
      </c>
      <c r="F58" s="224" t="s">
        <v>106</v>
      </c>
      <c r="G58" s="224" t="s">
        <v>121</v>
      </c>
      <c r="H58" s="242"/>
      <c r="I58" s="242"/>
      <c r="J58" s="224" t="s">
        <v>98</v>
      </c>
      <c r="K58" s="244" t="s">
        <v>899</v>
      </c>
      <c r="L58" s="268" t="str">
        <f t="shared" ref="L58:V58" si="51">IF(AND(L$6&lt;=$I58,L$6+6&gt;=$H58,$H58&lt;&gt;"",$I58&lt;&gt;""),1,"")</f>
        <v/>
      </c>
      <c r="M58" s="268" t="str">
        <f t="shared" si="51"/>
        <v/>
      </c>
      <c r="N58" s="268" t="str">
        <f t="shared" si="51"/>
        <v/>
      </c>
      <c r="O58" s="268" t="str">
        <f t="shared" si="51"/>
        <v/>
      </c>
      <c r="P58" s="268" t="str">
        <f t="shared" si="51"/>
        <v/>
      </c>
      <c r="Q58" s="268" t="str">
        <f t="shared" si="51"/>
        <v/>
      </c>
      <c r="R58" s="268" t="str">
        <f t="shared" si="51"/>
        <v/>
      </c>
      <c r="S58" s="268" t="str">
        <f t="shared" si="51"/>
        <v/>
      </c>
      <c r="T58" s="268" t="str">
        <f t="shared" si="51"/>
        <v/>
      </c>
      <c r="U58" s="268" t="str">
        <f t="shared" si="51"/>
        <v/>
      </c>
      <c r="V58" s="268" t="str">
        <f t="shared" si="51"/>
        <v/>
      </c>
    </row>
    <row r="59" spans="1:22" ht="15.75">
      <c r="A59" s="224">
        <v>53</v>
      </c>
      <c r="B59" s="224" t="s">
        <v>558</v>
      </c>
      <c r="C59" s="221" t="s">
        <v>161</v>
      </c>
      <c r="D59" s="221" t="s">
        <v>164</v>
      </c>
      <c r="E59" s="224" t="s">
        <v>390</v>
      </c>
      <c r="F59" s="224" t="s">
        <v>106</v>
      </c>
      <c r="G59" s="224" t="s">
        <v>121</v>
      </c>
      <c r="H59" s="242">
        <v>46265</v>
      </c>
      <c r="I59" s="242">
        <v>46276</v>
      </c>
      <c r="J59" s="224" t="s">
        <v>98</v>
      </c>
      <c r="K59" s="243" t="s">
        <v>887</v>
      </c>
      <c r="L59" s="268" t="str">
        <f t="shared" ref="L59:V59" si="52">IF(AND(L$6&lt;=$I59,L$6+6&gt;=$H59,$H59&lt;&gt;"",$I59&lt;&gt;""),1,"")</f>
        <v/>
      </c>
      <c r="M59" s="268" t="str">
        <f t="shared" si="52"/>
        <v/>
      </c>
      <c r="N59" s="268" t="str">
        <f t="shared" si="52"/>
        <v/>
      </c>
      <c r="O59" s="268" t="str">
        <f t="shared" si="52"/>
        <v/>
      </c>
      <c r="P59" s="268">
        <f t="shared" si="52"/>
        <v>1</v>
      </c>
      <c r="Q59" s="268">
        <f t="shared" si="52"/>
        <v>1</v>
      </c>
      <c r="R59" s="268" t="str">
        <f t="shared" si="52"/>
        <v/>
      </c>
      <c r="S59" s="268" t="str">
        <f t="shared" si="52"/>
        <v/>
      </c>
      <c r="T59" s="268" t="str">
        <f t="shared" si="52"/>
        <v/>
      </c>
      <c r="U59" s="268" t="str">
        <f t="shared" si="52"/>
        <v/>
      </c>
      <c r="V59" s="268" t="str">
        <f t="shared" si="52"/>
        <v/>
      </c>
    </row>
    <row r="60" spans="1:22" ht="15.75">
      <c r="A60" s="224">
        <v>54</v>
      </c>
      <c r="B60" s="224" t="s">
        <v>561</v>
      </c>
      <c r="C60" s="221" t="s">
        <v>165</v>
      </c>
      <c r="D60" s="221" t="s">
        <v>166</v>
      </c>
      <c r="E60" s="224" t="s">
        <v>390</v>
      </c>
      <c r="F60" s="224" t="s">
        <v>106</v>
      </c>
      <c r="G60" s="224" t="s">
        <v>167</v>
      </c>
      <c r="H60" s="242">
        <v>46265</v>
      </c>
      <c r="I60" s="242">
        <v>46269</v>
      </c>
      <c r="J60" s="224" t="s">
        <v>98</v>
      </c>
      <c r="K60" s="243" t="s">
        <v>900</v>
      </c>
      <c r="L60" s="268" t="str">
        <f t="shared" ref="L60:V60" si="53">IF(AND(L$6&lt;=$I60,L$6+6&gt;=$H60,$H60&lt;&gt;"",$I60&lt;&gt;""),1,"")</f>
        <v/>
      </c>
      <c r="M60" s="268" t="str">
        <f t="shared" si="53"/>
        <v/>
      </c>
      <c r="N60" s="268" t="str">
        <f t="shared" si="53"/>
        <v/>
      </c>
      <c r="O60" s="268" t="str">
        <f t="shared" si="53"/>
        <v/>
      </c>
      <c r="P60" s="268">
        <f t="shared" si="53"/>
        <v>1</v>
      </c>
      <c r="Q60" s="268" t="str">
        <f t="shared" si="53"/>
        <v/>
      </c>
      <c r="R60" s="268" t="str">
        <f t="shared" si="53"/>
        <v/>
      </c>
      <c r="S60" s="268" t="str">
        <f t="shared" si="53"/>
        <v/>
      </c>
      <c r="T60" s="268" t="str">
        <f t="shared" si="53"/>
        <v/>
      </c>
      <c r="U60" s="268" t="str">
        <f t="shared" si="53"/>
        <v/>
      </c>
      <c r="V60" s="268" t="str">
        <f t="shared" si="53"/>
        <v/>
      </c>
    </row>
    <row r="61" spans="1:22" ht="15.75">
      <c r="A61" s="224">
        <v>55</v>
      </c>
      <c r="B61" s="224" t="s">
        <v>566</v>
      </c>
      <c r="C61" s="221" t="s">
        <v>165</v>
      </c>
      <c r="D61" s="221" t="s">
        <v>168</v>
      </c>
      <c r="E61" s="224" t="s">
        <v>390</v>
      </c>
      <c r="F61" s="224" t="s">
        <v>106</v>
      </c>
      <c r="G61" s="224" t="s">
        <v>167</v>
      </c>
      <c r="H61" s="242">
        <v>46265</v>
      </c>
      <c r="I61" s="242">
        <v>46269</v>
      </c>
      <c r="J61" s="224" t="s">
        <v>98</v>
      </c>
      <c r="K61" s="243" t="s">
        <v>901</v>
      </c>
      <c r="L61" s="268" t="str">
        <f t="shared" ref="L61:V61" si="54">IF(AND(L$6&lt;=$I61,L$6+6&gt;=$H61,$H61&lt;&gt;"",$I61&lt;&gt;""),1,"")</f>
        <v/>
      </c>
      <c r="M61" s="268" t="str">
        <f t="shared" si="54"/>
        <v/>
      </c>
      <c r="N61" s="268" t="str">
        <f t="shared" si="54"/>
        <v/>
      </c>
      <c r="O61" s="268" t="str">
        <f t="shared" si="54"/>
        <v/>
      </c>
      <c r="P61" s="268">
        <f t="shared" si="54"/>
        <v>1</v>
      </c>
      <c r="Q61" s="268" t="str">
        <f t="shared" si="54"/>
        <v/>
      </c>
      <c r="R61" s="268" t="str">
        <f t="shared" si="54"/>
        <v/>
      </c>
      <c r="S61" s="268" t="str">
        <f t="shared" si="54"/>
        <v/>
      </c>
      <c r="T61" s="268" t="str">
        <f t="shared" si="54"/>
        <v/>
      </c>
      <c r="U61" s="268" t="str">
        <f t="shared" si="54"/>
        <v/>
      </c>
      <c r="V61" s="268" t="str">
        <f t="shared" si="54"/>
        <v/>
      </c>
    </row>
    <row r="62" spans="1:22" ht="15.75">
      <c r="A62" s="224">
        <v>56</v>
      </c>
      <c r="B62" s="224" t="s">
        <v>570</v>
      </c>
      <c r="C62" s="221" t="s">
        <v>165</v>
      </c>
      <c r="D62" s="221" t="s">
        <v>169</v>
      </c>
      <c r="E62" s="224" t="s">
        <v>390</v>
      </c>
      <c r="F62" s="224" t="s">
        <v>106</v>
      </c>
      <c r="G62" s="224" t="s">
        <v>167</v>
      </c>
      <c r="H62" s="242">
        <v>46265</v>
      </c>
      <c r="I62" s="242">
        <v>46269</v>
      </c>
      <c r="J62" s="224" t="s">
        <v>98</v>
      </c>
      <c r="K62" s="243" t="s">
        <v>902</v>
      </c>
      <c r="L62" s="268" t="str">
        <f t="shared" ref="L62:V62" si="55">IF(AND(L$6&lt;=$I62,L$6+6&gt;=$H62,$H62&lt;&gt;"",$I62&lt;&gt;""),1,"")</f>
        <v/>
      </c>
      <c r="M62" s="268" t="str">
        <f t="shared" si="55"/>
        <v/>
      </c>
      <c r="N62" s="268" t="str">
        <f t="shared" si="55"/>
        <v/>
      </c>
      <c r="O62" s="268" t="str">
        <f t="shared" si="55"/>
        <v/>
      </c>
      <c r="P62" s="268">
        <f t="shared" si="55"/>
        <v>1</v>
      </c>
      <c r="Q62" s="268" t="str">
        <f t="shared" si="55"/>
        <v/>
      </c>
      <c r="R62" s="268" t="str">
        <f t="shared" si="55"/>
        <v/>
      </c>
      <c r="S62" s="268" t="str">
        <f t="shared" si="55"/>
        <v/>
      </c>
      <c r="T62" s="268" t="str">
        <f t="shared" si="55"/>
        <v/>
      </c>
      <c r="U62" s="268" t="str">
        <f t="shared" si="55"/>
        <v/>
      </c>
      <c r="V62" s="268" t="str">
        <f t="shared" si="55"/>
        <v/>
      </c>
    </row>
    <row r="63" spans="1:22" ht="15.75">
      <c r="A63" s="224">
        <v>57</v>
      </c>
      <c r="B63" s="224" t="s">
        <v>573</v>
      </c>
      <c r="C63" s="221" t="s">
        <v>165</v>
      </c>
      <c r="D63" s="221" t="s">
        <v>170</v>
      </c>
      <c r="E63" s="224" t="s">
        <v>390</v>
      </c>
      <c r="F63" s="224" t="s">
        <v>106</v>
      </c>
      <c r="G63" s="224" t="s">
        <v>167</v>
      </c>
      <c r="H63" s="242">
        <v>46265</v>
      </c>
      <c r="I63" s="242">
        <v>46269</v>
      </c>
      <c r="J63" s="224" t="s">
        <v>98</v>
      </c>
      <c r="K63" s="243" t="s">
        <v>903</v>
      </c>
      <c r="L63" s="268" t="str">
        <f t="shared" ref="L63:V63" si="56">IF(AND(L$6&lt;=$I63,L$6+6&gt;=$H63,$H63&lt;&gt;"",$I63&lt;&gt;""),1,"")</f>
        <v/>
      </c>
      <c r="M63" s="268" t="str">
        <f t="shared" si="56"/>
        <v/>
      </c>
      <c r="N63" s="268" t="str">
        <f t="shared" si="56"/>
        <v/>
      </c>
      <c r="O63" s="268" t="str">
        <f t="shared" si="56"/>
        <v/>
      </c>
      <c r="P63" s="268">
        <f t="shared" si="56"/>
        <v>1</v>
      </c>
      <c r="Q63" s="268" t="str">
        <f t="shared" si="56"/>
        <v/>
      </c>
      <c r="R63" s="268" t="str">
        <f t="shared" si="56"/>
        <v/>
      </c>
      <c r="S63" s="268" t="str">
        <f t="shared" si="56"/>
        <v/>
      </c>
      <c r="T63" s="268" t="str">
        <f t="shared" si="56"/>
        <v/>
      </c>
      <c r="U63" s="268" t="str">
        <f t="shared" si="56"/>
        <v/>
      </c>
      <c r="V63" s="268" t="str">
        <f t="shared" si="56"/>
        <v/>
      </c>
    </row>
    <row r="64" spans="1:22" ht="15.75">
      <c r="A64" s="224">
        <v>58</v>
      </c>
      <c r="B64" s="224" t="s">
        <v>577</v>
      </c>
      <c r="C64" s="221" t="s">
        <v>171</v>
      </c>
      <c r="D64" s="221" t="s">
        <v>172</v>
      </c>
      <c r="E64" s="224" t="s">
        <v>390</v>
      </c>
      <c r="F64" s="224" t="s">
        <v>106</v>
      </c>
      <c r="G64" s="224" t="s">
        <v>167</v>
      </c>
      <c r="H64" s="242">
        <v>46272</v>
      </c>
      <c r="I64" s="242">
        <v>46281</v>
      </c>
      <c r="J64" s="224" t="s">
        <v>98</v>
      </c>
      <c r="K64" s="243" t="s">
        <v>902</v>
      </c>
      <c r="L64" s="268" t="str">
        <f t="shared" ref="L64:V64" si="57">IF(AND(L$6&lt;=$I64,L$6+6&gt;=$H64,$H64&lt;&gt;"",$I64&lt;&gt;""),1,"")</f>
        <v/>
      </c>
      <c r="M64" s="268" t="str">
        <f t="shared" si="57"/>
        <v/>
      </c>
      <c r="N64" s="268" t="str">
        <f t="shared" si="57"/>
        <v/>
      </c>
      <c r="O64" s="268" t="str">
        <f t="shared" si="57"/>
        <v/>
      </c>
      <c r="P64" s="268" t="str">
        <f t="shared" si="57"/>
        <v/>
      </c>
      <c r="Q64" s="268">
        <f t="shared" si="57"/>
        <v>1</v>
      </c>
      <c r="R64" s="268">
        <f t="shared" si="57"/>
        <v>1</v>
      </c>
      <c r="S64" s="268" t="str">
        <f t="shared" si="57"/>
        <v/>
      </c>
      <c r="T64" s="268" t="str">
        <f t="shared" si="57"/>
        <v/>
      </c>
      <c r="U64" s="268" t="str">
        <f t="shared" si="57"/>
        <v/>
      </c>
      <c r="V64" s="268" t="str">
        <f t="shared" si="57"/>
        <v/>
      </c>
    </row>
    <row r="65" spans="1:22" ht="15.75">
      <c r="A65" s="224">
        <v>59</v>
      </c>
      <c r="B65" s="224" t="s">
        <v>581</v>
      </c>
      <c r="C65" s="221" t="s">
        <v>171</v>
      </c>
      <c r="D65" s="221" t="s">
        <v>173</v>
      </c>
      <c r="E65" s="224" t="s">
        <v>390</v>
      </c>
      <c r="F65" s="224" t="s">
        <v>106</v>
      </c>
      <c r="G65" s="224" t="s">
        <v>167</v>
      </c>
      <c r="H65" s="242">
        <v>46272</v>
      </c>
      <c r="I65" s="242">
        <v>46281</v>
      </c>
      <c r="J65" s="224" t="s">
        <v>98</v>
      </c>
      <c r="K65" s="243" t="s">
        <v>904</v>
      </c>
      <c r="L65" s="268" t="str">
        <f t="shared" ref="L65:V65" si="58">IF(AND(L$6&lt;=$I65,L$6+6&gt;=$H65,$H65&lt;&gt;"",$I65&lt;&gt;""),1,"")</f>
        <v/>
      </c>
      <c r="M65" s="268" t="str">
        <f t="shared" si="58"/>
        <v/>
      </c>
      <c r="N65" s="268" t="str">
        <f t="shared" si="58"/>
        <v/>
      </c>
      <c r="O65" s="268" t="str">
        <f t="shared" si="58"/>
        <v/>
      </c>
      <c r="P65" s="268" t="str">
        <f t="shared" si="58"/>
        <v/>
      </c>
      <c r="Q65" s="268">
        <f t="shared" si="58"/>
        <v>1</v>
      </c>
      <c r="R65" s="268">
        <f t="shared" si="58"/>
        <v>1</v>
      </c>
      <c r="S65" s="268" t="str">
        <f t="shared" si="58"/>
        <v/>
      </c>
      <c r="T65" s="268" t="str">
        <f t="shared" si="58"/>
        <v/>
      </c>
      <c r="U65" s="268" t="str">
        <f t="shared" si="58"/>
        <v/>
      </c>
      <c r="V65" s="268" t="str">
        <f t="shared" si="58"/>
        <v/>
      </c>
    </row>
    <row r="66" spans="1:22" ht="15.75">
      <c r="A66" s="224">
        <v>60</v>
      </c>
      <c r="B66" s="224" t="s">
        <v>584</v>
      </c>
      <c r="C66" s="221" t="s">
        <v>171</v>
      </c>
      <c r="D66" s="221" t="s">
        <v>174</v>
      </c>
      <c r="E66" s="224" t="s">
        <v>390</v>
      </c>
      <c r="F66" s="224" t="s">
        <v>106</v>
      </c>
      <c r="G66" s="224" t="s">
        <v>167</v>
      </c>
      <c r="H66" s="242"/>
      <c r="I66" s="242"/>
      <c r="J66" s="224" t="s">
        <v>98</v>
      </c>
      <c r="K66" s="244" t="s">
        <v>888</v>
      </c>
      <c r="L66" s="268" t="str">
        <f t="shared" ref="L66:V66" si="59">IF(AND(L$6&lt;=$I66,L$6+6&gt;=$H66,$H66&lt;&gt;"",$I66&lt;&gt;""),1,"")</f>
        <v/>
      </c>
      <c r="M66" s="268" t="str">
        <f t="shared" si="59"/>
        <v/>
      </c>
      <c r="N66" s="268" t="str">
        <f t="shared" si="59"/>
        <v/>
      </c>
      <c r="O66" s="268" t="str">
        <f t="shared" si="59"/>
        <v/>
      </c>
      <c r="P66" s="268" t="str">
        <f t="shared" si="59"/>
        <v/>
      </c>
      <c r="Q66" s="268" t="str">
        <f t="shared" si="59"/>
        <v/>
      </c>
      <c r="R66" s="268" t="str">
        <f t="shared" si="59"/>
        <v/>
      </c>
      <c r="S66" s="268" t="str">
        <f t="shared" si="59"/>
        <v/>
      </c>
      <c r="T66" s="268" t="str">
        <f t="shared" si="59"/>
        <v/>
      </c>
      <c r="U66" s="268" t="str">
        <f t="shared" si="59"/>
        <v/>
      </c>
      <c r="V66" s="268" t="str">
        <f t="shared" si="59"/>
        <v/>
      </c>
    </row>
    <row r="67" spans="1:22" ht="15.75">
      <c r="A67" s="224">
        <v>61</v>
      </c>
      <c r="B67" s="224" t="s">
        <v>588</v>
      </c>
      <c r="C67" s="221" t="s">
        <v>171</v>
      </c>
      <c r="D67" s="221" t="s">
        <v>175</v>
      </c>
      <c r="E67" s="224" t="s">
        <v>390</v>
      </c>
      <c r="F67" s="224" t="s">
        <v>106</v>
      </c>
      <c r="G67" s="224" t="s">
        <v>167</v>
      </c>
      <c r="H67" s="242">
        <v>46272</v>
      </c>
      <c r="I67" s="242">
        <v>46281</v>
      </c>
      <c r="J67" s="224" t="s">
        <v>98</v>
      </c>
      <c r="K67" s="243" t="s">
        <v>902</v>
      </c>
      <c r="L67" s="268" t="str">
        <f t="shared" ref="L67:V67" si="60">IF(AND(L$6&lt;=$I67,L$6+6&gt;=$H67,$H67&lt;&gt;"",$I67&lt;&gt;""),1,"")</f>
        <v/>
      </c>
      <c r="M67" s="268" t="str">
        <f t="shared" si="60"/>
        <v/>
      </c>
      <c r="N67" s="268" t="str">
        <f t="shared" si="60"/>
        <v/>
      </c>
      <c r="O67" s="268" t="str">
        <f t="shared" si="60"/>
        <v/>
      </c>
      <c r="P67" s="268" t="str">
        <f t="shared" si="60"/>
        <v/>
      </c>
      <c r="Q67" s="268">
        <f t="shared" si="60"/>
        <v>1</v>
      </c>
      <c r="R67" s="268">
        <f t="shared" si="60"/>
        <v>1</v>
      </c>
      <c r="S67" s="268" t="str">
        <f t="shared" si="60"/>
        <v/>
      </c>
      <c r="T67" s="268" t="str">
        <f t="shared" si="60"/>
        <v/>
      </c>
      <c r="U67" s="268" t="str">
        <f t="shared" si="60"/>
        <v/>
      </c>
      <c r="V67" s="268" t="str">
        <f t="shared" si="60"/>
        <v/>
      </c>
    </row>
    <row r="68" spans="1:22" ht="15.75">
      <c r="A68" s="224">
        <v>62</v>
      </c>
      <c r="B68" s="224" t="s">
        <v>591</v>
      </c>
      <c r="C68" s="221" t="s">
        <v>171</v>
      </c>
      <c r="D68" s="221" t="s">
        <v>176</v>
      </c>
      <c r="E68" s="224" t="s">
        <v>390</v>
      </c>
      <c r="F68" s="224" t="s">
        <v>106</v>
      </c>
      <c r="G68" s="224" t="s">
        <v>167</v>
      </c>
      <c r="H68" s="242">
        <v>46272</v>
      </c>
      <c r="I68" s="242">
        <v>46281</v>
      </c>
      <c r="J68" s="224" t="s">
        <v>98</v>
      </c>
      <c r="K68" s="243" t="s">
        <v>902</v>
      </c>
      <c r="L68" s="268" t="str">
        <f t="shared" ref="L68:V68" si="61">IF(AND(L$6&lt;=$I68,L$6+6&gt;=$H68,$H68&lt;&gt;"",$I68&lt;&gt;""),1,"")</f>
        <v/>
      </c>
      <c r="M68" s="268" t="str">
        <f t="shared" si="61"/>
        <v/>
      </c>
      <c r="N68" s="268" t="str">
        <f t="shared" si="61"/>
        <v/>
      </c>
      <c r="O68" s="268" t="str">
        <f t="shared" si="61"/>
        <v/>
      </c>
      <c r="P68" s="268" t="str">
        <f t="shared" si="61"/>
        <v/>
      </c>
      <c r="Q68" s="268">
        <f t="shared" si="61"/>
        <v>1</v>
      </c>
      <c r="R68" s="268">
        <f t="shared" si="61"/>
        <v>1</v>
      </c>
      <c r="S68" s="268" t="str">
        <f t="shared" si="61"/>
        <v/>
      </c>
      <c r="T68" s="268" t="str">
        <f t="shared" si="61"/>
        <v/>
      </c>
      <c r="U68" s="268" t="str">
        <f t="shared" si="61"/>
        <v/>
      </c>
      <c r="V68" s="268" t="str">
        <f t="shared" si="61"/>
        <v/>
      </c>
    </row>
    <row r="69" spans="1:22" ht="15.75">
      <c r="A69" s="224">
        <v>63</v>
      </c>
      <c r="B69" s="224" t="s">
        <v>594</v>
      </c>
      <c r="C69" s="221" t="s">
        <v>171</v>
      </c>
      <c r="D69" s="221" t="s">
        <v>177</v>
      </c>
      <c r="E69" s="224" t="s">
        <v>390</v>
      </c>
      <c r="F69" s="224" t="s">
        <v>106</v>
      </c>
      <c r="G69" s="224" t="s">
        <v>167</v>
      </c>
      <c r="H69" s="242"/>
      <c r="I69" s="242"/>
      <c r="J69" s="224" t="s">
        <v>98</v>
      </c>
      <c r="K69" s="244" t="s">
        <v>905</v>
      </c>
      <c r="L69" s="268" t="str">
        <f t="shared" ref="L69:V69" si="62">IF(AND(L$6&lt;=$I69,L$6+6&gt;=$H69,$H69&lt;&gt;"",$I69&lt;&gt;""),1,"")</f>
        <v/>
      </c>
      <c r="M69" s="268" t="str">
        <f t="shared" si="62"/>
        <v/>
      </c>
      <c r="N69" s="268" t="str">
        <f t="shared" si="62"/>
        <v/>
      </c>
      <c r="O69" s="268" t="str">
        <f t="shared" si="62"/>
        <v/>
      </c>
      <c r="P69" s="268" t="str">
        <f t="shared" si="62"/>
        <v/>
      </c>
      <c r="Q69" s="268" t="str">
        <f t="shared" si="62"/>
        <v/>
      </c>
      <c r="R69" s="268" t="str">
        <f t="shared" si="62"/>
        <v/>
      </c>
      <c r="S69" s="268" t="str">
        <f t="shared" si="62"/>
        <v/>
      </c>
      <c r="T69" s="268" t="str">
        <f t="shared" si="62"/>
        <v/>
      </c>
      <c r="U69" s="268" t="str">
        <f t="shared" si="62"/>
        <v/>
      </c>
      <c r="V69" s="268" t="str">
        <f t="shared" si="62"/>
        <v/>
      </c>
    </row>
    <row r="70" spans="1:22" ht="15.75">
      <c r="A70" s="224">
        <v>64</v>
      </c>
      <c r="B70" s="224" t="s">
        <v>598</v>
      </c>
      <c r="C70" s="221" t="s">
        <v>171</v>
      </c>
      <c r="D70" s="221" t="s">
        <v>178</v>
      </c>
      <c r="E70" s="224" t="s">
        <v>390</v>
      </c>
      <c r="F70" s="224" t="s">
        <v>106</v>
      </c>
      <c r="G70" s="224" t="s">
        <v>167</v>
      </c>
      <c r="H70" s="242">
        <v>46279</v>
      </c>
      <c r="I70" s="242">
        <v>46283</v>
      </c>
      <c r="J70" s="224" t="s">
        <v>98</v>
      </c>
      <c r="K70" s="243" t="s">
        <v>906</v>
      </c>
      <c r="L70" s="268" t="str">
        <f t="shared" ref="L70:V70" si="63">IF(AND(L$6&lt;=$I70,L$6+6&gt;=$H70,$H70&lt;&gt;"",$I70&lt;&gt;""),1,"")</f>
        <v/>
      </c>
      <c r="M70" s="268" t="str">
        <f t="shared" si="63"/>
        <v/>
      </c>
      <c r="N70" s="268" t="str">
        <f t="shared" si="63"/>
        <v/>
      </c>
      <c r="O70" s="268" t="str">
        <f t="shared" si="63"/>
        <v/>
      </c>
      <c r="P70" s="268" t="str">
        <f t="shared" si="63"/>
        <v/>
      </c>
      <c r="Q70" s="268" t="str">
        <f t="shared" si="63"/>
        <v/>
      </c>
      <c r="R70" s="268">
        <f t="shared" si="63"/>
        <v>1</v>
      </c>
      <c r="S70" s="268" t="str">
        <f t="shared" si="63"/>
        <v/>
      </c>
      <c r="T70" s="268" t="str">
        <f t="shared" si="63"/>
        <v/>
      </c>
      <c r="U70" s="268" t="str">
        <f t="shared" si="63"/>
        <v/>
      </c>
      <c r="V70" s="268" t="str">
        <f t="shared" si="63"/>
        <v/>
      </c>
    </row>
    <row r="71" spans="1:22" ht="15.75">
      <c r="A71" s="224">
        <v>65</v>
      </c>
      <c r="B71" s="224" t="s">
        <v>603</v>
      </c>
      <c r="C71" s="221" t="s">
        <v>171</v>
      </c>
      <c r="D71" s="221" t="s">
        <v>179</v>
      </c>
      <c r="E71" s="224" t="s">
        <v>340</v>
      </c>
      <c r="F71" s="224"/>
      <c r="G71" s="224"/>
      <c r="H71" s="242"/>
      <c r="I71" s="242"/>
      <c r="J71" s="224" t="s">
        <v>98</v>
      </c>
      <c r="K71" s="253" t="s">
        <v>907</v>
      </c>
      <c r="L71" s="268" t="str">
        <f t="shared" ref="L71:V71" si="64">IF(AND(L$6&lt;=$I71,L$6+6&gt;=$H71,$H71&lt;&gt;"",$I71&lt;&gt;""),1,"")</f>
        <v/>
      </c>
      <c r="M71" s="268" t="str">
        <f t="shared" si="64"/>
        <v/>
      </c>
      <c r="N71" s="268" t="str">
        <f t="shared" si="64"/>
        <v/>
      </c>
      <c r="O71" s="268" t="str">
        <f t="shared" si="64"/>
        <v/>
      </c>
      <c r="P71" s="268" t="str">
        <f t="shared" si="64"/>
        <v/>
      </c>
      <c r="Q71" s="268" t="str">
        <f t="shared" si="64"/>
        <v/>
      </c>
      <c r="R71" s="268" t="str">
        <f t="shared" si="64"/>
        <v/>
      </c>
      <c r="S71" s="268" t="str">
        <f t="shared" si="64"/>
        <v/>
      </c>
      <c r="T71" s="268" t="str">
        <f t="shared" si="64"/>
        <v/>
      </c>
      <c r="U71" s="268" t="str">
        <f t="shared" si="64"/>
        <v/>
      </c>
      <c r="V71" s="268" t="str">
        <f t="shared" si="64"/>
        <v/>
      </c>
    </row>
    <row r="72" spans="1:22" ht="15.75">
      <c r="A72" s="224">
        <v>66</v>
      </c>
      <c r="B72" s="224" t="s">
        <v>612</v>
      </c>
      <c r="C72" s="221" t="s">
        <v>180</v>
      </c>
      <c r="D72" s="221" t="s">
        <v>181</v>
      </c>
      <c r="E72" s="224" t="s">
        <v>390</v>
      </c>
      <c r="F72" s="224" t="s">
        <v>106</v>
      </c>
      <c r="G72" s="224" t="s">
        <v>167</v>
      </c>
      <c r="H72" s="242">
        <v>46279</v>
      </c>
      <c r="I72" s="242">
        <v>46281</v>
      </c>
      <c r="J72" s="224" t="s">
        <v>98</v>
      </c>
      <c r="K72" s="243" t="s">
        <v>887</v>
      </c>
      <c r="L72" s="268" t="str">
        <f t="shared" ref="L72:V72" si="65">IF(AND(L$6&lt;=$I72,L$6+6&gt;=$H72,$H72&lt;&gt;"",$I72&lt;&gt;""),1,"")</f>
        <v/>
      </c>
      <c r="M72" s="268" t="str">
        <f t="shared" si="65"/>
        <v/>
      </c>
      <c r="N72" s="268" t="str">
        <f t="shared" si="65"/>
        <v/>
      </c>
      <c r="O72" s="268" t="str">
        <f t="shared" si="65"/>
        <v/>
      </c>
      <c r="P72" s="268" t="str">
        <f t="shared" si="65"/>
        <v/>
      </c>
      <c r="Q72" s="268" t="str">
        <f t="shared" si="65"/>
        <v/>
      </c>
      <c r="R72" s="268">
        <f t="shared" si="65"/>
        <v>1</v>
      </c>
      <c r="S72" s="268" t="str">
        <f t="shared" si="65"/>
        <v/>
      </c>
      <c r="T72" s="268" t="str">
        <f t="shared" si="65"/>
        <v/>
      </c>
      <c r="U72" s="268" t="str">
        <f t="shared" si="65"/>
        <v/>
      </c>
      <c r="V72" s="268" t="str">
        <f t="shared" si="65"/>
        <v/>
      </c>
    </row>
    <row r="73" spans="1:22" ht="15.75">
      <c r="A73" s="224">
        <v>67</v>
      </c>
      <c r="B73" s="224" t="s">
        <v>616</v>
      </c>
      <c r="C73" s="221" t="s">
        <v>180</v>
      </c>
      <c r="D73" s="221" t="s">
        <v>182</v>
      </c>
      <c r="E73" s="224" t="s">
        <v>390</v>
      </c>
      <c r="F73" s="224" t="s">
        <v>106</v>
      </c>
      <c r="G73" s="224" t="s">
        <v>167</v>
      </c>
      <c r="H73" s="242">
        <v>46282</v>
      </c>
      <c r="I73" s="242">
        <v>46289</v>
      </c>
      <c r="J73" s="224" t="s">
        <v>98</v>
      </c>
      <c r="K73" s="243" t="s">
        <v>908</v>
      </c>
      <c r="L73" s="268" t="str">
        <f t="shared" ref="L73:V73" si="66">IF(AND(L$6&lt;=$I73,L$6+6&gt;=$H73,$H73&lt;&gt;"",$I73&lt;&gt;""),1,"")</f>
        <v/>
      </c>
      <c r="M73" s="268" t="str">
        <f t="shared" si="66"/>
        <v/>
      </c>
      <c r="N73" s="268" t="str">
        <f t="shared" si="66"/>
        <v/>
      </c>
      <c r="O73" s="268" t="str">
        <f t="shared" si="66"/>
        <v/>
      </c>
      <c r="P73" s="268" t="str">
        <f t="shared" si="66"/>
        <v/>
      </c>
      <c r="Q73" s="268" t="str">
        <f t="shared" si="66"/>
        <v/>
      </c>
      <c r="R73" s="268">
        <f t="shared" si="66"/>
        <v>1</v>
      </c>
      <c r="S73" s="268">
        <f t="shared" si="66"/>
        <v>1</v>
      </c>
      <c r="T73" s="268" t="str">
        <f t="shared" si="66"/>
        <v/>
      </c>
      <c r="U73" s="268" t="str">
        <f t="shared" si="66"/>
        <v/>
      </c>
      <c r="V73" s="268" t="str">
        <f t="shared" si="66"/>
        <v/>
      </c>
    </row>
    <row r="74" spans="1:22" ht="15.75">
      <c r="A74" s="224">
        <v>68</v>
      </c>
      <c r="B74" s="224" t="s">
        <v>621</v>
      </c>
      <c r="C74" s="221" t="s">
        <v>180</v>
      </c>
      <c r="D74" s="221" t="s">
        <v>183</v>
      </c>
      <c r="E74" s="224" t="s">
        <v>390</v>
      </c>
      <c r="F74" s="224" t="s">
        <v>106</v>
      </c>
      <c r="G74" s="224" t="s">
        <v>167</v>
      </c>
      <c r="H74" s="242">
        <v>46282</v>
      </c>
      <c r="I74" s="242">
        <v>46289</v>
      </c>
      <c r="J74" s="224" t="s">
        <v>98</v>
      </c>
      <c r="K74" s="243" t="s">
        <v>908</v>
      </c>
      <c r="L74" s="268" t="str">
        <f t="shared" ref="L74:V74" si="67">IF(AND(L$6&lt;=$I74,L$6+6&gt;=$H74,$H74&lt;&gt;"",$I74&lt;&gt;""),1,"")</f>
        <v/>
      </c>
      <c r="M74" s="268" t="str">
        <f t="shared" si="67"/>
        <v/>
      </c>
      <c r="N74" s="268" t="str">
        <f t="shared" si="67"/>
        <v/>
      </c>
      <c r="O74" s="268" t="str">
        <f t="shared" si="67"/>
        <v/>
      </c>
      <c r="P74" s="268" t="str">
        <f t="shared" si="67"/>
        <v/>
      </c>
      <c r="Q74" s="268" t="str">
        <f t="shared" si="67"/>
        <v/>
      </c>
      <c r="R74" s="268">
        <f t="shared" si="67"/>
        <v>1</v>
      </c>
      <c r="S74" s="268">
        <f t="shared" si="67"/>
        <v>1</v>
      </c>
      <c r="T74" s="268" t="str">
        <f t="shared" si="67"/>
        <v/>
      </c>
      <c r="U74" s="268" t="str">
        <f t="shared" si="67"/>
        <v/>
      </c>
      <c r="V74" s="268" t="str">
        <f t="shared" si="67"/>
        <v/>
      </c>
    </row>
    <row r="75" spans="1:22" ht="15.75">
      <c r="A75" s="224">
        <v>69</v>
      </c>
      <c r="B75" s="224" t="s">
        <v>624</v>
      </c>
      <c r="C75" s="221" t="s">
        <v>180</v>
      </c>
      <c r="D75" s="221" t="s">
        <v>184</v>
      </c>
      <c r="E75" s="224" t="s">
        <v>390</v>
      </c>
      <c r="F75" s="224" t="s">
        <v>106</v>
      </c>
      <c r="G75" s="224" t="s">
        <v>167</v>
      </c>
      <c r="H75" s="242"/>
      <c r="I75" s="242"/>
      <c r="J75" s="224" t="s">
        <v>98</v>
      </c>
      <c r="K75" s="244" t="s">
        <v>909</v>
      </c>
      <c r="L75" s="268" t="str">
        <f t="shared" ref="L75:V75" si="68">IF(AND(L$6&lt;=$I75,L$6+6&gt;=$H75,$H75&lt;&gt;"",$I75&lt;&gt;""),1,"")</f>
        <v/>
      </c>
      <c r="M75" s="268" t="str">
        <f t="shared" si="68"/>
        <v/>
      </c>
      <c r="N75" s="268" t="str">
        <f t="shared" si="68"/>
        <v/>
      </c>
      <c r="O75" s="268" t="str">
        <f t="shared" si="68"/>
        <v/>
      </c>
      <c r="P75" s="268" t="str">
        <f t="shared" si="68"/>
        <v/>
      </c>
      <c r="Q75" s="268" t="str">
        <f t="shared" si="68"/>
        <v/>
      </c>
      <c r="R75" s="268" t="str">
        <f t="shared" si="68"/>
        <v/>
      </c>
      <c r="S75" s="268" t="str">
        <f t="shared" si="68"/>
        <v/>
      </c>
      <c r="T75" s="268" t="str">
        <f t="shared" si="68"/>
        <v/>
      </c>
      <c r="U75" s="268" t="str">
        <f t="shared" si="68"/>
        <v/>
      </c>
      <c r="V75" s="268" t="str">
        <f t="shared" si="68"/>
        <v/>
      </c>
    </row>
    <row r="76" spans="1:22" ht="15.75">
      <c r="A76" s="224">
        <v>70</v>
      </c>
      <c r="B76" s="224" t="s">
        <v>628</v>
      </c>
      <c r="C76" s="221" t="s">
        <v>180</v>
      </c>
      <c r="D76" s="221" t="s">
        <v>185</v>
      </c>
      <c r="E76" s="224" t="s">
        <v>390</v>
      </c>
      <c r="F76" s="224" t="s">
        <v>106</v>
      </c>
      <c r="G76" s="224" t="s">
        <v>167</v>
      </c>
      <c r="H76" s="242">
        <v>46282</v>
      </c>
      <c r="I76" s="242">
        <v>46289</v>
      </c>
      <c r="J76" s="224" t="s">
        <v>98</v>
      </c>
      <c r="K76" s="243" t="s">
        <v>908</v>
      </c>
      <c r="L76" s="268" t="str">
        <f t="shared" ref="L76:V76" si="69">IF(AND(L$6&lt;=$I76,L$6+6&gt;=$H76,$H76&lt;&gt;"",$I76&lt;&gt;""),1,"")</f>
        <v/>
      </c>
      <c r="M76" s="268" t="str">
        <f t="shared" si="69"/>
        <v/>
      </c>
      <c r="N76" s="268" t="str">
        <f t="shared" si="69"/>
        <v/>
      </c>
      <c r="O76" s="268" t="str">
        <f t="shared" si="69"/>
        <v/>
      </c>
      <c r="P76" s="268" t="str">
        <f t="shared" si="69"/>
        <v/>
      </c>
      <c r="Q76" s="268" t="str">
        <f t="shared" si="69"/>
        <v/>
      </c>
      <c r="R76" s="268">
        <f t="shared" si="69"/>
        <v>1</v>
      </c>
      <c r="S76" s="268">
        <f t="shared" si="69"/>
        <v>1</v>
      </c>
      <c r="T76" s="268" t="str">
        <f t="shared" si="69"/>
        <v/>
      </c>
      <c r="U76" s="268" t="str">
        <f t="shared" si="69"/>
        <v/>
      </c>
      <c r="V76" s="268" t="str">
        <f t="shared" si="69"/>
        <v/>
      </c>
    </row>
    <row r="77" spans="1:22" ht="15.75">
      <c r="A77" s="224">
        <v>71</v>
      </c>
      <c r="B77" s="224" t="s">
        <v>631</v>
      </c>
      <c r="C77" s="221" t="s">
        <v>180</v>
      </c>
      <c r="D77" s="221" t="s">
        <v>186</v>
      </c>
      <c r="E77" s="224" t="s">
        <v>390</v>
      </c>
      <c r="F77" s="224" t="s">
        <v>106</v>
      </c>
      <c r="G77" s="224" t="s">
        <v>167</v>
      </c>
      <c r="H77" s="242"/>
      <c r="I77" s="242"/>
      <c r="J77" s="224" t="s">
        <v>98</v>
      </c>
      <c r="K77" s="244" t="s">
        <v>910</v>
      </c>
      <c r="L77" s="268" t="str">
        <f t="shared" ref="L77:V77" si="70">IF(AND(L$6&lt;=$I77,L$6+6&gt;=$H77,$H77&lt;&gt;"",$I77&lt;&gt;""),1,"")</f>
        <v/>
      </c>
      <c r="M77" s="268" t="str">
        <f t="shared" si="70"/>
        <v/>
      </c>
      <c r="N77" s="268" t="str">
        <f t="shared" si="70"/>
        <v/>
      </c>
      <c r="O77" s="268" t="str">
        <f t="shared" si="70"/>
        <v/>
      </c>
      <c r="P77" s="268" t="str">
        <f t="shared" si="70"/>
        <v/>
      </c>
      <c r="Q77" s="268" t="str">
        <f t="shared" si="70"/>
        <v/>
      </c>
      <c r="R77" s="268" t="str">
        <f t="shared" si="70"/>
        <v/>
      </c>
      <c r="S77" s="268" t="str">
        <f t="shared" si="70"/>
        <v/>
      </c>
      <c r="T77" s="268" t="str">
        <f t="shared" si="70"/>
        <v/>
      </c>
      <c r="U77" s="268" t="str">
        <f t="shared" si="70"/>
        <v/>
      </c>
      <c r="V77" s="268" t="str">
        <f t="shared" si="70"/>
        <v/>
      </c>
    </row>
    <row r="78" spans="1:22" ht="15.75">
      <c r="A78" s="224">
        <v>72</v>
      </c>
      <c r="B78" s="224" t="s">
        <v>635</v>
      </c>
      <c r="C78" s="221" t="s">
        <v>187</v>
      </c>
      <c r="D78" s="221" t="s">
        <v>188</v>
      </c>
      <c r="E78" s="224" t="s">
        <v>390</v>
      </c>
      <c r="F78" s="224" t="s">
        <v>106</v>
      </c>
      <c r="G78" s="224" t="s">
        <v>167</v>
      </c>
      <c r="H78" s="242">
        <v>46289</v>
      </c>
      <c r="I78" s="242">
        <v>46290</v>
      </c>
      <c r="J78" s="224" t="s">
        <v>98</v>
      </c>
      <c r="K78" s="243" t="s">
        <v>902</v>
      </c>
      <c r="L78" s="268" t="str">
        <f t="shared" ref="L78:V78" si="71">IF(AND(L$6&lt;=$I78,L$6+6&gt;=$H78,$H78&lt;&gt;"",$I78&lt;&gt;""),1,"")</f>
        <v/>
      </c>
      <c r="M78" s="268" t="str">
        <f t="shared" si="71"/>
        <v/>
      </c>
      <c r="N78" s="268" t="str">
        <f t="shared" si="71"/>
        <v/>
      </c>
      <c r="O78" s="268" t="str">
        <f t="shared" si="71"/>
        <v/>
      </c>
      <c r="P78" s="268" t="str">
        <f t="shared" si="71"/>
        <v/>
      </c>
      <c r="Q78" s="268" t="str">
        <f t="shared" si="71"/>
        <v/>
      </c>
      <c r="R78" s="268" t="str">
        <f t="shared" si="71"/>
        <v/>
      </c>
      <c r="S78" s="268">
        <f t="shared" si="71"/>
        <v>1</v>
      </c>
      <c r="T78" s="268" t="str">
        <f t="shared" si="71"/>
        <v/>
      </c>
      <c r="U78" s="268" t="str">
        <f t="shared" si="71"/>
        <v/>
      </c>
      <c r="V78" s="268" t="str">
        <f t="shared" si="71"/>
        <v/>
      </c>
    </row>
    <row r="79" spans="1:22" ht="15.75">
      <c r="A79" s="224">
        <v>73</v>
      </c>
      <c r="B79" s="224" t="s">
        <v>639</v>
      </c>
      <c r="C79" s="221" t="s">
        <v>187</v>
      </c>
      <c r="D79" s="221" t="s">
        <v>189</v>
      </c>
      <c r="E79" s="224" t="s">
        <v>390</v>
      </c>
      <c r="F79" s="224" t="s">
        <v>106</v>
      </c>
      <c r="G79" s="224" t="s">
        <v>167</v>
      </c>
      <c r="H79" s="242">
        <v>46293</v>
      </c>
      <c r="I79" s="242">
        <v>46297</v>
      </c>
      <c r="J79" s="224" t="s">
        <v>98</v>
      </c>
      <c r="K79" s="243" t="s">
        <v>911</v>
      </c>
      <c r="L79" s="268" t="str">
        <f t="shared" ref="L79:V79" si="72">IF(AND(L$6&lt;=$I79,L$6+6&gt;=$H79,$H79&lt;&gt;"",$I79&lt;&gt;""),1,"")</f>
        <v/>
      </c>
      <c r="M79" s="268" t="str">
        <f t="shared" si="72"/>
        <v/>
      </c>
      <c r="N79" s="268" t="str">
        <f t="shared" si="72"/>
        <v/>
      </c>
      <c r="O79" s="268" t="str">
        <f t="shared" si="72"/>
        <v/>
      </c>
      <c r="P79" s="268" t="str">
        <f t="shared" si="72"/>
        <v/>
      </c>
      <c r="Q79" s="268" t="str">
        <f t="shared" si="72"/>
        <v/>
      </c>
      <c r="R79" s="268" t="str">
        <f t="shared" si="72"/>
        <v/>
      </c>
      <c r="S79" s="268" t="str">
        <f t="shared" si="72"/>
        <v/>
      </c>
      <c r="T79" s="268">
        <f t="shared" si="72"/>
        <v>1</v>
      </c>
      <c r="U79" s="268" t="str">
        <f t="shared" si="72"/>
        <v/>
      </c>
      <c r="V79" s="268" t="str">
        <f t="shared" si="72"/>
        <v/>
      </c>
    </row>
    <row r="80" spans="1:22" ht="15.75">
      <c r="A80" s="224">
        <v>74</v>
      </c>
      <c r="B80" s="224" t="s">
        <v>642</v>
      </c>
      <c r="C80" s="221" t="s">
        <v>187</v>
      </c>
      <c r="D80" s="221" t="s">
        <v>190</v>
      </c>
      <c r="E80" s="224" t="s">
        <v>390</v>
      </c>
      <c r="F80" s="224" t="s">
        <v>106</v>
      </c>
      <c r="G80" s="224" t="s">
        <v>167</v>
      </c>
      <c r="H80" s="242">
        <v>46293</v>
      </c>
      <c r="I80" s="242">
        <v>46297</v>
      </c>
      <c r="J80" s="224" t="s">
        <v>98</v>
      </c>
      <c r="K80" s="243" t="s">
        <v>902</v>
      </c>
      <c r="L80" s="268" t="str">
        <f t="shared" ref="L80:V80" si="73">IF(AND(L$6&lt;=$I80,L$6+6&gt;=$H80,$H80&lt;&gt;"",$I80&lt;&gt;""),1,"")</f>
        <v/>
      </c>
      <c r="M80" s="268" t="str">
        <f t="shared" si="73"/>
        <v/>
      </c>
      <c r="N80" s="268" t="str">
        <f t="shared" si="73"/>
        <v/>
      </c>
      <c r="O80" s="268" t="str">
        <f t="shared" si="73"/>
        <v/>
      </c>
      <c r="P80" s="268" t="str">
        <f t="shared" si="73"/>
        <v/>
      </c>
      <c r="Q80" s="268" t="str">
        <f t="shared" si="73"/>
        <v/>
      </c>
      <c r="R80" s="268" t="str">
        <f t="shared" si="73"/>
        <v/>
      </c>
      <c r="S80" s="268" t="str">
        <f t="shared" si="73"/>
        <v/>
      </c>
      <c r="T80" s="268">
        <f t="shared" si="73"/>
        <v>1</v>
      </c>
      <c r="U80" s="268" t="str">
        <f t="shared" si="73"/>
        <v/>
      </c>
      <c r="V80" s="268" t="str">
        <f t="shared" si="73"/>
        <v/>
      </c>
    </row>
    <row r="81" spans="1:22" ht="15.75">
      <c r="A81" s="224">
        <v>75</v>
      </c>
      <c r="B81" s="224" t="s">
        <v>645</v>
      </c>
      <c r="C81" s="221" t="s">
        <v>187</v>
      </c>
      <c r="D81" s="221" t="s">
        <v>191</v>
      </c>
      <c r="E81" s="224" t="s">
        <v>390</v>
      </c>
      <c r="F81" s="224" t="s">
        <v>106</v>
      </c>
      <c r="G81" s="224" t="s">
        <v>167</v>
      </c>
      <c r="H81" s="242">
        <v>46293</v>
      </c>
      <c r="I81" s="242">
        <v>46297</v>
      </c>
      <c r="J81" s="224" t="s">
        <v>98</v>
      </c>
      <c r="K81" s="243" t="s">
        <v>902</v>
      </c>
      <c r="L81" s="268" t="str">
        <f t="shared" ref="L81:V81" si="74">IF(AND(L$6&lt;=$I81,L$6+6&gt;=$H81,$H81&lt;&gt;"",$I81&lt;&gt;""),1,"")</f>
        <v/>
      </c>
      <c r="M81" s="268" t="str">
        <f t="shared" si="74"/>
        <v/>
      </c>
      <c r="N81" s="268" t="str">
        <f t="shared" si="74"/>
        <v/>
      </c>
      <c r="O81" s="268" t="str">
        <f t="shared" si="74"/>
        <v/>
      </c>
      <c r="P81" s="268" t="str">
        <f t="shared" si="74"/>
        <v/>
      </c>
      <c r="Q81" s="268" t="str">
        <f t="shared" si="74"/>
        <v/>
      </c>
      <c r="R81" s="268" t="str">
        <f t="shared" si="74"/>
        <v/>
      </c>
      <c r="S81" s="268" t="str">
        <f t="shared" si="74"/>
        <v/>
      </c>
      <c r="T81" s="268">
        <f t="shared" si="74"/>
        <v>1</v>
      </c>
      <c r="U81" s="268" t="str">
        <f t="shared" si="74"/>
        <v/>
      </c>
      <c r="V81" s="268" t="str">
        <f t="shared" si="74"/>
        <v/>
      </c>
    </row>
    <row r="82" spans="1:22" ht="15.75">
      <c r="A82" s="224">
        <v>76</v>
      </c>
      <c r="B82" s="224" t="s">
        <v>648</v>
      </c>
      <c r="C82" s="221" t="s">
        <v>187</v>
      </c>
      <c r="D82" s="221" t="s">
        <v>192</v>
      </c>
      <c r="E82" s="224" t="s">
        <v>390</v>
      </c>
      <c r="F82" s="224" t="s">
        <v>106</v>
      </c>
      <c r="G82" s="224" t="s">
        <v>167</v>
      </c>
      <c r="H82" s="242"/>
      <c r="I82" s="242"/>
      <c r="J82" s="224" t="s">
        <v>98</v>
      </c>
      <c r="K82" s="244" t="s">
        <v>888</v>
      </c>
      <c r="L82" s="268" t="str">
        <f t="shared" ref="L82:V82" si="75">IF(AND(L$6&lt;=$I82,L$6+6&gt;=$H82,$H82&lt;&gt;"",$I82&lt;&gt;""),1,"")</f>
        <v/>
      </c>
      <c r="M82" s="268" t="str">
        <f t="shared" si="75"/>
        <v/>
      </c>
      <c r="N82" s="268" t="str">
        <f t="shared" si="75"/>
        <v/>
      </c>
      <c r="O82" s="268" t="str">
        <f t="shared" si="75"/>
        <v/>
      </c>
      <c r="P82" s="268" t="str">
        <f t="shared" si="75"/>
        <v/>
      </c>
      <c r="Q82" s="268" t="str">
        <f t="shared" si="75"/>
        <v/>
      </c>
      <c r="R82" s="268" t="str">
        <f t="shared" si="75"/>
        <v/>
      </c>
      <c r="S82" s="268" t="str">
        <f t="shared" si="75"/>
        <v/>
      </c>
      <c r="T82" s="268" t="str">
        <f t="shared" si="75"/>
        <v/>
      </c>
      <c r="U82" s="268" t="str">
        <f t="shared" si="75"/>
        <v/>
      </c>
      <c r="V82" s="268" t="str">
        <f t="shared" si="75"/>
        <v/>
      </c>
    </row>
    <row r="83" spans="1:22" ht="15.75">
      <c r="A83" s="224">
        <v>77</v>
      </c>
      <c r="B83" s="224" t="s">
        <v>651</v>
      </c>
      <c r="C83" s="221" t="s">
        <v>187</v>
      </c>
      <c r="D83" s="221" t="s">
        <v>193</v>
      </c>
      <c r="E83" s="224" t="s">
        <v>390</v>
      </c>
      <c r="F83" s="224" t="s">
        <v>106</v>
      </c>
      <c r="G83" s="224" t="s">
        <v>167</v>
      </c>
      <c r="H83" s="242"/>
      <c r="I83" s="242"/>
      <c r="J83" s="224" t="s">
        <v>98</v>
      </c>
      <c r="K83" s="244" t="s">
        <v>912</v>
      </c>
      <c r="L83" s="268" t="str">
        <f t="shared" ref="L83:V83" si="76">IF(AND(L$6&lt;=$I83,L$6+6&gt;=$H83,$H83&lt;&gt;"",$I83&lt;&gt;""),1,"")</f>
        <v/>
      </c>
      <c r="M83" s="268" t="str">
        <f t="shared" si="76"/>
        <v/>
      </c>
      <c r="N83" s="268" t="str">
        <f t="shared" si="76"/>
        <v/>
      </c>
      <c r="O83" s="268" t="str">
        <f t="shared" si="76"/>
        <v/>
      </c>
      <c r="P83" s="268" t="str">
        <f t="shared" si="76"/>
        <v/>
      </c>
      <c r="Q83" s="268" t="str">
        <f t="shared" si="76"/>
        <v/>
      </c>
      <c r="R83" s="268" t="str">
        <f t="shared" si="76"/>
        <v/>
      </c>
      <c r="S83" s="268" t="str">
        <f t="shared" si="76"/>
        <v/>
      </c>
      <c r="T83" s="268" t="str">
        <f t="shared" si="76"/>
        <v/>
      </c>
      <c r="U83" s="268" t="str">
        <f t="shared" si="76"/>
        <v/>
      </c>
      <c r="V83" s="268" t="str">
        <f t="shared" si="76"/>
        <v/>
      </c>
    </row>
    <row r="84" spans="1:22" ht="15.75">
      <c r="A84" s="224">
        <v>78</v>
      </c>
      <c r="B84" s="224" t="s">
        <v>655</v>
      </c>
      <c r="C84" s="221" t="s">
        <v>194</v>
      </c>
      <c r="D84" s="221" t="s">
        <v>195</v>
      </c>
      <c r="E84" s="224" t="s">
        <v>390</v>
      </c>
      <c r="F84" s="224"/>
      <c r="G84" s="224" t="s">
        <v>196</v>
      </c>
      <c r="H84" s="242">
        <v>46279</v>
      </c>
      <c r="I84" s="242">
        <v>46289</v>
      </c>
      <c r="J84" s="224" t="s">
        <v>98</v>
      </c>
      <c r="K84" s="243" t="s">
        <v>887</v>
      </c>
      <c r="L84" s="268" t="str">
        <f t="shared" ref="L84:V84" si="77">IF(AND(L$6&lt;=$I84,L$6+6&gt;=$H84,$H84&lt;&gt;"",$I84&lt;&gt;""),1,"")</f>
        <v/>
      </c>
      <c r="M84" s="268" t="str">
        <f t="shared" si="77"/>
        <v/>
      </c>
      <c r="N84" s="268" t="str">
        <f t="shared" si="77"/>
        <v/>
      </c>
      <c r="O84" s="268" t="str">
        <f t="shared" si="77"/>
        <v/>
      </c>
      <c r="P84" s="268" t="str">
        <f t="shared" si="77"/>
        <v/>
      </c>
      <c r="Q84" s="268" t="str">
        <f t="shared" si="77"/>
        <v/>
      </c>
      <c r="R84" s="268">
        <f t="shared" si="77"/>
        <v>1</v>
      </c>
      <c r="S84" s="268">
        <f t="shared" si="77"/>
        <v>1</v>
      </c>
      <c r="T84" s="268" t="str">
        <f t="shared" si="77"/>
        <v/>
      </c>
      <c r="U84" s="268" t="str">
        <f t="shared" si="77"/>
        <v/>
      </c>
      <c r="V84" s="268" t="str">
        <f t="shared" si="77"/>
        <v/>
      </c>
    </row>
    <row r="85" spans="1:22" ht="15.75">
      <c r="A85" s="224">
        <v>79</v>
      </c>
      <c r="B85" s="224" t="s">
        <v>659</v>
      </c>
      <c r="C85" s="221" t="s">
        <v>194</v>
      </c>
      <c r="D85" s="221" t="s">
        <v>197</v>
      </c>
      <c r="E85" s="224" t="s">
        <v>390</v>
      </c>
      <c r="F85" s="224"/>
      <c r="G85" s="224" t="s">
        <v>196</v>
      </c>
      <c r="H85" s="242">
        <v>46279</v>
      </c>
      <c r="I85" s="242">
        <v>46289</v>
      </c>
      <c r="J85" s="224" t="s">
        <v>98</v>
      </c>
      <c r="K85" s="243" t="s">
        <v>887</v>
      </c>
      <c r="L85" s="268" t="str">
        <f t="shared" ref="L85:V85" si="78">IF(AND(L$6&lt;=$I85,L$6+6&gt;=$H85,$H85&lt;&gt;"",$I85&lt;&gt;""),1,"")</f>
        <v/>
      </c>
      <c r="M85" s="268" t="str">
        <f t="shared" si="78"/>
        <v/>
      </c>
      <c r="N85" s="268" t="str">
        <f t="shared" si="78"/>
        <v/>
      </c>
      <c r="O85" s="268" t="str">
        <f t="shared" si="78"/>
        <v/>
      </c>
      <c r="P85" s="268" t="str">
        <f t="shared" si="78"/>
        <v/>
      </c>
      <c r="Q85" s="268" t="str">
        <f t="shared" si="78"/>
        <v/>
      </c>
      <c r="R85" s="268">
        <f t="shared" si="78"/>
        <v>1</v>
      </c>
      <c r="S85" s="268">
        <f t="shared" si="78"/>
        <v>1</v>
      </c>
      <c r="T85" s="268" t="str">
        <f t="shared" si="78"/>
        <v/>
      </c>
      <c r="U85" s="268" t="str">
        <f t="shared" si="78"/>
        <v/>
      </c>
      <c r="V85" s="268" t="str">
        <f t="shared" si="78"/>
        <v/>
      </c>
    </row>
    <row r="86" spans="1:22" ht="15.75">
      <c r="A86" s="224">
        <v>80</v>
      </c>
      <c r="B86" s="224" t="s">
        <v>662</v>
      </c>
      <c r="C86" s="221" t="s">
        <v>194</v>
      </c>
      <c r="D86" s="221" t="s">
        <v>198</v>
      </c>
      <c r="E86" s="224" t="s">
        <v>390</v>
      </c>
      <c r="F86" s="224"/>
      <c r="G86" s="224" t="s">
        <v>196</v>
      </c>
      <c r="H86" s="242">
        <v>46279</v>
      </c>
      <c r="I86" s="242">
        <v>46289</v>
      </c>
      <c r="J86" s="224" t="s">
        <v>98</v>
      </c>
      <c r="K86" s="243" t="s">
        <v>887</v>
      </c>
      <c r="L86" s="268" t="str">
        <f t="shared" ref="L86:V86" si="79">IF(AND(L$6&lt;=$I86,L$6+6&gt;=$H86,$H86&lt;&gt;"",$I86&lt;&gt;""),1,"")</f>
        <v/>
      </c>
      <c r="M86" s="268" t="str">
        <f t="shared" si="79"/>
        <v/>
      </c>
      <c r="N86" s="268" t="str">
        <f t="shared" si="79"/>
        <v/>
      </c>
      <c r="O86" s="268" t="str">
        <f t="shared" si="79"/>
        <v/>
      </c>
      <c r="P86" s="268" t="str">
        <f t="shared" si="79"/>
        <v/>
      </c>
      <c r="Q86" s="268" t="str">
        <f t="shared" si="79"/>
        <v/>
      </c>
      <c r="R86" s="268">
        <f t="shared" si="79"/>
        <v>1</v>
      </c>
      <c r="S86" s="268">
        <f t="shared" si="79"/>
        <v>1</v>
      </c>
      <c r="T86" s="268" t="str">
        <f t="shared" si="79"/>
        <v/>
      </c>
      <c r="U86" s="268" t="str">
        <f t="shared" si="79"/>
        <v/>
      </c>
      <c r="V86" s="268" t="str">
        <f t="shared" si="79"/>
        <v/>
      </c>
    </row>
    <row r="87" spans="1:22" ht="15.75">
      <c r="A87" s="224">
        <v>81</v>
      </c>
      <c r="B87" s="224" t="s">
        <v>665</v>
      </c>
      <c r="C87" s="221" t="s">
        <v>194</v>
      </c>
      <c r="D87" s="221" t="s">
        <v>199</v>
      </c>
      <c r="E87" s="224" t="s">
        <v>390</v>
      </c>
      <c r="F87" s="224" t="s">
        <v>145</v>
      </c>
      <c r="G87" s="224" t="s">
        <v>196</v>
      </c>
      <c r="H87" s="242">
        <v>46279</v>
      </c>
      <c r="I87" s="242">
        <v>46289</v>
      </c>
      <c r="J87" s="224" t="s">
        <v>98</v>
      </c>
      <c r="K87" s="243" t="s">
        <v>887</v>
      </c>
      <c r="L87" s="268" t="str">
        <f t="shared" ref="L87:V87" si="80">IF(AND(L$6&lt;=$I87,L$6+6&gt;=$H87,$H87&lt;&gt;"",$I87&lt;&gt;""),1,"")</f>
        <v/>
      </c>
      <c r="M87" s="268" t="str">
        <f t="shared" si="80"/>
        <v/>
      </c>
      <c r="N87" s="268" t="str">
        <f t="shared" si="80"/>
        <v/>
      </c>
      <c r="O87" s="268" t="str">
        <f t="shared" si="80"/>
        <v/>
      </c>
      <c r="P87" s="268" t="str">
        <f t="shared" si="80"/>
        <v/>
      </c>
      <c r="Q87" s="268" t="str">
        <f t="shared" si="80"/>
        <v/>
      </c>
      <c r="R87" s="268">
        <f t="shared" si="80"/>
        <v>1</v>
      </c>
      <c r="S87" s="268">
        <f t="shared" si="80"/>
        <v>1</v>
      </c>
      <c r="T87" s="268" t="str">
        <f t="shared" si="80"/>
        <v/>
      </c>
      <c r="U87" s="268" t="str">
        <f t="shared" si="80"/>
        <v/>
      </c>
      <c r="V87" s="268" t="str">
        <f t="shared" si="80"/>
        <v/>
      </c>
    </row>
    <row r="88" spans="1:22" ht="15.75">
      <c r="A88" s="224">
        <v>82</v>
      </c>
      <c r="B88" s="224" t="s">
        <v>668</v>
      </c>
      <c r="C88" s="221" t="s">
        <v>194</v>
      </c>
      <c r="D88" s="221" t="s">
        <v>200</v>
      </c>
      <c r="E88" s="224" t="s">
        <v>390</v>
      </c>
      <c r="F88" s="224" t="s">
        <v>145</v>
      </c>
      <c r="G88" s="224" t="s">
        <v>196</v>
      </c>
      <c r="H88" s="242">
        <v>46279</v>
      </c>
      <c r="I88" s="242">
        <v>46289</v>
      </c>
      <c r="J88" s="224" t="s">
        <v>98</v>
      </c>
      <c r="K88" s="243" t="s">
        <v>887</v>
      </c>
      <c r="L88" s="268" t="str">
        <f t="shared" ref="L88:V88" si="81">IF(AND(L$6&lt;=$I88,L$6+6&gt;=$H88,$H88&lt;&gt;"",$I88&lt;&gt;""),1,"")</f>
        <v/>
      </c>
      <c r="M88" s="268" t="str">
        <f t="shared" si="81"/>
        <v/>
      </c>
      <c r="N88" s="268" t="str">
        <f t="shared" si="81"/>
        <v/>
      </c>
      <c r="O88" s="268" t="str">
        <f t="shared" si="81"/>
        <v/>
      </c>
      <c r="P88" s="268" t="str">
        <f t="shared" si="81"/>
        <v/>
      </c>
      <c r="Q88" s="268" t="str">
        <f t="shared" si="81"/>
        <v/>
      </c>
      <c r="R88" s="268">
        <f t="shared" si="81"/>
        <v>1</v>
      </c>
      <c r="S88" s="268">
        <f t="shared" si="81"/>
        <v>1</v>
      </c>
      <c r="T88" s="268" t="str">
        <f t="shared" si="81"/>
        <v/>
      </c>
      <c r="U88" s="268" t="str">
        <f t="shared" si="81"/>
        <v/>
      </c>
      <c r="V88" s="268" t="str">
        <f t="shared" si="81"/>
        <v/>
      </c>
    </row>
    <row r="89" spans="1:22" ht="15.75">
      <c r="A89" s="224">
        <v>83</v>
      </c>
      <c r="B89" s="224" t="s">
        <v>671</v>
      </c>
      <c r="C89" s="221" t="s">
        <v>194</v>
      </c>
      <c r="D89" s="221" t="s">
        <v>201</v>
      </c>
      <c r="E89" s="224" t="s">
        <v>390</v>
      </c>
      <c r="F89" s="224" t="s">
        <v>145</v>
      </c>
      <c r="G89" s="224" t="s">
        <v>196</v>
      </c>
      <c r="H89" s="242"/>
      <c r="I89" s="242"/>
      <c r="J89" s="224" t="s">
        <v>98</v>
      </c>
      <c r="K89" s="244" t="s">
        <v>888</v>
      </c>
      <c r="L89" s="268" t="str">
        <f t="shared" ref="L89:V89" si="82">IF(AND(L$6&lt;=$I89,L$6+6&gt;=$H89,$H89&lt;&gt;"",$I89&lt;&gt;""),1,"")</f>
        <v/>
      </c>
      <c r="M89" s="268" t="str">
        <f t="shared" si="82"/>
        <v/>
      </c>
      <c r="N89" s="268" t="str">
        <f t="shared" si="82"/>
        <v/>
      </c>
      <c r="O89" s="268" t="str">
        <f t="shared" si="82"/>
        <v/>
      </c>
      <c r="P89" s="268" t="str">
        <f t="shared" si="82"/>
        <v/>
      </c>
      <c r="Q89" s="268" t="str">
        <f t="shared" si="82"/>
        <v/>
      </c>
      <c r="R89" s="268" t="str">
        <f t="shared" si="82"/>
        <v/>
      </c>
      <c r="S89" s="268" t="str">
        <f t="shared" si="82"/>
        <v/>
      </c>
      <c r="T89" s="268" t="str">
        <f t="shared" si="82"/>
        <v/>
      </c>
      <c r="U89" s="268" t="str">
        <f t="shared" si="82"/>
        <v/>
      </c>
      <c r="V89" s="268" t="str">
        <f t="shared" si="82"/>
        <v/>
      </c>
    </row>
    <row r="90" spans="1:22" ht="15.75">
      <c r="A90" s="224">
        <v>84</v>
      </c>
      <c r="B90" s="224" t="s">
        <v>674</v>
      </c>
      <c r="C90" s="221" t="s">
        <v>202</v>
      </c>
      <c r="D90" s="221" t="s">
        <v>203</v>
      </c>
      <c r="E90" s="224" t="s">
        <v>390</v>
      </c>
      <c r="F90" s="224"/>
      <c r="G90" s="224"/>
      <c r="H90" s="242"/>
      <c r="I90" s="242"/>
      <c r="J90" s="224" t="s">
        <v>98</v>
      </c>
      <c r="K90" s="244" t="s">
        <v>913</v>
      </c>
      <c r="L90" s="268" t="str">
        <f t="shared" ref="L90:V90" si="83">IF(AND(L$6&lt;=$I90,L$6+6&gt;=$H90,$H90&lt;&gt;"",$I90&lt;&gt;""),1,"")</f>
        <v/>
      </c>
      <c r="M90" s="268" t="str">
        <f t="shared" si="83"/>
        <v/>
      </c>
      <c r="N90" s="268" t="str">
        <f t="shared" si="83"/>
        <v/>
      </c>
      <c r="O90" s="268" t="str">
        <f t="shared" si="83"/>
        <v/>
      </c>
      <c r="P90" s="268" t="str">
        <f t="shared" si="83"/>
        <v/>
      </c>
      <c r="Q90" s="268" t="str">
        <f t="shared" si="83"/>
        <v/>
      </c>
      <c r="R90" s="268" t="str">
        <f t="shared" si="83"/>
        <v/>
      </c>
      <c r="S90" s="268" t="str">
        <f t="shared" si="83"/>
        <v/>
      </c>
      <c r="T90" s="268" t="str">
        <f t="shared" si="83"/>
        <v/>
      </c>
      <c r="U90" s="268" t="str">
        <f t="shared" si="83"/>
        <v/>
      </c>
      <c r="V90" s="268" t="str">
        <f t="shared" si="83"/>
        <v/>
      </c>
    </row>
    <row r="91" spans="1:22" ht="15.75">
      <c r="A91" s="224">
        <v>85</v>
      </c>
      <c r="B91" s="224" t="s">
        <v>681</v>
      </c>
      <c r="C91" s="221" t="s">
        <v>202</v>
      </c>
      <c r="D91" s="221" t="s">
        <v>204</v>
      </c>
      <c r="E91" s="224" t="s">
        <v>390</v>
      </c>
      <c r="F91" s="224"/>
      <c r="G91" s="224"/>
      <c r="H91" s="242"/>
      <c r="I91" s="242"/>
      <c r="J91" s="224" t="s">
        <v>98</v>
      </c>
      <c r="K91" s="244" t="s">
        <v>914</v>
      </c>
      <c r="L91" s="268" t="str">
        <f t="shared" ref="L91:V91" si="84">IF(AND(L$6&lt;=$I91,L$6+6&gt;=$H91,$H91&lt;&gt;"",$I91&lt;&gt;""),1,"")</f>
        <v/>
      </c>
      <c r="M91" s="268" t="str">
        <f t="shared" si="84"/>
        <v/>
      </c>
      <c r="N91" s="268" t="str">
        <f t="shared" si="84"/>
        <v/>
      </c>
      <c r="O91" s="268" t="str">
        <f t="shared" si="84"/>
        <v/>
      </c>
      <c r="P91" s="268" t="str">
        <f t="shared" si="84"/>
        <v/>
      </c>
      <c r="Q91" s="268" t="str">
        <f t="shared" si="84"/>
        <v/>
      </c>
      <c r="R91" s="268" t="str">
        <f t="shared" si="84"/>
        <v/>
      </c>
      <c r="S91" s="268" t="str">
        <f t="shared" si="84"/>
        <v/>
      </c>
      <c r="T91" s="268" t="str">
        <f t="shared" si="84"/>
        <v/>
      </c>
      <c r="U91" s="268" t="str">
        <f t="shared" si="84"/>
        <v/>
      </c>
      <c r="V91" s="268" t="str">
        <f t="shared" si="84"/>
        <v/>
      </c>
    </row>
    <row r="92" spans="1:22" ht="15.75">
      <c r="A92" s="224">
        <v>86</v>
      </c>
      <c r="B92" s="224" t="s">
        <v>684</v>
      </c>
      <c r="C92" s="221" t="s">
        <v>202</v>
      </c>
      <c r="D92" s="221" t="s">
        <v>205</v>
      </c>
      <c r="E92" s="224" t="s">
        <v>390</v>
      </c>
      <c r="F92" s="224"/>
      <c r="G92" s="224"/>
      <c r="H92" s="242"/>
      <c r="I92" s="242"/>
      <c r="J92" s="224" t="s">
        <v>98</v>
      </c>
      <c r="K92" s="244" t="s">
        <v>914</v>
      </c>
      <c r="L92" s="268" t="str">
        <f t="shared" ref="L92:V92" si="85">IF(AND(L$6&lt;=$I92,L$6+6&gt;=$H92,$H92&lt;&gt;"",$I92&lt;&gt;""),1,"")</f>
        <v/>
      </c>
      <c r="M92" s="268" t="str">
        <f t="shared" si="85"/>
        <v/>
      </c>
      <c r="N92" s="268" t="str">
        <f t="shared" si="85"/>
        <v/>
      </c>
      <c r="O92" s="268" t="str">
        <f t="shared" si="85"/>
        <v/>
      </c>
      <c r="P92" s="268" t="str">
        <f t="shared" si="85"/>
        <v/>
      </c>
      <c r="Q92" s="268" t="str">
        <f t="shared" si="85"/>
        <v/>
      </c>
      <c r="R92" s="268" t="str">
        <f t="shared" si="85"/>
        <v/>
      </c>
      <c r="S92" s="268" t="str">
        <f t="shared" si="85"/>
        <v/>
      </c>
      <c r="T92" s="268" t="str">
        <f t="shared" si="85"/>
        <v/>
      </c>
      <c r="U92" s="268" t="str">
        <f t="shared" si="85"/>
        <v/>
      </c>
      <c r="V92" s="268" t="str">
        <f t="shared" si="85"/>
        <v/>
      </c>
    </row>
    <row r="93" spans="1:22" ht="15.75">
      <c r="A93" s="224">
        <v>87</v>
      </c>
      <c r="B93" s="224" t="s">
        <v>687</v>
      </c>
      <c r="C93" s="221" t="s">
        <v>202</v>
      </c>
      <c r="D93" s="221" t="s">
        <v>206</v>
      </c>
      <c r="E93" s="224" t="s">
        <v>390</v>
      </c>
      <c r="F93" s="224"/>
      <c r="G93" s="224"/>
      <c r="H93" s="242"/>
      <c r="I93" s="242"/>
      <c r="J93" s="224" t="s">
        <v>98</v>
      </c>
      <c r="K93" s="244" t="s">
        <v>914</v>
      </c>
      <c r="L93" s="268" t="str">
        <f t="shared" ref="L93:V93" si="86">IF(AND(L$6&lt;=$I93,L$6+6&gt;=$H93,$H93&lt;&gt;"",$I93&lt;&gt;""),1,"")</f>
        <v/>
      </c>
      <c r="M93" s="268" t="str">
        <f t="shared" si="86"/>
        <v/>
      </c>
      <c r="N93" s="268" t="str">
        <f t="shared" si="86"/>
        <v/>
      </c>
      <c r="O93" s="268" t="str">
        <f t="shared" si="86"/>
        <v/>
      </c>
      <c r="P93" s="268" t="str">
        <f t="shared" si="86"/>
        <v/>
      </c>
      <c r="Q93" s="268" t="str">
        <f t="shared" si="86"/>
        <v/>
      </c>
      <c r="R93" s="268" t="str">
        <f t="shared" si="86"/>
        <v/>
      </c>
      <c r="S93" s="268" t="str">
        <f t="shared" si="86"/>
        <v/>
      </c>
      <c r="T93" s="268" t="str">
        <f t="shared" si="86"/>
        <v/>
      </c>
      <c r="U93" s="268" t="str">
        <f t="shared" si="86"/>
        <v/>
      </c>
      <c r="V93" s="268" t="str">
        <f t="shared" si="86"/>
        <v/>
      </c>
    </row>
    <row r="94" spans="1:22" ht="15.75">
      <c r="A94" s="224">
        <v>88</v>
      </c>
      <c r="B94" s="224" t="s">
        <v>690</v>
      </c>
      <c r="C94" s="221" t="s">
        <v>202</v>
      </c>
      <c r="D94" s="221" t="s">
        <v>207</v>
      </c>
      <c r="E94" s="224" t="s">
        <v>390</v>
      </c>
      <c r="F94" s="224"/>
      <c r="G94" s="224"/>
      <c r="H94" s="242"/>
      <c r="I94" s="242"/>
      <c r="J94" s="224" t="s">
        <v>98</v>
      </c>
      <c r="K94" s="244" t="s">
        <v>914</v>
      </c>
      <c r="L94" s="268" t="str">
        <f t="shared" ref="L94:V94" si="87">IF(AND(L$6&lt;=$I94,L$6+6&gt;=$H94,$H94&lt;&gt;"",$I94&lt;&gt;""),1,"")</f>
        <v/>
      </c>
      <c r="M94" s="268" t="str">
        <f t="shared" si="87"/>
        <v/>
      </c>
      <c r="N94" s="268" t="str">
        <f t="shared" si="87"/>
        <v/>
      </c>
      <c r="O94" s="268" t="str">
        <f t="shared" si="87"/>
        <v/>
      </c>
      <c r="P94" s="268" t="str">
        <f t="shared" si="87"/>
        <v/>
      </c>
      <c r="Q94" s="268" t="str">
        <f t="shared" si="87"/>
        <v/>
      </c>
      <c r="R94" s="268" t="str">
        <f t="shared" si="87"/>
        <v/>
      </c>
      <c r="S94" s="268" t="str">
        <f t="shared" si="87"/>
        <v/>
      </c>
      <c r="T94" s="268" t="str">
        <f t="shared" si="87"/>
        <v/>
      </c>
      <c r="U94" s="268" t="str">
        <f t="shared" si="87"/>
        <v/>
      </c>
      <c r="V94" s="268" t="str">
        <f t="shared" si="87"/>
        <v/>
      </c>
    </row>
    <row r="95" spans="1:22" ht="15.75">
      <c r="A95" s="224">
        <v>89</v>
      </c>
      <c r="B95" s="224" t="s">
        <v>693</v>
      </c>
      <c r="C95" s="221" t="s">
        <v>202</v>
      </c>
      <c r="D95" s="221" t="s">
        <v>208</v>
      </c>
      <c r="E95" s="224" t="s">
        <v>390</v>
      </c>
      <c r="F95" s="224"/>
      <c r="G95" s="224"/>
      <c r="H95" s="242"/>
      <c r="I95" s="242"/>
      <c r="J95" s="224" t="s">
        <v>98</v>
      </c>
      <c r="K95" s="244" t="s">
        <v>915</v>
      </c>
      <c r="L95" s="268" t="str">
        <f t="shared" ref="L95:V95" si="88">IF(AND(L$6&lt;=$I95,L$6+6&gt;=$H95,$H95&lt;&gt;"",$I95&lt;&gt;""),1,"")</f>
        <v/>
      </c>
      <c r="M95" s="268" t="str">
        <f t="shared" si="88"/>
        <v/>
      </c>
      <c r="N95" s="268" t="str">
        <f t="shared" si="88"/>
        <v/>
      </c>
      <c r="O95" s="268" t="str">
        <f t="shared" si="88"/>
        <v/>
      </c>
      <c r="P95" s="268" t="str">
        <f t="shared" si="88"/>
        <v/>
      </c>
      <c r="Q95" s="268" t="str">
        <f t="shared" si="88"/>
        <v/>
      </c>
      <c r="R95" s="268" t="str">
        <f t="shared" si="88"/>
        <v/>
      </c>
      <c r="S95" s="268" t="str">
        <f t="shared" si="88"/>
        <v/>
      </c>
      <c r="T95" s="268" t="str">
        <f t="shared" si="88"/>
        <v/>
      </c>
      <c r="U95" s="268" t="str">
        <f t="shared" si="88"/>
        <v/>
      </c>
      <c r="V95" s="268" t="str">
        <f t="shared" si="88"/>
        <v/>
      </c>
    </row>
    <row r="96" spans="1:22" ht="15.75">
      <c r="A96" s="224">
        <v>90</v>
      </c>
      <c r="B96" s="224" t="s">
        <v>697</v>
      </c>
      <c r="C96" s="221" t="s">
        <v>209</v>
      </c>
      <c r="D96" s="221" t="s">
        <v>210</v>
      </c>
      <c r="E96" s="224" t="s">
        <v>340</v>
      </c>
      <c r="F96" s="224"/>
      <c r="G96" s="224"/>
      <c r="H96" s="242"/>
      <c r="I96" s="242"/>
      <c r="J96" s="224" t="s">
        <v>98</v>
      </c>
      <c r="K96" s="244" t="s">
        <v>916</v>
      </c>
      <c r="L96" s="268" t="str">
        <f t="shared" ref="L96:V96" si="89">IF(AND(L$6&lt;=$I96,L$6+6&gt;=$H96,$H96&lt;&gt;"",$I96&lt;&gt;""),1,"")</f>
        <v/>
      </c>
      <c r="M96" s="268" t="str">
        <f t="shared" si="89"/>
        <v/>
      </c>
      <c r="N96" s="268" t="str">
        <f t="shared" si="89"/>
        <v/>
      </c>
      <c r="O96" s="268" t="str">
        <f t="shared" si="89"/>
        <v/>
      </c>
      <c r="P96" s="268" t="str">
        <f t="shared" si="89"/>
        <v/>
      </c>
      <c r="Q96" s="268" t="str">
        <f t="shared" si="89"/>
        <v/>
      </c>
      <c r="R96" s="268" t="str">
        <f t="shared" si="89"/>
        <v/>
      </c>
      <c r="S96" s="268" t="str">
        <f t="shared" si="89"/>
        <v/>
      </c>
      <c r="T96" s="268" t="str">
        <f t="shared" si="89"/>
        <v/>
      </c>
      <c r="U96" s="268" t="str">
        <f t="shared" si="89"/>
        <v/>
      </c>
      <c r="V96" s="268" t="str">
        <f t="shared" si="89"/>
        <v/>
      </c>
    </row>
    <row r="97" spans="1:22" ht="15.75">
      <c r="A97" s="224">
        <v>91</v>
      </c>
      <c r="B97" s="224" t="s">
        <v>703</v>
      </c>
      <c r="C97" s="221" t="s">
        <v>209</v>
      </c>
      <c r="D97" s="221" t="s">
        <v>211</v>
      </c>
      <c r="E97" s="224" t="s">
        <v>340</v>
      </c>
      <c r="F97" s="224"/>
      <c r="G97" s="224"/>
      <c r="H97" s="242"/>
      <c r="I97" s="242"/>
      <c r="J97" s="224" t="s">
        <v>98</v>
      </c>
      <c r="K97" s="244" t="s">
        <v>916</v>
      </c>
      <c r="L97" s="268" t="str">
        <f t="shared" ref="L97:V97" si="90">IF(AND(L$6&lt;=$I97,L$6+6&gt;=$H97,$H97&lt;&gt;"",$I97&lt;&gt;""),1,"")</f>
        <v/>
      </c>
      <c r="M97" s="268" t="str">
        <f t="shared" si="90"/>
        <v/>
      </c>
      <c r="N97" s="268" t="str">
        <f t="shared" si="90"/>
        <v/>
      </c>
      <c r="O97" s="268" t="str">
        <f t="shared" si="90"/>
        <v/>
      </c>
      <c r="P97" s="268" t="str">
        <f t="shared" si="90"/>
        <v/>
      </c>
      <c r="Q97" s="268" t="str">
        <f t="shared" si="90"/>
        <v/>
      </c>
      <c r="R97" s="268" t="str">
        <f t="shared" si="90"/>
        <v/>
      </c>
      <c r="S97" s="268" t="str">
        <f t="shared" si="90"/>
        <v/>
      </c>
      <c r="T97" s="268" t="str">
        <f t="shared" si="90"/>
        <v/>
      </c>
      <c r="U97" s="268" t="str">
        <f t="shared" si="90"/>
        <v/>
      </c>
      <c r="V97" s="268" t="str">
        <f t="shared" si="90"/>
        <v/>
      </c>
    </row>
    <row r="98" spans="1:22" ht="15.75">
      <c r="A98" s="224">
        <v>92</v>
      </c>
      <c r="B98" s="224" t="s">
        <v>706</v>
      </c>
      <c r="C98" s="221" t="s">
        <v>209</v>
      </c>
      <c r="D98" s="221" t="s">
        <v>212</v>
      </c>
      <c r="E98" s="224" t="s">
        <v>340</v>
      </c>
      <c r="F98" s="224"/>
      <c r="G98" s="224"/>
      <c r="H98" s="242"/>
      <c r="I98" s="242"/>
      <c r="J98" s="224" t="s">
        <v>98</v>
      </c>
      <c r="K98" s="244" t="s">
        <v>916</v>
      </c>
      <c r="L98" s="268" t="str">
        <f t="shared" ref="L98:V98" si="91">IF(AND(L$6&lt;=$I98,L$6+6&gt;=$H98,$H98&lt;&gt;"",$I98&lt;&gt;""),1,"")</f>
        <v/>
      </c>
      <c r="M98" s="268" t="str">
        <f t="shared" si="91"/>
        <v/>
      </c>
      <c r="N98" s="268" t="str">
        <f t="shared" si="91"/>
        <v/>
      </c>
      <c r="O98" s="268" t="str">
        <f t="shared" si="91"/>
        <v/>
      </c>
      <c r="P98" s="268" t="str">
        <f t="shared" si="91"/>
        <v/>
      </c>
      <c r="Q98" s="268" t="str">
        <f t="shared" si="91"/>
        <v/>
      </c>
      <c r="R98" s="268" t="str">
        <f t="shared" si="91"/>
        <v/>
      </c>
      <c r="S98" s="268" t="str">
        <f t="shared" si="91"/>
        <v/>
      </c>
      <c r="T98" s="268" t="str">
        <f t="shared" si="91"/>
        <v/>
      </c>
      <c r="U98" s="268" t="str">
        <f t="shared" si="91"/>
        <v/>
      </c>
      <c r="V98" s="268" t="str">
        <f t="shared" si="91"/>
        <v/>
      </c>
    </row>
    <row r="99" spans="1:22" ht="25.5">
      <c r="A99" s="224">
        <v>93</v>
      </c>
      <c r="B99" s="224" t="s">
        <v>709</v>
      </c>
      <c r="C99" s="221" t="s">
        <v>209</v>
      </c>
      <c r="D99" s="221" t="s">
        <v>213</v>
      </c>
      <c r="E99" s="224" t="s">
        <v>340</v>
      </c>
      <c r="F99" s="224"/>
      <c r="G99" s="224"/>
      <c r="H99" s="242"/>
      <c r="I99" s="242"/>
      <c r="J99" s="224" t="s">
        <v>98</v>
      </c>
      <c r="K99" s="244" t="s">
        <v>916</v>
      </c>
      <c r="L99" s="268" t="str">
        <f t="shared" ref="L99:V99" si="92">IF(AND(L$6&lt;=$I99,L$6+6&gt;=$H99,$H99&lt;&gt;"",$I99&lt;&gt;""),1,"")</f>
        <v/>
      </c>
      <c r="M99" s="268" t="str">
        <f t="shared" si="92"/>
        <v/>
      </c>
      <c r="N99" s="268" t="str">
        <f t="shared" si="92"/>
        <v/>
      </c>
      <c r="O99" s="268" t="str">
        <f t="shared" si="92"/>
        <v/>
      </c>
      <c r="P99" s="268" t="str">
        <f t="shared" si="92"/>
        <v/>
      </c>
      <c r="Q99" s="268" t="str">
        <f t="shared" si="92"/>
        <v/>
      </c>
      <c r="R99" s="268" t="str">
        <f t="shared" si="92"/>
        <v/>
      </c>
      <c r="S99" s="268" t="str">
        <f t="shared" si="92"/>
        <v/>
      </c>
      <c r="T99" s="268" t="str">
        <f t="shared" si="92"/>
        <v/>
      </c>
      <c r="U99" s="268" t="str">
        <f t="shared" si="92"/>
        <v/>
      </c>
      <c r="V99" s="268" t="str">
        <f t="shared" si="92"/>
        <v/>
      </c>
    </row>
    <row r="100" spans="1:22" ht="15.75">
      <c r="A100" s="224">
        <v>94</v>
      </c>
      <c r="B100" s="224" t="s">
        <v>712</v>
      </c>
      <c r="C100" s="221" t="s">
        <v>209</v>
      </c>
      <c r="D100" s="221" t="s">
        <v>214</v>
      </c>
      <c r="E100" s="224" t="s">
        <v>340</v>
      </c>
      <c r="F100" s="224"/>
      <c r="G100" s="224"/>
      <c r="H100" s="242"/>
      <c r="I100" s="242"/>
      <c r="J100" s="224" t="s">
        <v>98</v>
      </c>
      <c r="K100" s="244" t="s">
        <v>916</v>
      </c>
      <c r="L100" s="268" t="str">
        <f t="shared" ref="L100:V100" si="93">IF(AND(L$6&lt;=$I100,L$6+6&gt;=$H100,$H100&lt;&gt;"",$I100&lt;&gt;""),1,"")</f>
        <v/>
      </c>
      <c r="M100" s="268" t="str">
        <f t="shared" si="93"/>
        <v/>
      </c>
      <c r="N100" s="268" t="str">
        <f t="shared" si="93"/>
        <v/>
      </c>
      <c r="O100" s="268" t="str">
        <f t="shared" si="93"/>
        <v/>
      </c>
      <c r="P100" s="268" t="str">
        <f t="shared" si="93"/>
        <v/>
      </c>
      <c r="Q100" s="268" t="str">
        <f t="shared" si="93"/>
        <v/>
      </c>
      <c r="R100" s="268" t="str">
        <f t="shared" si="93"/>
        <v/>
      </c>
      <c r="S100" s="268" t="str">
        <f t="shared" si="93"/>
        <v/>
      </c>
      <c r="T100" s="268" t="str">
        <f t="shared" si="93"/>
        <v/>
      </c>
      <c r="U100" s="268" t="str">
        <f t="shared" si="93"/>
        <v/>
      </c>
      <c r="V100" s="268" t="str">
        <f t="shared" si="93"/>
        <v/>
      </c>
    </row>
    <row r="101" spans="1:22" ht="15.75">
      <c r="A101" s="224">
        <v>95</v>
      </c>
      <c r="B101" s="224" t="s">
        <v>715</v>
      </c>
      <c r="C101" s="221" t="s">
        <v>209</v>
      </c>
      <c r="D101" s="221" t="s">
        <v>215</v>
      </c>
      <c r="E101" s="224" t="s">
        <v>340</v>
      </c>
      <c r="F101" s="224"/>
      <c r="G101" s="224"/>
      <c r="H101" s="242"/>
      <c r="I101" s="242"/>
      <c r="J101" s="224" t="s">
        <v>98</v>
      </c>
      <c r="K101" s="244" t="s">
        <v>916</v>
      </c>
      <c r="L101" s="268" t="str">
        <f t="shared" ref="L101:V101" si="94">IF(AND(L$6&lt;=$I101,L$6+6&gt;=$H101,$H101&lt;&gt;"",$I101&lt;&gt;""),1,"")</f>
        <v/>
      </c>
      <c r="M101" s="268" t="str">
        <f t="shared" si="94"/>
        <v/>
      </c>
      <c r="N101" s="268" t="str">
        <f t="shared" si="94"/>
        <v/>
      </c>
      <c r="O101" s="268" t="str">
        <f t="shared" si="94"/>
        <v/>
      </c>
      <c r="P101" s="268" t="str">
        <f t="shared" si="94"/>
        <v/>
      </c>
      <c r="Q101" s="268" t="str">
        <f t="shared" si="94"/>
        <v/>
      </c>
      <c r="R101" s="268" t="str">
        <f t="shared" si="94"/>
        <v/>
      </c>
      <c r="S101" s="268" t="str">
        <f t="shared" si="94"/>
        <v/>
      </c>
      <c r="T101" s="268" t="str">
        <f t="shared" si="94"/>
        <v/>
      </c>
      <c r="U101" s="268" t="str">
        <f t="shared" si="94"/>
        <v/>
      </c>
      <c r="V101" s="268" t="str">
        <f t="shared" si="94"/>
        <v/>
      </c>
    </row>
    <row r="102" spans="1:22" ht="15.75">
      <c r="A102" s="224">
        <v>96</v>
      </c>
      <c r="B102" s="224" t="s">
        <v>718</v>
      </c>
      <c r="C102" s="221" t="s">
        <v>209</v>
      </c>
      <c r="D102" s="221" t="s">
        <v>216</v>
      </c>
      <c r="E102" s="224" t="s">
        <v>340</v>
      </c>
      <c r="F102" s="224"/>
      <c r="G102" s="224"/>
      <c r="H102" s="242"/>
      <c r="I102" s="242"/>
      <c r="J102" s="224" t="s">
        <v>98</v>
      </c>
      <c r="K102" s="244" t="s">
        <v>916</v>
      </c>
      <c r="L102" s="268" t="str">
        <f t="shared" ref="L102:V102" si="95">IF(AND(L$6&lt;=$I102,L$6+6&gt;=$H102,$H102&lt;&gt;"",$I102&lt;&gt;""),1,"")</f>
        <v/>
      </c>
      <c r="M102" s="268" t="str">
        <f t="shared" si="95"/>
        <v/>
      </c>
      <c r="N102" s="268" t="str">
        <f t="shared" si="95"/>
        <v/>
      </c>
      <c r="O102" s="268" t="str">
        <f t="shared" si="95"/>
        <v/>
      </c>
      <c r="P102" s="268" t="str">
        <f t="shared" si="95"/>
        <v/>
      </c>
      <c r="Q102" s="268" t="str">
        <f t="shared" si="95"/>
        <v/>
      </c>
      <c r="R102" s="268" t="str">
        <f t="shared" si="95"/>
        <v/>
      </c>
      <c r="S102" s="268" t="str">
        <f t="shared" si="95"/>
        <v/>
      </c>
      <c r="T102" s="268" t="str">
        <f t="shared" si="95"/>
        <v/>
      </c>
      <c r="U102" s="268" t="str">
        <f t="shared" si="95"/>
        <v/>
      </c>
      <c r="V102" s="268" t="str">
        <f t="shared" si="95"/>
        <v/>
      </c>
    </row>
    <row r="103" spans="1:22" ht="15.75">
      <c r="A103" s="224">
        <v>97</v>
      </c>
      <c r="B103" s="224" t="s">
        <v>721</v>
      </c>
      <c r="C103" s="221" t="s">
        <v>209</v>
      </c>
      <c r="D103" s="221" t="s">
        <v>217</v>
      </c>
      <c r="E103" s="224" t="s">
        <v>340</v>
      </c>
      <c r="F103" s="224"/>
      <c r="G103" s="224"/>
      <c r="H103" s="242"/>
      <c r="I103" s="242"/>
      <c r="J103" s="224" t="s">
        <v>98</v>
      </c>
      <c r="K103" s="244" t="s">
        <v>916</v>
      </c>
      <c r="L103" s="268" t="str">
        <f t="shared" ref="L103:V103" si="96">IF(AND(L$6&lt;=$I103,L$6+6&gt;=$H103,$H103&lt;&gt;"",$I103&lt;&gt;""),1,"")</f>
        <v/>
      </c>
      <c r="M103" s="268" t="str">
        <f t="shared" si="96"/>
        <v/>
      </c>
      <c r="N103" s="268" t="str">
        <f t="shared" si="96"/>
        <v/>
      </c>
      <c r="O103" s="268" t="str">
        <f t="shared" si="96"/>
        <v/>
      </c>
      <c r="P103" s="268" t="str">
        <f t="shared" si="96"/>
        <v/>
      </c>
      <c r="Q103" s="268" t="str">
        <f t="shared" si="96"/>
        <v/>
      </c>
      <c r="R103" s="268" t="str">
        <f t="shared" si="96"/>
        <v/>
      </c>
      <c r="S103" s="268" t="str">
        <f t="shared" si="96"/>
        <v/>
      </c>
      <c r="T103" s="268" t="str">
        <f t="shared" si="96"/>
        <v/>
      </c>
      <c r="U103" s="268" t="str">
        <f t="shared" si="96"/>
        <v/>
      </c>
      <c r="V103" s="268" t="str">
        <f t="shared" si="96"/>
        <v/>
      </c>
    </row>
    <row r="104" spans="1:22" ht="15.75">
      <c r="A104" s="224">
        <v>98</v>
      </c>
      <c r="B104" s="224" t="s">
        <v>724</v>
      </c>
      <c r="C104" s="221" t="s">
        <v>218</v>
      </c>
      <c r="D104" s="221" t="s">
        <v>219</v>
      </c>
      <c r="E104" s="224" t="s">
        <v>342</v>
      </c>
      <c r="F104" s="224"/>
      <c r="G104" s="224"/>
      <c r="H104" s="242">
        <v>46302</v>
      </c>
      <c r="I104" s="242">
        <v>46302</v>
      </c>
      <c r="J104" s="224" t="s">
        <v>98</v>
      </c>
      <c r="K104" s="243" t="s">
        <v>917</v>
      </c>
      <c r="L104" s="268" t="str">
        <f t="shared" ref="L104:V104" si="97">IF(AND(L$6&lt;=$I104,L$6+6&gt;=$H104,$H104&lt;&gt;"",$I104&lt;&gt;""),1,"")</f>
        <v/>
      </c>
      <c r="M104" s="268" t="str">
        <f t="shared" si="97"/>
        <v/>
      </c>
      <c r="N104" s="268" t="str">
        <f t="shared" si="97"/>
        <v/>
      </c>
      <c r="O104" s="268" t="str">
        <f t="shared" si="97"/>
        <v/>
      </c>
      <c r="P104" s="268" t="str">
        <f t="shared" si="97"/>
        <v/>
      </c>
      <c r="Q104" s="268" t="str">
        <f t="shared" si="97"/>
        <v/>
      </c>
      <c r="R104" s="268" t="str">
        <f t="shared" si="97"/>
        <v/>
      </c>
      <c r="S104" s="268" t="str">
        <f t="shared" si="97"/>
        <v/>
      </c>
      <c r="T104" s="268" t="str">
        <f t="shared" si="97"/>
        <v/>
      </c>
      <c r="U104" s="268">
        <f t="shared" si="97"/>
        <v>1</v>
      </c>
      <c r="V104" s="268" t="str">
        <f t="shared" si="97"/>
        <v/>
      </c>
    </row>
    <row r="105" spans="1:22" ht="15.75">
      <c r="A105" s="224">
        <v>99</v>
      </c>
      <c r="B105" s="224" t="s">
        <v>729</v>
      </c>
      <c r="C105" s="221" t="s">
        <v>220</v>
      </c>
      <c r="D105" s="221" t="s">
        <v>221</v>
      </c>
      <c r="E105" s="224" t="s">
        <v>340</v>
      </c>
      <c r="F105" s="224"/>
      <c r="G105" s="224"/>
      <c r="H105" s="242"/>
      <c r="I105" s="242"/>
      <c r="J105" s="224" t="s">
        <v>98</v>
      </c>
      <c r="K105" s="244" t="s">
        <v>918</v>
      </c>
      <c r="L105" s="268" t="str">
        <f t="shared" ref="L105:V105" si="98">IF(AND(L$6&lt;=$I105,L$6+6&gt;=$H105,$H105&lt;&gt;"",$I105&lt;&gt;""),1,"")</f>
        <v/>
      </c>
      <c r="M105" s="268" t="str">
        <f t="shared" si="98"/>
        <v/>
      </c>
      <c r="N105" s="268" t="str">
        <f t="shared" si="98"/>
        <v/>
      </c>
      <c r="O105" s="268" t="str">
        <f t="shared" si="98"/>
        <v/>
      </c>
      <c r="P105" s="268" t="str">
        <f t="shared" si="98"/>
        <v/>
      </c>
      <c r="Q105" s="268" t="str">
        <f t="shared" si="98"/>
        <v/>
      </c>
      <c r="R105" s="268" t="str">
        <f t="shared" si="98"/>
        <v/>
      </c>
      <c r="S105" s="268" t="str">
        <f t="shared" si="98"/>
        <v/>
      </c>
      <c r="T105" s="268" t="str">
        <f t="shared" si="98"/>
        <v/>
      </c>
      <c r="U105" s="268" t="str">
        <f t="shared" si="98"/>
        <v/>
      </c>
      <c r="V105" s="268" t="str">
        <f t="shared" si="98"/>
        <v/>
      </c>
    </row>
    <row r="106" spans="1:22" ht="15.75">
      <c r="A106" s="224">
        <v>100</v>
      </c>
      <c r="B106" s="224" t="s">
        <v>735</v>
      </c>
      <c r="C106" s="221" t="s">
        <v>220</v>
      </c>
      <c r="D106" s="221" t="s">
        <v>222</v>
      </c>
      <c r="E106" s="224" t="s">
        <v>340</v>
      </c>
      <c r="F106" s="224"/>
      <c r="G106" s="224"/>
      <c r="H106" s="242"/>
      <c r="I106" s="242"/>
      <c r="J106" s="224" t="s">
        <v>98</v>
      </c>
      <c r="K106" s="244" t="s">
        <v>918</v>
      </c>
      <c r="L106" s="268" t="str">
        <f t="shared" ref="L106:V106" si="99">IF(AND(L$6&lt;=$I106,L$6+6&gt;=$H106,$H106&lt;&gt;"",$I106&lt;&gt;""),1,"")</f>
        <v/>
      </c>
      <c r="M106" s="268" t="str">
        <f t="shared" si="99"/>
        <v/>
      </c>
      <c r="N106" s="268" t="str">
        <f t="shared" si="99"/>
        <v/>
      </c>
      <c r="O106" s="268" t="str">
        <f t="shared" si="99"/>
        <v/>
      </c>
      <c r="P106" s="268" t="str">
        <f t="shared" si="99"/>
        <v/>
      </c>
      <c r="Q106" s="268" t="str">
        <f t="shared" si="99"/>
        <v/>
      </c>
      <c r="R106" s="268" t="str">
        <f t="shared" si="99"/>
        <v/>
      </c>
      <c r="S106" s="268" t="str">
        <f t="shared" si="99"/>
        <v/>
      </c>
      <c r="T106" s="268" t="str">
        <f t="shared" si="99"/>
        <v/>
      </c>
      <c r="U106" s="268" t="str">
        <f t="shared" si="99"/>
        <v/>
      </c>
      <c r="V106" s="268" t="str">
        <f t="shared" si="99"/>
        <v/>
      </c>
    </row>
    <row r="107" spans="1:22" ht="15.75">
      <c r="A107" s="224">
        <v>101</v>
      </c>
      <c r="B107" s="224" t="s">
        <v>738</v>
      </c>
      <c r="C107" s="221" t="s">
        <v>220</v>
      </c>
      <c r="D107" s="221" t="s">
        <v>223</v>
      </c>
      <c r="E107" s="224" t="s">
        <v>340</v>
      </c>
      <c r="F107" s="224"/>
      <c r="G107" s="224"/>
      <c r="H107" s="242"/>
      <c r="I107" s="242"/>
      <c r="J107" s="224" t="s">
        <v>98</v>
      </c>
      <c r="K107" s="244" t="s">
        <v>919</v>
      </c>
      <c r="L107" s="268" t="str">
        <f t="shared" ref="L107:V107" si="100">IF(AND(L$6&lt;=$I107,L$6+6&gt;=$H107,$H107&lt;&gt;"",$I107&lt;&gt;""),1,"")</f>
        <v/>
      </c>
      <c r="M107" s="268" t="str">
        <f t="shared" si="100"/>
        <v/>
      </c>
      <c r="N107" s="268" t="str">
        <f t="shared" si="100"/>
        <v/>
      </c>
      <c r="O107" s="268" t="str">
        <f t="shared" si="100"/>
        <v/>
      </c>
      <c r="P107" s="268" t="str">
        <f t="shared" si="100"/>
        <v/>
      </c>
      <c r="Q107" s="268" t="str">
        <f t="shared" si="100"/>
        <v/>
      </c>
      <c r="R107" s="268" t="str">
        <f t="shared" si="100"/>
        <v/>
      </c>
      <c r="S107" s="268" t="str">
        <f t="shared" si="100"/>
        <v/>
      </c>
      <c r="T107" s="268" t="str">
        <f t="shared" si="100"/>
        <v/>
      </c>
      <c r="U107" s="268" t="str">
        <f t="shared" si="100"/>
        <v/>
      </c>
      <c r="V107" s="268" t="str">
        <f t="shared" si="100"/>
        <v/>
      </c>
    </row>
    <row r="108" spans="1:22" ht="15.75">
      <c r="A108" s="224">
        <v>102</v>
      </c>
      <c r="B108" s="224" t="s">
        <v>742</v>
      </c>
      <c r="C108" s="221" t="s">
        <v>220</v>
      </c>
      <c r="D108" s="221" t="s">
        <v>224</v>
      </c>
      <c r="E108" s="224" t="s">
        <v>340</v>
      </c>
      <c r="F108" s="224"/>
      <c r="G108" s="224"/>
      <c r="H108" s="242"/>
      <c r="I108" s="242"/>
      <c r="J108" s="224" t="s">
        <v>98</v>
      </c>
      <c r="K108" s="244" t="s">
        <v>918</v>
      </c>
      <c r="L108" s="268" t="str">
        <f t="shared" ref="L108:V108" si="101">IF(AND(L$6&lt;=$I108,L$6+6&gt;=$H108,$H108&lt;&gt;"",$I108&lt;&gt;""),1,"")</f>
        <v/>
      </c>
      <c r="M108" s="268" t="str">
        <f t="shared" si="101"/>
        <v/>
      </c>
      <c r="N108" s="268" t="str">
        <f t="shared" si="101"/>
        <v/>
      </c>
      <c r="O108" s="268" t="str">
        <f t="shared" si="101"/>
        <v/>
      </c>
      <c r="P108" s="268" t="str">
        <f t="shared" si="101"/>
        <v/>
      </c>
      <c r="Q108" s="268" t="str">
        <f t="shared" si="101"/>
        <v/>
      </c>
      <c r="R108" s="268" t="str">
        <f t="shared" si="101"/>
        <v/>
      </c>
      <c r="S108" s="268" t="str">
        <f t="shared" si="101"/>
        <v/>
      </c>
      <c r="T108" s="268" t="str">
        <f t="shared" si="101"/>
        <v/>
      </c>
      <c r="U108" s="268" t="str">
        <f t="shared" si="101"/>
        <v/>
      </c>
      <c r="V108" s="268" t="str">
        <f t="shared" si="101"/>
        <v/>
      </c>
    </row>
    <row r="109" spans="1:22" ht="15.75">
      <c r="A109" s="224">
        <v>103</v>
      </c>
      <c r="B109" s="224" t="s">
        <v>745</v>
      </c>
      <c r="C109" s="221" t="s">
        <v>220</v>
      </c>
      <c r="D109" s="221" t="s">
        <v>225</v>
      </c>
      <c r="E109" s="224" t="s">
        <v>340</v>
      </c>
      <c r="F109" s="224"/>
      <c r="G109" s="224"/>
      <c r="H109" s="242"/>
      <c r="I109" s="242"/>
      <c r="J109" s="224" t="s">
        <v>98</v>
      </c>
      <c r="K109" s="244" t="s">
        <v>920</v>
      </c>
      <c r="L109" s="268" t="str">
        <f t="shared" ref="L109:V109" si="102">IF(AND(L$6&lt;=$I109,L$6+6&gt;=$H109,$H109&lt;&gt;"",$I109&lt;&gt;""),1,"")</f>
        <v/>
      </c>
      <c r="M109" s="268" t="str">
        <f t="shared" si="102"/>
        <v/>
      </c>
      <c r="N109" s="268" t="str">
        <f t="shared" si="102"/>
        <v/>
      </c>
      <c r="O109" s="268" t="str">
        <f t="shared" si="102"/>
        <v/>
      </c>
      <c r="P109" s="268" t="str">
        <f t="shared" si="102"/>
        <v/>
      </c>
      <c r="Q109" s="268" t="str">
        <f t="shared" si="102"/>
        <v/>
      </c>
      <c r="R109" s="268" t="str">
        <f t="shared" si="102"/>
        <v/>
      </c>
      <c r="S109" s="268" t="str">
        <f t="shared" si="102"/>
        <v/>
      </c>
      <c r="T109" s="268" t="str">
        <f t="shared" si="102"/>
        <v/>
      </c>
      <c r="U109" s="268" t="str">
        <f t="shared" si="102"/>
        <v/>
      </c>
      <c r="V109" s="268" t="str">
        <f t="shared" si="102"/>
        <v/>
      </c>
    </row>
    <row r="110" spans="1:22" ht="15.75">
      <c r="A110" s="224">
        <v>104</v>
      </c>
      <c r="B110" s="224" t="s">
        <v>749</v>
      </c>
      <c r="C110" s="221" t="s">
        <v>220</v>
      </c>
      <c r="D110" s="221" t="s">
        <v>226</v>
      </c>
      <c r="E110" s="224" t="s">
        <v>340</v>
      </c>
      <c r="F110" s="224"/>
      <c r="G110" s="224"/>
      <c r="H110" s="242"/>
      <c r="I110" s="242"/>
      <c r="J110" s="224" t="s">
        <v>98</v>
      </c>
      <c r="K110" s="244" t="s">
        <v>918</v>
      </c>
      <c r="L110" s="268" t="str">
        <f t="shared" ref="L110:V110" si="103">IF(AND(L$6&lt;=$I110,L$6+6&gt;=$H110,$H110&lt;&gt;"",$I110&lt;&gt;""),1,"")</f>
        <v/>
      </c>
      <c r="M110" s="268" t="str">
        <f t="shared" si="103"/>
        <v/>
      </c>
      <c r="N110" s="268" t="str">
        <f t="shared" si="103"/>
        <v/>
      </c>
      <c r="O110" s="268" t="str">
        <f t="shared" si="103"/>
        <v/>
      </c>
      <c r="P110" s="268" t="str">
        <f t="shared" si="103"/>
        <v/>
      </c>
      <c r="Q110" s="268" t="str">
        <f t="shared" si="103"/>
        <v/>
      </c>
      <c r="R110" s="268" t="str">
        <f t="shared" si="103"/>
        <v/>
      </c>
      <c r="S110" s="268" t="str">
        <f t="shared" si="103"/>
        <v/>
      </c>
      <c r="T110" s="268" t="str">
        <f t="shared" si="103"/>
        <v/>
      </c>
      <c r="U110" s="268" t="str">
        <f t="shared" si="103"/>
        <v/>
      </c>
      <c r="V110" s="268" t="str">
        <f t="shared" si="103"/>
        <v/>
      </c>
    </row>
    <row r="111" spans="1:22" ht="15.75">
      <c r="A111" s="224">
        <v>105</v>
      </c>
      <c r="B111" s="224" t="s">
        <v>752</v>
      </c>
      <c r="C111" s="221" t="s">
        <v>220</v>
      </c>
      <c r="D111" s="221" t="s">
        <v>227</v>
      </c>
      <c r="E111" s="224" t="s">
        <v>340</v>
      </c>
      <c r="F111" s="224"/>
      <c r="G111" s="224"/>
      <c r="H111" s="242"/>
      <c r="I111" s="242"/>
      <c r="J111" s="224" t="s">
        <v>98</v>
      </c>
      <c r="K111" s="244" t="s">
        <v>921</v>
      </c>
      <c r="L111" s="268" t="str">
        <f t="shared" ref="L111:V111" si="104">IF(AND(L$6&lt;=$I111,L$6+6&gt;=$H111,$H111&lt;&gt;"",$I111&lt;&gt;""),1,"")</f>
        <v/>
      </c>
      <c r="M111" s="268" t="str">
        <f t="shared" si="104"/>
        <v/>
      </c>
      <c r="N111" s="268" t="str">
        <f t="shared" si="104"/>
        <v/>
      </c>
      <c r="O111" s="268" t="str">
        <f t="shared" si="104"/>
        <v/>
      </c>
      <c r="P111" s="268" t="str">
        <f t="shared" si="104"/>
        <v/>
      </c>
      <c r="Q111" s="268" t="str">
        <f t="shared" si="104"/>
        <v/>
      </c>
      <c r="R111" s="268" t="str">
        <f t="shared" si="104"/>
        <v/>
      </c>
      <c r="S111" s="268" t="str">
        <f t="shared" si="104"/>
        <v/>
      </c>
      <c r="T111" s="268" t="str">
        <f t="shared" si="104"/>
        <v/>
      </c>
      <c r="U111" s="268" t="str">
        <f t="shared" si="104"/>
        <v/>
      </c>
      <c r="V111" s="268" t="str">
        <f t="shared" si="104"/>
        <v/>
      </c>
    </row>
    <row r="112" spans="1:22" ht="15.75">
      <c r="A112" s="224">
        <v>106</v>
      </c>
      <c r="B112" s="224" t="s">
        <v>756</v>
      </c>
      <c r="C112" s="221" t="s">
        <v>220</v>
      </c>
      <c r="D112" s="221" t="s">
        <v>228</v>
      </c>
      <c r="E112" s="224" t="s">
        <v>340</v>
      </c>
      <c r="F112" s="224"/>
      <c r="G112" s="224"/>
      <c r="H112" s="242"/>
      <c r="I112" s="242"/>
      <c r="J112" s="224" t="s">
        <v>98</v>
      </c>
      <c r="K112" s="244" t="s">
        <v>921</v>
      </c>
      <c r="L112" s="268" t="str">
        <f t="shared" ref="L112:V112" si="105">IF(AND(L$6&lt;=$I112,L$6+6&gt;=$H112,$H112&lt;&gt;"",$I112&lt;&gt;""),1,"")</f>
        <v/>
      </c>
      <c r="M112" s="268" t="str">
        <f t="shared" si="105"/>
        <v/>
      </c>
      <c r="N112" s="268" t="str">
        <f t="shared" si="105"/>
        <v/>
      </c>
      <c r="O112" s="268" t="str">
        <f t="shared" si="105"/>
        <v/>
      </c>
      <c r="P112" s="268" t="str">
        <f t="shared" si="105"/>
        <v/>
      </c>
      <c r="Q112" s="268" t="str">
        <f t="shared" si="105"/>
        <v/>
      </c>
      <c r="R112" s="268" t="str">
        <f t="shared" si="105"/>
        <v/>
      </c>
      <c r="S112" s="268" t="str">
        <f t="shared" si="105"/>
        <v/>
      </c>
      <c r="T112" s="268" t="str">
        <f t="shared" si="105"/>
        <v/>
      </c>
      <c r="U112" s="268" t="str">
        <f t="shared" si="105"/>
        <v/>
      </c>
      <c r="V112" s="268" t="str">
        <f t="shared" si="105"/>
        <v/>
      </c>
    </row>
    <row r="113" spans="1:22" ht="15.75">
      <c r="A113" s="224">
        <v>107</v>
      </c>
      <c r="B113" s="224" t="s">
        <v>759</v>
      </c>
      <c r="C113" s="221" t="s">
        <v>220</v>
      </c>
      <c r="D113" s="221" t="s">
        <v>229</v>
      </c>
      <c r="E113" s="224" t="s">
        <v>340</v>
      </c>
      <c r="F113" s="224"/>
      <c r="G113" s="224"/>
      <c r="H113" s="242"/>
      <c r="I113" s="242"/>
      <c r="J113" s="224" t="s">
        <v>98</v>
      </c>
      <c r="K113" s="244" t="s">
        <v>921</v>
      </c>
      <c r="L113" s="268" t="str">
        <f t="shared" ref="L113:V113" si="106">IF(AND(L$6&lt;=$I113,L$6+6&gt;=$H113,$H113&lt;&gt;"",$I113&lt;&gt;""),1,"")</f>
        <v/>
      </c>
      <c r="M113" s="268" t="str">
        <f t="shared" si="106"/>
        <v/>
      </c>
      <c r="N113" s="268" t="str">
        <f t="shared" si="106"/>
        <v/>
      </c>
      <c r="O113" s="268" t="str">
        <f t="shared" si="106"/>
        <v/>
      </c>
      <c r="P113" s="268" t="str">
        <f t="shared" si="106"/>
        <v/>
      </c>
      <c r="Q113" s="268" t="str">
        <f t="shared" si="106"/>
        <v/>
      </c>
      <c r="R113" s="268" t="str">
        <f t="shared" si="106"/>
        <v/>
      </c>
      <c r="S113" s="268" t="str">
        <f t="shared" si="106"/>
        <v/>
      </c>
      <c r="T113" s="268" t="str">
        <f t="shared" si="106"/>
        <v/>
      </c>
      <c r="U113" s="268" t="str">
        <f t="shared" si="106"/>
        <v/>
      </c>
      <c r="V113" s="268" t="str">
        <f t="shared" si="106"/>
        <v/>
      </c>
    </row>
    <row r="114" spans="1:22" ht="15.75">
      <c r="A114" s="224">
        <v>108</v>
      </c>
      <c r="B114" s="224" t="s">
        <v>762</v>
      </c>
      <c r="C114" s="221" t="s">
        <v>220</v>
      </c>
      <c r="D114" s="221" t="s">
        <v>230</v>
      </c>
      <c r="E114" s="224" t="s">
        <v>340</v>
      </c>
      <c r="F114" s="224"/>
      <c r="G114" s="224"/>
      <c r="H114" s="242"/>
      <c r="I114" s="242"/>
      <c r="J114" s="224" t="s">
        <v>98</v>
      </c>
      <c r="K114" s="244" t="s">
        <v>922</v>
      </c>
      <c r="L114" s="268" t="str">
        <f t="shared" ref="L114:V114" si="107">IF(AND(L$6&lt;=$I114,L$6+6&gt;=$H114,$H114&lt;&gt;"",$I114&lt;&gt;""),1,"")</f>
        <v/>
      </c>
      <c r="M114" s="268" t="str">
        <f t="shared" si="107"/>
        <v/>
      </c>
      <c r="N114" s="268" t="str">
        <f t="shared" si="107"/>
        <v/>
      </c>
      <c r="O114" s="268" t="str">
        <f t="shared" si="107"/>
        <v/>
      </c>
      <c r="P114" s="268" t="str">
        <f t="shared" si="107"/>
        <v/>
      </c>
      <c r="Q114" s="268" t="str">
        <f t="shared" si="107"/>
        <v/>
      </c>
      <c r="R114" s="268" t="str">
        <f t="shared" si="107"/>
        <v/>
      </c>
      <c r="S114" s="268" t="str">
        <f t="shared" si="107"/>
        <v/>
      </c>
      <c r="T114" s="268" t="str">
        <f t="shared" si="107"/>
        <v/>
      </c>
      <c r="U114" s="268" t="str">
        <f t="shared" si="107"/>
        <v/>
      </c>
      <c r="V114" s="268" t="str">
        <f t="shared" si="107"/>
        <v/>
      </c>
    </row>
    <row r="115" spans="1:22" ht="15.75">
      <c r="A115" s="224">
        <v>109</v>
      </c>
      <c r="B115" s="224" t="s">
        <v>766</v>
      </c>
      <c r="C115" s="221" t="s">
        <v>220</v>
      </c>
      <c r="D115" s="221" t="s">
        <v>231</v>
      </c>
      <c r="E115" s="224" t="s">
        <v>340</v>
      </c>
      <c r="F115" s="224"/>
      <c r="G115" s="224"/>
      <c r="H115" s="242"/>
      <c r="I115" s="242"/>
      <c r="J115" s="224" t="s">
        <v>98</v>
      </c>
      <c r="K115" s="244" t="s">
        <v>923</v>
      </c>
      <c r="L115" s="268" t="str">
        <f t="shared" ref="L115:V115" si="108">IF(AND(L$6&lt;=$I115,L$6+6&gt;=$H115,$H115&lt;&gt;"",$I115&lt;&gt;""),1,"")</f>
        <v/>
      </c>
      <c r="M115" s="268" t="str">
        <f t="shared" si="108"/>
        <v/>
      </c>
      <c r="N115" s="268" t="str">
        <f t="shared" si="108"/>
        <v/>
      </c>
      <c r="O115" s="268" t="str">
        <f t="shared" si="108"/>
        <v/>
      </c>
      <c r="P115" s="268" t="str">
        <f t="shared" si="108"/>
        <v/>
      </c>
      <c r="Q115" s="268" t="str">
        <f t="shared" si="108"/>
        <v/>
      </c>
      <c r="R115" s="268" t="str">
        <f t="shared" si="108"/>
        <v/>
      </c>
      <c r="S115" s="268" t="str">
        <f t="shared" si="108"/>
        <v/>
      </c>
      <c r="T115" s="268" t="str">
        <f t="shared" si="108"/>
        <v/>
      </c>
      <c r="U115" s="268" t="str">
        <f t="shared" si="108"/>
        <v/>
      </c>
      <c r="V115" s="268" t="str">
        <f t="shared" si="108"/>
        <v/>
      </c>
    </row>
    <row r="116" spans="1:22" ht="15.75">
      <c r="A116" s="224">
        <v>110</v>
      </c>
      <c r="B116" s="224" t="s">
        <v>770</v>
      </c>
      <c r="C116" s="221" t="s">
        <v>232</v>
      </c>
      <c r="D116" s="221" t="s">
        <v>233</v>
      </c>
      <c r="E116" s="224" t="s">
        <v>771</v>
      </c>
      <c r="F116" s="224"/>
      <c r="G116" s="224"/>
      <c r="H116" s="242"/>
      <c r="I116" s="242"/>
      <c r="J116" s="224" t="s">
        <v>98</v>
      </c>
      <c r="K116" s="253" t="s">
        <v>924</v>
      </c>
      <c r="L116" s="268" t="str">
        <f t="shared" ref="L116:V116" si="109">IF(AND(L$6&lt;=$I116,L$6+6&gt;=$H116,$H116&lt;&gt;"",$I116&lt;&gt;""),1,"")</f>
        <v/>
      </c>
      <c r="M116" s="268" t="str">
        <f t="shared" si="109"/>
        <v/>
      </c>
      <c r="N116" s="268" t="str">
        <f t="shared" si="109"/>
        <v/>
      </c>
      <c r="O116" s="268" t="str">
        <f t="shared" si="109"/>
        <v/>
      </c>
      <c r="P116" s="268" t="str">
        <f t="shared" si="109"/>
        <v/>
      </c>
      <c r="Q116" s="268" t="str">
        <f t="shared" si="109"/>
        <v/>
      </c>
      <c r="R116" s="268" t="str">
        <f t="shared" si="109"/>
        <v/>
      </c>
      <c r="S116" s="268" t="str">
        <f t="shared" si="109"/>
        <v/>
      </c>
      <c r="T116" s="268" t="str">
        <f t="shared" si="109"/>
        <v/>
      </c>
      <c r="U116" s="268" t="str">
        <f t="shared" si="109"/>
        <v/>
      </c>
      <c r="V116" s="268" t="str">
        <f t="shared" si="109"/>
        <v/>
      </c>
    </row>
    <row r="117" spans="1:22" ht="15.75">
      <c r="A117" s="224">
        <v>111</v>
      </c>
      <c r="B117" s="224" t="s">
        <v>777</v>
      </c>
      <c r="C117" s="221" t="s">
        <v>232</v>
      </c>
      <c r="D117" s="221" t="s">
        <v>234</v>
      </c>
      <c r="E117" s="224" t="s">
        <v>771</v>
      </c>
      <c r="F117" s="224"/>
      <c r="G117" s="224"/>
      <c r="H117" s="242"/>
      <c r="I117" s="242"/>
      <c r="J117" s="224" t="s">
        <v>98</v>
      </c>
      <c r="K117" s="253" t="s">
        <v>924</v>
      </c>
      <c r="L117" s="268" t="str">
        <f t="shared" ref="L117:V117" si="110">IF(AND(L$6&lt;=$I117,L$6+6&gt;=$H117,$H117&lt;&gt;"",$I117&lt;&gt;""),1,"")</f>
        <v/>
      </c>
      <c r="M117" s="268" t="str">
        <f t="shared" si="110"/>
        <v/>
      </c>
      <c r="N117" s="268" t="str">
        <f t="shared" si="110"/>
        <v/>
      </c>
      <c r="O117" s="268" t="str">
        <f t="shared" si="110"/>
        <v/>
      </c>
      <c r="P117" s="268" t="str">
        <f t="shared" si="110"/>
        <v/>
      </c>
      <c r="Q117" s="268" t="str">
        <f t="shared" si="110"/>
        <v/>
      </c>
      <c r="R117" s="268" t="str">
        <f t="shared" si="110"/>
        <v/>
      </c>
      <c r="S117" s="268" t="str">
        <f t="shared" si="110"/>
        <v/>
      </c>
      <c r="T117" s="268" t="str">
        <f t="shared" si="110"/>
        <v/>
      </c>
      <c r="U117" s="268" t="str">
        <f t="shared" si="110"/>
        <v/>
      </c>
      <c r="V117" s="268" t="str">
        <f t="shared" si="110"/>
        <v/>
      </c>
    </row>
    <row r="118" spans="1:22" ht="15.75">
      <c r="A118" s="224">
        <v>112</v>
      </c>
      <c r="B118" s="224" t="s">
        <v>780</v>
      </c>
      <c r="C118" s="221" t="s">
        <v>232</v>
      </c>
      <c r="D118" s="221" t="s">
        <v>235</v>
      </c>
      <c r="E118" s="224" t="s">
        <v>771</v>
      </c>
      <c r="F118" s="224"/>
      <c r="G118" s="224"/>
      <c r="H118" s="242"/>
      <c r="I118" s="242"/>
      <c r="J118" s="224" t="s">
        <v>98</v>
      </c>
      <c r="K118" s="253" t="s">
        <v>924</v>
      </c>
      <c r="L118" s="268" t="str">
        <f t="shared" ref="L118:V118" si="111">IF(AND(L$6&lt;=$I118,L$6+6&gt;=$H118,$H118&lt;&gt;"",$I118&lt;&gt;""),1,"")</f>
        <v/>
      </c>
      <c r="M118" s="268" t="str">
        <f t="shared" si="111"/>
        <v/>
      </c>
      <c r="N118" s="268" t="str">
        <f t="shared" si="111"/>
        <v/>
      </c>
      <c r="O118" s="268" t="str">
        <f t="shared" si="111"/>
        <v/>
      </c>
      <c r="P118" s="268" t="str">
        <f t="shared" si="111"/>
        <v/>
      </c>
      <c r="Q118" s="268" t="str">
        <f t="shared" si="111"/>
        <v/>
      </c>
      <c r="R118" s="268" t="str">
        <f t="shared" si="111"/>
        <v/>
      </c>
      <c r="S118" s="268" t="str">
        <f t="shared" si="111"/>
        <v/>
      </c>
      <c r="T118" s="268" t="str">
        <f t="shared" si="111"/>
        <v/>
      </c>
      <c r="U118" s="268" t="str">
        <f t="shared" si="111"/>
        <v/>
      </c>
      <c r="V118" s="268" t="str">
        <f t="shared" si="111"/>
        <v/>
      </c>
    </row>
    <row r="119" spans="1:22" ht="15.75">
      <c r="A119" s="224">
        <v>113</v>
      </c>
      <c r="B119" s="224" t="s">
        <v>783</v>
      </c>
      <c r="C119" s="221" t="s">
        <v>232</v>
      </c>
      <c r="D119" s="221" t="s">
        <v>236</v>
      </c>
      <c r="E119" s="224" t="s">
        <v>771</v>
      </c>
      <c r="F119" s="224"/>
      <c r="G119" s="224"/>
      <c r="H119" s="242"/>
      <c r="I119" s="242"/>
      <c r="J119" s="224" t="s">
        <v>98</v>
      </c>
      <c r="K119" s="253" t="s">
        <v>924</v>
      </c>
      <c r="L119" s="268" t="str">
        <f t="shared" ref="L119:V119" si="112">IF(AND(L$6&lt;=$I119,L$6+6&gt;=$H119,$H119&lt;&gt;"",$I119&lt;&gt;""),1,"")</f>
        <v/>
      </c>
      <c r="M119" s="268" t="str">
        <f t="shared" si="112"/>
        <v/>
      </c>
      <c r="N119" s="268" t="str">
        <f t="shared" si="112"/>
        <v/>
      </c>
      <c r="O119" s="268" t="str">
        <f t="shared" si="112"/>
        <v/>
      </c>
      <c r="P119" s="268" t="str">
        <f t="shared" si="112"/>
        <v/>
      </c>
      <c r="Q119" s="268" t="str">
        <f t="shared" si="112"/>
        <v/>
      </c>
      <c r="R119" s="268" t="str">
        <f t="shared" si="112"/>
        <v/>
      </c>
      <c r="S119" s="268" t="str">
        <f t="shared" si="112"/>
        <v/>
      </c>
      <c r="T119" s="268" t="str">
        <f t="shared" si="112"/>
        <v/>
      </c>
      <c r="U119" s="268" t="str">
        <f t="shared" si="112"/>
        <v/>
      </c>
      <c r="V119" s="268" t="str">
        <f t="shared" si="112"/>
        <v/>
      </c>
    </row>
    <row r="120" spans="1:22" ht="15.75">
      <c r="A120" s="224">
        <v>114</v>
      </c>
      <c r="B120" s="224" t="s">
        <v>786</v>
      </c>
      <c r="C120" s="221" t="s">
        <v>237</v>
      </c>
      <c r="D120" s="221" t="s">
        <v>238</v>
      </c>
      <c r="E120" s="224" t="s">
        <v>771</v>
      </c>
      <c r="F120" s="224"/>
      <c r="G120" s="224"/>
      <c r="H120" s="242"/>
      <c r="I120" s="242"/>
      <c r="J120" s="224" t="s">
        <v>98</v>
      </c>
      <c r="K120" s="253" t="s">
        <v>925</v>
      </c>
      <c r="L120" s="268" t="str">
        <f t="shared" ref="L120:V120" si="113">IF(AND(L$6&lt;=$I120,L$6+6&gt;=$H120,$H120&lt;&gt;"",$I120&lt;&gt;""),1,"")</f>
        <v/>
      </c>
      <c r="M120" s="268" t="str">
        <f t="shared" si="113"/>
        <v/>
      </c>
      <c r="N120" s="268" t="str">
        <f t="shared" si="113"/>
        <v/>
      </c>
      <c r="O120" s="268" t="str">
        <f t="shared" si="113"/>
        <v/>
      </c>
      <c r="P120" s="268" t="str">
        <f t="shared" si="113"/>
        <v/>
      </c>
      <c r="Q120" s="268" t="str">
        <f t="shared" si="113"/>
        <v/>
      </c>
      <c r="R120" s="268" t="str">
        <f t="shared" si="113"/>
        <v/>
      </c>
      <c r="S120" s="268" t="str">
        <f t="shared" si="113"/>
        <v/>
      </c>
      <c r="T120" s="268" t="str">
        <f t="shared" si="113"/>
        <v/>
      </c>
      <c r="U120" s="268" t="str">
        <f t="shared" si="113"/>
        <v/>
      </c>
      <c r="V120" s="268" t="str">
        <f t="shared" si="113"/>
        <v/>
      </c>
    </row>
    <row r="121" spans="1:22" ht="15.75">
      <c r="A121" s="224">
        <v>115</v>
      </c>
      <c r="B121" s="224" t="s">
        <v>790</v>
      </c>
      <c r="C121" s="221" t="s">
        <v>237</v>
      </c>
      <c r="D121" s="221" t="s">
        <v>239</v>
      </c>
      <c r="E121" s="224" t="s">
        <v>771</v>
      </c>
      <c r="F121" s="224"/>
      <c r="G121" s="224"/>
      <c r="H121" s="242"/>
      <c r="I121" s="242"/>
      <c r="J121" s="224" t="s">
        <v>98</v>
      </c>
      <c r="K121" s="253" t="s">
        <v>925</v>
      </c>
      <c r="L121" s="268" t="str">
        <f t="shared" ref="L121:V121" si="114">IF(AND(L$6&lt;=$I121,L$6+6&gt;=$H121,$H121&lt;&gt;"",$I121&lt;&gt;""),1,"")</f>
        <v/>
      </c>
      <c r="M121" s="268" t="str">
        <f t="shared" si="114"/>
        <v/>
      </c>
      <c r="N121" s="268" t="str">
        <f t="shared" si="114"/>
        <v/>
      </c>
      <c r="O121" s="268" t="str">
        <f t="shared" si="114"/>
        <v/>
      </c>
      <c r="P121" s="268" t="str">
        <f t="shared" si="114"/>
        <v/>
      </c>
      <c r="Q121" s="268" t="str">
        <f t="shared" si="114"/>
        <v/>
      </c>
      <c r="R121" s="268" t="str">
        <f t="shared" si="114"/>
        <v/>
      </c>
      <c r="S121" s="268" t="str">
        <f t="shared" si="114"/>
        <v/>
      </c>
      <c r="T121" s="268" t="str">
        <f t="shared" si="114"/>
        <v/>
      </c>
      <c r="U121" s="268" t="str">
        <f t="shared" si="114"/>
        <v/>
      </c>
      <c r="V121" s="268" t="str">
        <f t="shared" si="114"/>
        <v/>
      </c>
    </row>
    <row r="122" spans="1:22" ht="15.75">
      <c r="A122" s="224">
        <v>116</v>
      </c>
      <c r="B122" s="224" t="s">
        <v>793</v>
      </c>
      <c r="C122" s="221" t="s">
        <v>237</v>
      </c>
      <c r="D122" s="221" t="s">
        <v>240</v>
      </c>
      <c r="E122" s="224" t="s">
        <v>771</v>
      </c>
      <c r="F122" s="224"/>
      <c r="G122" s="224"/>
      <c r="H122" s="242"/>
      <c r="I122" s="242"/>
      <c r="J122" s="224" t="s">
        <v>98</v>
      </c>
      <c r="K122" s="253" t="s">
        <v>925</v>
      </c>
      <c r="L122" s="268" t="str">
        <f t="shared" ref="L122:V122" si="115">IF(AND(L$6&lt;=$I122,L$6+6&gt;=$H122,$H122&lt;&gt;"",$I122&lt;&gt;""),1,"")</f>
        <v/>
      </c>
      <c r="M122" s="268" t="str">
        <f t="shared" si="115"/>
        <v/>
      </c>
      <c r="N122" s="268" t="str">
        <f t="shared" si="115"/>
        <v/>
      </c>
      <c r="O122" s="268" t="str">
        <f t="shared" si="115"/>
        <v/>
      </c>
      <c r="P122" s="268" t="str">
        <f t="shared" si="115"/>
        <v/>
      </c>
      <c r="Q122" s="268" t="str">
        <f t="shared" si="115"/>
        <v/>
      </c>
      <c r="R122" s="268" t="str">
        <f t="shared" si="115"/>
        <v/>
      </c>
      <c r="S122" s="268" t="str">
        <f t="shared" si="115"/>
        <v/>
      </c>
      <c r="T122" s="268" t="str">
        <f t="shared" si="115"/>
        <v/>
      </c>
      <c r="U122" s="268" t="str">
        <f t="shared" si="115"/>
        <v/>
      </c>
      <c r="V122" s="268" t="str">
        <f t="shared" si="115"/>
        <v/>
      </c>
    </row>
    <row r="123" spans="1:22" ht="15.75">
      <c r="A123" s="224">
        <v>117</v>
      </c>
      <c r="B123" s="224" t="s">
        <v>796</v>
      </c>
      <c r="C123" s="221" t="s">
        <v>237</v>
      </c>
      <c r="D123" s="221" t="s">
        <v>241</v>
      </c>
      <c r="E123" s="224" t="s">
        <v>771</v>
      </c>
      <c r="F123" s="224"/>
      <c r="G123" s="224"/>
      <c r="H123" s="242"/>
      <c r="I123" s="242"/>
      <c r="J123" s="224" t="s">
        <v>98</v>
      </c>
      <c r="K123" s="253" t="s">
        <v>925</v>
      </c>
      <c r="L123" s="268" t="str">
        <f t="shared" ref="L123:V123" si="116">IF(AND(L$6&lt;=$I123,L$6+6&gt;=$H123,$H123&lt;&gt;"",$I123&lt;&gt;""),1,"")</f>
        <v/>
      </c>
      <c r="M123" s="268" t="str">
        <f t="shared" si="116"/>
        <v/>
      </c>
      <c r="N123" s="268" t="str">
        <f t="shared" si="116"/>
        <v/>
      </c>
      <c r="O123" s="268" t="str">
        <f t="shared" si="116"/>
        <v/>
      </c>
      <c r="P123" s="268" t="str">
        <f t="shared" si="116"/>
        <v/>
      </c>
      <c r="Q123" s="268" t="str">
        <f t="shared" si="116"/>
        <v/>
      </c>
      <c r="R123" s="268" t="str">
        <f t="shared" si="116"/>
        <v/>
      </c>
      <c r="S123" s="268" t="str">
        <f t="shared" si="116"/>
        <v/>
      </c>
      <c r="T123" s="268" t="str">
        <f t="shared" si="116"/>
        <v/>
      </c>
      <c r="U123" s="268" t="str">
        <f t="shared" si="116"/>
        <v/>
      </c>
      <c r="V123" s="268" t="str">
        <f t="shared" si="116"/>
        <v/>
      </c>
    </row>
    <row r="124" spans="1:22" ht="15.75">
      <c r="A124" s="224">
        <v>118</v>
      </c>
      <c r="B124" s="224" t="s">
        <v>799</v>
      </c>
      <c r="C124" s="221" t="s">
        <v>242</v>
      </c>
      <c r="D124" s="221" t="s">
        <v>243</v>
      </c>
      <c r="E124" s="224" t="s">
        <v>242</v>
      </c>
      <c r="F124" s="224"/>
      <c r="G124" s="224"/>
      <c r="H124" s="242"/>
      <c r="I124" s="242"/>
      <c r="J124" s="224" t="s">
        <v>98</v>
      </c>
      <c r="K124" s="244" t="s">
        <v>926</v>
      </c>
      <c r="L124" s="268" t="str">
        <f t="shared" ref="L124:V124" si="117">IF(AND(L$6&lt;=$I124,L$6+6&gt;=$H124,$H124&lt;&gt;"",$I124&lt;&gt;""),1,"")</f>
        <v/>
      </c>
      <c r="M124" s="268" t="str">
        <f t="shared" si="117"/>
        <v/>
      </c>
      <c r="N124" s="268" t="str">
        <f t="shared" si="117"/>
        <v/>
      </c>
      <c r="O124" s="268" t="str">
        <f t="shared" si="117"/>
        <v/>
      </c>
      <c r="P124" s="268" t="str">
        <f t="shared" si="117"/>
        <v/>
      </c>
      <c r="Q124" s="268" t="str">
        <f t="shared" si="117"/>
        <v/>
      </c>
      <c r="R124" s="268" t="str">
        <f t="shared" si="117"/>
        <v/>
      </c>
      <c r="S124" s="268" t="str">
        <f t="shared" si="117"/>
        <v/>
      </c>
      <c r="T124" s="268" t="str">
        <f t="shared" si="117"/>
        <v/>
      </c>
      <c r="U124" s="268" t="str">
        <f t="shared" si="117"/>
        <v/>
      </c>
      <c r="V124" s="268" t="str">
        <f t="shared" si="117"/>
        <v/>
      </c>
    </row>
    <row r="125" spans="1:22" ht="15.75">
      <c r="A125" s="224">
        <v>119</v>
      </c>
      <c r="B125" s="224" t="s">
        <v>804</v>
      </c>
      <c r="C125" s="221" t="s">
        <v>242</v>
      </c>
      <c r="D125" s="221" t="s">
        <v>244</v>
      </c>
      <c r="E125" s="224" t="s">
        <v>242</v>
      </c>
      <c r="F125" s="224"/>
      <c r="G125" s="224"/>
      <c r="H125" s="242"/>
      <c r="I125" s="242"/>
      <c r="J125" s="224" t="s">
        <v>98</v>
      </c>
      <c r="K125" s="244" t="s">
        <v>926</v>
      </c>
      <c r="L125" s="268" t="str">
        <f t="shared" ref="L125:V125" si="118">IF(AND(L$6&lt;=$I125,L$6+6&gt;=$H125,$H125&lt;&gt;"",$I125&lt;&gt;""),1,"")</f>
        <v/>
      </c>
      <c r="M125" s="268" t="str">
        <f t="shared" si="118"/>
        <v/>
      </c>
      <c r="N125" s="268" t="str">
        <f t="shared" si="118"/>
        <v/>
      </c>
      <c r="O125" s="268" t="str">
        <f t="shared" si="118"/>
        <v/>
      </c>
      <c r="P125" s="268" t="str">
        <f t="shared" si="118"/>
        <v/>
      </c>
      <c r="Q125" s="268" t="str">
        <f t="shared" si="118"/>
        <v/>
      </c>
      <c r="R125" s="268" t="str">
        <f t="shared" si="118"/>
        <v/>
      </c>
      <c r="S125" s="268" t="str">
        <f t="shared" si="118"/>
        <v/>
      </c>
      <c r="T125" s="268" t="str">
        <f t="shared" si="118"/>
        <v/>
      </c>
      <c r="U125" s="268" t="str">
        <f t="shared" si="118"/>
        <v/>
      </c>
      <c r="V125" s="268" t="str">
        <f t="shared" si="118"/>
        <v/>
      </c>
    </row>
    <row r="126" spans="1:22" ht="25.5">
      <c r="A126" s="224">
        <v>120</v>
      </c>
      <c r="B126" s="224" t="s">
        <v>806</v>
      </c>
      <c r="C126" s="221" t="s">
        <v>242</v>
      </c>
      <c r="D126" s="221" t="s">
        <v>245</v>
      </c>
      <c r="E126" s="224" t="s">
        <v>242</v>
      </c>
      <c r="F126" s="224"/>
      <c r="G126" s="224"/>
      <c r="H126" s="242"/>
      <c r="I126" s="242"/>
      <c r="J126" s="224" t="s">
        <v>98</v>
      </c>
      <c r="K126" s="244" t="s">
        <v>927</v>
      </c>
      <c r="L126" s="268" t="str">
        <f t="shared" ref="L126:V126" si="119">IF(AND(L$6&lt;=$I126,L$6+6&gt;=$H126,$H126&lt;&gt;"",$I126&lt;&gt;""),1,"")</f>
        <v/>
      </c>
      <c r="M126" s="268" t="str">
        <f t="shared" si="119"/>
        <v/>
      </c>
      <c r="N126" s="268" t="str">
        <f t="shared" si="119"/>
        <v/>
      </c>
      <c r="O126" s="268" t="str">
        <f t="shared" si="119"/>
        <v/>
      </c>
      <c r="P126" s="268" t="str">
        <f t="shared" si="119"/>
        <v/>
      </c>
      <c r="Q126" s="268" t="str">
        <f t="shared" si="119"/>
        <v/>
      </c>
      <c r="R126" s="268" t="str">
        <f t="shared" si="119"/>
        <v/>
      </c>
      <c r="S126" s="268" t="str">
        <f t="shared" si="119"/>
        <v/>
      </c>
      <c r="T126" s="268" t="str">
        <f t="shared" si="119"/>
        <v/>
      </c>
      <c r="U126" s="268" t="str">
        <f t="shared" si="119"/>
        <v/>
      </c>
      <c r="V126" s="268" t="str">
        <f t="shared" si="119"/>
        <v/>
      </c>
    </row>
    <row r="127" spans="1:22" ht="15.75">
      <c r="A127" s="224">
        <v>121</v>
      </c>
      <c r="B127" s="224" t="s">
        <v>810</v>
      </c>
      <c r="C127" s="221" t="s">
        <v>242</v>
      </c>
      <c r="D127" s="221" t="s">
        <v>246</v>
      </c>
      <c r="E127" s="224" t="s">
        <v>242</v>
      </c>
      <c r="F127" s="224"/>
      <c r="G127" s="224"/>
      <c r="H127" s="242"/>
      <c r="I127" s="242"/>
      <c r="J127" s="224" t="s">
        <v>98</v>
      </c>
      <c r="K127" s="244" t="s">
        <v>928</v>
      </c>
      <c r="L127" s="268" t="str">
        <f t="shared" ref="L127:V127" si="120">IF(AND(L$6&lt;=$I127,L$6+6&gt;=$H127,$H127&lt;&gt;"",$I127&lt;&gt;""),1,"")</f>
        <v/>
      </c>
      <c r="M127" s="268" t="str">
        <f t="shared" si="120"/>
        <v/>
      </c>
      <c r="N127" s="268" t="str">
        <f t="shared" si="120"/>
        <v/>
      </c>
      <c r="O127" s="268" t="str">
        <f t="shared" si="120"/>
        <v/>
      </c>
      <c r="P127" s="268" t="str">
        <f t="shared" si="120"/>
        <v/>
      </c>
      <c r="Q127" s="268" t="str">
        <f t="shared" si="120"/>
        <v/>
      </c>
      <c r="R127" s="268" t="str">
        <f t="shared" si="120"/>
        <v/>
      </c>
      <c r="S127" s="268" t="str">
        <f t="shared" si="120"/>
        <v/>
      </c>
      <c r="T127" s="268" t="str">
        <f t="shared" si="120"/>
        <v/>
      </c>
      <c r="U127" s="268" t="str">
        <f t="shared" si="120"/>
        <v/>
      </c>
      <c r="V127" s="268" t="str">
        <f t="shared" si="120"/>
        <v/>
      </c>
    </row>
    <row r="128" spans="1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V1"/>
    <mergeCell ref="A2:V2"/>
    <mergeCell ref="A4:V4"/>
    <mergeCell ref="A5:K5"/>
    <mergeCell ref="L5:V5"/>
  </mergeCells>
  <conditionalFormatting sqref="A7:K127">
    <cfRule type="expression" dxfId="11" priority="1">
      <formula>$E7="外部依存"</formula>
    </cfRule>
  </conditionalFormatting>
  <conditionalFormatting sqref="A7:K127">
    <cfRule type="expression" dxfId="10" priority="2">
      <formula>$E7="マイルストーン"</formula>
    </cfRule>
  </conditionalFormatting>
  <conditionalFormatting sqref="A7:K127">
    <cfRule type="expression" dxfId="9" priority="3">
      <formula>$E7="条件付き"</formula>
    </cfRule>
  </conditionalFormatting>
  <conditionalFormatting sqref="A7:K127">
    <cfRule type="expression" dxfId="8" priority="4">
      <formula>$E7="対象範囲確認"</formula>
    </cfRule>
  </conditionalFormatting>
  <conditionalFormatting sqref="A7:K127">
    <cfRule type="expression" dxfId="7" priority="5">
      <formula>$E7="将来対応"</formula>
    </cfRule>
  </conditionalFormatting>
  <conditionalFormatting sqref="J7:J127">
    <cfRule type="expression" dxfId="6" priority="6">
      <formula>J7="準備中"</formula>
    </cfRule>
  </conditionalFormatting>
  <conditionalFormatting sqref="J7:J127">
    <cfRule type="expression" dxfId="5" priority="7">
      <formula>J7="進行中"</formula>
    </cfRule>
  </conditionalFormatting>
  <conditionalFormatting sqref="J7:J127">
    <cfRule type="expression" dxfId="4" priority="8">
      <formula>J7="完了"</formula>
    </cfRule>
  </conditionalFormatting>
  <conditionalFormatting sqref="L7:V127">
    <cfRule type="expression" dxfId="3" priority="9">
      <formula>AND(L7=1,$J7="準備中")</formula>
    </cfRule>
  </conditionalFormatting>
  <conditionalFormatting sqref="L7:V127">
    <cfRule type="expression" dxfId="2" priority="10">
      <formula>AND(L7=1,$J7="進行中")</formula>
    </cfRule>
  </conditionalFormatting>
  <conditionalFormatting sqref="L7:V127">
    <cfRule type="expression" dxfId="1" priority="11">
      <formula>AND(L7=1,$J7="完了")</formula>
    </cfRule>
  </conditionalFormatting>
  <conditionalFormatting sqref="L6:V6">
    <cfRule type="expression" dxfId="0" priority="12">
      <formula>OR(L$6=DATE(2026,8,10),L$6=DATE(2026,9,21),L$6=DATE(2026,10,12))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22" customWidth="1"/>
    <col min="2" max="2" width="40" customWidth="1"/>
    <col min="3" max="3" width="36" customWidth="1"/>
    <col min="4" max="4" width="38" customWidth="1"/>
    <col min="5" max="5" width="25" customWidth="1"/>
    <col min="6" max="6" width="18" customWidth="1"/>
    <col min="7" max="7" width="22" customWidth="1"/>
    <col min="8" max="8" width="32" customWidth="1"/>
    <col min="9" max="26" width="8.7109375" customWidth="1"/>
  </cols>
  <sheetData>
    <row r="1" spans="1:8" ht="33.75" customHeight="1">
      <c r="A1" s="278" t="s">
        <v>929</v>
      </c>
      <c r="B1" s="298"/>
      <c r="C1" s="298"/>
      <c r="D1" s="298"/>
      <c r="E1" s="298"/>
      <c r="F1" s="298"/>
      <c r="G1" s="298"/>
      <c r="H1" s="298"/>
    </row>
    <row r="2" spans="1:8" ht="37.5" customHeight="1">
      <c r="A2" s="289" t="s">
        <v>930</v>
      </c>
      <c r="B2" s="298"/>
      <c r="C2" s="298"/>
      <c r="D2" s="298"/>
      <c r="E2" s="298"/>
      <c r="F2" s="298"/>
      <c r="G2" s="298"/>
      <c r="H2" s="298"/>
    </row>
    <row r="4" spans="1:8" ht="33.75" customHeight="1">
      <c r="A4" s="245" t="s">
        <v>931</v>
      </c>
      <c r="B4" s="245" t="s">
        <v>856</v>
      </c>
    </row>
    <row r="5" spans="1:8" ht="33.75" customHeight="1">
      <c r="A5" s="18" t="s">
        <v>932</v>
      </c>
      <c r="B5" s="19" t="s">
        <v>933</v>
      </c>
    </row>
    <row r="6" spans="1:8" ht="33.75" customHeight="1">
      <c r="A6" s="18" t="s">
        <v>934</v>
      </c>
      <c r="B6" s="19" t="s">
        <v>935</v>
      </c>
    </row>
    <row r="7" spans="1:8" ht="33.75" customHeight="1">
      <c r="A7" s="18" t="s">
        <v>936</v>
      </c>
      <c r="B7" s="19" t="s">
        <v>937</v>
      </c>
    </row>
    <row r="8" spans="1:8" ht="33.75" customHeight="1">
      <c r="A8" s="18" t="s">
        <v>938</v>
      </c>
      <c r="B8" s="19" t="s">
        <v>939</v>
      </c>
    </row>
    <row r="9" spans="1:8" ht="33.75" customHeight="1">
      <c r="A9" s="18" t="s">
        <v>42</v>
      </c>
      <c r="B9" s="19" t="s">
        <v>940</v>
      </c>
    </row>
    <row r="10" spans="1:8" ht="33.75" customHeight="1">
      <c r="A10" s="18"/>
      <c r="B10" s="19"/>
    </row>
    <row r="11" spans="1:8" ht="27.75" customHeight="1">
      <c r="A11" s="246" t="s">
        <v>941</v>
      </c>
      <c r="B11" s="246" t="s">
        <v>942</v>
      </c>
      <c r="C11" s="246" t="s">
        <v>943</v>
      </c>
      <c r="D11" s="246" t="s">
        <v>944</v>
      </c>
      <c r="E11" s="246" t="s">
        <v>945</v>
      </c>
      <c r="F11" s="246" t="s">
        <v>946</v>
      </c>
      <c r="G11" s="246" t="s">
        <v>34</v>
      </c>
      <c r="H11" s="246" t="s">
        <v>350</v>
      </c>
    </row>
    <row r="12" spans="1:8" ht="51.75" customHeight="1">
      <c r="A12" s="203" t="s">
        <v>947</v>
      </c>
      <c r="B12" s="203" t="s">
        <v>948</v>
      </c>
      <c r="C12" s="203" t="s">
        <v>949</v>
      </c>
      <c r="D12" s="203" t="s">
        <v>30</v>
      </c>
      <c r="E12" s="203" t="s">
        <v>950</v>
      </c>
      <c r="F12" s="203" t="s">
        <v>951</v>
      </c>
      <c r="G12" s="203" t="s">
        <v>952</v>
      </c>
      <c r="H12" s="203" t="s">
        <v>953</v>
      </c>
    </row>
    <row r="13" spans="1:8" ht="51.75" customHeight="1">
      <c r="A13" s="19" t="s">
        <v>954</v>
      </c>
      <c r="B13" s="19" t="s">
        <v>955</v>
      </c>
      <c r="C13" s="19" t="s">
        <v>956</v>
      </c>
      <c r="D13" s="19" t="s">
        <v>957</v>
      </c>
      <c r="E13" s="19" t="s">
        <v>958</v>
      </c>
      <c r="F13" s="19" t="s">
        <v>951</v>
      </c>
      <c r="G13" s="19" t="s">
        <v>952</v>
      </c>
      <c r="H13" s="19" t="s">
        <v>959</v>
      </c>
    </row>
    <row r="14" spans="1:8" ht="51.75" customHeight="1">
      <c r="A14" s="19" t="s">
        <v>960</v>
      </c>
      <c r="B14" s="19" t="s">
        <v>343</v>
      </c>
      <c r="C14" s="19" t="s">
        <v>961</v>
      </c>
      <c r="D14" s="19" t="s">
        <v>962</v>
      </c>
      <c r="E14" s="19" t="s">
        <v>603</v>
      </c>
      <c r="F14" s="19" t="s">
        <v>963</v>
      </c>
      <c r="G14" s="19" t="s">
        <v>606</v>
      </c>
      <c r="H14" s="19" t="s">
        <v>964</v>
      </c>
    </row>
    <row r="15" spans="1:8" ht="51.75" customHeight="1">
      <c r="A15" s="19" t="s">
        <v>965</v>
      </c>
      <c r="B15" s="19" t="s">
        <v>343</v>
      </c>
      <c r="C15" s="19" t="s">
        <v>961</v>
      </c>
      <c r="D15" s="19" t="s">
        <v>966</v>
      </c>
      <c r="E15" s="19" t="s">
        <v>967</v>
      </c>
      <c r="F15" s="19" t="s">
        <v>963</v>
      </c>
      <c r="G15" s="19" t="s">
        <v>606</v>
      </c>
      <c r="H15" s="19" t="s">
        <v>968</v>
      </c>
    </row>
    <row r="16" spans="1:8" ht="51.75" customHeight="1">
      <c r="A16" s="19" t="s">
        <v>969</v>
      </c>
      <c r="B16" s="19" t="s">
        <v>970</v>
      </c>
      <c r="C16" s="19" t="s">
        <v>971</v>
      </c>
      <c r="D16" s="19" t="s">
        <v>972</v>
      </c>
      <c r="E16" s="19" t="s">
        <v>724</v>
      </c>
      <c r="F16" s="19" t="s">
        <v>973</v>
      </c>
      <c r="G16" s="19" t="s">
        <v>952</v>
      </c>
      <c r="H16" s="19" t="s">
        <v>974</v>
      </c>
    </row>
    <row r="17" spans="1:8" ht="51.75" customHeight="1">
      <c r="A17" s="19" t="s">
        <v>38</v>
      </c>
      <c r="B17" s="19" t="s">
        <v>341</v>
      </c>
      <c r="C17" s="19" t="s">
        <v>975</v>
      </c>
      <c r="D17" s="19" t="s">
        <v>976</v>
      </c>
      <c r="E17" s="19" t="s">
        <v>977</v>
      </c>
      <c r="F17" s="19" t="s">
        <v>978</v>
      </c>
      <c r="G17" s="19" t="s">
        <v>788</v>
      </c>
      <c r="H17" s="19" t="s">
        <v>979</v>
      </c>
    </row>
    <row r="18" spans="1:8" ht="51.75" customHeight="1">
      <c r="A18" s="19"/>
      <c r="B18" s="19"/>
      <c r="C18" s="19"/>
      <c r="D18" s="19"/>
      <c r="E18" s="19"/>
      <c r="F18" s="19"/>
      <c r="G18" s="19"/>
      <c r="H18" s="19"/>
    </row>
    <row r="19" spans="1:8" ht="33.75" customHeight="1">
      <c r="A19" s="246" t="s">
        <v>980</v>
      </c>
      <c r="B19" s="246" t="s">
        <v>981</v>
      </c>
    </row>
    <row r="20" spans="1:8" ht="33.75" customHeight="1">
      <c r="A20" s="234" t="s">
        <v>982</v>
      </c>
      <c r="B20" s="234" t="s">
        <v>983</v>
      </c>
    </row>
    <row r="21" spans="1:8" ht="33.75" customHeight="1">
      <c r="A21" s="236" t="s">
        <v>984</v>
      </c>
      <c r="B21" s="19" t="s">
        <v>985</v>
      </c>
    </row>
    <row r="22" spans="1:8" ht="33.75" customHeight="1">
      <c r="A22" s="236" t="s">
        <v>986</v>
      </c>
      <c r="B22" s="19" t="s">
        <v>987</v>
      </c>
    </row>
    <row r="23" spans="1:8" ht="33.75" customHeight="1">
      <c r="A23" s="236" t="s">
        <v>988</v>
      </c>
      <c r="B23" s="19" t="s">
        <v>989</v>
      </c>
    </row>
    <row r="24" spans="1:8" ht="33.75" customHeight="1">
      <c r="A24" s="236" t="s">
        <v>990</v>
      </c>
      <c r="B24" s="19" t="s">
        <v>991</v>
      </c>
    </row>
    <row r="25" spans="1:8" ht="33.75" customHeight="1">
      <c r="A25" s="236" t="s">
        <v>863</v>
      </c>
      <c r="B25" s="19" t="s">
        <v>992</v>
      </c>
    </row>
    <row r="26" spans="1:8" ht="33.75" customHeight="1">
      <c r="A26" s="236" t="s">
        <v>993</v>
      </c>
      <c r="B26" s="19" t="s">
        <v>994</v>
      </c>
    </row>
    <row r="27" spans="1:8" ht="33.75" customHeight="1">
      <c r="A27" s="236" t="s">
        <v>995</v>
      </c>
      <c r="B27" s="19" t="s">
        <v>996</v>
      </c>
    </row>
    <row r="28" spans="1:8" ht="33.75" customHeight="1">
      <c r="A28" s="236"/>
      <c r="B28" s="19"/>
    </row>
    <row r="29" spans="1:8" ht="27.75" customHeight="1">
      <c r="A29" s="246" t="s">
        <v>997</v>
      </c>
      <c r="B29" s="246" t="s">
        <v>942</v>
      </c>
      <c r="C29" s="246" t="s">
        <v>943</v>
      </c>
      <c r="D29" s="246" t="s">
        <v>833</v>
      </c>
      <c r="E29" s="246" t="s">
        <v>998</v>
      </c>
      <c r="F29" s="246" t="s">
        <v>999</v>
      </c>
      <c r="G29" s="246" t="s">
        <v>340</v>
      </c>
      <c r="H29" s="246" t="s">
        <v>20</v>
      </c>
    </row>
    <row r="30" spans="1:8" ht="43.5" customHeight="1">
      <c r="A30" s="245" t="s">
        <v>48</v>
      </c>
      <c r="B30" s="245" t="s">
        <v>952</v>
      </c>
      <c r="C30" s="245" t="s">
        <v>1000</v>
      </c>
      <c r="D30" s="245" t="s">
        <v>1001</v>
      </c>
      <c r="E30" s="245" t="s">
        <v>1002</v>
      </c>
      <c r="F30" s="245" t="s">
        <v>1003</v>
      </c>
      <c r="G30" s="245" t="s">
        <v>1004</v>
      </c>
      <c r="H30" s="245" t="s">
        <v>1005</v>
      </c>
    </row>
    <row r="31" spans="1:8" ht="43.5" customHeight="1">
      <c r="A31" s="19" t="s">
        <v>1006</v>
      </c>
      <c r="B31" s="19" t="s">
        <v>343</v>
      </c>
      <c r="C31" s="19" t="s">
        <v>1007</v>
      </c>
      <c r="D31" s="19" t="s">
        <v>1008</v>
      </c>
      <c r="E31" s="19" t="s">
        <v>1009</v>
      </c>
      <c r="F31" s="19" t="s">
        <v>978</v>
      </c>
      <c r="G31" s="19" t="s">
        <v>1010</v>
      </c>
      <c r="H31" s="19" t="s">
        <v>1011</v>
      </c>
    </row>
    <row r="32" spans="1:8" ht="43.5" customHeight="1">
      <c r="A32" s="19" t="s">
        <v>1012</v>
      </c>
      <c r="B32" s="19" t="s">
        <v>1013</v>
      </c>
      <c r="C32" s="19" t="s">
        <v>1014</v>
      </c>
      <c r="D32" s="19" t="s">
        <v>1015</v>
      </c>
      <c r="E32" s="19" t="s">
        <v>1016</v>
      </c>
      <c r="F32" s="19" t="s">
        <v>1017</v>
      </c>
      <c r="G32" s="19" t="s">
        <v>1018</v>
      </c>
      <c r="H32" s="19" t="s">
        <v>1019</v>
      </c>
    </row>
    <row r="33" spans="1:8" ht="43.5" customHeight="1">
      <c r="A33" s="19" t="s">
        <v>1020</v>
      </c>
      <c r="B33" s="19" t="s">
        <v>1021</v>
      </c>
      <c r="C33" s="19" t="s">
        <v>1022</v>
      </c>
      <c r="D33" s="19" t="s">
        <v>1023</v>
      </c>
      <c r="E33" s="19" t="s">
        <v>1024</v>
      </c>
      <c r="F33" s="19" t="s">
        <v>1025</v>
      </c>
      <c r="G33" s="19" t="s">
        <v>1026</v>
      </c>
      <c r="H33" s="19" t="s">
        <v>1027</v>
      </c>
    </row>
    <row r="34" spans="1:8" ht="43.5" customHeight="1">
      <c r="A34" s="19"/>
      <c r="B34" s="19"/>
      <c r="C34" s="19"/>
      <c r="D34" s="19"/>
      <c r="E34" s="19"/>
      <c r="F34" s="19"/>
      <c r="G34" s="19"/>
      <c r="H34" s="19"/>
    </row>
    <row r="35" spans="1:8" ht="15.75" customHeight="1">
      <c r="A35" s="245" t="s">
        <v>1028</v>
      </c>
      <c r="B35" s="245" t="s">
        <v>942</v>
      </c>
      <c r="C35" s="245" t="s">
        <v>943</v>
      </c>
      <c r="D35" s="245" t="s">
        <v>944</v>
      </c>
      <c r="E35" s="245" t="s">
        <v>998</v>
      </c>
      <c r="F35" s="245" t="s">
        <v>1029</v>
      </c>
      <c r="G35" s="245" t="s">
        <v>1030</v>
      </c>
      <c r="H35" s="245" t="s">
        <v>20</v>
      </c>
    </row>
    <row r="36" spans="1:8" ht="48" customHeight="1">
      <c r="A36" s="19" t="s">
        <v>1031</v>
      </c>
      <c r="B36" s="19" t="s">
        <v>1032</v>
      </c>
      <c r="C36" s="19" t="s">
        <v>956</v>
      </c>
      <c r="D36" s="19" t="s">
        <v>1033</v>
      </c>
      <c r="E36" s="19" t="s">
        <v>1034</v>
      </c>
      <c r="F36" s="19" t="s">
        <v>1035</v>
      </c>
      <c r="G36" s="19" t="s">
        <v>1036</v>
      </c>
      <c r="H36" s="19" t="s">
        <v>1037</v>
      </c>
    </row>
    <row r="37" spans="1:8" ht="48" customHeight="1">
      <c r="A37" s="19" t="s">
        <v>1038</v>
      </c>
      <c r="B37" s="19" t="s">
        <v>341</v>
      </c>
      <c r="C37" s="19" t="s">
        <v>1039</v>
      </c>
      <c r="D37" s="19" t="s">
        <v>1040</v>
      </c>
      <c r="E37" s="19" t="s">
        <v>1041</v>
      </c>
      <c r="F37" s="19" t="s">
        <v>1042</v>
      </c>
      <c r="G37" s="19" t="s">
        <v>1043</v>
      </c>
      <c r="H37" s="19" t="s">
        <v>1044</v>
      </c>
    </row>
    <row r="38" spans="1:8" ht="48" customHeight="1">
      <c r="A38" s="19" t="s">
        <v>1045</v>
      </c>
      <c r="B38" s="19" t="s">
        <v>1046</v>
      </c>
      <c r="C38" s="19" t="s">
        <v>1047</v>
      </c>
      <c r="D38" s="19" t="s">
        <v>1048</v>
      </c>
      <c r="E38" s="19" t="s">
        <v>1049</v>
      </c>
      <c r="F38" s="19" t="s">
        <v>1050</v>
      </c>
      <c r="G38" s="19" t="s">
        <v>1051</v>
      </c>
      <c r="H38" s="19" t="s">
        <v>1052</v>
      </c>
    </row>
    <row r="39" spans="1:8" ht="48" customHeight="1">
      <c r="A39" s="19" t="s">
        <v>1053</v>
      </c>
      <c r="B39" s="19" t="s">
        <v>1054</v>
      </c>
      <c r="C39" s="19" t="s">
        <v>1055</v>
      </c>
      <c r="D39" s="19" t="s">
        <v>1056</v>
      </c>
      <c r="E39" s="19" t="s">
        <v>1057</v>
      </c>
      <c r="F39" s="19" t="s">
        <v>1058</v>
      </c>
      <c r="G39" s="19" t="s">
        <v>1059</v>
      </c>
      <c r="H39" s="19" t="s">
        <v>1060</v>
      </c>
    </row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zoomScaleNormal="100" zoomScaleSheetLayoutView="100" workbookViewId="0"/>
  </sheetViews>
  <sheetFormatPr defaultColWidth="14.42578125" defaultRowHeight="15"/>
  <cols>
    <col min="1" max="1" width="8" customWidth="1"/>
    <col min="2" max="2" width="20" customWidth="1"/>
    <col min="3" max="3" width="22" customWidth="1"/>
    <col min="4" max="5" width="14" customWidth="1"/>
    <col min="6" max="6" width="32" customWidth="1"/>
    <col min="7" max="7" width="46" customWidth="1"/>
    <col min="8" max="8" width="18" customWidth="1"/>
    <col min="9" max="9" width="36" customWidth="1"/>
    <col min="10" max="26" width="8.7109375" customWidth="1"/>
  </cols>
  <sheetData>
    <row r="1" spans="1:9">
      <c r="A1" s="290" t="s">
        <v>1061</v>
      </c>
      <c r="B1" s="298"/>
      <c r="C1" s="298"/>
      <c r="D1" s="298"/>
      <c r="E1" s="298"/>
      <c r="F1" s="298"/>
      <c r="G1" s="298"/>
      <c r="H1" s="298"/>
      <c r="I1" s="298"/>
    </row>
    <row r="2" spans="1:9" ht="33.75" customHeight="1">
      <c r="A2" s="291" t="s">
        <v>1062</v>
      </c>
      <c r="B2" s="298"/>
      <c r="C2" s="298"/>
      <c r="D2" s="298"/>
      <c r="E2" s="298"/>
      <c r="F2" s="298"/>
      <c r="G2" s="298"/>
      <c r="H2" s="298"/>
      <c r="I2" s="298"/>
    </row>
    <row r="4" spans="1:9">
      <c r="A4" s="203" t="s">
        <v>876</v>
      </c>
      <c r="B4" s="203" t="s">
        <v>828</v>
      </c>
      <c r="C4" s="203" t="s">
        <v>1063</v>
      </c>
      <c r="D4" s="203" t="s">
        <v>1064</v>
      </c>
      <c r="E4" s="203" t="s">
        <v>993</v>
      </c>
      <c r="F4" s="203" t="s">
        <v>1065</v>
      </c>
      <c r="G4" s="203" t="s">
        <v>1066</v>
      </c>
      <c r="H4" s="203" t="s">
        <v>831</v>
      </c>
      <c r="I4" s="203" t="s">
        <v>1067</v>
      </c>
    </row>
    <row r="5" spans="1:9" ht="42" customHeight="1">
      <c r="A5" s="221">
        <v>1</v>
      </c>
      <c r="B5" s="221" t="s">
        <v>113</v>
      </c>
      <c r="C5" s="221" t="s">
        <v>1068</v>
      </c>
      <c r="D5" s="222">
        <v>5</v>
      </c>
      <c r="E5" s="222">
        <v>5</v>
      </c>
      <c r="F5" s="221" t="s">
        <v>1069</v>
      </c>
      <c r="G5" s="221" t="s">
        <v>1070</v>
      </c>
      <c r="H5" s="221" t="s">
        <v>835</v>
      </c>
      <c r="I5" s="221" t="s">
        <v>1071</v>
      </c>
    </row>
    <row r="6" spans="1:9" ht="42" customHeight="1">
      <c r="A6" s="221">
        <v>2</v>
      </c>
      <c r="B6" s="221" t="s">
        <v>113</v>
      </c>
      <c r="C6" s="221" t="s">
        <v>1072</v>
      </c>
      <c r="D6" s="222">
        <v>5</v>
      </c>
      <c r="E6" s="222">
        <v>5</v>
      </c>
      <c r="F6" s="221" t="s">
        <v>1073</v>
      </c>
      <c r="G6" s="221" t="s">
        <v>1074</v>
      </c>
      <c r="H6" s="221" t="s">
        <v>835</v>
      </c>
      <c r="I6" s="221" t="s">
        <v>1075</v>
      </c>
    </row>
    <row r="7" spans="1:9" ht="42" customHeight="1">
      <c r="A7" s="221">
        <v>3</v>
      </c>
      <c r="B7" s="221" t="s">
        <v>838</v>
      </c>
      <c r="C7" s="221" t="s">
        <v>1076</v>
      </c>
      <c r="D7" s="222">
        <v>2</v>
      </c>
      <c r="E7" s="222">
        <v>2</v>
      </c>
      <c r="F7" s="221" t="s">
        <v>1077</v>
      </c>
      <c r="G7" s="221" t="s">
        <v>1078</v>
      </c>
      <c r="H7" s="221" t="s">
        <v>835</v>
      </c>
      <c r="I7" s="221" t="s">
        <v>1079</v>
      </c>
    </row>
    <row r="8" spans="1:9" ht="42" customHeight="1">
      <c r="A8" s="221">
        <v>4</v>
      </c>
      <c r="B8" s="221" t="s">
        <v>838</v>
      </c>
      <c r="C8" s="221" t="s">
        <v>1080</v>
      </c>
      <c r="D8" s="222">
        <v>5</v>
      </c>
      <c r="E8" s="222">
        <v>5</v>
      </c>
      <c r="F8" s="221" t="s">
        <v>1081</v>
      </c>
      <c r="G8" s="221" t="s">
        <v>1082</v>
      </c>
      <c r="H8" s="221" t="s">
        <v>835</v>
      </c>
      <c r="I8" s="221" t="s">
        <v>1083</v>
      </c>
    </row>
    <row r="9" spans="1:9" ht="42" customHeight="1">
      <c r="A9" s="221">
        <v>5</v>
      </c>
      <c r="B9" s="221" t="s">
        <v>1084</v>
      </c>
      <c r="C9" s="221" t="s">
        <v>1085</v>
      </c>
      <c r="D9" s="222">
        <v>2</v>
      </c>
      <c r="E9" s="222">
        <v>2</v>
      </c>
      <c r="F9" s="221" t="s">
        <v>399</v>
      </c>
      <c r="G9" s="221" t="s">
        <v>1086</v>
      </c>
      <c r="H9" s="221" t="s">
        <v>835</v>
      </c>
      <c r="I9" s="221" t="s">
        <v>1087</v>
      </c>
    </row>
    <row r="10" spans="1:9" ht="42" customHeight="1">
      <c r="A10" s="221">
        <v>6</v>
      </c>
      <c r="B10" s="221" t="s">
        <v>1084</v>
      </c>
      <c r="C10" s="221" t="s">
        <v>1088</v>
      </c>
      <c r="D10" s="222">
        <v>3</v>
      </c>
      <c r="E10" s="222">
        <v>3</v>
      </c>
      <c r="F10" s="221" t="s">
        <v>1089</v>
      </c>
      <c r="G10" s="221" t="s">
        <v>1090</v>
      </c>
      <c r="H10" s="221" t="s">
        <v>835</v>
      </c>
      <c r="I10" s="221" t="s">
        <v>1091</v>
      </c>
    </row>
    <row r="11" spans="1:9" ht="42" customHeight="1">
      <c r="A11" s="221">
        <v>7</v>
      </c>
      <c r="B11" s="221" t="s">
        <v>1084</v>
      </c>
      <c r="C11" s="221" t="s">
        <v>1092</v>
      </c>
      <c r="D11" s="222">
        <v>3</v>
      </c>
      <c r="E11" s="222">
        <v>3</v>
      </c>
      <c r="F11" s="221" t="s">
        <v>1093</v>
      </c>
      <c r="G11" s="221" t="s">
        <v>1094</v>
      </c>
      <c r="H11" s="221" t="s">
        <v>835</v>
      </c>
      <c r="I11" s="221" t="s">
        <v>1095</v>
      </c>
    </row>
    <row r="12" spans="1:9" ht="42" customHeight="1">
      <c r="A12" s="221">
        <v>8</v>
      </c>
      <c r="B12" s="221" t="s">
        <v>1084</v>
      </c>
      <c r="C12" s="221" t="s">
        <v>1096</v>
      </c>
      <c r="D12" s="222">
        <v>1.5</v>
      </c>
      <c r="E12" s="222">
        <v>1.5</v>
      </c>
      <c r="F12" s="221" t="s">
        <v>1097</v>
      </c>
      <c r="G12" s="221" t="s">
        <v>1098</v>
      </c>
      <c r="H12" s="221" t="s">
        <v>835</v>
      </c>
      <c r="I12" s="221" t="s">
        <v>1099</v>
      </c>
    </row>
    <row r="13" spans="1:9" ht="42" customHeight="1">
      <c r="A13" s="221">
        <v>9</v>
      </c>
      <c r="B13" s="221" t="s">
        <v>845</v>
      </c>
      <c r="C13" s="221" t="s">
        <v>1088</v>
      </c>
      <c r="D13" s="222">
        <v>3</v>
      </c>
      <c r="E13" s="222">
        <v>3</v>
      </c>
      <c r="F13" s="221" t="s">
        <v>1100</v>
      </c>
      <c r="G13" s="221" t="s">
        <v>1101</v>
      </c>
      <c r="H13" s="221" t="s">
        <v>835</v>
      </c>
      <c r="I13" s="221" t="s">
        <v>1102</v>
      </c>
    </row>
    <row r="14" spans="1:9" ht="42" customHeight="1">
      <c r="A14" s="221">
        <v>10</v>
      </c>
      <c r="B14" s="221" t="s">
        <v>845</v>
      </c>
      <c r="C14" s="221" t="s">
        <v>1103</v>
      </c>
      <c r="D14" s="222">
        <v>4</v>
      </c>
      <c r="E14" s="222">
        <v>4</v>
      </c>
      <c r="F14" s="221" t="s">
        <v>1104</v>
      </c>
      <c r="G14" s="221" t="s">
        <v>1105</v>
      </c>
      <c r="H14" s="221" t="s">
        <v>835</v>
      </c>
      <c r="I14" s="221" t="s">
        <v>1106</v>
      </c>
    </row>
    <row r="15" spans="1:9" ht="42" customHeight="1">
      <c r="A15" s="221">
        <v>11</v>
      </c>
      <c r="B15" s="221" t="s">
        <v>845</v>
      </c>
      <c r="C15" s="221" t="s">
        <v>1107</v>
      </c>
      <c r="D15" s="222">
        <v>4</v>
      </c>
      <c r="E15" s="222">
        <v>4</v>
      </c>
      <c r="F15" s="221" t="s">
        <v>1108</v>
      </c>
      <c r="G15" s="221" t="s">
        <v>1109</v>
      </c>
      <c r="H15" s="221" t="s">
        <v>835</v>
      </c>
      <c r="I15" s="221" t="s">
        <v>1110</v>
      </c>
    </row>
    <row r="16" spans="1:9" ht="42" customHeight="1">
      <c r="A16" s="221">
        <v>12</v>
      </c>
      <c r="B16" s="221" t="s">
        <v>845</v>
      </c>
      <c r="C16" s="221" t="s">
        <v>1096</v>
      </c>
      <c r="D16" s="222">
        <v>2</v>
      </c>
      <c r="E16" s="222">
        <v>2</v>
      </c>
      <c r="F16" s="221" t="s">
        <v>1111</v>
      </c>
      <c r="G16" s="221" t="s">
        <v>1112</v>
      </c>
      <c r="H16" s="221" t="s">
        <v>835</v>
      </c>
      <c r="I16" s="221" t="s">
        <v>1106</v>
      </c>
    </row>
    <row r="17" spans="1:9" ht="42" customHeight="1">
      <c r="A17" s="221">
        <v>13</v>
      </c>
      <c r="B17" s="221" t="s">
        <v>848</v>
      </c>
      <c r="C17" s="221" t="s">
        <v>1113</v>
      </c>
      <c r="D17" s="222">
        <v>2</v>
      </c>
      <c r="E17" s="222">
        <v>2</v>
      </c>
      <c r="F17" s="221" t="s">
        <v>635</v>
      </c>
      <c r="G17" s="221" t="s">
        <v>1114</v>
      </c>
      <c r="H17" s="221" t="s">
        <v>835</v>
      </c>
      <c r="I17" s="221" t="s">
        <v>956</v>
      </c>
    </row>
    <row r="18" spans="1:9" ht="42" customHeight="1">
      <c r="A18" s="221">
        <v>14</v>
      </c>
      <c r="B18" s="221" t="s">
        <v>848</v>
      </c>
      <c r="C18" s="221" t="s">
        <v>1115</v>
      </c>
      <c r="D18" s="222">
        <v>2</v>
      </c>
      <c r="E18" s="222">
        <v>2</v>
      </c>
      <c r="F18" s="221" t="s">
        <v>1116</v>
      </c>
      <c r="G18" s="221" t="s">
        <v>1117</v>
      </c>
      <c r="H18" s="221" t="s">
        <v>835</v>
      </c>
      <c r="I18" s="221" t="s">
        <v>1099</v>
      </c>
    </row>
    <row r="19" spans="1:9" ht="42" customHeight="1">
      <c r="A19" s="221">
        <v>15</v>
      </c>
      <c r="B19" s="221" t="s">
        <v>851</v>
      </c>
      <c r="C19" s="221" t="s">
        <v>1118</v>
      </c>
      <c r="D19" s="222">
        <v>2</v>
      </c>
      <c r="E19" s="222">
        <v>0</v>
      </c>
      <c r="F19" s="221" t="s">
        <v>1119</v>
      </c>
      <c r="G19" s="221" t="s">
        <v>1120</v>
      </c>
      <c r="H19" s="221" t="s">
        <v>340</v>
      </c>
      <c r="I19" s="221" t="s">
        <v>1121</v>
      </c>
    </row>
    <row r="20" spans="1:9" ht="42" customHeight="1">
      <c r="A20" s="221">
        <v>16</v>
      </c>
      <c r="B20" s="221" t="s">
        <v>851</v>
      </c>
      <c r="C20" s="221" t="s">
        <v>1122</v>
      </c>
      <c r="D20" s="222">
        <v>2</v>
      </c>
      <c r="E20" s="222">
        <v>0</v>
      </c>
      <c r="F20" s="221" t="s">
        <v>1123</v>
      </c>
      <c r="G20" s="221" t="s">
        <v>1124</v>
      </c>
      <c r="H20" s="221" t="s">
        <v>340</v>
      </c>
      <c r="I20" s="221" t="s">
        <v>1121</v>
      </c>
    </row>
    <row r="21" spans="1:9" ht="42" customHeight="1">
      <c r="A21" s="221">
        <v>17</v>
      </c>
      <c r="B21" s="221" t="s">
        <v>104</v>
      </c>
      <c r="C21" s="221" t="s">
        <v>1125</v>
      </c>
      <c r="D21" s="222">
        <v>5</v>
      </c>
      <c r="E21" s="222">
        <v>5</v>
      </c>
      <c r="F21" s="221" t="s">
        <v>1126</v>
      </c>
      <c r="G21" s="221" t="s">
        <v>1127</v>
      </c>
      <c r="H21" s="221" t="s">
        <v>835</v>
      </c>
      <c r="I21" s="221" t="s">
        <v>1128</v>
      </c>
    </row>
    <row r="22" spans="1:9" ht="42" customHeight="1">
      <c r="A22" s="221">
        <v>18</v>
      </c>
      <c r="B22" s="221" t="s">
        <v>104</v>
      </c>
      <c r="C22" s="221" t="s">
        <v>1129</v>
      </c>
      <c r="D22" s="222">
        <v>5</v>
      </c>
      <c r="E22" s="222">
        <v>5</v>
      </c>
      <c r="F22" s="221" t="s">
        <v>1130</v>
      </c>
      <c r="G22" s="221" t="s">
        <v>1131</v>
      </c>
      <c r="H22" s="221" t="s">
        <v>835</v>
      </c>
      <c r="I22" s="221" t="s">
        <v>1132</v>
      </c>
    </row>
    <row r="23" spans="1:9" ht="42" customHeight="1">
      <c r="A23" s="233" t="s">
        <v>854</v>
      </c>
      <c r="B23" s="221"/>
      <c r="C23" s="221"/>
      <c r="D23" s="222">
        <v>57.5</v>
      </c>
      <c r="E23" s="222">
        <v>53.5</v>
      </c>
      <c r="F23" s="221"/>
      <c r="G23" s="221"/>
      <c r="H23" s="221"/>
      <c r="I23" s="221" t="s">
        <v>1133</v>
      </c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18" customWidth="1"/>
    <col min="2" max="2" width="28" customWidth="1"/>
    <col min="3" max="3" width="12" customWidth="1"/>
    <col min="4" max="4" width="34" customWidth="1"/>
    <col min="5" max="5" width="28" customWidth="1"/>
    <col min="6" max="6" width="16" customWidth="1"/>
    <col min="7" max="7" width="44" customWidth="1"/>
    <col min="8" max="8" width="30" customWidth="1"/>
    <col min="9" max="26" width="8.7109375" customWidth="1"/>
  </cols>
  <sheetData>
    <row r="1" spans="1:8">
      <c r="A1" s="290" t="s">
        <v>1134</v>
      </c>
      <c r="B1" s="298"/>
      <c r="C1" s="298"/>
      <c r="D1" s="298"/>
      <c r="E1" s="298"/>
      <c r="F1" s="298"/>
      <c r="G1" s="298"/>
      <c r="H1" s="298"/>
    </row>
    <row r="2" spans="1:8" ht="42" customHeight="1">
      <c r="A2" s="292" t="s">
        <v>1135</v>
      </c>
      <c r="B2" s="298"/>
      <c r="C2" s="298"/>
      <c r="D2" s="298"/>
      <c r="E2" s="298"/>
      <c r="F2" s="298"/>
      <c r="G2" s="298"/>
      <c r="H2" s="298"/>
    </row>
    <row r="4" spans="1:8">
      <c r="A4" s="245" t="s">
        <v>1136</v>
      </c>
      <c r="B4" s="245" t="s">
        <v>1137</v>
      </c>
      <c r="C4" s="245" t="s">
        <v>1138</v>
      </c>
      <c r="D4" s="245" t="s">
        <v>1139</v>
      </c>
      <c r="E4" s="245" t="s">
        <v>1140</v>
      </c>
      <c r="F4" s="245" t="s">
        <v>1141</v>
      </c>
      <c r="G4" s="245" t="s">
        <v>944</v>
      </c>
      <c r="H4" s="245" t="s">
        <v>1030</v>
      </c>
    </row>
    <row r="5" spans="1:8" ht="48" customHeight="1">
      <c r="A5" s="221" t="s">
        <v>113</v>
      </c>
      <c r="B5" s="221" t="s">
        <v>1142</v>
      </c>
      <c r="C5" s="222">
        <v>2</v>
      </c>
      <c r="D5" s="221" t="s">
        <v>1143</v>
      </c>
      <c r="E5" s="221" t="s">
        <v>1144</v>
      </c>
      <c r="F5" s="221" t="s">
        <v>1145</v>
      </c>
      <c r="G5" s="221" t="s">
        <v>1146</v>
      </c>
      <c r="H5" s="221" t="s">
        <v>1147</v>
      </c>
    </row>
    <row r="6" spans="1:8" ht="48" customHeight="1">
      <c r="A6" s="221" t="s">
        <v>113</v>
      </c>
      <c r="B6" s="221" t="s">
        <v>119</v>
      </c>
      <c r="C6" s="222">
        <v>1.5</v>
      </c>
      <c r="D6" s="221" t="s">
        <v>1148</v>
      </c>
      <c r="E6" s="221" t="s">
        <v>1149</v>
      </c>
      <c r="F6" s="221" t="s">
        <v>1148</v>
      </c>
      <c r="G6" s="221" t="s">
        <v>1150</v>
      </c>
      <c r="H6" s="221" t="s">
        <v>1147</v>
      </c>
    </row>
    <row r="7" spans="1:8" ht="48" customHeight="1">
      <c r="A7" s="221" t="s">
        <v>1151</v>
      </c>
      <c r="B7" s="221" t="s">
        <v>1152</v>
      </c>
      <c r="C7" s="222">
        <v>3</v>
      </c>
      <c r="D7" s="221" t="s">
        <v>1153</v>
      </c>
      <c r="E7" s="221" t="s">
        <v>1154</v>
      </c>
      <c r="F7" s="221" t="s">
        <v>1145</v>
      </c>
      <c r="G7" s="221" t="s">
        <v>1155</v>
      </c>
      <c r="H7" s="221" t="s">
        <v>1147</v>
      </c>
    </row>
    <row r="8" spans="1:8" ht="48" customHeight="1">
      <c r="A8" s="221" t="s">
        <v>1151</v>
      </c>
      <c r="B8" s="221" t="s">
        <v>1156</v>
      </c>
      <c r="C8" s="222">
        <v>1.5</v>
      </c>
      <c r="D8" s="221" t="s">
        <v>1148</v>
      </c>
      <c r="E8" s="221" t="s">
        <v>1157</v>
      </c>
      <c r="F8" s="221" t="s">
        <v>1158</v>
      </c>
      <c r="G8" s="221" t="s">
        <v>1159</v>
      </c>
      <c r="H8" s="221" t="s">
        <v>1160</v>
      </c>
    </row>
    <row r="9" spans="1:8" ht="48" customHeight="1">
      <c r="A9" s="221" t="s">
        <v>1161</v>
      </c>
      <c r="B9" s="221" t="s">
        <v>1162</v>
      </c>
      <c r="C9" s="222">
        <v>1.5</v>
      </c>
      <c r="D9" s="221" t="s">
        <v>1163</v>
      </c>
      <c r="E9" s="221" t="s">
        <v>1164</v>
      </c>
      <c r="F9" s="221" t="s">
        <v>1148</v>
      </c>
      <c r="G9" s="221" t="s">
        <v>1165</v>
      </c>
      <c r="H9" s="221" t="s">
        <v>1166</v>
      </c>
    </row>
    <row r="10" spans="1:8" ht="48" customHeight="1">
      <c r="A10" s="221" t="s">
        <v>1167</v>
      </c>
      <c r="B10" s="221" t="s">
        <v>1168</v>
      </c>
      <c r="C10" s="222">
        <v>1.5</v>
      </c>
      <c r="D10" s="221" t="s">
        <v>1169</v>
      </c>
      <c r="E10" s="221" t="s">
        <v>1170</v>
      </c>
      <c r="F10" s="221" t="s">
        <v>1145</v>
      </c>
      <c r="G10" s="221" t="s">
        <v>1171</v>
      </c>
      <c r="H10" s="221" t="s">
        <v>1166</v>
      </c>
    </row>
    <row r="11" spans="1:8" ht="48" customHeight="1">
      <c r="A11" s="221" t="s">
        <v>1172</v>
      </c>
      <c r="B11" s="221" t="s">
        <v>1173</v>
      </c>
      <c r="C11" s="222">
        <v>2</v>
      </c>
      <c r="D11" s="221" t="s">
        <v>1174</v>
      </c>
      <c r="E11" s="221" t="s">
        <v>1175</v>
      </c>
      <c r="F11" s="221" t="s">
        <v>1145</v>
      </c>
      <c r="G11" s="221" t="s">
        <v>1176</v>
      </c>
      <c r="H11" s="221" t="s">
        <v>1177</v>
      </c>
    </row>
    <row r="12" spans="1:8" ht="48" customHeight="1">
      <c r="A12" s="221" t="s">
        <v>1178</v>
      </c>
      <c r="B12" s="221" t="s">
        <v>1179</v>
      </c>
      <c r="C12" s="222">
        <v>1</v>
      </c>
      <c r="D12" s="221" t="s">
        <v>1180</v>
      </c>
      <c r="E12" s="221" t="s">
        <v>1181</v>
      </c>
      <c r="F12" s="221" t="s">
        <v>1145</v>
      </c>
      <c r="G12" s="221" t="s">
        <v>1182</v>
      </c>
      <c r="H12" s="221" t="s">
        <v>1147</v>
      </c>
    </row>
    <row r="13" spans="1:8" ht="48" customHeight="1">
      <c r="A13" s="221" t="s">
        <v>1183</v>
      </c>
      <c r="B13" s="221" t="s">
        <v>1184</v>
      </c>
      <c r="C13" s="222">
        <v>2</v>
      </c>
      <c r="D13" s="221" t="s">
        <v>1185</v>
      </c>
      <c r="E13" s="221" t="s">
        <v>1186</v>
      </c>
      <c r="F13" s="221" t="s">
        <v>1145</v>
      </c>
      <c r="G13" s="221" t="s">
        <v>1187</v>
      </c>
      <c r="H13" s="221" t="s">
        <v>1147</v>
      </c>
    </row>
    <row r="14" spans="1:8" ht="48" customHeight="1">
      <c r="A14" s="221" t="s">
        <v>1188</v>
      </c>
      <c r="B14" s="221" t="s">
        <v>1189</v>
      </c>
      <c r="C14" s="222">
        <v>1.5</v>
      </c>
      <c r="D14" s="221" t="s">
        <v>1190</v>
      </c>
      <c r="E14" s="221" t="s">
        <v>1191</v>
      </c>
      <c r="F14" s="221" t="s">
        <v>1148</v>
      </c>
      <c r="G14" s="221" t="s">
        <v>1192</v>
      </c>
      <c r="H14" s="221" t="s">
        <v>1166</v>
      </c>
    </row>
    <row r="15" spans="1:8" ht="48" customHeight="1">
      <c r="A15" s="221" t="s">
        <v>1188</v>
      </c>
      <c r="B15" s="221" t="s">
        <v>1193</v>
      </c>
      <c r="C15" s="222">
        <v>4</v>
      </c>
      <c r="D15" s="221" t="s">
        <v>1194</v>
      </c>
      <c r="E15" s="221" t="s">
        <v>1195</v>
      </c>
      <c r="F15" s="221" t="s">
        <v>1196</v>
      </c>
      <c r="G15" s="221" t="s">
        <v>1197</v>
      </c>
      <c r="H15" s="221" t="s">
        <v>1198</v>
      </c>
    </row>
    <row r="16" spans="1:8" ht="48" customHeight="1">
      <c r="A16" s="221" t="s">
        <v>1188</v>
      </c>
      <c r="B16" s="221" t="s">
        <v>1199</v>
      </c>
      <c r="C16" s="222">
        <v>2.5</v>
      </c>
      <c r="D16" s="221" t="s">
        <v>340</v>
      </c>
      <c r="E16" s="221" t="s">
        <v>1200</v>
      </c>
      <c r="F16" s="221" t="s">
        <v>340</v>
      </c>
      <c r="G16" s="221" t="s">
        <v>1201</v>
      </c>
      <c r="H16" s="221" t="s">
        <v>1202</v>
      </c>
    </row>
    <row r="17" spans="1:8" ht="48" customHeight="1">
      <c r="A17" s="221" t="s">
        <v>1203</v>
      </c>
      <c r="B17" s="221" t="s">
        <v>1204</v>
      </c>
      <c r="C17" s="222">
        <v>1.5</v>
      </c>
      <c r="D17" s="221" t="s">
        <v>56</v>
      </c>
      <c r="E17" s="221" t="s">
        <v>770</v>
      </c>
      <c r="F17" s="221" t="s">
        <v>1205</v>
      </c>
      <c r="G17" s="221" t="s">
        <v>1206</v>
      </c>
      <c r="H17" s="221" t="s">
        <v>1207</v>
      </c>
    </row>
    <row r="18" spans="1:8" ht="48" customHeight="1">
      <c r="A18" s="221" t="s">
        <v>1038</v>
      </c>
      <c r="B18" s="221" t="s">
        <v>1208</v>
      </c>
      <c r="C18" s="222">
        <v>3</v>
      </c>
      <c r="D18" s="221" t="s">
        <v>56</v>
      </c>
      <c r="E18" s="221" t="s">
        <v>777</v>
      </c>
      <c r="F18" s="221" t="s">
        <v>1205</v>
      </c>
      <c r="G18" s="221" t="s">
        <v>1209</v>
      </c>
      <c r="H18" s="221" t="s">
        <v>1207</v>
      </c>
    </row>
    <row r="19" spans="1:8" ht="48" customHeight="1">
      <c r="A19" s="221" t="s">
        <v>1038</v>
      </c>
      <c r="B19" s="221" t="s">
        <v>1210</v>
      </c>
      <c r="C19" s="222">
        <v>4</v>
      </c>
      <c r="D19" s="221" t="s">
        <v>56</v>
      </c>
      <c r="E19" s="221" t="s">
        <v>780</v>
      </c>
      <c r="F19" s="221" t="s">
        <v>1205</v>
      </c>
      <c r="G19" s="221" t="s">
        <v>1211</v>
      </c>
      <c r="H19" s="221" t="s">
        <v>1207</v>
      </c>
    </row>
    <row r="20" spans="1:8" ht="48" customHeight="1">
      <c r="A20" s="221" t="s">
        <v>1038</v>
      </c>
      <c r="B20" s="221" t="s">
        <v>1212</v>
      </c>
      <c r="C20" s="222">
        <v>3</v>
      </c>
      <c r="D20" s="221" t="s">
        <v>56</v>
      </c>
      <c r="E20" s="221" t="s">
        <v>783</v>
      </c>
      <c r="F20" s="221" t="s">
        <v>1205</v>
      </c>
      <c r="G20" s="221" t="s">
        <v>1213</v>
      </c>
      <c r="H20" s="221" t="s">
        <v>1207</v>
      </c>
    </row>
    <row r="21" spans="1:8" ht="48" customHeight="1">
      <c r="A21" s="221" t="s">
        <v>1214</v>
      </c>
      <c r="B21" s="221" t="s">
        <v>38</v>
      </c>
      <c r="C21" s="222">
        <v>3</v>
      </c>
      <c r="D21" s="221" t="s">
        <v>56</v>
      </c>
      <c r="E21" s="221" t="s">
        <v>1215</v>
      </c>
      <c r="F21" s="221" t="s">
        <v>1205</v>
      </c>
      <c r="G21" s="221" t="s">
        <v>1216</v>
      </c>
      <c r="H21" s="221" t="s">
        <v>1207</v>
      </c>
    </row>
    <row r="22" spans="1:8" ht="48" customHeight="1">
      <c r="A22" s="221" t="s">
        <v>305</v>
      </c>
      <c r="B22" s="221" t="s">
        <v>180</v>
      </c>
      <c r="C22" s="222">
        <v>4</v>
      </c>
      <c r="D22" s="221" t="s">
        <v>1217</v>
      </c>
      <c r="E22" s="221" t="s">
        <v>1218</v>
      </c>
      <c r="F22" s="221" t="s">
        <v>1148</v>
      </c>
      <c r="G22" s="221" t="s">
        <v>1219</v>
      </c>
      <c r="H22" s="221" t="s">
        <v>1220</v>
      </c>
    </row>
    <row r="23" spans="1:8" ht="48" customHeight="1">
      <c r="A23" s="221" t="s">
        <v>305</v>
      </c>
      <c r="B23" s="221" t="s">
        <v>187</v>
      </c>
      <c r="C23" s="222">
        <v>2</v>
      </c>
      <c r="D23" s="221" t="s">
        <v>1221</v>
      </c>
      <c r="E23" s="221" t="s">
        <v>1222</v>
      </c>
      <c r="F23" s="221" t="s">
        <v>1148</v>
      </c>
      <c r="G23" s="221" t="s">
        <v>1223</v>
      </c>
      <c r="H23" s="221" t="s">
        <v>1224</v>
      </c>
    </row>
    <row r="24" spans="1:8" ht="48" customHeight="1">
      <c r="A24" s="221" t="s">
        <v>305</v>
      </c>
      <c r="B24" s="221" t="s">
        <v>1225</v>
      </c>
      <c r="C24" s="222">
        <v>1</v>
      </c>
      <c r="D24" s="221" t="s">
        <v>1148</v>
      </c>
      <c r="E24" s="221" t="s">
        <v>1097</v>
      </c>
      <c r="F24" s="221" t="s">
        <v>1148</v>
      </c>
      <c r="G24" s="221" t="s">
        <v>844</v>
      </c>
      <c r="H24" s="221" t="s">
        <v>1226</v>
      </c>
    </row>
    <row r="25" spans="1:8" ht="48" customHeight="1">
      <c r="A25" s="221" t="s">
        <v>1227</v>
      </c>
      <c r="B25" s="221" t="s">
        <v>1228</v>
      </c>
      <c r="C25" s="222">
        <v>1.5</v>
      </c>
      <c r="D25" s="221" t="s">
        <v>1229</v>
      </c>
      <c r="E25" s="221" t="s">
        <v>1230</v>
      </c>
      <c r="F25" s="221" t="s">
        <v>1231</v>
      </c>
      <c r="G25" s="221" t="s">
        <v>1232</v>
      </c>
      <c r="H25" s="221" t="s">
        <v>1147</v>
      </c>
    </row>
    <row r="26" spans="1:8" ht="48" customHeight="1">
      <c r="A26" s="221" t="s">
        <v>1006</v>
      </c>
      <c r="B26" s="221" t="s">
        <v>1233</v>
      </c>
      <c r="C26" s="222">
        <v>1.5</v>
      </c>
      <c r="D26" s="221" t="s">
        <v>961</v>
      </c>
      <c r="E26" s="221" t="s">
        <v>1009</v>
      </c>
      <c r="F26" s="221" t="s">
        <v>340</v>
      </c>
      <c r="G26" s="221" t="s">
        <v>1234</v>
      </c>
      <c r="H26" s="221" t="s">
        <v>1235</v>
      </c>
    </row>
    <row r="27" spans="1:8" ht="48" customHeight="1">
      <c r="A27" s="221" t="s">
        <v>1236</v>
      </c>
      <c r="B27" s="221" t="s">
        <v>104</v>
      </c>
      <c r="C27" s="222">
        <v>3</v>
      </c>
      <c r="D27" s="221" t="s">
        <v>1148</v>
      </c>
      <c r="E27" s="221" t="s">
        <v>1126</v>
      </c>
      <c r="F27" s="221" t="s">
        <v>1148</v>
      </c>
      <c r="G27" s="221" t="s">
        <v>1237</v>
      </c>
      <c r="H27" s="221" t="s">
        <v>1238</v>
      </c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zoomScaleNormal="100" zoomScaleSheetLayoutView="100" workbookViewId="0"/>
  </sheetViews>
  <sheetFormatPr defaultColWidth="14.42578125" defaultRowHeight="15"/>
  <cols>
    <col min="1" max="1" width="12" customWidth="1"/>
    <col min="2" max="2" width="38" customWidth="1"/>
    <col min="3" max="3" width="18" customWidth="1"/>
    <col min="4" max="4" width="52" customWidth="1"/>
    <col min="5" max="5" width="34" customWidth="1"/>
    <col min="6" max="6" width="18" customWidth="1"/>
    <col min="7" max="7" width="38" customWidth="1"/>
    <col min="8" max="8" width="24" customWidth="1"/>
    <col min="9" max="26" width="8.7109375" customWidth="1"/>
  </cols>
  <sheetData>
    <row r="1" spans="1:8" ht="33.75" customHeight="1">
      <c r="A1" s="294" t="s">
        <v>1239</v>
      </c>
      <c r="B1" s="298"/>
      <c r="C1" s="298"/>
      <c r="D1" s="298"/>
      <c r="E1" s="298"/>
      <c r="F1" s="298"/>
      <c r="G1" s="298"/>
      <c r="H1" s="298"/>
    </row>
    <row r="2" spans="1:8" ht="39.75" customHeight="1">
      <c r="A2" s="295" t="s">
        <v>1240</v>
      </c>
      <c r="B2" s="298"/>
      <c r="C2" s="298"/>
      <c r="D2" s="298"/>
      <c r="E2" s="298"/>
      <c r="F2" s="298"/>
      <c r="G2" s="298"/>
      <c r="H2" s="298"/>
    </row>
    <row r="3" spans="1:8">
      <c r="A3" s="19"/>
      <c r="B3" s="19"/>
      <c r="C3" s="19"/>
      <c r="D3" s="19"/>
      <c r="E3" s="19"/>
      <c r="F3" s="19"/>
      <c r="G3" s="19"/>
      <c r="H3" s="19"/>
    </row>
    <row r="4" spans="1:8">
      <c r="A4" s="247" t="s">
        <v>361</v>
      </c>
      <c r="B4" s="247"/>
      <c r="C4" s="248" t="s">
        <v>1241</v>
      </c>
      <c r="D4" s="248"/>
      <c r="E4" s="249" t="s">
        <v>609</v>
      </c>
      <c r="F4" s="249"/>
      <c r="G4" s="250" t="s">
        <v>1242</v>
      </c>
      <c r="H4" s="250"/>
    </row>
    <row r="5" spans="1:8">
      <c r="A5" s="247">
        <v>61</v>
      </c>
      <c r="B5" s="247"/>
      <c r="C5" s="248">
        <v>51</v>
      </c>
      <c r="D5" s="248"/>
      <c r="E5" s="249">
        <v>9</v>
      </c>
      <c r="F5" s="249"/>
      <c r="G5" s="250">
        <v>77</v>
      </c>
      <c r="H5" s="250"/>
    </row>
    <row r="6" spans="1:8" ht="30.75">
      <c r="A6" s="247" t="s">
        <v>1243</v>
      </c>
      <c r="B6" s="247"/>
      <c r="C6" s="248" t="s">
        <v>1244</v>
      </c>
      <c r="D6" s="248"/>
      <c r="E6" s="249" t="s">
        <v>1245</v>
      </c>
      <c r="F6" s="249"/>
      <c r="G6" s="250" t="s">
        <v>1246</v>
      </c>
      <c r="H6" s="250"/>
    </row>
    <row r="7" spans="1:8">
      <c r="A7" s="19"/>
      <c r="B7" s="19"/>
      <c r="C7" s="19"/>
      <c r="D7" s="19"/>
      <c r="E7" s="19"/>
      <c r="F7" s="19"/>
      <c r="G7" s="19"/>
      <c r="H7" s="19"/>
    </row>
    <row r="8" spans="1:8">
      <c r="A8" s="203" t="s">
        <v>1247</v>
      </c>
      <c r="B8" s="203" t="s">
        <v>1248</v>
      </c>
      <c r="C8" s="203" t="s">
        <v>1249</v>
      </c>
      <c r="D8" s="203" t="s">
        <v>1250</v>
      </c>
      <c r="E8" s="203" t="s">
        <v>347</v>
      </c>
      <c r="F8" s="203" t="s">
        <v>1251</v>
      </c>
      <c r="G8" s="203" t="s">
        <v>1252</v>
      </c>
      <c r="H8" s="203" t="s">
        <v>1253</v>
      </c>
    </row>
    <row r="9" spans="1:8" ht="51.75" customHeight="1">
      <c r="A9" s="205">
        <v>1</v>
      </c>
      <c r="B9" s="205" t="s">
        <v>1254</v>
      </c>
      <c r="C9" s="205" t="s">
        <v>1255</v>
      </c>
      <c r="D9" s="205" t="s">
        <v>1256</v>
      </c>
      <c r="E9" s="205" t="s">
        <v>1257</v>
      </c>
      <c r="F9" s="205" t="s">
        <v>1258</v>
      </c>
      <c r="G9" s="205" t="s">
        <v>1259</v>
      </c>
      <c r="H9" s="205" t="s">
        <v>1260</v>
      </c>
    </row>
    <row r="10" spans="1:8" ht="51.75" customHeight="1">
      <c r="A10" s="205">
        <v>2</v>
      </c>
      <c r="B10" s="205" t="s">
        <v>1261</v>
      </c>
      <c r="C10" s="205" t="s">
        <v>1262</v>
      </c>
      <c r="D10" s="205" t="s">
        <v>1263</v>
      </c>
      <c r="E10" s="205" t="s">
        <v>1264</v>
      </c>
      <c r="F10" s="205" t="s">
        <v>1265</v>
      </c>
      <c r="G10" s="205" t="s">
        <v>1266</v>
      </c>
      <c r="H10" s="205" t="s">
        <v>1267</v>
      </c>
    </row>
    <row r="11" spans="1:8" ht="51.75" customHeight="1">
      <c r="A11" s="205">
        <v>3</v>
      </c>
      <c r="B11" s="205" t="s">
        <v>1268</v>
      </c>
      <c r="C11" s="205" t="s">
        <v>1269</v>
      </c>
      <c r="D11" s="205" t="s">
        <v>1270</v>
      </c>
      <c r="E11" s="205" t="s">
        <v>1271</v>
      </c>
      <c r="F11" s="205" t="s">
        <v>1272</v>
      </c>
      <c r="G11" s="205" t="s">
        <v>1273</v>
      </c>
      <c r="H11" s="205" t="s">
        <v>1195</v>
      </c>
    </row>
    <row r="12" spans="1:8" ht="51.75" customHeight="1">
      <c r="A12" s="205">
        <v>4</v>
      </c>
      <c r="B12" s="205" t="s">
        <v>1274</v>
      </c>
      <c r="C12" s="205" t="s">
        <v>1275</v>
      </c>
      <c r="D12" s="205" t="s">
        <v>1276</v>
      </c>
      <c r="E12" s="205" t="s">
        <v>1277</v>
      </c>
      <c r="F12" s="205" t="s">
        <v>1278</v>
      </c>
      <c r="G12" s="205" t="s">
        <v>1279</v>
      </c>
      <c r="H12" s="205" t="s">
        <v>1280</v>
      </c>
    </row>
    <row r="13" spans="1:8" ht="51.75" customHeight="1">
      <c r="A13" s="205">
        <v>5</v>
      </c>
      <c r="B13" s="205" t="s">
        <v>969</v>
      </c>
      <c r="C13" s="205" t="s">
        <v>1281</v>
      </c>
      <c r="D13" s="205" t="s">
        <v>1282</v>
      </c>
      <c r="E13" s="205" t="s">
        <v>1283</v>
      </c>
      <c r="F13" s="205" t="s">
        <v>1284</v>
      </c>
      <c r="G13" s="205" t="s">
        <v>1285</v>
      </c>
      <c r="H13" s="205" t="s">
        <v>724</v>
      </c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296" t="s">
        <v>1286</v>
      </c>
      <c r="B15" s="298"/>
      <c r="C15" s="298"/>
      <c r="D15" s="298"/>
      <c r="E15" s="298"/>
      <c r="F15" s="298"/>
      <c r="G15" s="298"/>
      <c r="H15" s="298"/>
    </row>
    <row r="16" spans="1:8">
      <c r="A16" s="34" t="s">
        <v>344</v>
      </c>
      <c r="B16" s="34" t="s">
        <v>1137</v>
      </c>
      <c r="C16" s="34" t="s">
        <v>353</v>
      </c>
      <c r="D16" s="34" t="s">
        <v>1287</v>
      </c>
      <c r="E16" s="19"/>
      <c r="F16" s="19"/>
      <c r="G16" s="19"/>
      <c r="H16" s="19"/>
    </row>
    <row r="17" spans="1:8" ht="39.75" customHeight="1">
      <c r="A17" s="19" t="s">
        <v>355</v>
      </c>
      <c r="B17" s="19" t="s">
        <v>97</v>
      </c>
      <c r="C17" s="19" t="s">
        <v>362</v>
      </c>
      <c r="D17" s="19" t="s">
        <v>363</v>
      </c>
      <c r="E17" s="19"/>
      <c r="F17" s="19"/>
      <c r="G17" s="19"/>
      <c r="H17" s="19"/>
    </row>
    <row r="18" spans="1:8" ht="39.75" customHeight="1">
      <c r="A18" s="19" t="s">
        <v>364</v>
      </c>
      <c r="B18" s="19" t="s">
        <v>99</v>
      </c>
      <c r="C18" s="19" t="s">
        <v>362</v>
      </c>
      <c r="D18" s="19" t="s">
        <v>363</v>
      </c>
      <c r="E18" s="19"/>
      <c r="F18" s="19"/>
      <c r="G18" s="19"/>
      <c r="H18" s="19"/>
    </row>
    <row r="19" spans="1:8" ht="39.75" customHeight="1">
      <c r="A19" s="19" t="s">
        <v>368</v>
      </c>
      <c r="B19" s="19" t="s">
        <v>100</v>
      </c>
      <c r="C19" s="19" t="s">
        <v>362</v>
      </c>
      <c r="D19" s="19" t="s">
        <v>363</v>
      </c>
      <c r="E19" s="19"/>
      <c r="F19" s="19"/>
      <c r="G19" s="19"/>
      <c r="H19" s="19"/>
    </row>
    <row r="20" spans="1:8" ht="39.75" customHeight="1">
      <c r="A20" s="19" t="s">
        <v>373</v>
      </c>
      <c r="B20" s="19" t="s">
        <v>101</v>
      </c>
      <c r="C20" s="19" t="s">
        <v>362</v>
      </c>
      <c r="D20" s="19" t="s">
        <v>363</v>
      </c>
      <c r="E20" s="19"/>
      <c r="F20" s="19"/>
      <c r="G20" s="19"/>
      <c r="H20" s="19"/>
    </row>
    <row r="21" spans="1:8" ht="39.75" customHeight="1">
      <c r="A21" s="19" t="s">
        <v>378</v>
      </c>
      <c r="B21" s="19" t="s">
        <v>102</v>
      </c>
      <c r="C21" s="19" t="s">
        <v>362</v>
      </c>
      <c r="D21" s="19" t="s">
        <v>363</v>
      </c>
      <c r="E21" s="19"/>
      <c r="F21" s="19"/>
      <c r="G21" s="19"/>
      <c r="H21" s="19"/>
    </row>
    <row r="22" spans="1:8" ht="39.75" customHeight="1">
      <c r="A22" s="19" t="s">
        <v>384</v>
      </c>
      <c r="B22" s="19" t="s">
        <v>103</v>
      </c>
      <c r="C22" s="19" t="s">
        <v>362</v>
      </c>
      <c r="D22" s="19" t="s">
        <v>363</v>
      </c>
      <c r="E22" s="19"/>
      <c r="F22" s="19"/>
      <c r="G22" s="19"/>
      <c r="H22" s="19"/>
    </row>
    <row r="23" spans="1:8" ht="39.75" customHeight="1">
      <c r="A23" s="19" t="s">
        <v>389</v>
      </c>
      <c r="B23" s="19" t="s">
        <v>105</v>
      </c>
      <c r="C23" s="19" t="s">
        <v>394</v>
      </c>
      <c r="D23" s="19" t="s">
        <v>395</v>
      </c>
      <c r="E23" s="19"/>
      <c r="F23" s="19"/>
      <c r="G23" s="19"/>
      <c r="H23" s="19"/>
    </row>
    <row r="24" spans="1:8" ht="39.75" customHeight="1">
      <c r="A24" s="19" t="s">
        <v>396</v>
      </c>
      <c r="B24" s="19" t="s">
        <v>108</v>
      </c>
      <c r="C24" s="19" t="s">
        <v>394</v>
      </c>
      <c r="D24" s="19" t="s">
        <v>395</v>
      </c>
      <c r="E24" s="19"/>
      <c r="F24" s="19"/>
      <c r="G24" s="19"/>
      <c r="H24" s="19"/>
    </row>
    <row r="25" spans="1:8" ht="39.75" customHeight="1">
      <c r="A25" s="19" t="s">
        <v>399</v>
      </c>
      <c r="B25" s="19" t="s">
        <v>109</v>
      </c>
      <c r="C25" s="19" t="s">
        <v>394</v>
      </c>
      <c r="D25" s="19" t="s">
        <v>395</v>
      </c>
      <c r="E25" s="19"/>
      <c r="F25" s="19"/>
      <c r="G25" s="19"/>
      <c r="H25" s="19"/>
    </row>
    <row r="26" spans="1:8" ht="39.75" customHeight="1">
      <c r="A26" s="19" t="s">
        <v>403</v>
      </c>
      <c r="B26" s="19" t="s">
        <v>110</v>
      </c>
      <c r="C26" s="19" t="s">
        <v>394</v>
      </c>
      <c r="D26" s="19" t="s">
        <v>395</v>
      </c>
      <c r="E26" s="19"/>
      <c r="F26" s="19"/>
      <c r="G26" s="19"/>
      <c r="H26" s="19"/>
    </row>
    <row r="27" spans="1:8" ht="39.75" customHeight="1">
      <c r="A27" s="19" t="s">
        <v>406</v>
      </c>
      <c r="B27" s="19" t="s">
        <v>111</v>
      </c>
      <c r="C27" s="19" t="s">
        <v>410</v>
      </c>
      <c r="D27" s="19" t="s">
        <v>395</v>
      </c>
      <c r="E27" s="19"/>
      <c r="F27" s="19"/>
      <c r="G27" s="19"/>
      <c r="H27" s="19"/>
    </row>
    <row r="28" spans="1:8" ht="39.75" customHeight="1">
      <c r="A28" s="19" t="s">
        <v>417</v>
      </c>
      <c r="B28" s="19" t="s">
        <v>114</v>
      </c>
      <c r="C28" s="19" t="s">
        <v>394</v>
      </c>
      <c r="D28" s="19" t="s">
        <v>421</v>
      </c>
      <c r="E28" s="19"/>
      <c r="F28" s="19"/>
      <c r="G28" s="19"/>
      <c r="H28" s="19"/>
    </row>
    <row r="29" spans="1:8" ht="15.75" customHeight="1">
      <c r="A29" s="19"/>
      <c r="B29" s="19"/>
      <c r="C29" s="19"/>
      <c r="D29" s="19"/>
      <c r="E29" s="19"/>
      <c r="F29" s="19"/>
      <c r="G29" s="19"/>
      <c r="H29" s="19"/>
    </row>
    <row r="30" spans="1:8" ht="15.75" customHeight="1">
      <c r="A30" s="297" t="s">
        <v>1288</v>
      </c>
      <c r="B30" s="298"/>
      <c r="C30" s="298"/>
      <c r="D30" s="298"/>
      <c r="E30" s="298"/>
      <c r="F30" s="298"/>
      <c r="G30" s="298"/>
      <c r="H30" s="298"/>
    </row>
    <row r="31" spans="1:8" ht="15.75" customHeight="1">
      <c r="A31" s="251" t="s">
        <v>344</v>
      </c>
      <c r="B31" s="251" t="s">
        <v>1137</v>
      </c>
      <c r="C31" s="251" t="s">
        <v>353</v>
      </c>
      <c r="D31" s="251" t="s">
        <v>1289</v>
      </c>
      <c r="E31" s="19"/>
      <c r="F31" s="19"/>
      <c r="G31" s="19"/>
      <c r="H31" s="19"/>
    </row>
    <row r="32" spans="1:8" ht="39.75" customHeight="1">
      <c r="A32" s="19" t="s">
        <v>411</v>
      </c>
      <c r="B32" s="19" t="s">
        <v>112</v>
      </c>
      <c r="C32" s="19" t="s">
        <v>394</v>
      </c>
      <c r="D32" s="19" t="s">
        <v>416</v>
      </c>
      <c r="E32" s="19"/>
      <c r="F32" s="19"/>
      <c r="G32" s="19"/>
      <c r="H32" s="19"/>
    </row>
    <row r="33" spans="1:8" ht="39.75" customHeight="1">
      <c r="A33" s="19" t="s">
        <v>428</v>
      </c>
      <c r="B33" s="19" t="s">
        <v>117</v>
      </c>
      <c r="C33" s="19" t="s">
        <v>394</v>
      </c>
      <c r="D33" s="19" t="s">
        <v>416</v>
      </c>
      <c r="E33" s="19"/>
      <c r="F33" s="19"/>
      <c r="G33" s="19"/>
      <c r="H33" s="19"/>
    </row>
    <row r="34" spans="1:8" ht="39.75" customHeight="1">
      <c r="A34" s="19" t="s">
        <v>431</v>
      </c>
      <c r="B34" s="19" t="s">
        <v>118</v>
      </c>
      <c r="C34" s="19" t="s">
        <v>394</v>
      </c>
      <c r="D34" s="19" t="s">
        <v>435</v>
      </c>
      <c r="E34" s="19"/>
      <c r="F34" s="19"/>
      <c r="G34" s="19"/>
      <c r="H34" s="19"/>
    </row>
    <row r="35" spans="1:8" ht="39.75" customHeight="1">
      <c r="A35" s="19" t="s">
        <v>455</v>
      </c>
      <c r="B35" s="19" t="s">
        <v>127</v>
      </c>
      <c r="C35" s="19" t="s">
        <v>394</v>
      </c>
      <c r="D35" s="19" t="s">
        <v>435</v>
      </c>
      <c r="E35" s="19"/>
      <c r="F35" s="19"/>
      <c r="G35" s="19"/>
      <c r="H35" s="19"/>
    </row>
    <row r="36" spans="1:8" ht="39.75" customHeight="1">
      <c r="A36" s="19" t="s">
        <v>466</v>
      </c>
      <c r="B36" s="19" t="s">
        <v>131</v>
      </c>
      <c r="C36" s="19" t="s">
        <v>394</v>
      </c>
      <c r="D36" s="19" t="s">
        <v>470</v>
      </c>
      <c r="E36" s="19"/>
      <c r="F36" s="19"/>
      <c r="G36" s="19"/>
      <c r="H36" s="19"/>
    </row>
    <row r="37" spans="1:8" ht="39.75" customHeight="1">
      <c r="A37" s="19" t="s">
        <v>471</v>
      </c>
      <c r="B37" s="19" t="s">
        <v>132</v>
      </c>
      <c r="C37" s="19" t="s">
        <v>394</v>
      </c>
      <c r="D37" s="19" t="s">
        <v>474</v>
      </c>
      <c r="E37" s="19"/>
      <c r="F37" s="19"/>
      <c r="G37" s="19"/>
      <c r="H37" s="19"/>
    </row>
    <row r="38" spans="1:8" ht="39.75" customHeight="1">
      <c r="A38" s="19" t="s">
        <v>478</v>
      </c>
      <c r="B38" s="19" t="s">
        <v>134</v>
      </c>
      <c r="C38" s="19" t="s">
        <v>394</v>
      </c>
      <c r="D38" s="19" t="s">
        <v>481</v>
      </c>
      <c r="E38" s="19"/>
      <c r="F38" s="19"/>
      <c r="G38" s="19"/>
      <c r="H38" s="19"/>
    </row>
    <row r="39" spans="1:8" ht="39.75" customHeight="1">
      <c r="A39" s="19" t="s">
        <v>482</v>
      </c>
      <c r="B39" s="19" t="s">
        <v>135</v>
      </c>
      <c r="C39" s="19" t="s">
        <v>394</v>
      </c>
      <c r="D39" s="19" t="s">
        <v>435</v>
      </c>
      <c r="E39" s="19"/>
      <c r="F39" s="19"/>
      <c r="G39" s="19"/>
      <c r="H39" s="19"/>
    </row>
    <row r="40" spans="1:8" ht="39.75" customHeight="1">
      <c r="A40" s="19" t="s">
        <v>501</v>
      </c>
      <c r="B40" s="19" t="s">
        <v>141</v>
      </c>
      <c r="C40" s="19" t="s">
        <v>394</v>
      </c>
      <c r="D40" s="19" t="s">
        <v>481</v>
      </c>
      <c r="E40" s="19"/>
      <c r="F40" s="19"/>
      <c r="G40" s="19"/>
      <c r="H40" s="19"/>
    </row>
    <row r="41" spans="1:8" ht="39.75" customHeight="1">
      <c r="A41" s="19" t="s">
        <v>504</v>
      </c>
      <c r="B41" s="19" t="s">
        <v>142</v>
      </c>
      <c r="C41" s="19" t="s">
        <v>394</v>
      </c>
      <c r="D41" s="19" t="s">
        <v>435</v>
      </c>
      <c r="E41" s="19"/>
      <c r="F41" s="19"/>
      <c r="G41" s="19"/>
      <c r="H41" s="19"/>
    </row>
    <row r="42" spans="1:8" ht="39.75" customHeight="1">
      <c r="A42" s="19" t="s">
        <v>523</v>
      </c>
      <c r="B42" s="19" t="s">
        <v>151</v>
      </c>
      <c r="C42" s="19" t="s">
        <v>394</v>
      </c>
      <c r="D42" s="19" t="s">
        <v>481</v>
      </c>
      <c r="E42" s="19"/>
      <c r="F42" s="19"/>
      <c r="G42" s="19"/>
      <c r="H42" s="19"/>
    </row>
    <row r="43" spans="1:8" ht="39.75" customHeight="1">
      <c r="A43" s="19" t="s">
        <v>526</v>
      </c>
      <c r="B43" s="19" t="s">
        <v>152</v>
      </c>
      <c r="C43" s="19" t="s">
        <v>394</v>
      </c>
      <c r="D43" s="19" t="s">
        <v>435</v>
      </c>
      <c r="E43" s="19"/>
      <c r="F43" s="19"/>
      <c r="G43" s="19"/>
      <c r="H43" s="19"/>
    </row>
    <row r="44" spans="1:8" ht="15.75" customHeight="1">
      <c r="A44" s="19"/>
      <c r="B44" s="19"/>
      <c r="C44" s="19"/>
      <c r="D44" s="19"/>
      <c r="E44" s="19"/>
      <c r="F44" s="19"/>
      <c r="G44" s="19"/>
      <c r="H44" s="19"/>
    </row>
    <row r="45" spans="1:8" ht="15.75" customHeight="1">
      <c r="A45" s="291" t="s">
        <v>1290</v>
      </c>
      <c r="B45" s="298"/>
      <c r="C45" s="298"/>
      <c r="D45" s="298"/>
      <c r="E45" s="298"/>
      <c r="F45" s="298"/>
      <c r="G45" s="298"/>
      <c r="H45" s="298"/>
    </row>
    <row r="46" spans="1:8" ht="15.75" customHeight="1">
      <c r="A46" s="18" t="s">
        <v>344</v>
      </c>
      <c r="B46" s="18" t="s">
        <v>1137</v>
      </c>
      <c r="C46" s="18" t="s">
        <v>1291</v>
      </c>
      <c r="D46" s="18" t="s">
        <v>353</v>
      </c>
      <c r="E46" s="19"/>
      <c r="F46" s="19"/>
      <c r="G46" s="19"/>
      <c r="H46" s="19"/>
    </row>
    <row r="47" spans="1:8" ht="39.75" customHeight="1">
      <c r="A47" s="19" t="s">
        <v>389</v>
      </c>
      <c r="B47" s="19" t="s">
        <v>105</v>
      </c>
      <c r="C47" s="19" t="s">
        <v>361</v>
      </c>
      <c r="D47" s="19" t="s">
        <v>394</v>
      </c>
      <c r="E47" s="19"/>
      <c r="F47" s="19"/>
      <c r="G47" s="19"/>
      <c r="H47" s="19"/>
    </row>
    <row r="48" spans="1:8" ht="39.75" customHeight="1">
      <c r="A48" s="19" t="s">
        <v>396</v>
      </c>
      <c r="B48" s="19" t="s">
        <v>108</v>
      </c>
      <c r="C48" s="19" t="s">
        <v>361</v>
      </c>
      <c r="D48" s="19" t="s">
        <v>394</v>
      </c>
      <c r="E48" s="19"/>
      <c r="F48" s="19"/>
      <c r="G48" s="19"/>
      <c r="H48" s="19"/>
    </row>
    <row r="49" spans="1:8" ht="39.75" customHeight="1">
      <c r="A49" s="19" t="s">
        <v>399</v>
      </c>
      <c r="B49" s="19" t="s">
        <v>109</v>
      </c>
      <c r="C49" s="19" t="s">
        <v>361</v>
      </c>
      <c r="D49" s="19" t="s">
        <v>394</v>
      </c>
      <c r="E49" s="19"/>
      <c r="F49" s="19"/>
      <c r="G49" s="19"/>
      <c r="H49" s="19"/>
    </row>
    <row r="50" spans="1:8" ht="39.75" customHeight="1">
      <c r="A50" s="19" t="s">
        <v>403</v>
      </c>
      <c r="B50" s="19" t="s">
        <v>110</v>
      </c>
      <c r="C50" s="19" t="s">
        <v>361</v>
      </c>
      <c r="D50" s="19" t="s">
        <v>394</v>
      </c>
      <c r="E50" s="19"/>
      <c r="F50" s="19"/>
      <c r="G50" s="19"/>
      <c r="H50" s="19"/>
    </row>
    <row r="51" spans="1:8" ht="39.75" customHeight="1">
      <c r="A51" s="19" t="s">
        <v>406</v>
      </c>
      <c r="B51" s="19" t="s">
        <v>111</v>
      </c>
      <c r="C51" s="19" t="s">
        <v>361</v>
      </c>
      <c r="D51" s="19" t="s">
        <v>410</v>
      </c>
      <c r="E51" s="19"/>
      <c r="F51" s="19"/>
      <c r="G51" s="19"/>
      <c r="H51" s="19"/>
    </row>
    <row r="52" spans="1:8" ht="39.75" customHeight="1">
      <c r="A52" s="19" t="s">
        <v>411</v>
      </c>
      <c r="B52" s="19" t="s">
        <v>112</v>
      </c>
      <c r="C52" s="19" t="s">
        <v>415</v>
      </c>
      <c r="D52" s="19" t="s">
        <v>394</v>
      </c>
      <c r="E52" s="19"/>
      <c r="F52" s="19"/>
      <c r="G52" s="19"/>
      <c r="H52" s="19"/>
    </row>
    <row r="53" spans="1:8" ht="39.75" customHeight="1">
      <c r="A53" s="19" t="s">
        <v>417</v>
      </c>
      <c r="B53" s="19" t="s">
        <v>114</v>
      </c>
      <c r="C53" s="19" t="s">
        <v>361</v>
      </c>
      <c r="D53" s="19" t="s">
        <v>394</v>
      </c>
      <c r="E53" s="19"/>
      <c r="F53" s="19"/>
      <c r="G53" s="19"/>
      <c r="H53" s="19"/>
    </row>
    <row r="54" spans="1:8" ht="39.75" customHeight="1">
      <c r="A54" s="19" t="s">
        <v>422</v>
      </c>
      <c r="B54" s="19" t="s">
        <v>115</v>
      </c>
      <c r="C54" s="19" t="s">
        <v>361</v>
      </c>
      <c r="D54" s="19" t="s">
        <v>394</v>
      </c>
      <c r="E54" s="19"/>
      <c r="F54" s="19"/>
      <c r="G54" s="19"/>
      <c r="H54" s="19"/>
    </row>
    <row r="55" spans="1:8" ht="39.75" customHeight="1">
      <c r="A55" s="19" t="s">
        <v>425</v>
      </c>
      <c r="B55" s="19" t="s">
        <v>116</v>
      </c>
      <c r="C55" s="19" t="s">
        <v>361</v>
      </c>
      <c r="D55" s="19" t="s">
        <v>394</v>
      </c>
      <c r="E55" s="19"/>
      <c r="F55" s="19"/>
      <c r="G55" s="19"/>
      <c r="H55" s="19"/>
    </row>
    <row r="56" spans="1:8" ht="39.75" customHeight="1">
      <c r="A56" s="19" t="s">
        <v>428</v>
      </c>
      <c r="B56" s="19" t="s">
        <v>117</v>
      </c>
      <c r="C56" s="19" t="s">
        <v>415</v>
      </c>
      <c r="D56" s="19" t="s">
        <v>394</v>
      </c>
      <c r="E56" s="19"/>
      <c r="F56" s="19"/>
      <c r="G56" s="19"/>
      <c r="H56" s="19"/>
    </row>
    <row r="57" spans="1:8" ht="39.75" customHeight="1">
      <c r="A57" s="19" t="s">
        <v>431</v>
      </c>
      <c r="B57" s="19" t="s">
        <v>118</v>
      </c>
      <c r="C57" s="19" t="s">
        <v>415</v>
      </c>
      <c r="D57" s="19" t="s">
        <v>394</v>
      </c>
      <c r="E57" s="19"/>
      <c r="F57" s="19"/>
      <c r="G57" s="19"/>
      <c r="H57" s="19"/>
    </row>
    <row r="58" spans="1:8" ht="39.75" customHeight="1">
      <c r="A58" s="19" t="s">
        <v>436</v>
      </c>
      <c r="B58" s="19" t="s">
        <v>120</v>
      </c>
      <c r="C58" s="19" t="s">
        <v>361</v>
      </c>
      <c r="D58" s="19" t="s">
        <v>394</v>
      </c>
      <c r="E58" s="19"/>
      <c r="F58" s="19"/>
      <c r="G58" s="19"/>
      <c r="H58" s="19"/>
    </row>
    <row r="59" spans="1:8" ht="15.75" customHeight="1">
      <c r="A59" s="19"/>
      <c r="B59" s="19"/>
      <c r="C59" s="19"/>
      <c r="D59" s="19"/>
      <c r="E59" s="19"/>
      <c r="F59" s="19"/>
      <c r="G59" s="19"/>
      <c r="H59" s="19"/>
    </row>
    <row r="60" spans="1:8" ht="15.75" customHeight="1">
      <c r="A60" s="293" t="s">
        <v>1292</v>
      </c>
      <c r="B60" s="298"/>
      <c r="C60" s="298"/>
      <c r="D60" s="298"/>
      <c r="E60" s="298"/>
      <c r="F60" s="298"/>
      <c r="G60" s="298"/>
      <c r="H60" s="298"/>
    </row>
    <row r="61" spans="1:8" ht="15.75" customHeight="1">
      <c r="A61" s="252" t="s">
        <v>344</v>
      </c>
      <c r="B61" s="252" t="s">
        <v>1137</v>
      </c>
      <c r="C61" s="252" t="s">
        <v>831</v>
      </c>
      <c r="D61" s="252" t="s">
        <v>944</v>
      </c>
      <c r="E61" s="19"/>
      <c r="F61" s="19"/>
      <c r="G61" s="19"/>
      <c r="H61" s="19"/>
    </row>
    <row r="62" spans="1:8" ht="39.75" customHeight="1">
      <c r="A62" s="19" t="s">
        <v>603</v>
      </c>
      <c r="B62" s="19" t="s">
        <v>179</v>
      </c>
      <c r="C62" s="19" t="s">
        <v>610</v>
      </c>
      <c r="D62" s="19" t="s">
        <v>611</v>
      </c>
      <c r="E62" s="19"/>
      <c r="F62" s="19"/>
      <c r="G62" s="19"/>
      <c r="H62" s="19"/>
    </row>
    <row r="63" spans="1:8" ht="39.75" customHeight="1">
      <c r="A63" s="19" t="s">
        <v>770</v>
      </c>
      <c r="B63" s="19" t="s">
        <v>233</v>
      </c>
      <c r="C63" s="19" t="s">
        <v>610</v>
      </c>
      <c r="D63" s="19" t="s">
        <v>776</v>
      </c>
      <c r="E63" s="19"/>
      <c r="F63" s="19"/>
      <c r="G63" s="19"/>
      <c r="H63" s="19"/>
    </row>
    <row r="64" spans="1:8" ht="39.75" customHeight="1">
      <c r="A64" s="19" t="s">
        <v>777</v>
      </c>
      <c r="B64" s="19" t="s">
        <v>234</v>
      </c>
      <c r="C64" s="19" t="s">
        <v>610</v>
      </c>
      <c r="D64" s="19" t="s">
        <v>776</v>
      </c>
      <c r="E64" s="19"/>
      <c r="F64" s="19"/>
      <c r="G64" s="19"/>
      <c r="H64" s="19"/>
    </row>
    <row r="65" spans="1:8" ht="39.75" customHeight="1">
      <c r="A65" s="19" t="s">
        <v>780</v>
      </c>
      <c r="B65" s="19" t="s">
        <v>235</v>
      </c>
      <c r="C65" s="19" t="s">
        <v>610</v>
      </c>
      <c r="D65" s="19" t="s">
        <v>776</v>
      </c>
      <c r="E65" s="19"/>
      <c r="F65" s="19"/>
      <c r="G65" s="19"/>
      <c r="H65" s="19"/>
    </row>
    <row r="66" spans="1:8" ht="39.75" customHeight="1">
      <c r="A66" s="19" t="s">
        <v>783</v>
      </c>
      <c r="B66" s="19" t="s">
        <v>236</v>
      </c>
      <c r="C66" s="19" t="s">
        <v>610</v>
      </c>
      <c r="D66" s="19" t="s">
        <v>776</v>
      </c>
      <c r="E66" s="19"/>
      <c r="F66" s="19"/>
      <c r="G66" s="19"/>
      <c r="H66" s="19"/>
    </row>
    <row r="67" spans="1:8" ht="39.75" customHeight="1">
      <c r="A67" s="19" t="s">
        <v>786</v>
      </c>
      <c r="B67" s="19" t="s">
        <v>238</v>
      </c>
      <c r="C67" s="19" t="s">
        <v>610</v>
      </c>
      <c r="D67" s="19" t="s">
        <v>776</v>
      </c>
      <c r="E67" s="19"/>
      <c r="F67" s="19"/>
      <c r="G67" s="19"/>
      <c r="H67" s="19"/>
    </row>
    <row r="68" spans="1:8" ht="39.75" customHeight="1">
      <c r="A68" s="19" t="s">
        <v>790</v>
      </c>
      <c r="B68" s="19" t="s">
        <v>239</v>
      </c>
      <c r="C68" s="19" t="s">
        <v>610</v>
      </c>
      <c r="D68" s="19" t="s">
        <v>776</v>
      </c>
      <c r="E68" s="19"/>
      <c r="F68" s="19"/>
      <c r="G68" s="19"/>
      <c r="H68" s="19"/>
    </row>
    <row r="69" spans="1:8" ht="39.75" customHeight="1">
      <c r="A69" s="19" t="s">
        <v>793</v>
      </c>
      <c r="B69" s="19" t="s">
        <v>240</v>
      </c>
      <c r="C69" s="19" t="s">
        <v>610</v>
      </c>
      <c r="D69" s="19" t="s">
        <v>776</v>
      </c>
      <c r="E69" s="19"/>
      <c r="F69" s="19"/>
      <c r="G69" s="19"/>
      <c r="H69" s="19"/>
    </row>
    <row r="70" spans="1:8" ht="39.75" customHeight="1">
      <c r="A70" s="19" t="s">
        <v>796</v>
      </c>
      <c r="B70" s="19" t="s">
        <v>241</v>
      </c>
      <c r="C70" s="19" t="s">
        <v>610</v>
      </c>
      <c r="D70" s="19" t="s">
        <v>776</v>
      </c>
      <c r="E70" s="19"/>
      <c r="F70" s="19"/>
      <c r="G70" s="19"/>
      <c r="H70" s="19"/>
    </row>
    <row r="71" spans="1:8" ht="15.75" customHeight="1">
      <c r="A71" s="19"/>
      <c r="B71" s="19"/>
      <c r="C71" s="19"/>
      <c r="D71" s="19"/>
      <c r="E71" s="19"/>
      <c r="F71" s="19"/>
      <c r="G71" s="19"/>
      <c r="H71" s="19"/>
    </row>
    <row r="72" spans="1:8" ht="15.75" customHeight="1">
      <c r="A72" s="19"/>
      <c r="B72" s="19"/>
      <c r="C72" s="19"/>
      <c r="D72" s="19"/>
      <c r="E72" s="19"/>
      <c r="F72" s="19"/>
      <c r="G72" s="19"/>
      <c r="H72" s="19"/>
    </row>
    <row r="73" spans="1:8" ht="15.75" customHeight="1">
      <c r="A73" s="19"/>
      <c r="B73" s="19"/>
      <c r="C73" s="19"/>
      <c r="D73" s="19"/>
      <c r="E73" s="19"/>
      <c r="F73" s="19"/>
      <c r="G73" s="19"/>
      <c r="H73" s="19"/>
    </row>
    <row r="74" spans="1:8" ht="15.75" customHeight="1">
      <c r="A74" s="19"/>
      <c r="B74" s="19"/>
      <c r="C74" s="19"/>
      <c r="D74" s="19"/>
      <c r="E74" s="19"/>
      <c r="F74" s="19"/>
      <c r="G74" s="19"/>
      <c r="H74" s="19"/>
    </row>
    <row r="75" spans="1:8" ht="15.75" customHeight="1">
      <c r="A75" s="19"/>
      <c r="B75" s="19"/>
      <c r="C75" s="19"/>
      <c r="D75" s="19"/>
      <c r="E75" s="19"/>
      <c r="F75" s="19"/>
      <c r="G75" s="19"/>
      <c r="H75" s="19"/>
    </row>
    <row r="76" spans="1:8" ht="15.75" customHeight="1"/>
    <row r="77" spans="1:8" ht="15.75" customHeight="1"/>
    <row r="78" spans="1:8" ht="15.75" customHeight="1"/>
    <row r="79" spans="1:8" ht="15.75" customHeight="1"/>
    <row r="80" spans="1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60:H60"/>
    <mergeCell ref="A1:H1"/>
    <mergeCell ref="A2:H2"/>
    <mergeCell ref="A15:H15"/>
    <mergeCell ref="A30:H30"/>
    <mergeCell ref="A45:H4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Props1.xml><?xml version="1.0" encoding="utf-8"?>
<ds:datastoreItem xmlns:ds="http://schemas.openxmlformats.org/officeDocument/2006/customXml" ds:itemID="{6890A559-7EB6-4348-AB23-D6A9D9699790}"/>
</file>

<file path=customXml/itemProps2.xml><?xml version="1.0" encoding="utf-8"?>
<ds:datastoreItem xmlns:ds="http://schemas.openxmlformats.org/officeDocument/2006/customXml" ds:itemID="{7CA6CBCC-BD1C-4088-8BC3-F9FED2EFB686}"/>
</file>

<file path=customXml/itemProps3.xml><?xml version="1.0" encoding="utf-8"?>
<ds:datastoreItem xmlns:ds="http://schemas.openxmlformats.org/officeDocument/2006/customXml" ds:itemID="{CB306AC0-6ED8-4DDF-A868-3B2563B91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三ツ井　涼太</cp:lastModifiedBy>
  <cp:revision/>
  <dcterms:created xsi:type="dcterms:W3CDTF">2026-08-19T05:18:07Z</dcterms:created>
  <dcterms:modified xsi:type="dcterms:W3CDTF">2026-08-26T00:21:50Z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  <property fmtid="{D5CDD505-2E9C-101B-9397-08002B2CF9AE}" pid="3" name="MediaServiceImageTags">
    <vt:lpwstr/>
  </property>
</Properties>
</file>