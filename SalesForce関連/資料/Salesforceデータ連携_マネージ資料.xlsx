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atgroup.sharepoint.com/sites/TEC_U-SLIM879/Shared Documents/General/99_Work/06_Whizen/manage/モビリコ/"/>
    </mc:Choice>
  </mc:AlternateContent>
  <xr:revisionPtr revIDLastSave="1088" documentId="8_{1CF933E4-ACAD-4DBE-A140-CDA181FF6F01}" xr6:coauthVersionLast="47" xr6:coauthVersionMax="47" xr10:uidLastSave="{085FAE2C-4109-40F8-9A06-BEE1F70ED8EA}"/>
  <bookViews>
    <workbookView xWindow="-120" yWindow="-120" windowWidth="29040" windowHeight="15720" xr2:uid="{00000000-000D-0000-FFFF-FFFF00000000}"/>
  </bookViews>
  <sheets>
    <sheet name="概算お見積り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ITYrnSl+CgxA5h0fO/n0lF8fNdt/4yQCPRB4Gfpnip8="/>
    </ext>
  </extLst>
</workbook>
</file>

<file path=xl/calcChain.xml><?xml version="1.0" encoding="utf-8"?>
<calcChain xmlns="http://schemas.openxmlformats.org/spreadsheetml/2006/main">
  <c r="G20" i="11" l="1"/>
  <c r="G19" i="11"/>
  <c r="G15" i="11"/>
  <c r="G18" i="11"/>
  <c r="G8" i="11"/>
  <c r="G7" i="11"/>
  <c r="G6" i="11"/>
  <c r="K5" i="11"/>
  <c r="K4" i="11"/>
  <c r="G11" i="11"/>
  <c r="G10" i="11"/>
  <c r="G5" i="11"/>
  <c r="G12" i="11"/>
  <c r="G13" i="11"/>
  <c r="G14" i="11"/>
  <c r="G16" i="11"/>
  <c r="G17" i="11"/>
  <c r="G21" i="11"/>
  <c r="G22" i="11"/>
  <c r="G9" i="11"/>
  <c r="G23" i="11" s="1"/>
  <c r="E23" i="11"/>
</calcChain>
</file>

<file path=xl/sharedStrings.xml><?xml version="1.0" encoding="utf-8"?>
<sst xmlns="http://schemas.openxmlformats.org/spreadsheetml/2006/main" count="62" uniqueCount="41">
  <si>
    <t>Salesforceデータ連携案件 初期開発 概算お見積り</t>
  </si>
  <si>
    <t>単価情報</t>
  </si>
  <si>
    <t>費目情報</t>
  </si>
  <si>
    <t>コスト情報</t>
  </si>
  <si>
    <t>人月</t>
  </si>
  <si>
    <t>人日</t>
  </si>
  <si>
    <t>カテゴリ</t>
  </si>
  <si>
    <t>タスク</t>
  </si>
  <si>
    <t>単価</t>
  </si>
  <si>
    <t>工数</t>
  </si>
  <si>
    <t>単位</t>
  </si>
  <si>
    <t>小計（税抜き）</t>
  </si>
  <si>
    <t>管理</t>
  </si>
  <si>
    <t>要件定義</t>
  </si>
  <si>
    <t>調査</t>
  </si>
  <si>
    <t>一般</t>
  </si>
  <si>
    <t>定義書作成</t>
  </si>
  <si>
    <t>基本設計</t>
  </si>
  <si>
    <t>構成図作成</t>
  </si>
  <si>
    <t>方式設計</t>
  </si>
  <si>
    <t>セキュリティ</t>
  </si>
  <si>
    <t>詳細設計</t>
  </si>
  <si>
    <t>実装</t>
  </si>
  <si>
    <t>単体テスト</t>
  </si>
  <si>
    <t>ネットワーク</t>
  </si>
  <si>
    <t>疎通確認</t>
  </si>
  <si>
    <t>データソース</t>
  </si>
  <si>
    <t>NiFI for Salesforce連携開発（データ取得）</t>
  </si>
  <si>
    <t>NiFI for Salesforce連携開発（データ保存）</t>
  </si>
  <si>
    <t>結合テスト</t>
  </si>
  <si>
    <t>テスト設計</t>
  </si>
  <si>
    <t>テスト実施</t>
  </si>
  <si>
    <t>リリース対応</t>
  </si>
  <si>
    <t>設計</t>
  </si>
  <si>
    <t>実施</t>
  </si>
  <si>
    <t>プロジェクト管理</t>
  </si>
  <si>
    <t>PM</t>
  </si>
  <si>
    <t>※窓口対応・進行管理・ディレクション</t>
  </si>
  <si>
    <t>PL</t>
  </si>
  <si>
    <t>補足</t>
  </si>
  <si>
    <t>・対象となるSalesforceは2販社分を想定
　※追加で対象販社を増やす場合には、別途計画、お見積もりとさせてください。
・セキュリティ要件（特に個人情報の取り扱い）についてはTMCより提示をお願いいたします。
・追加の作業が必要な場合は改めてお見積りとさせてください。
・納期：要件確定後に別途ご相談とさせてください。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</si>
</sst>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&quot;¥&quot;#,##0_);[Red]\(&quot;¥&quot;#,##0\)"/>
  </numFmts>
  <fonts count="7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8" xfId="0" applyBorder="1"/>
    <xf numFmtId="0" fontId="0" fillId="0" borderId="51" xfId="0" applyBorder="1"/>
    <xf numFmtId="0" fontId="0" fillId="0" borderId="35" xfId="0" applyBorder="1"/>
    <xf numFmtId="0" fontId="0" fillId="0" borderId="19" xfId="0" applyBorder="1"/>
    <xf numFmtId="0" fontId="0" fillId="0" borderId="36" xfId="0" applyBorder="1"/>
    <xf numFmtId="0" fontId="0" fillId="0" borderId="52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4" fillId="0" borderId="1" xfId="0" applyFont="1" applyBorder="1"/>
    <xf numFmtId="41" fontId="0" fillId="0" borderId="22" xfId="0" applyNumberFormat="1" applyBorder="1" applyAlignment="1">
      <alignment vertical="center"/>
    </xf>
    <xf numFmtId="41" fontId="0" fillId="0" borderId="23" xfId="0" applyNumberFormat="1" applyBorder="1" applyAlignment="1">
      <alignment vertical="center"/>
    </xf>
    <xf numFmtId="41" fontId="0" fillId="0" borderId="29" xfId="0" applyNumberFormat="1" applyBorder="1" applyAlignment="1">
      <alignment vertical="center"/>
    </xf>
    <xf numFmtId="41" fontId="0" fillId="0" borderId="53" xfId="0" applyNumberFormat="1" applyBorder="1" applyAlignment="1">
      <alignment vertical="center"/>
    </xf>
    <xf numFmtId="41" fontId="0" fillId="0" borderId="25" xfId="0" applyNumberFormat="1" applyBorder="1" applyAlignment="1">
      <alignment vertical="center"/>
    </xf>
    <xf numFmtId="41" fontId="0" fillId="0" borderId="38" xfId="0" applyNumberFormat="1" applyBorder="1" applyAlignment="1">
      <alignment vertical="center"/>
    </xf>
    <xf numFmtId="0" fontId="0" fillId="0" borderId="41" xfId="0" applyBorder="1"/>
    <xf numFmtId="41" fontId="0" fillId="0" borderId="26" xfId="0" applyNumberFormat="1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41" fontId="0" fillId="0" borderId="27" xfId="0" applyNumberFormat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176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0" fontId="5" fillId="0" borderId="0" xfId="0" quotePrefix="1" applyFont="1"/>
    <xf numFmtId="41" fontId="0" fillId="0" borderId="31" xfId="0" applyNumberFormat="1" applyBorder="1" applyAlignment="1">
      <alignment vertical="center"/>
    </xf>
    <xf numFmtId="41" fontId="0" fillId="0" borderId="60" xfId="0" applyNumberFormat="1" applyBorder="1" applyAlignment="1">
      <alignment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0" fillId="3" borderId="61" xfId="0" applyFill="1" applyBorder="1"/>
    <xf numFmtId="0" fontId="0" fillId="3" borderId="62" xfId="0" applyFill="1" applyBorder="1"/>
    <xf numFmtId="0" fontId="0" fillId="3" borderId="63" xfId="0" applyFill="1" applyBorder="1"/>
    <xf numFmtId="0" fontId="0" fillId="0" borderId="64" xfId="0" applyBorder="1"/>
    <xf numFmtId="176" fontId="0" fillId="0" borderId="41" xfId="0" applyNumberFormat="1" applyBorder="1"/>
    <xf numFmtId="176" fontId="0" fillId="0" borderId="65" xfId="0" applyNumberFormat="1" applyBorder="1"/>
    <xf numFmtId="176" fontId="0" fillId="0" borderId="37" xfId="0" applyNumberFormat="1" applyBorder="1"/>
    <xf numFmtId="176" fontId="0" fillId="0" borderId="66" xfId="0" applyNumberFormat="1" applyBorder="1"/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0" fontId="0" fillId="0" borderId="21" xfId="0" applyBorder="1"/>
    <xf numFmtId="0" fontId="0" fillId="0" borderId="33" xfId="0" applyBorder="1"/>
    <xf numFmtId="0" fontId="0" fillId="0" borderId="34" xfId="0" applyBorder="1"/>
    <xf numFmtId="0" fontId="0" fillId="0" borderId="24" xfId="0" applyBorder="1"/>
    <xf numFmtId="0" fontId="0" fillId="0" borderId="14" xfId="0" applyBorder="1"/>
    <xf numFmtId="41" fontId="0" fillId="0" borderId="32" xfId="0" applyNumberFormat="1" applyBorder="1" applyAlignment="1">
      <alignment vertical="center"/>
    </xf>
    <xf numFmtId="0" fontId="0" fillId="0" borderId="20" xfId="0" applyBorder="1" applyAlignment="1">
      <alignment wrapText="1"/>
    </xf>
    <xf numFmtId="0" fontId="0" fillId="0" borderId="30" xfId="0" applyBorder="1"/>
    <xf numFmtId="0" fontId="0" fillId="0" borderId="35" xfId="0" applyBorder="1" applyAlignment="1">
      <alignment vertical="top"/>
    </xf>
    <xf numFmtId="41" fontId="0" fillId="0" borderId="67" xfId="0" applyNumberFormat="1" applyBorder="1" applyAlignment="1">
      <alignment vertical="center"/>
    </xf>
    <xf numFmtId="0" fontId="0" fillId="0" borderId="51" xfId="0" applyBorder="1" applyAlignment="1">
      <alignment vertical="top"/>
    </xf>
    <xf numFmtId="176" fontId="0" fillId="0" borderId="1" xfId="0" applyNumberFormat="1" applyBorder="1"/>
    <xf numFmtId="0" fontId="0" fillId="0" borderId="68" xfId="0" applyBorder="1"/>
    <xf numFmtId="0" fontId="0" fillId="0" borderId="19" xfId="0" applyBorder="1" applyAlignment="1">
      <alignment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6" fillId="0" borderId="0" xfId="0" applyFont="1"/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D9E2F3"/>
      <color rgb="FF6AA8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87DB-7209-41A7-8290-F6B8DDE59D8B}">
  <dimension ref="A2:L38"/>
  <sheetViews>
    <sheetView showGridLines="0" tabSelected="1" workbookViewId="0">
      <selection activeCell="A32" sqref="A32:XFD33"/>
    </sheetView>
  </sheetViews>
  <sheetFormatPr defaultRowHeight="15"/>
  <cols>
    <col min="1" max="1" width="6.28515625" customWidth="1"/>
    <col min="2" max="2" width="40.7109375" customWidth="1"/>
    <col min="3" max="3" width="41.7109375" customWidth="1"/>
    <col min="4" max="4" width="17.7109375" customWidth="1"/>
    <col min="5" max="5" width="15.85546875" customWidth="1"/>
    <col min="6" max="6" width="11.85546875" customWidth="1"/>
    <col min="7" max="7" width="27" customWidth="1"/>
    <col min="10" max="10" width="12.140625" customWidth="1"/>
    <col min="11" max="11" width="12.85546875" bestFit="1" customWidth="1"/>
  </cols>
  <sheetData>
    <row r="2" spans="1:12" ht="27" customHeight="1">
      <c r="B2" s="19" t="s">
        <v>0</v>
      </c>
      <c r="C2" s="1"/>
      <c r="D2" s="1"/>
      <c r="E2" s="1"/>
      <c r="F2" s="1"/>
      <c r="G2" s="1"/>
      <c r="I2" s="1" t="s">
        <v>1</v>
      </c>
      <c r="J2" s="1"/>
      <c r="K2" s="1"/>
    </row>
    <row r="3" spans="1:12">
      <c r="A3" s="1"/>
      <c r="B3" s="81" t="s">
        <v>2</v>
      </c>
      <c r="C3" s="79"/>
      <c r="D3" s="78" t="s">
        <v>3</v>
      </c>
      <c r="E3" s="79"/>
      <c r="F3" s="79"/>
      <c r="G3" s="80"/>
      <c r="H3" s="1"/>
      <c r="I3" s="44"/>
      <c r="J3" s="45" t="s">
        <v>4</v>
      </c>
      <c r="K3" s="46" t="s">
        <v>5</v>
      </c>
    </row>
    <row r="4" spans="1:12">
      <c r="A4" s="1"/>
      <c r="B4" s="38" t="s">
        <v>6</v>
      </c>
      <c r="C4" s="39" t="s">
        <v>7</v>
      </c>
      <c r="D4" s="40" t="s">
        <v>8</v>
      </c>
      <c r="E4" s="41" t="s">
        <v>9</v>
      </c>
      <c r="F4" s="42" t="s">
        <v>10</v>
      </c>
      <c r="G4" s="43" t="s">
        <v>11</v>
      </c>
      <c r="H4" s="1"/>
      <c r="I4" s="47" t="s">
        <v>12</v>
      </c>
      <c r="J4" s="48">
        <v>1750000</v>
      </c>
      <c r="K4" s="49">
        <f>J4/20</f>
        <v>87500</v>
      </c>
      <c r="L4" s="1"/>
    </row>
    <row r="5" spans="1:12">
      <c r="A5" s="1"/>
      <c r="B5" s="67" t="s">
        <v>13</v>
      </c>
      <c r="C5" s="26" t="s">
        <v>14</v>
      </c>
      <c r="D5" s="20">
        <v>75000</v>
      </c>
      <c r="E5" s="52">
        <v>5</v>
      </c>
      <c r="F5" s="29" t="s">
        <v>5</v>
      </c>
      <c r="G5" s="21">
        <f>SUM(D5*E5)</f>
        <v>375000</v>
      </c>
      <c r="H5" s="1"/>
      <c r="I5" s="7" t="s">
        <v>15</v>
      </c>
      <c r="J5" s="50">
        <v>1500000</v>
      </c>
      <c r="K5" s="51">
        <f>J5/20</f>
        <v>75000</v>
      </c>
      <c r="L5" s="1"/>
    </row>
    <row r="6" spans="1:12">
      <c r="A6" s="1"/>
      <c r="B6" s="4"/>
      <c r="C6" s="3" t="s">
        <v>16</v>
      </c>
      <c r="D6" s="37">
        <v>75000</v>
      </c>
      <c r="E6" s="12">
        <v>5</v>
      </c>
      <c r="F6" s="10" t="s">
        <v>5</v>
      </c>
      <c r="G6" s="64">
        <f>SUM(D6*E6)</f>
        <v>375000</v>
      </c>
      <c r="H6" s="1"/>
      <c r="I6" s="1"/>
      <c r="J6" s="66"/>
      <c r="K6" s="66"/>
      <c r="L6" s="1"/>
    </row>
    <row r="7" spans="1:12">
      <c r="A7" s="1"/>
      <c r="B7" s="5" t="s">
        <v>17</v>
      </c>
      <c r="C7" s="26" t="s">
        <v>18</v>
      </c>
      <c r="D7" s="27">
        <v>75000</v>
      </c>
      <c r="E7" s="52">
        <v>5</v>
      </c>
      <c r="F7" s="29" t="s">
        <v>5</v>
      </c>
      <c r="G7" s="30">
        <f t="shared" ref="G7:G8" si="0">SUM(D7*E7)</f>
        <v>375000</v>
      </c>
      <c r="H7" s="1"/>
      <c r="L7" s="1"/>
    </row>
    <row r="8" spans="1:12">
      <c r="A8" s="1"/>
      <c r="B8" s="4"/>
      <c r="C8" s="54" t="s">
        <v>19</v>
      </c>
      <c r="D8" s="27">
        <v>75000</v>
      </c>
      <c r="E8" s="52">
        <v>5</v>
      </c>
      <c r="F8" s="29" t="s">
        <v>5</v>
      </c>
      <c r="G8" s="30">
        <f t="shared" si="0"/>
        <v>375000</v>
      </c>
      <c r="H8" s="1"/>
      <c r="L8" s="1"/>
    </row>
    <row r="9" spans="1:12">
      <c r="A9" s="1"/>
      <c r="B9" s="6" t="s">
        <v>20</v>
      </c>
      <c r="C9" s="55" t="s">
        <v>21</v>
      </c>
      <c r="D9" s="20">
        <v>75000</v>
      </c>
      <c r="E9" s="13">
        <v>5</v>
      </c>
      <c r="F9" s="9" t="s">
        <v>5</v>
      </c>
      <c r="G9" s="21">
        <f>SUM(D9*E9)</f>
        <v>375000</v>
      </c>
      <c r="H9" s="1"/>
    </row>
    <row r="10" spans="1:12">
      <c r="A10" s="1"/>
      <c r="B10" s="6"/>
      <c r="C10" s="56" t="s">
        <v>22</v>
      </c>
      <c r="D10" s="24">
        <v>75000</v>
      </c>
      <c r="E10" s="14">
        <v>8</v>
      </c>
      <c r="F10" s="15" t="s">
        <v>5</v>
      </c>
      <c r="G10" s="22">
        <f t="shared" ref="G10:G11" si="1">SUM(D10*E10)</f>
        <v>600000</v>
      </c>
      <c r="H10" s="1"/>
    </row>
    <row r="11" spans="1:12">
      <c r="A11" s="1"/>
      <c r="B11" s="6"/>
      <c r="C11" s="59" t="s">
        <v>23</v>
      </c>
      <c r="D11" s="36">
        <v>75000</v>
      </c>
      <c r="E11" s="16">
        <v>3</v>
      </c>
      <c r="F11" s="17" t="s">
        <v>5</v>
      </c>
      <c r="G11" s="60">
        <f t="shared" si="1"/>
        <v>225000</v>
      </c>
      <c r="H11" s="1"/>
    </row>
    <row r="12" spans="1:12" ht="16.5" customHeight="1">
      <c r="A12" s="1"/>
      <c r="B12" s="5" t="s">
        <v>24</v>
      </c>
      <c r="C12" s="61" t="s">
        <v>25</v>
      </c>
      <c r="D12" s="27">
        <v>75000</v>
      </c>
      <c r="E12" s="52">
        <v>2</v>
      </c>
      <c r="F12" s="29" t="s">
        <v>5</v>
      </c>
      <c r="G12" s="30">
        <f t="shared" ref="G12:G22" si="2">SUM(D12*E12)</f>
        <v>150000</v>
      </c>
      <c r="H12" s="1"/>
      <c r="L12" s="1"/>
    </row>
    <row r="13" spans="1:12">
      <c r="A13" s="1"/>
      <c r="B13" s="5" t="s">
        <v>26</v>
      </c>
      <c r="C13" s="55" t="s">
        <v>21</v>
      </c>
      <c r="D13" s="20">
        <v>75000</v>
      </c>
      <c r="E13" s="13">
        <v>5</v>
      </c>
      <c r="F13" s="9" t="s">
        <v>5</v>
      </c>
      <c r="G13" s="21">
        <f t="shared" si="2"/>
        <v>375000</v>
      </c>
      <c r="H13" s="1"/>
    </row>
    <row r="14" spans="1:12">
      <c r="A14" s="1"/>
      <c r="B14" s="6"/>
      <c r="C14" s="58" t="s">
        <v>27</v>
      </c>
      <c r="D14" s="24">
        <v>75000</v>
      </c>
      <c r="E14" s="14">
        <v>8</v>
      </c>
      <c r="F14" s="15" t="s">
        <v>5</v>
      </c>
      <c r="G14" s="22">
        <f t="shared" si="2"/>
        <v>600000</v>
      </c>
      <c r="H14" s="1"/>
    </row>
    <row r="15" spans="1:12">
      <c r="A15" s="1"/>
      <c r="B15" s="6"/>
      <c r="C15" s="57" t="s">
        <v>28</v>
      </c>
      <c r="D15" s="24">
        <v>75000</v>
      </c>
      <c r="E15" s="53">
        <v>8</v>
      </c>
      <c r="F15" s="15" t="s">
        <v>5</v>
      </c>
      <c r="G15" s="22">
        <f t="shared" si="2"/>
        <v>600000</v>
      </c>
      <c r="H15" s="1"/>
    </row>
    <row r="16" spans="1:12">
      <c r="A16" s="1"/>
      <c r="B16" s="4"/>
      <c r="C16" s="62" t="s">
        <v>23</v>
      </c>
      <c r="D16" s="36">
        <v>75000</v>
      </c>
      <c r="E16" s="16">
        <v>4</v>
      </c>
      <c r="F16" s="17" t="s">
        <v>5</v>
      </c>
      <c r="G16" s="22">
        <f t="shared" si="2"/>
        <v>300000</v>
      </c>
      <c r="H16" s="1"/>
    </row>
    <row r="17" spans="1:10">
      <c r="A17" s="1"/>
      <c r="B17" s="63" t="s">
        <v>29</v>
      </c>
      <c r="C17" s="2" t="s">
        <v>30</v>
      </c>
      <c r="D17" s="27">
        <v>75000</v>
      </c>
      <c r="E17" s="52">
        <v>3</v>
      </c>
      <c r="F17" s="9" t="s">
        <v>5</v>
      </c>
      <c r="G17" s="21">
        <f t="shared" si="2"/>
        <v>225000</v>
      </c>
      <c r="H17" s="1"/>
    </row>
    <row r="18" spans="1:10">
      <c r="A18" s="1"/>
      <c r="B18" s="65"/>
      <c r="C18" s="3" t="s">
        <v>31</v>
      </c>
      <c r="D18" s="37">
        <v>75000</v>
      </c>
      <c r="E18" s="12">
        <v>3</v>
      </c>
      <c r="F18" s="10" t="s">
        <v>5</v>
      </c>
      <c r="G18" s="64">
        <f t="shared" si="2"/>
        <v>225000</v>
      </c>
      <c r="H18" s="1"/>
    </row>
    <row r="19" spans="1:10">
      <c r="A19" s="1"/>
      <c r="B19" s="63" t="s">
        <v>32</v>
      </c>
      <c r="C19" s="26" t="s">
        <v>33</v>
      </c>
      <c r="D19" s="27">
        <v>75000</v>
      </c>
      <c r="E19" s="52">
        <v>3</v>
      </c>
      <c r="F19" s="29" t="s">
        <v>5</v>
      </c>
      <c r="G19" s="30">
        <f t="shared" si="2"/>
        <v>225000</v>
      </c>
      <c r="H19" s="1"/>
    </row>
    <row r="20" spans="1:10">
      <c r="A20" s="1"/>
      <c r="B20" s="65"/>
      <c r="C20" s="3" t="s">
        <v>34</v>
      </c>
      <c r="D20" s="37">
        <v>75000</v>
      </c>
      <c r="E20" s="12">
        <v>3</v>
      </c>
      <c r="F20" s="10" t="s">
        <v>5</v>
      </c>
      <c r="G20" s="64">
        <f t="shared" si="2"/>
        <v>225000</v>
      </c>
      <c r="H20" s="1"/>
    </row>
    <row r="21" spans="1:10" ht="16.5">
      <c r="A21" s="1"/>
      <c r="B21" s="68" t="s">
        <v>35</v>
      </c>
      <c r="C21" s="26" t="s">
        <v>36</v>
      </c>
      <c r="D21" s="27">
        <v>87500</v>
      </c>
      <c r="E21" s="28">
        <v>5</v>
      </c>
      <c r="F21" s="29" t="s">
        <v>5</v>
      </c>
      <c r="G21" s="30">
        <f t="shared" si="2"/>
        <v>437500</v>
      </c>
      <c r="H21" s="1"/>
    </row>
    <row r="22" spans="1:10">
      <c r="A22" s="1"/>
      <c r="B22" s="7" t="s">
        <v>37</v>
      </c>
      <c r="C22" s="8" t="s">
        <v>38</v>
      </c>
      <c r="D22" s="25">
        <v>87500</v>
      </c>
      <c r="E22" s="18">
        <v>5</v>
      </c>
      <c r="F22" s="11" t="s">
        <v>5</v>
      </c>
      <c r="G22" s="23">
        <f t="shared" si="2"/>
        <v>437500</v>
      </c>
      <c r="H22" s="1"/>
    </row>
    <row r="23" spans="1:10" ht="18.75">
      <c r="B23" s="1"/>
      <c r="C23" s="1"/>
      <c r="D23" s="1"/>
      <c r="E23" s="31">
        <f>SUM(E5:E22)</f>
        <v>85</v>
      </c>
      <c r="F23" s="32" t="s">
        <v>5</v>
      </c>
      <c r="G23" s="33">
        <f>SUM(G5:G22)</f>
        <v>6500000</v>
      </c>
      <c r="H23" s="35"/>
    </row>
    <row r="24" spans="1:10"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C25" s="34" t="s">
        <v>39</v>
      </c>
      <c r="D25" s="1"/>
      <c r="E25" s="1"/>
      <c r="F25" s="1"/>
      <c r="G25" s="1"/>
    </row>
    <row r="26" spans="1:10" ht="15" customHeight="1">
      <c r="B26" s="1"/>
      <c r="C26" s="69" t="s">
        <v>40</v>
      </c>
      <c r="D26" s="70"/>
      <c r="E26" s="70"/>
      <c r="F26" s="70"/>
      <c r="G26" s="71"/>
      <c r="H26" s="1"/>
    </row>
    <row r="27" spans="1:10" ht="15" customHeight="1">
      <c r="B27" s="1"/>
      <c r="C27" s="72"/>
      <c r="D27" s="73"/>
      <c r="E27" s="73"/>
      <c r="F27" s="73"/>
      <c r="G27" s="74"/>
      <c r="H27" s="1"/>
    </row>
    <row r="28" spans="1:10">
      <c r="B28" s="1"/>
      <c r="C28" s="72"/>
      <c r="D28" s="73"/>
      <c r="E28" s="73"/>
      <c r="F28" s="73"/>
      <c r="G28" s="74"/>
      <c r="H28" s="1"/>
    </row>
    <row r="29" spans="1:10">
      <c r="B29" s="1"/>
      <c r="C29" s="72"/>
      <c r="D29" s="73"/>
      <c r="E29" s="73"/>
      <c r="F29" s="73"/>
      <c r="G29" s="74"/>
      <c r="H29" s="1"/>
    </row>
    <row r="30" spans="1:10">
      <c r="B30" s="1"/>
      <c r="C30" s="72"/>
      <c r="D30" s="73"/>
      <c r="E30" s="73"/>
      <c r="F30" s="73"/>
      <c r="G30" s="74"/>
      <c r="H30" s="1"/>
    </row>
    <row r="31" spans="1:10">
      <c r="B31" s="1"/>
      <c r="C31" s="72"/>
      <c r="D31" s="73"/>
      <c r="E31" s="73"/>
      <c r="F31" s="73"/>
      <c r="G31" s="74"/>
      <c r="H31" s="1"/>
    </row>
    <row r="32" spans="1:10">
      <c r="B32" s="1"/>
      <c r="C32" s="75"/>
      <c r="D32" s="76"/>
      <c r="E32" s="76"/>
      <c r="F32" s="76"/>
      <c r="G32" s="77"/>
      <c r="H32" s="1"/>
    </row>
    <row r="33" spans="2:9">
      <c r="C33" s="1"/>
      <c r="D33" s="1"/>
      <c r="E33" s="1"/>
      <c r="F33" s="1"/>
      <c r="G33" s="1"/>
    </row>
    <row r="35" spans="2:9">
      <c r="B35" s="1"/>
      <c r="F35" s="1"/>
    </row>
    <row r="36" spans="2:9">
      <c r="B36" s="1"/>
      <c r="F36" s="1"/>
    </row>
    <row r="37" spans="2:9">
      <c r="B37" s="1"/>
      <c r="F37" s="1"/>
    </row>
    <row r="38" spans="2:9">
      <c r="C38" s="1"/>
      <c r="D38" s="1"/>
      <c r="E38" s="1"/>
      <c r="I38" s="82"/>
    </row>
  </sheetData>
  <mergeCells count="3">
    <mergeCell ref="D3:G3"/>
    <mergeCell ref="C26:G32"/>
    <mergeCell ref="B3:C3"/>
  </mergeCells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cc7__x6599__x8aac__x660e_ xmlns="879ce5c7-7ac0-470a-8fb0-80b8dfe33f1c" xsi:nil="true"/>
    <CONTENTS xmlns="879ce5c7-7ac0-470a-8fb0-80b8dfe33f1c" xsi:nil="true"/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</documentManagement>
</p:properties>
</file>

<file path=customXml/itemProps1.xml><?xml version="1.0" encoding="utf-8"?>
<ds:datastoreItem xmlns:ds="http://schemas.openxmlformats.org/officeDocument/2006/customXml" ds:itemID="{D18DFD06-002E-4CB9-AA10-D2975ED0C987}"/>
</file>

<file path=customXml/itemProps2.xml><?xml version="1.0" encoding="utf-8"?>
<ds:datastoreItem xmlns:ds="http://schemas.openxmlformats.org/officeDocument/2006/customXml" ds:itemID="{BC575628-7ECE-4306-8941-D22ABDCEBDD0}"/>
</file>

<file path=customXml/itemProps3.xml><?xml version="1.0" encoding="utf-8"?>
<ds:datastoreItem xmlns:ds="http://schemas.openxmlformats.org/officeDocument/2006/customXml" ds:itemID="{F4C78D29-AEA0-4087-BB43-789168F44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三ツ井　涼太</cp:lastModifiedBy>
  <cp:revision/>
  <dcterms:created xsi:type="dcterms:W3CDTF">2026-03-26T09:13:12Z</dcterms:created>
  <dcterms:modified xsi:type="dcterms:W3CDTF">2026-07-23T05:25:50Z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