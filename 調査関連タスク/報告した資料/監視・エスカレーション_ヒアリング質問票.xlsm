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進捗サマリー" sheetId="1" r:id="rId4"/>
    <sheet state="visible" name="U-SLIM質問票" sheetId="2" r:id="rId5"/>
    <sheet state="visible" name="DX道場質問票" sheetId="3" r:id="rId6"/>
  </sheets>
  <definedNames/>
  <calcPr/>
  <extLst>
    <ext uri="GoogleSheetsCustomDataVersion2">
      <go:sheetsCustomData xmlns:go="http://customooxmlschemas.google.com/" r:id="rId7" roundtripDataChecksum="WyX7I/0t3oXHemw4AL5Dc/uRnTC9FxDAyO4ddHqvCIw="/>
    </ext>
  </extLst>
</workbook>
</file>

<file path=xl/sharedStrings.xml><?xml version="1.0" encoding="utf-8"?>
<sst xmlns="http://schemas.openxmlformats.org/spreadsheetml/2006/main" count="772" uniqueCount="392">
  <si>
    <t>監視・エスカレーション ヒアリング質問票 進捗サマリー</t>
  </si>
  <si>
    <t>作成根拠：ステップ3で整理した担当者別ヒアリング項目。質問票の回答欄・実施状況・根拠資料を更新すると、下記の進捗集計が自動更新されます。</t>
  </si>
  <si>
    <t>対象</t>
  </si>
  <si>
    <t>総質問数</t>
  </si>
  <si>
    <t>確認済み</t>
  </si>
  <si>
    <t>回答あり・根拠未確認</t>
  </si>
  <si>
    <t>一部確認</t>
  </si>
  <si>
    <t>未整備</t>
  </si>
  <si>
    <t>未回答</t>
  </si>
  <si>
    <t>確認完了率</t>
  </si>
  <si>
    <t>DX道場 監視・エスカレーション ヒアリング質問票</t>
  </si>
  <si>
    <t>対象者：オウさん　／　目的：Power BI・Power Automate・DataVizの現行運用、障害対応、責任者、障害レベル、既存資料を確認する</t>
  </si>
  <si>
    <t>U-SLIM</t>
  </si>
  <si>
    <t>回答は「現在実施している運用」と「今後の予定」を分けて記録してください。資料がない場合は「資料なし」、確認できない場合は「未回答」と明記してください。</t>
  </si>
  <si>
    <t>質問No.</t>
  </si>
  <si>
    <t>U-SLIM 監視・エスカレーション ヒアリング質問票</t>
  </si>
  <si>
    <t>対象者：シュウさん、木村さんさん、ウーさん　／　目的：現行の監視・障害対応・責任分界・エスカレーション・既存資料を確認する</t>
  </si>
  <si>
    <t>大分類</t>
  </si>
  <si>
    <t>回答は「現在実施している運用」と「今後の予定」を分けて記録してください。資料がない場合は「資料なし」、確認できない場合は「未回答」と明記ししてください。</t>
  </si>
  <si>
    <t>対象機能・論点</t>
  </si>
  <si>
    <t>質問内容</t>
  </si>
  <si>
    <t>回答</t>
  </si>
  <si>
    <t>回答者</t>
  </si>
  <si>
    <t>実施状況</t>
  </si>
  <si>
    <t>根拠資料</t>
  </si>
  <si>
    <t>追加確認・不明点</t>
  </si>
  <si>
    <t>現行／将来</t>
  </si>
  <si>
    <t>Excel反映先</t>
  </si>
  <si>
    <t>DX道場</t>
  </si>
  <si>
    <t>D-01</t>
  </si>
  <si>
    <t>対象範囲と運用体制</t>
  </si>
  <si>
    <t>U-01</t>
  </si>
  <si>
    <t>対象範囲</t>
  </si>
  <si>
    <t>全体</t>
  </si>
  <si>
    <t>現在、U-SLIMで本番運用している画面・機能・バッチ・データ連携には、どのようなものがありますか。</t>
  </si>
  <si>
    <t>現在、DX道場で本番運用しているPower BI、Power Automate、DataVizの機能を教えてください。</t>
  </si>
  <si>
    <t>合計</t>
  </si>
  <si>
    <t>現行</t>
  </si>
  <si>
    <t>U-02</t>
  </si>
  <si>
    <t>Power BI</t>
  </si>
  <si>
    <t>D-02</t>
  </si>
  <si>
    <t>Power BIは現在も検証用途のみでしょうか。それとも、本番の業務画面として利用しているものがありますか。</t>
  </si>
  <si>
    <t>運用上の注意</t>
  </si>
  <si>
    <t>担当者</t>
  </si>
  <si>
    <t>内容</t>
  </si>
  <si>
    <t>確認先・判断者</t>
  </si>
  <si>
    <t>Power BI、Power Automate、DataVizについて、それぞれの担当者は誰ですか。</t>
  </si>
  <si>
    <t>状態</t>
  </si>
  <si>
    <t>新旧の障害レベル</t>
  </si>
  <si>
    <t>旧3段階・新4段階・テンプレート5段階が混在しているため、ヒアリング時にレベル定義を決めつけない。</t>
  </si>
  <si>
    <t>ミツイさん・各責任者</t>
  </si>
  <si>
    <t>未決定</t>
  </si>
  <si>
    <t>口頭回答だけで完了とせず、手順書・チケット・通知例・設定画面等の有無を記録する。</t>
  </si>
  <si>
    <t>U-03</t>
  </si>
  <si>
    <t>各回答者</t>
  </si>
  <si>
    <t>継続確認</t>
  </si>
  <si>
    <t>現行と将来</t>
  </si>
  <si>
    <t>現在実施している運用と、今後実施したい改善案を分けて回答欄へ記載する。</t>
  </si>
  <si>
    <t>ワタルさん</t>
  </si>
  <si>
    <t>運用ルール</t>
  </si>
  <si>
    <t>Azure App Service、NiFi、Power BI以外に、運用監視の対象としている機能やシステムはありますか。</t>
  </si>
  <si>
    <t>未整備項目</t>
  </si>
  <si>
    <t>ルールがない項目は推測で補完せず「未整備」として記録し、判断者を明確にする。</t>
  </si>
  <si>
    <t>ワタルさん・ミツイさん</t>
  </si>
  <si>
    <t>DataViz</t>
  </si>
  <si>
    <t>リリース状況と今回タスクの対象範囲を確認し、未リリースの場合は別タスク化の要否を判断する。</t>
  </si>
  <si>
    <t>オウさん・ミツイさん</t>
  </si>
  <si>
    <t>要確認</t>
  </si>
  <si>
    <t>D-03</t>
  </si>
  <si>
    <t>回答の実施状況（質問票の「実施状況」列で選択）</t>
  </si>
  <si>
    <t>回答と根拠資料を確認できた</t>
  </si>
  <si>
    <t>U-04</t>
  </si>
  <si>
    <t>担当範囲</t>
  </si>
  <si>
    <t>口頭回答はあるが、裏付け資料を確認していない</t>
  </si>
  <si>
    <t>運用体制</t>
  </si>
  <si>
    <t>U-SLIMの運用について、シュウさん、木村さんさん、ウーさんの担当範囲はそれぞれどこでしょうか。</t>
  </si>
  <si>
    <t>オウさんの担当範囲と、他の担当者へ確認が必要な範囲を教えてください。</t>
  </si>
  <si>
    <t>一部の担当者・機能・期間のみ確認できた</t>
  </si>
  <si>
    <t>現在、ルール・資料・担当が存在しない</t>
  </si>
  <si>
    <t>回答者または資料をまだ確認できていない</t>
  </si>
  <si>
    <t>U-05</t>
  </si>
  <si>
    <t>責任分界</t>
  </si>
  <si>
    <t>トヨテック側と顧客側で、それぞれどこまでを担当していますか。</t>
  </si>
  <si>
    <t>D-04</t>
  </si>
  <si>
    <t>トヨテック側と利用部門・顧客側の責任範囲は決まっていますか。</t>
  </si>
  <si>
    <t>U-06</t>
  </si>
  <si>
    <t>現在の監視方法</t>
  </si>
  <si>
    <t>現在、U-SLIMが正常に動作していることを、どのような方法で確認していますか。</t>
  </si>
  <si>
    <t>D-05</t>
  </si>
  <si>
    <t>リリース状況</t>
  </si>
  <si>
    <t>現在は未リリースまたは検証段階の機能がありますか。</t>
  </si>
  <si>
    <t>U-07</t>
  </si>
  <si>
    <t>自動監視している項目と、人が目視で確認している項目を分けて教えてください。</t>
  </si>
  <si>
    <t>D-06</t>
  </si>
  <si>
    <t>Power BI・Power Automateの監視</t>
  </si>
  <si>
    <t>Power Automate</t>
  </si>
  <si>
    <t>Excelに記載されているPower Automateの監視フローは、現在も利用していますか。</t>
  </si>
  <si>
    <t>U-08</t>
  </si>
  <si>
    <t>画面・ログイン</t>
  </si>
  <si>
    <t>D-07</t>
  </si>
  <si>
    <t>画面が表示できるか、ログインできるか、主要機能が動作するかについて、定期的な確認を行っていますか。</t>
  </si>
  <si>
    <t>リカバリ作業自動化_v2</t>
  </si>
  <si>
    <t>「リカバリ作業自動化_v2」は、どの処理を監視・復旧するフローですか。</t>
  </si>
  <si>
    <t>U-09</t>
  </si>
  <si>
    <t>D-08</t>
  </si>
  <si>
    <t>データ連携</t>
  </si>
  <si>
    <t>データが最新状態になっているか、データ連携が停止・遅延していないかを確認していますか。</t>
  </si>
  <si>
    <t>実行結果の確認</t>
  </si>
  <si>
    <t>「実行結果の確認」は、どの処理結果を確認していますか。</t>
  </si>
  <si>
    <t>U-10</t>
  </si>
  <si>
    <t>D-09</t>
  </si>
  <si>
    <t>問い合わせ</t>
  </si>
  <si>
    <t>Power BI更新失敗</t>
  </si>
  <si>
    <t>利用者からの問い合わせや障害連絡によって、初めて異常に気付くケースはありますか。</t>
  </si>
  <si>
    <t>Power BIデータセット更新失敗の通知を、実際に確認する担当者は誰ですか。</t>
  </si>
  <si>
    <t>U-11</t>
  </si>
  <si>
    <t>定常運用</t>
  </si>
  <si>
    <t>日次・週次・月次など、定期的に行っている運用確認はありますか。</t>
  </si>
  <si>
    <t>D-10</t>
  </si>
  <si>
    <t>マスタメンテナンス</t>
  </si>
  <si>
    <t>マスタメンテナンス処理の失敗通知を、実際に確認する担当者は誰ですか。</t>
  </si>
  <si>
    <t>U-12</t>
  </si>
  <si>
    <t>D-11</t>
  </si>
  <si>
    <t>スポット運用</t>
  </si>
  <si>
    <t>構成変更、リリース、データ更新などの際にだけ行うスポット確認はありますか。</t>
  </si>
  <si>
    <t>Power Automate障害</t>
  </si>
  <si>
    <t>Power Automate自体が失敗・タイムアウトした場合、誰が気付きますか。</t>
  </si>
  <si>
    <t>D-12</t>
  </si>
  <si>
    <t>U-13</t>
  </si>
  <si>
    <t>Azure App Service</t>
  </si>
  <si>
    <t>メール通知</t>
  </si>
  <si>
    <t>Azure Monitor</t>
  </si>
  <si>
    <t>フロー所有者用アカウントへ届いたメールを、誰がどの頻度で確認していますか。</t>
  </si>
  <si>
    <t>Excelに記載されているAzure Monitorの監視設定は、現在も有効でしょうか。</t>
  </si>
  <si>
    <t>D-13</t>
  </si>
  <si>
    <t>U-14</t>
  </si>
  <si>
    <t>代替通知</t>
  </si>
  <si>
    <t>メールが見落とされた場合の代替通知はありますか。</t>
  </si>
  <si>
    <t>ヘルスチェック</t>
  </si>
  <si>
    <t>App Serviceのヘルスチェックアラートが発生した場合、最初に誰が確認しますか。</t>
  </si>
  <si>
    <t>U-15</t>
  </si>
  <si>
    <t>DB例外</t>
  </si>
  <si>
    <t>DB例外のアラートが発生した場合、最初に誰が内容を確認しますか。</t>
  </si>
  <si>
    <t>D-14</t>
  </si>
  <si>
    <t>通知改善</t>
  </si>
  <si>
    <t>Teamsやデータマネジメントシステムへの通知追加は、決定済みでしょうか。それとも今後の案でしょうか。</t>
  </si>
  <si>
    <t>U-16</t>
  </si>
  <si>
    <t>Teams通知</t>
  </si>
  <si>
    <t>Teamsの「13_WebAppアラート共有」への通知は、現在も使用していますか。</t>
  </si>
  <si>
    <t>D-15</t>
  </si>
  <si>
    <t>通知内容</t>
  </si>
  <si>
    <t>通知メールに、対象処理、発生時刻、エラー内容、再実行要否などは記載されていますか。</t>
  </si>
  <si>
    <t>U-17</t>
  </si>
  <si>
    <t>通知を確認する担当者は決まっていますか。それとも、チーム内の誰かが確認する運用ですか。</t>
  </si>
  <si>
    <t>D-16</t>
  </si>
  <si>
    <t>失敗時の対応・再実行</t>
  </si>
  <si>
    <t>U-18</t>
  </si>
  <si>
    <t>一次調査</t>
  </si>
  <si>
    <t>Power BIのデータセット更新に失敗した場合、現在どのような手順で対応していますか。</t>
  </si>
  <si>
    <t>アラート発生後に、最初に確認する画面・ログ・項目は決まっていますか。</t>
  </si>
  <si>
    <t>D-17</t>
  </si>
  <si>
    <t>U-19</t>
  </si>
  <si>
    <t>再実行方式</t>
  </si>
  <si>
    <t>自動再実行と手動再実行のどちらを使用していますか。</t>
  </si>
  <si>
    <t>切り分け</t>
  </si>
  <si>
    <t>アプリ側の問題か、Azure・インフラ側の問題かを、誰が切り分けますか。</t>
  </si>
  <si>
    <t>D-18</t>
  </si>
  <si>
    <t>U-20</t>
  </si>
  <si>
    <t>再実行担当</t>
  </si>
  <si>
    <t>再実行を行う担当者は誰ですか。</t>
  </si>
  <si>
    <t>一次対応</t>
  </si>
  <si>
    <t>App Serviceの再起動や設定変更など、一次対応を行える担当者は誰ですか。</t>
  </si>
  <si>
    <t>U-21</t>
  </si>
  <si>
    <t>D-19</t>
  </si>
  <si>
    <t>承認</t>
  </si>
  <si>
    <t>一次対応に承認が必要な場合、誰へ確認しますか。</t>
  </si>
  <si>
    <t>事前確認</t>
  </si>
  <si>
    <t>再実行前に確認する項目はありますか。</t>
  </si>
  <si>
    <t>U-22</t>
  </si>
  <si>
    <t>復旧確認</t>
  </si>
  <si>
    <t>D-20</t>
  </si>
  <si>
    <t>復旧後、正常になったことをどのように確認していますか。</t>
  </si>
  <si>
    <t>再実行後、Power BIに正しいデータが表示されたことを誰が確認しますか。</t>
  </si>
  <si>
    <t>U-23</t>
  </si>
  <si>
    <t>D-21</t>
  </si>
  <si>
    <t>NiFi・データ連携</t>
  </si>
  <si>
    <t>NiFi</t>
  </si>
  <si>
    <t>マスタメンテナンス処理が失敗した場合、業務へどのような影響がありますか。</t>
  </si>
  <si>
    <t>NiFiで行っている処理のうち、U-SLIMに関係するデータ連携はどれですか。</t>
  </si>
  <si>
    <t>D-22</t>
  </si>
  <si>
    <t>U-24</t>
  </si>
  <si>
    <t>許容遅延</t>
  </si>
  <si>
    <t>データ更新の遅延を許容できる時間は決まっていますか。</t>
  </si>
  <si>
    <t>影響範囲</t>
  </si>
  <si>
    <t>NiFiの処理が停止または遅延した場合、U-SLIMのどの画面・機能・データに影響しますか。</t>
  </si>
  <si>
    <t>D-23</t>
  </si>
  <si>
    <t>U-25</t>
  </si>
  <si>
    <t>再発・連続失敗</t>
  </si>
  <si>
    <t>同じ処理が複数回失敗した場合、上位担当者へ連絡する条件はありますか。</t>
  </si>
  <si>
    <t>一次確認</t>
  </si>
  <si>
    <t>NiFiの異常を最初に確認するのは、データ基盤担当でしょうか、U-SLIM担当でしょうか。</t>
  </si>
  <si>
    <t>D-24</t>
  </si>
  <si>
    <t>U-26</t>
  </si>
  <si>
    <t>代替手段</t>
  </si>
  <si>
    <t>復旧できない場合の手動作業や代替手段はありますか。</t>
  </si>
  <si>
    <t>Teamsの「12_CDPアラート共有」からU-SLIM担当へ連絡するルールはありますか。</t>
  </si>
  <si>
    <t>D-25</t>
  </si>
  <si>
    <t>U-27</t>
  </si>
  <si>
    <t>過去事例</t>
  </si>
  <si>
    <t>過去に発生した代表的な障害と、その対応例を確認できますか。</t>
  </si>
  <si>
    <t>NiFi障害時の一次対応者と、U-SLIM側の確認担当者は誰ですか。</t>
  </si>
  <si>
    <t>D-26</t>
  </si>
  <si>
    <t>U-28</t>
  </si>
  <si>
    <t>DataVizは現在リリース済みでしょうか。</t>
  </si>
  <si>
    <t>遅延監視</t>
  </si>
  <si>
    <t>データ連携の停止・遅延を、業務アプリ側で確認する方法はありますか。</t>
  </si>
  <si>
    <t>D-27</t>
  </si>
  <si>
    <t>U-29</t>
  </si>
  <si>
    <t>リリース予定</t>
  </si>
  <si>
    <t>未リリースの場合、現時点で予定されているリリース時期はありますか。</t>
  </si>
  <si>
    <t>データ品質</t>
  </si>
  <si>
    <t>データ欠損、重複、古いデータの表示を確認する方法はありますか。</t>
  </si>
  <si>
    <t>D-28</t>
  </si>
  <si>
    <t>機能</t>
  </si>
  <si>
    <t>U-30</t>
  </si>
  <si>
    <t>DataVizで利用者が使用する主な画面・機能は何ですか。</t>
  </si>
  <si>
    <t>再実行</t>
  </si>
  <si>
    <t>失敗した処理の再実行手順はありますか。</t>
  </si>
  <si>
    <t>D-29</t>
  </si>
  <si>
    <t>U-31</t>
  </si>
  <si>
    <t>DataVizが停止した場合、どの利用者・業務に影響しますか。</t>
  </si>
  <si>
    <t>重複防止</t>
  </si>
  <si>
    <t>再実行によってデータが重複しないことを、どのように確認していますか。</t>
  </si>
  <si>
    <t>D-30</t>
  </si>
  <si>
    <t>責任者</t>
  </si>
  <si>
    <t>U-32</t>
  </si>
  <si>
    <t>リリース後の運用責任者は決まっていますか。</t>
  </si>
  <si>
    <t>再実行後のデータ確認を誰が行いますか。</t>
  </si>
  <si>
    <t>D-31</t>
  </si>
  <si>
    <t>U-33</t>
  </si>
  <si>
    <t>監視対象</t>
  </si>
  <si>
    <t>障害発生後の対応</t>
  </si>
  <si>
    <t>監視対象として想定している項目はありますか。</t>
  </si>
  <si>
    <t>対応フロー</t>
  </si>
  <si>
    <t>異常を検知した後、現在はどのような順番で対応していますか。</t>
  </si>
  <si>
    <t>D-32</t>
  </si>
  <si>
    <t>U-34</t>
  </si>
  <si>
    <t>監視範囲</t>
  </si>
  <si>
    <t>画面表示、ログイン、データ更新、エラー、性能など、どこまで監視する予定ですか。</t>
  </si>
  <si>
    <t>最初に状況確認を行う一次対応者は誰ですか。</t>
  </si>
  <si>
    <t>D-33</t>
  </si>
  <si>
    <t>依存関係</t>
  </si>
  <si>
    <t>U-35</t>
  </si>
  <si>
    <t>DataVizが参照するデータ基盤やデータ連携処理は何ですか。</t>
  </si>
  <si>
    <t>エスカレーション</t>
  </si>
  <si>
    <t>一次対応者だけで解決できない場合、次に誰へ連絡しますか。</t>
  </si>
  <si>
    <t>D-34</t>
  </si>
  <si>
    <t>基盤障害連絡</t>
  </si>
  <si>
    <t>データ基盤側で障害が起きた場合、DataViz担当へ連絡するルールはありますか。</t>
  </si>
  <si>
    <t>U-36</t>
  </si>
  <si>
    <t>アプリ担当、データ基盤担当、インフラ担当の責任境界は決まっていますか。</t>
  </si>
  <si>
    <t>D-35</t>
  </si>
  <si>
    <t>タスク範囲</t>
  </si>
  <si>
    <t>DataVizの監視設計は今回のタスクで行いますか。それともリリース後の別タスクでしょうか。</t>
  </si>
  <si>
    <t>U-37</t>
  </si>
  <si>
    <t>障害対応の最終責任者は誰ですか。</t>
  </si>
  <si>
    <t>D-36</t>
  </si>
  <si>
    <t>責任者・エスカレーション</t>
  </si>
  <si>
    <t>DX道場の一次対応者は誰ですか。</t>
  </si>
  <si>
    <t>U-38</t>
  </si>
  <si>
    <t>顧客連絡</t>
  </si>
  <si>
    <t>顧客側の責任者へ連絡する条件は決まっていますか。</t>
  </si>
  <si>
    <t>D-37</t>
  </si>
  <si>
    <t>最終責任者</t>
  </si>
  <si>
    <t>Power BI、Power Automate、DataVizの最終責任者は、それぞれ誰ですか。</t>
  </si>
  <si>
    <t>U-39</t>
  </si>
  <si>
    <t>暫定対応</t>
  </si>
  <si>
    <t>暫定対応の承認者は誰ですか。</t>
  </si>
  <si>
    <t>U-40</t>
  </si>
  <si>
    <t>恒久対応</t>
  </si>
  <si>
    <t>D-38</t>
  </si>
  <si>
    <t>恒久対応の承認者は誰ですか。</t>
  </si>
  <si>
    <t>一次対応者だけで解決できない場合、誰へ連絡しますか。</t>
  </si>
  <si>
    <t>U-41</t>
  </si>
  <si>
    <t>完了報告</t>
  </si>
  <si>
    <t>D-39</t>
  </si>
  <si>
    <t>復旧後の完了報告は、誰が誰へ行いますか。</t>
  </si>
  <si>
    <t>基盤側の障害とアプリ側の障害を、誰が切り分けますか。</t>
  </si>
  <si>
    <t>U-42</t>
  </si>
  <si>
    <t>事後対応</t>
  </si>
  <si>
    <t>障害後に原因分析や振り返りを行っていますか。</t>
  </si>
  <si>
    <t>D-40</t>
  </si>
  <si>
    <t>暫定対応と恒久対応の承認者は誰ですか。</t>
  </si>
  <si>
    <t>U-43</t>
  </si>
  <si>
    <t>障害レベル・エスカレーション</t>
  </si>
  <si>
    <t>障害レベル</t>
  </si>
  <si>
    <t>U-SLIMには、現在使用している障害レベルや重要度の分類がありますか。</t>
  </si>
  <si>
    <t>D-41</t>
  </si>
  <si>
    <t>利用者連絡</t>
  </si>
  <si>
    <t>利用部門または顧客へ連絡する責任者は誰ですか。</t>
  </si>
  <si>
    <t>U-44</t>
  </si>
  <si>
    <t>ある場合、何段階で、各レベルをどのように判断していますか。</t>
  </si>
  <si>
    <t>D-42</t>
  </si>
  <si>
    <t>夜間・休日</t>
  </si>
  <si>
    <t>夜間・休日の対応ルールはありますか。</t>
  </si>
  <si>
    <t>U-45</t>
  </si>
  <si>
    <t>判定基準</t>
  </si>
  <si>
    <t>障害レベルは、影響する利用者数、停止時間、機能、データ影響など、何を基準にしていますか。</t>
  </si>
  <si>
    <t>D-43</t>
  </si>
  <si>
    <t>代理者</t>
  </si>
  <si>
    <t>担当者不在時の代理者は決まっていますか。</t>
  </si>
  <si>
    <t>U-46</t>
  </si>
  <si>
    <t>画面停止</t>
  </si>
  <si>
    <t>画面が完全に利用できない場合は、どのレベルとして扱いますか。</t>
  </si>
  <si>
    <t>D-44</t>
  </si>
  <si>
    <t>定期報告</t>
  </si>
  <si>
    <t>対応中の定期報告や、復旧後の完了報告は必要ですか。</t>
  </si>
  <si>
    <t>U-47</t>
  </si>
  <si>
    <t>一部機能停止</t>
  </si>
  <si>
    <t>一部機能のみ利用できない場合は、どのレベルとして扱いますか。</t>
  </si>
  <si>
    <t>D-45</t>
  </si>
  <si>
    <t>重要度分類</t>
  </si>
  <si>
    <t>U-48</t>
  </si>
  <si>
    <t>DX道場で現在使用している障害レベルや重要度分類はありますか。</t>
  </si>
  <si>
    <t>データ遅延</t>
  </si>
  <si>
    <t>データ更新が遅れているが画面は表示できる場合、どのように扱いますか。</t>
  </si>
  <si>
    <t>U-49</t>
  </si>
  <si>
    <t>D-46</t>
  </si>
  <si>
    <t>誤データ・情報漏えい</t>
  </si>
  <si>
    <t>誤ったデータや他販社のデータが表示された場合、通常の機能障害とは別に扱いますか。</t>
  </si>
  <si>
    <t>Power BIのデータ更新失敗は、どのような基準で重大度を判断していますか。</t>
  </si>
  <si>
    <t>U-50</t>
  </si>
  <si>
    <t>レベル別対応</t>
  </si>
  <si>
    <t>障害レベルごとに、連絡先や対応開始時間が決まっていますか。</t>
  </si>
  <si>
    <t>D-47</t>
  </si>
  <si>
    <t>一部の帳票だけ更新できない場合と、すべての帳票が利用できない場合を分けていますか。</t>
  </si>
  <si>
    <t>U-51</t>
  </si>
  <si>
    <t>夜間・休日に障害が発生した場合の連絡方法はありますか。</t>
  </si>
  <si>
    <t>D-48</t>
  </si>
  <si>
    <t>データ鮮度</t>
  </si>
  <si>
    <t>データが古いまま表示される状態は、どのように扱っていますか。</t>
  </si>
  <si>
    <t>U-52</t>
  </si>
  <si>
    <t>利用者告知</t>
  </si>
  <si>
    <t>利用者や顧客へ告知する条件は決まっていますか。</t>
  </si>
  <si>
    <t>D-49</t>
  </si>
  <si>
    <t>誤データ</t>
  </si>
  <si>
    <t>誤ったデータが表示された場合、停止障害より重大に扱うケースはありますか。</t>
  </si>
  <si>
    <t>U-53</t>
  </si>
  <si>
    <t>既存資料・証跡</t>
  </si>
  <si>
    <t>運用資料</t>
  </si>
  <si>
    <t>現在の監視項目や運用方法が記載された資料はありますか。</t>
  </si>
  <si>
    <t>D-50</t>
  </si>
  <si>
    <t>継続時間・利用者数</t>
  </si>
  <si>
    <t>障害の継続時間や影響する利用者数によって、レベルを変更しますか。</t>
  </si>
  <si>
    <t>U-54</t>
  </si>
  <si>
    <t>手順書・連絡網</t>
  </si>
  <si>
    <t>D-51</t>
  </si>
  <si>
    <t>障害対応手順書、連絡網、体制図はありますか。</t>
  </si>
  <si>
    <t>各レベルの対応開始時間、連絡先、利用者告知のルールはありますか。</t>
  </si>
  <si>
    <t>U-55</t>
  </si>
  <si>
    <t>過去記録</t>
  </si>
  <si>
    <t>過去の障害チケットや対応記録を確認できますか。</t>
  </si>
  <si>
    <t>D-52</t>
  </si>
  <si>
    <t>既存資料</t>
  </si>
  <si>
    <t>Power Automate資料</t>
  </si>
  <si>
    <t>Power Automateフローの構成や所有者を確認できる資料はありますか。</t>
  </si>
  <si>
    <t>U-56</t>
  </si>
  <si>
    <t>アラート証跡</t>
  </si>
  <si>
    <t>アラート通知の設定画面や通知例を確認できますか。</t>
  </si>
  <si>
    <t>D-53</t>
  </si>
  <si>
    <t>Power BI手順</t>
  </si>
  <si>
    <t>Power BIのデータセット更新手順・再実行手順はありますか。</t>
  </si>
  <si>
    <t>U-57</t>
  </si>
  <si>
    <t>復旧手順</t>
  </si>
  <si>
    <t>再起動、再実行、切り戻しなどの手順書はありますか。</t>
  </si>
  <si>
    <t>D-54</t>
  </si>
  <si>
    <t>障害対応資料</t>
  </si>
  <si>
    <t>障害対応手順書や連絡網はありますか。</t>
  </si>
  <si>
    <t>U-58</t>
  </si>
  <si>
    <t>実運用</t>
  </si>
  <si>
    <t>資料に記載された手順は、現在も実際に使用されていますか。</t>
  </si>
  <si>
    <t>D-55</t>
  </si>
  <si>
    <t>過去の失敗メール、障害チケット、対応記録を確認できますか。</t>
  </si>
  <si>
    <t>U-59</t>
  </si>
  <si>
    <t>旧資料</t>
  </si>
  <si>
    <t>D-56</t>
  </si>
  <si>
    <t>古い資料や、現在は使用していないルールがありますか。</t>
  </si>
  <si>
    <t>DataViz資料</t>
  </si>
  <si>
    <t>DataVizの構成資料、リリース計画、運用設計資料はありますか。</t>
  </si>
  <si>
    <t>D-57</t>
  </si>
  <si>
    <t>旧資料・旧フロー</t>
  </si>
  <si>
    <t>現在使用していない古い資料やフローはありますか。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</si>
</sst>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%"/>
  </numFmts>
  <fonts count="7">
    <font>
      <sz val="11.0"/>
      <color rgb="FF000000"/>
      <name val="Carlito"/>
      <scheme val="minor"/>
    </font>
    <font>
      <b/>
      <sz val="16.0"/>
      <color rgb="FFFFFFFF"/>
      <name val="Carlito"/>
    </font>
    <font>
      <sz val="11.0"/>
      <color theme="1"/>
      <name val="Carlito"/>
    </font>
    <font>
      <b/>
      <sz val="11.0"/>
      <color rgb="FFFFFFFF"/>
      <name val="Carlito"/>
    </font>
    <font>
      <sz val="11.0"/>
      <color rgb="FF1F1F1F"/>
      <name val="Carlito"/>
    </font>
    <font>
      <i/>
      <sz val="11.0"/>
      <color rgb="FF404040"/>
      <name val="Carlito"/>
    </font>
    <font>
      <b/>
      <sz val="11.0"/>
      <color theme="1"/>
      <name val="Carlito"/>
    </font>
  </fonts>
  <fills count="13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5B9BD5"/>
        <bgColor rgb="FF5B9BD5"/>
      </patternFill>
    </fill>
    <fill>
      <patternFill patternType="solid">
        <fgColor rgb="FFEAF2F8"/>
        <bgColor rgb="FFEAF2F8"/>
      </patternFill>
    </fill>
    <fill>
      <patternFill patternType="solid">
        <fgColor rgb="FFF7FBFE"/>
        <bgColor rgb="FFF7FBFE"/>
      </patternFill>
    </fill>
    <fill>
      <patternFill patternType="solid">
        <fgColor rgb="FFD9EAD3"/>
        <bgColor rgb="FFD9EAD3"/>
      </patternFill>
    </fill>
    <fill>
      <patternFill patternType="solid">
        <fgColor rgb="FFE2F0D9"/>
        <bgColor rgb="FFE2F0D9"/>
      </patternFill>
    </fill>
    <fill>
      <patternFill patternType="solid">
        <fgColor rgb="FFFFF2CC"/>
        <bgColor rgb="FFFFF2CC"/>
      </patternFill>
    </fill>
    <fill>
      <patternFill patternType="solid">
        <fgColor rgb="FFFCE4D6"/>
        <bgColor rgb="FFFCE4D6"/>
      </patternFill>
    </fill>
    <fill>
      <patternFill patternType="solid">
        <fgColor rgb="FFF4CCCC"/>
        <bgColor rgb="FFF4CCCC"/>
      </patternFill>
    </fill>
    <fill>
      <patternFill patternType="solid">
        <fgColor rgb="FFE7E6E6"/>
        <bgColor rgb="FFE7E6E6"/>
      </patternFill>
    </fill>
  </fills>
  <borders count="12">
    <border/>
    <border>
      <left style="thin">
        <color rgb="FFB7C9D6"/>
      </left>
      <top style="thin">
        <color rgb="FFB7C9D6"/>
      </top>
      <bottom style="thin">
        <color rgb="FFB7C9D6"/>
      </bottom>
    </border>
    <border>
      <top style="thin">
        <color rgb="FFB7C9D6"/>
      </top>
      <bottom style="thin">
        <color rgb="FFB7C9D6"/>
      </bottom>
    </border>
    <border>
      <right style="thin">
        <color rgb="FFB7C9D6"/>
      </right>
      <top style="thin">
        <color rgb="FFB7C9D6"/>
      </top>
      <bottom style="thin">
        <color rgb="FFB7C9D6"/>
      </bottom>
    </border>
    <border>
      <left style="thin">
        <color rgb="FFB7C9D6"/>
      </left>
      <top style="thin">
        <color rgb="FFB7C9D6"/>
      </top>
    </border>
    <border>
      <top style="thin">
        <color rgb="FFB7C9D6"/>
      </top>
    </border>
    <border>
      <right style="thin">
        <color rgb="FFB7C9D6"/>
      </right>
      <top style="thin">
        <color rgb="FFB7C9D6"/>
      </top>
    </border>
    <border>
      <left style="thin">
        <color rgb="FFB7C9D6"/>
      </left>
    </border>
    <border>
      <right style="thin">
        <color rgb="FFB7C9D6"/>
      </right>
    </border>
    <border>
      <left style="thin">
        <color rgb="FFB7C9D6"/>
      </left>
      <bottom style="thin">
        <color rgb="FFB7C9D6"/>
      </bottom>
    </border>
    <border>
      <bottom style="thin">
        <color rgb="FFB7C9D6"/>
      </bottom>
    </border>
    <border>
      <right style="thin">
        <color rgb="FFB7C9D6"/>
      </right>
      <bottom style="thin">
        <color rgb="FFB7C9D6"/>
      </bottom>
    </border>
  </borders>
  <cellStyleXfs count="1">
    <xf borderId="0" fillId="0" fontId="0" numFmtId="0" applyAlignment="1" applyFont="1"/>
  </cellStyleXfs>
  <cellXfs count="57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vertical="center"/>
    </xf>
    <xf borderId="0" fillId="3" fontId="2" numFmtId="0" xfId="0" applyAlignment="1" applyFill="1" applyFont="1">
      <alignment shrinkToFit="0" vertical="center" wrapText="1"/>
    </xf>
    <xf borderId="1" fillId="4" fontId="3" numFmtId="0" xfId="0" applyAlignment="1" applyBorder="1" applyFill="1" applyFont="1">
      <alignment horizontal="center" shrinkToFit="0" vertical="center" wrapText="1"/>
    </xf>
    <xf borderId="2" fillId="4" fontId="3" numFmtId="0" xfId="0" applyAlignment="1" applyBorder="1" applyFont="1">
      <alignment horizontal="center" shrinkToFit="0" vertical="center" wrapText="1"/>
    </xf>
    <xf borderId="3" fillId="4" fontId="3" numFmtId="0" xfId="0" applyAlignment="1" applyBorder="1" applyFont="1">
      <alignment horizontal="center" shrinkToFit="0" vertical="center" wrapText="1"/>
    </xf>
    <xf borderId="0" fillId="3" fontId="4" numFmtId="0" xfId="0" applyAlignment="1" applyFont="1">
      <alignment shrinkToFit="0" vertical="center" wrapText="1"/>
    </xf>
    <xf borderId="4" fillId="0" fontId="2" numFmtId="0" xfId="0" applyAlignment="1" applyBorder="1" applyFont="1">
      <alignment horizontal="center" vertical="center"/>
    </xf>
    <xf borderId="0" fillId="5" fontId="5" numFmtId="0" xfId="0" applyAlignment="1" applyFill="1" applyFont="1">
      <alignment readingOrder="0" shrinkToFit="0" vertical="center" wrapText="1"/>
    </xf>
    <xf borderId="0" fillId="2" fontId="1" numFmtId="0" xfId="0" applyAlignment="1" applyFont="1">
      <alignment horizontal="left" readingOrder="0" vertical="center"/>
    </xf>
    <xf borderId="1" fillId="4" fontId="3" numFmtId="0" xfId="0" applyAlignment="1" applyBorder="1" applyFont="1">
      <alignment horizontal="center" readingOrder="0" shrinkToFit="0" vertical="center" wrapText="1"/>
    </xf>
    <xf borderId="5" fillId="0" fontId="2" numFmtId="0" xfId="0" applyAlignment="1" applyBorder="1" applyFont="1">
      <alignment horizontal="center" vertical="center"/>
    </xf>
    <xf borderId="0" fillId="3" fontId="4" numFmtId="0" xfId="0" applyAlignment="1" applyFont="1">
      <alignment readingOrder="0" shrinkToFit="0" vertical="center" wrapText="1"/>
    </xf>
    <xf borderId="2" fillId="4" fontId="3" numFmtId="0" xfId="0" applyAlignment="1" applyBorder="1" applyFont="1">
      <alignment horizontal="center" readingOrder="0" shrinkToFit="0" vertical="center" wrapText="1"/>
    </xf>
    <xf borderId="6" fillId="0" fontId="2" numFmtId="164" xfId="0" applyAlignment="1" applyBorder="1" applyFont="1" applyNumberFormat="1">
      <alignment horizontal="center" vertical="center"/>
    </xf>
    <xf borderId="3" fillId="4" fontId="3" numFmtId="0" xfId="0" applyAlignment="1" applyBorder="1" applyFont="1">
      <alignment horizontal="center" readingOrder="0" shrinkToFit="0" vertical="center" wrapText="1"/>
    </xf>
    <xf borderId="7" fillId="0" fontId="2" numFmtId="0" xfId="0" applyAlignment="1" applyBorder="1" applyFont="1">
      <alignment horizontal="center" vertical="center"/>
    </xf>
    <xf borderId="4" fillId="6" fontId="2" numFmtId="0" xfId="0" applyAlignment="1" applyBorder="1" applyFill="1" applyFont="1">
      <alignment shrinkToFit="0" vertical="top" wrapText="1"/>
    </xf>
    <xf borderId="0" fillId="0" fontId="2" numFmtId="0" xfId="0" applyAlignment="1" applyFont="1">
      <alignment horizontal="center" vertical="center"/>
    </xf>
    <xf borderId="5" fillId="6" fontId="2" numFmtId="0" xfId="0" applyAlignment="1" applyBorder="1" applyFont="1">
      <alignment shrinkToFit="0" vertical="top" wrapText="1"/>
    </xf>
    <xf borderId="5" fillId="0" fontId="2" numFmtId="0" xfId="0" applyAlignment="1" applyBorder="1" applyFont="1">
      <alignment readingOrder="0" shrinkToFit="0" vertical="top" wrapText="1"/>
    </xf>
    <xf borderId="5" fillId="0" fontId="2" numFmtId="0" xfId="0" applyAlignment="1" applyBorder="1" applyFont="1">
      <alignment shrinkToFit="0" vertical="top" wrapText="1"/>
    </xf>
    <xf borderId="8" fillId="0" fontId="2" numFmtId="164" xfId="0" applyAlignment="1" applyBorder="1" applyFont="1" applyNumberFormat="1">
      <alignment horizontal="center" vertical="center"/>
    </xf>
    <xf borderId="5" fillId="0" fontId="2" numFmtId="0" xfId="0" applyAlignment="1" applyBorder="1" applyFont="1">
      <alignment horizontal="center" shrinkToFit="0" vertical="top" wrapText="1"/>
    </xf>
    <xf borderId="9" fillId="7" fontId="6" numFmtId="0" xfId="0" applyAlignment="1" applyBorder="1" applyFill="1" applyFont="1">
      <alignment horizontal="center" vertical="center"/>
    </xf>
    <xf borderId="6" fillId="0" fontId="2" numFmtId="0" xfId="0" applyAlignment="1" applyBorder="1" applyFont="1">
      <alignment shrinkToFit="0" vertical="top" wrapText="1"/>
    </xf>
    <xf borderId="10" fillId="7" fontId="6" numFmtId="0" xfId="0" applyAlignment="1" applyBorder="1" applyFont="1">
      <alignment horizontal="center" vertical="center"/>
    </xf>
    <xf borderId="7" fillId="6" fontId="2" numFmtId="0" xfId="0" applyAlignment="1" applyBorder="1" applyFont="1">
      <alignment shrinkToFit="0" vertical="top" wrapText="1"/>
    </xf>
    <xf borderId="0" fillId="6" fontId="2" numFmtId="0" xfId="0" applyAlignment="1" applyFont="1">
      <alignment shrinkToFit="0" vertical="top" wrapText="1"/>
    </xf>
    <xf borderId="11" fillId="7" fontId="6" numFmtId="164" xfId="0" applyAlignment="1" applyBorder="1" applyFont="1" applyNumberFormat="1">
      <alignment horizontal="center" vertical="center"/>
    </xf>
    <xf borderId="0" fillId="0" fontId="2" numFmtId="0" xfId="0" applyAlignment="1" applyFont="1">
      <alignment shrinkToFit="0" vertical="top" wrapText="1"/>
    </xf>
    <xf borderId="0" fillId="0" fontId="2" numFmtId="0" xfId="0" applyAlignment="1" applyFont="1">
      <alignment horizontal="center" shrinkToFit="0" vertical="top" wrapText="1"/>
    </xf>
    <xf borderId="4" fillId="6" fontId="2" numFmtId="0" xfId="0" applyAlignment="1" applyBorder="1" applyFont="1">
      <alignment shrinkToFit="0" vertical="top" wrapText="1"/>
    </xf>
    <xf borderId="5" fillId="0" fontId="2" numFmtId="0" xfId="0" applyAlignment="1" applyBorder="1" applyFont="1">
      <alignment shrinkToFit="0" vertical="top" wrapText="1"/>
    </xf>
    <xf borderId="6" fillId="0" fontId="2" numFmtId="0" xfId="0" applyAlignment="1" applyBorder="1" applyFont="1">
      <alignment shrinkToFit="0" vertical="top" wrapText="1"/>
    </xf>
    <xf borderId="7" fillId="6" fontId="2" numFmtId="0" xfId="0" applyAlignment="1" applyBorder="1" applyFont="1">
      <alignment shrinkToFit="0" vertical="top" wrapText="1"/>
    </xf>
    <xf borderId="8" fillId="0" fontId="2" numFmtId="0" xfId="0" applyAlignment="1" applyBorder="1" applyFont="1">
      <alignment shrinkToFit="0" vertical="top" wrapText="1"/>
    </xf>
    <xf borderId="0" fillId="0" fontId="2" numFmtId="0" xfId="0" applyAlignment="1" applyFont="1">
      <alignment shrinkToFit="0" vertical="top" wrapText="1"/>
    </xf>
    <xf borderId="8" fillId="0" fontId="2" numFmtId="0" xfId="0" applyAlignment="1" applyBorder="1" applyFont="1">
      <alignment shrinkToFit="0" vertical="top" wrapText="1"/>
    </xf>
    <xf borderId="9" fillId="6" fontId="2" numFmtId="0" xfId="0" applyAlignment="1" applyBorder="1" applyFont="1">
      <alignment shrinkToFit="0" vertical="top" wrapText="1"/>
    </xf>
    <xf borderId="10" fillId="0" fontId="2" numFmtId="0" xfId="0" applyAlignment="1" applyBorder="1" applyFont="1">
      <alignment shrinkToFit="0" vertical="top" wrapText="1"/>
    </xf>
    <xf borderId="11" fillId="0" fontId="2" numFmtId="0" xfId="0" applyAlignment="1" applyBorder="1" applyFont="1">
      <alignment shrinkToFit="0" vertical="top" wrapText="1"/>
    </xf>
    <xf borderId="0" fillId="3" fontId="6" numFmtId="0" xfId="0" applyAlignment="1" applyFont="1">
      <alignment vertical="center"/>
    </xf>
    <xf borderId="4" fillId="8" fontId="6" numFmtId="0" xfId="0" applyAlignment="1" applyBorder="1" applyFill="1" applyFont="1">
      <alignment shrinkToFit="0" wrapText="1"/>
    </xf>
    <xf borderId="6" fillId="0" fontId="2" numFmtId="0" xfId="0" applyAlignment="1" applyBorder="1" applyFont="1">
      <alignment shrinkToFit="0" wrapText="1"/>
    </xf>
    <xf borderId="7" fillId="9" fontId="6" numFmtId="0" xfId="0" applyAlignment="1" applyBorder="1" applyFill="1" applyFont="1">
      <alignment shrinkToFit="0" wrapText="1"/>
    </xf>
    <xf borderId="8" fillId="0" fontId="2" numFmtId="0" xfId="0" applyAlignment="1" applyBorder="1" applyFont="1">
      <alignment shrinkToFit="0" wrapText="1"/>
    </xf>
    <xf borderId="7" fillId="10" fontId="6" numFmtId="0" xfId="0" applyAlignment="1" applyBorder="1" applyFill="1" applyFont="1">
      <alignment shrinkToFit="0" wrapText="1"/>
    </xf>
    <xf borderId="0" fillId="0" fontId="2" numFmtId="0" xfId="0" applyAlignment="1" applyFont="1">
      <alignment readingOrder="0" shrinkToFit="0" vertical="top" wrapText="1"/>
    </xf>
    <xf borderId="7" fillId="11" fontId="6" numFmtId="0" xfId="0" applyAlignment="1" applyBorder="1" applyFill="1" applyFont="1">
      <alignment shrinkToFit="0" wrapText="1"/>
    </xf>
    <xf borderId="9" fillId="12" fontId="6" numFmtId="0" xfId="0" applyAlignment="1" applyBorder="1" applyFill="1" applyFont="1">
      <alignment shrinkToFit="0" wrapText="1"/>
    </xf>
    <xf borderId="11" fillId="0" fontId="2" numFmtId="0" xfId="0" applyAlignment="1" applyBorder="1" applyFont="1">
      <alignment shrinkToFit="0" wrapText="1"/>
    </xf>
    <xf borderId="9" fillId="6" fontId="2" numFmtId="0" xfId="0" applyAlignment="1" applyBorder="1" applyFont="1">
      <alignment shrinkToFit="0" vertical="top" wrapText="1"/>
    </xf>
    <xf borderId="10" fillId="6" fontId="2" numFmtId="0" xfId="0" applyAlignment="1" applyBorder="1" applyFont="1">
      <alignment shrinkToFit="0" vertical="top" wrapText="1"/>
    </xf>
    <xf borderId="10" fillId="0" fontId="2" numFmtId="0" xfId="0" applyAlignment="1" applyBorder="1" applyFont="1">
      <alignment shrinkToFit="0" vertical="top" wrapText="1"/>
    </xf>
    <xf borderId="10" fillId="0" fontId="2" numFmtId="0" xfId="0" applyAlignment="1" applyBorder="1" applyFont="1">
      <alignment horizontal="center" shrinkToFit="0" vertical="top" wrapText="1"/>
    </xf>
    <xf borderId="11" fillId="0" fontId="2" numFmtId="0" xfId="0" applyAlignment="1" applyBorder="1" applyFont="1">
      <alignment shrinkToFit="0" vertical="top" wrapText="1"/>
    </xf>
  </cellXfs>
  <cellStyles count="1">
    <cellStyle xfId="0" name="Normal" builtinId="0"/>
  </cellStyles>
  <dxfs count="9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color rgb="FF375623"/>
      </font>
      <fill>
        <patternFill patternType="solid">
          <fgColor rgb="FFE2F0D9"/>
          <bgColor rgb="FFE2F0D9"/>
        </patternFill>
      </fill>
      <border/>
    </dxf>
    <dxf>
      <font>
        <color rgb="FF7F6000"/>
      </font>
      <fill>
        <patternFill patternType="solid">
          <fgColor rgb="FFFFF2CC"/>
          <bgColor rgb="FFFFF2CC"/>
        </patternFill>
      </fill>
      <border/>
    </dxf>
    <dxf>
      <font>
        <color rgb="FF843C0C"/>
      </font>
      <fill>
        <patternFill patternType="solid">
          <fgColor rgb="FFFCE4D6"/>
          <bgColor rgb="FFFCE4D6"/>
        </patternFill>
      </fill>
      <border/>
    </dxf>
    <dxf>
      <font>
        <color rgb="FF9C0006"/>
      </font>
      <fill>
        <patternFill patternType="solid">
          <fgColor rgb="FFF4CCCC"/>
          <bgColor rgb="FFF4CCCC"/>
        </patternFill>
      </fill>
      <border/>
    </dxf>
  </dxfs>
  <tableStyles count="2">
    <tableStyle count="4" pivot="0" name="DX道場質問票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U-SLIM質問票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5:K64" displayName="USLIMInterviewTable" name="USLIMInterviewTable" id="2">
  <tableColumns count="11">
    <tableColumn name="質問No." id="1"/>
    <tableColumn name="大分類" id="2"/>
    <tableColumn name="対象機能・論点" id="3"/>
    <tableColumn name="質問内容" id="4"/>
    <tableColumn name="回答" id="5"/>
    <tableColumn name="回答者" id="6"/>
    <tableColumn name="実施状況" id="7"/>
    <tableColumn name="根拠資料" id="8"/>
    <tableColumn name="追加確認・不明点" id="9"/>
    <tableColumn name="現行／将来" id="10"/>
    <tableColumn name="Excel反映先" id="11"/>
  </tableColumns>
  <tableStyleInfo name="U-SLIM質問票-style" showColumnStripes="0" showFirstColumn="1" showLastColumn="1" showRowStripes="1"/>
</table>
</file>

<file path=xl/tables/table2.xml><?xml version="1.0" encoding="utf-8"?>
<table xmlns="http://schemas.openxmlformats.org/spreadsheetml/2006/main" ref="A5:K62" displayName="DXInterviewTable" name="DXInterviewTable" id="1">
  <tableColumns count="11">
    <tableColumn name="質問No." id="1"/>
    <tableColumn name="大分類" id="2"/>
    <tableColumn name="対象機能・論点" id="3"/>
    <tableColumn name="質問内容" id="4"/>
    <tableColumn name="回答" id="5"/>
    <tableColumn name="回答者" id="6"/>
    <tableColumn name="実施状況" id="7"/>
    <tableColumn name="根拠資料" id="8"/>
    <tableColumn name="追加確認・不明点" id="9"/>
    <tableColumn name="現行／将来" id="10"/>
    <tableColumn name="Excel反映先" id="11"/>
  </tableColumns>
  <tableStyleInfo name="DX道場質問票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2" width="48.0"/>
    <col customWidth="1" min="3" max="3" width="24.0"/>
    <col customWidth="1" min="4" max="8" width="18.0"/>
    <col customWidth="1" min="9" max="26" width="8.63"/>
  </cols>
  <sheetData>
    <row r="1" ht="30.0" customHeight="1">
      <c r="A1" s="1" t="s">
        <v>0</v>
      </c>
    </row>
    <row r="2" ht="36.0" customHeight="1">
      <c r="A2" s="2" t="s">
        <v>1</v>
      </c>
    </row>
    <row r="4" ht="25.5" customHeight="1">
      <c r="A4" s="3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5" t="s">
        <v>9</v>
      </c>
    </row>
    <row r="5" ht="25.5" customHeight="1">
      <c r="A5" s="7" t="s">
        <v>12</v>
      </c>
      <c r="B5" s="11">
        <f>COUNTA('U-SLIM質問票'!A6:A64)</f>
        <v>59</v>
      </c>
      <c r="C5" s="11">
        <f>COUNTIF('U-SLIM質問票'!G6:G64,"確認済み")</f>
        <v>0</v>
      </c>
      <c r="D5" s="11">
        <f>COUNTIF('U-SLIM質問票'!G6:G64,"回答あり・根拠未確認")</f>
        <v>0</v>
      </c>
      <c r="E5" s="11">
        <f>COUNTIF('U-SLIM質問票'!G6:G64,"一部確認")</f>
        <v>0</v>
      </c>
      <c r="F5" s="11">
        <f>COUNTIF('U-SLIM質問票'!G6:G64,"未整備")</f>
        <v>0</v>
      </c>
      <c r="G5" s="11">
        <f>COUNTIF('U-SLIM質問票'!G6:G64,"未回答")</f>
        <v>59</v>
      </c>
      <c r="H5" s="14">
        <f t="shared" ref="H5:H7" si="1">IFERROR(C5/B5,0)</f>
        <v>0</v>
      </c>
    </row>
    <row r="6" ht="25.5" customHeight="1">
      <c r="A6" s="16" t="s">
        <v>28</v>
      </c>
      <c r="B6" s="18">
        <f>COUNTA('DX道場質問票'!A6:A62)</f>
        <v>57</v>
      </c>
      <c r="C6" s="18">
        <f>COUNTIF('DX道場質問票'!G6:G62,"確認済み")</f>
        <v>0</v>
      </c>
      <c r="D6" s="18">
        <f>COUNTIF('DX道場質問票'!G6:G62,"回答あり・根拠未確認")</f>
        <v>0</v>
      </c>
      <c r="E6" s="18">
        <f>COUNTIF('DX道場質問票'!G6:G62,"一部確認")</f>
        <v>0</v>
      </c>
      <c r="F6" s="18">
        <f>COUNTIF('DX道場質問票'!G6:G62,"未整備")</f>
        <v>0</v>
      </c>
      <c r="G6" s="18">
        <f>COUNTIF('DX道場質問票'!G6:G62,"未回答")</f>
        <v>57</v>
      </c>
      <c r="H6" s="22">
        <f t="shared" si="1"/>
        <v>0</v>
      </c>
    </row>
    <row r="7" ht="25.5" customHeight="1">
      <c r="A7" s="24" t="s">
        <v>36</v>
      </c>
      <c r="B7" s="26">
        <f t="shared" ref="B7:G7" si="2">B5+B6</f>
        <v>116</v>
      </c>
      <c r="C7" s="26">
        <f t="shared" si="2"/>
        <v>0</v>
      </c>
      <c r="D7" s="26">
        <f t="shared" si="2"/>
        <v>0</v>
      </c>
      <c r="E7" s="26">
        <f t="shared" si="2"/>
        <v>0</v>
      </c>
      <c r="F7" s="26">
        <f t="shared" si="2"/>
        <v>0</v>
      </c>
      <c r="G7" s="26">
        <f t="shared" si="2"/>
        <v>116</v>
      </c>
      <c r="H7" s="29">
        <f t="shared" si="1"/>
        <v>0</v>
      </c>
    </row>
    <row r="8" ht="25.5" customHeight="1"/>
    <row r="9" ht="25.5" customHeight="1"/>
    <row r="10" ht="25.5" customHeight="1">
      <c r="A10" s="3" t="s">
        <v>42</v>
      </c>
      <c r="B10" s="4" t="s">
        <v>44</v>
      </c>
      <c r="C10" s="4" t="s">
        <v>45</v>
      </c>
      <c r="D10" s="5" t="s">
        <v>47</v>
      </c>
    </row>
    <row r="11" ht="25.5" customHeight="1">
      <c r="A11" s="32" t="s">
        <v>48</v>
      </c>
      <c r="B11" s="33" t="s">
        <v>49</v>
      </c>
      <c r="C11" s="33" t="s">
        <v>50</v>
      </c>
      <c r="D11" s="34" t="s">
        <v>51</v>
      </c>
    </row>
    <row r="12" ht="25.5" customHeight="1">
      <c r="A12" s="35" t="s">
        <v>24</v>
      </c>
      <c r="B12" s="37" t="s">
        <v>52</v>
      </c>
      <c r="C12" s="37" t="s">
        <v>54</v>
      </c>
      <c r="D12" s="38" t="s">
        <v>55</v>
      </c>
    </row>
    <row r="13" ht="25.5" customHeight="1">
      <c r="A13" s="35" t="s">
        <v>56</v>
      </c>
      <c r="B13" s="37" t="s">
        <v>57</v>
      </c>
      <c r="C13" s="37" t="s">
        <v>58</v>
      </c>
      <c r="D13" s="38" t="s">
        <v>59</v>
      </c>
    </row>
    <row r="14" ht="25.5" customHeight="1">
      <c r="A14" s="35" t="s">
        <v>61</v>
      </c>
      <c r="B14" s="37" t="s">
        <v>62</v>
      </c>
      <c r="C14" s="37" t="s">
        <v>63</v>
      </c>
      <c r="D14" s="38" t="s">
        <v>59</v>
      </c>
    </row>
    <row r="15" ht="25.5" customHeight="1">
      <c r="A15" s="39" t="s">
        <v>64</v>
      </c>
      <c r="B15" s="40" t="s">
        <v>65</v>
      </c>
      <c r="C15" s="40" t="s">
        <v>66</v>
      </c>
      <c r="D15" s="41" t="s">
        <v>67</v>
      </c>
    </row>
    <row r="16" ht="25.5" customHeight="1"/>
    <row r="17" ht="25.5" customHeight="1"/>
    <row r="18" ht="25.5" customHeight="1">
      <c r="A18" s="42" t="s">
        <v>69</v>
      </c>
    </row>
    <row r="19" ht="25.5" customHeight="1">
      <c r="A19" s="43" t="s">
        <v>4</v>
      </c>
      <c r="B19" s="44" t="s">
        <v>70</v>
      </c>
    </row>
    <row r="20" ht="25.5" customHeight="1">
      <c r="A20" s="45" t="s">
        <v>5</v>
      </c>
      <c r="B20" s="46" t="s">
        <v>73</v>
      </c>
    </row>
    <row r="21" ht="25.5" customHeight="1">
      <c r="A21" s="47" t="s">
        <v>6</v>
      </c>
      <c r="B21" s="46" t="s">
        <v>77</v>
      </c>
    </row>
    <row r="22" ht="25.5" customHeight="1">
      <c r="A22" s="49" t="s">
        <v>7</v>
      </c>
      <c r="B22" s="46" t="s">
        <v>78</v>
      </c>
    </row>
    <row r="23" ht="25.5" customHeight="1">
      <c r="A23" s="50" t="s">
        <v>8</v>
      </c>
      <c r="B23" s="51" t="s">
        <v>79</v>
      </c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H1"/>
    <mergeCell ref="A2:H2"/>
    <mergeCell ref="A18:H18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24.0"/>
    <col customWidth="1" min="3" max="3" width="22.0"/>
    <col customWidth="1" min="4" max="4" width="62.0"/>
    <col customWidth="1" min="5" max="5" width="42.0"/>
    <col customWidth="1" min="6" max="6" width="18.0"/>
    <col customWidth="1" min="7" max="7" width="22.0"/>
    <col customWidth="1" min="8" max="8" width="30.0"/>
    <col customWidth="1" min="9" max="9" width="32.0"/>
    <col customWidth="1" min="10" max="10" width="14.0"/>
    <col customWidth="1" min="11" max="11" width="20.0"/>
    <col customWidth="1" min="12" max="26" width="8.63"/>
  </cols>
  <sheetData>
    <row r="1" ht="30.0" customHeight="1">
      <c r="A1" s="9" t="s">
        <v>15</v>
      </c>
    </row>
    <row r="2" ht="36.0" customHeight="1">
      <c r="A2" s="12" t="s">
        <v>16</v>
      </c>
    </row>
    <row r="3" ht="33.75" customHeight="1">
      <c r="A3" s="8" t="s">
        <v>18</v>
      </c>
    </row>
    <row r="5" ht="31.5" customHeight="1">
      <c r="A5" s="10" t="s">
        <v>14</v>
      </c>
      <c r="B5" s="13" t="s">
        <v>17</v>
      </c>
      <c r="C5" s="13" t="s">
        <v>19</v>
      </c>
      <c r="D5" s="13" t="s">
        <v>20</v>
      </c>
      <c r="E5" s="13" t="s">
        <v>21</v>
      </c>
      <c r="F5" s="13" t="s">
        <v>22</v>
      </c>
      <c r="G5" s="13" t="s">
        <v>23</v>
      </c>
      <c r="H5" s="13" t="s">
        <v>24</v>
      </c>
      <c r="I5" s="13" t="s">
        <v>25</v>
      </c>
      <c r="J5" s="13" t="s">
        <v>26</v>
      </c>
      <c r="K5" s="15" t="s">
        <v>27</v>
      </c>
    </row>
    <row r="6" ht="42.0" customHeight="1">
      <c r="A6" s="17" t="s">
        <v>31</v>
      </c>
      <c r="B6" s="19" t="s">
        <v>32</v>
      </c>
      <c r="C6" s="19" t="s">
        <v>33</v>
      </c>
      <c r="D6" s="20" t="s">
        <v>34</v>
      </c>
      <c r="E6" s="21"/>
      <c r="F6" s="21"/>
      <c r="G6" s="23" t="s">
        <v>8</v>
      </c>
      <c r="H6" s="21"/>
      <c r="I6" s="21"/>
      <c r="J6" s="23" t="s">
        <v>37</v>
      </c>
      <c r="K6" s="25"/>
    </row>
    <row r="7" ht="42.0" customHeight="1">
      <c r="A7" s="27" t="s">
        <v>38</v>
      </c>
      <c r="B7" s="28" t="s">
        <v>32</v>
      </c>
      <c r="C7" s="28" t="s">
        <v>39</v>
      </c>
      <c r="D7" s="30" t="s">
        <v>41</v>
      </c>
      <c r="E7" s="30"/>
      <c r="F7" s="30"/>
      <c r="G7" s="31" t="s">
        <v>8</v>
      </c>
      <c r="H7" s="30"/>
      <c r="I7" s="30"/>
      <c r="J7" s="31" t="s">
        <v>37</v>
      </c>
      <c r="K7" s="36"/>
    </row>
    <row r="8" ht="42.0" customHeight="1">
      <c r="A8" s="27" t="s">
        <v>53</v>
      </c>
      <c r="B8" s="28" t="s">
        <v>32</v>
      </c>
      <c r="C8" s="28" t="s">
        <v>33</v>
      </c>
      <c r="D8" s="30" t="s">
        <v>60</v>
      </c>
      <c r="E8" s="30"/>
      <c r="F8" s="30"/>
      <c r="G8" s="31" t="s">
        <v>8</v>
      </c>
      <c r="H8" s="30"/>
      <c r="I8" s="30"/>
      <c r="J8" s="31" t="s">
        <v>37</v>
      </c>
      <c r="K8" s="36"/>
    </row>
    <row r="9" ht="42.0" customHeight="1">
      <c r="A9" s="27" t="s">
        <v>71</v>
      </c>
      <c r="B9" s="28" t="s">
        <v>32</v>
      </c>
      <c r="C9" s="28" t="s">
        <v>74</v>
      </c>
      <c r="D9" s="48" t="s">
        <v>75</v>
      </c>
      <c r="E9" s="30"/>
      <c r="F9" s="30"/>
      <c r="G9" s="31" t="s">
        <v>8</v>
      </c>
      <c r="H9" s="30"/>
      <c r="I9" s="30"/>
      <c r="J9" s="31" t="s">
        <v>37</v>
      </c>
      <c r="K9" s="36"/>
    </row>
    <row r="10" ht="42.0" customHeight="1">
      <c r="A10" s="27" t="s">
        <v>80</v>
      </c>
      <c r="B10" s="28" t="s">
        <v>32</v>
      </c>
      <c r="C10" s="28" t="s">
        <v>81</v>
      </c>
      <c r="D10" s="30" t="s">
        <v>82</v>
      </c>
      <c r="E10" s="30"/>
      <c r="F10" s="30"/>
      <c r="G10" s="31" t="s">
        <v>8</v>
      </c>
      <c r="H10" s="30"/>
      <c r="I10" s="30"/>
      <c r="J10" s="31" t="s">
        <v>37</v>
      </c>
      <c r="K10" s="36"/>
    </row>
    <row r="11" ht="42.0" customHeight="1">
      <c r="A11" s="27" t="s">
        <v>85</v>
      </c>
      <c r="B11" s="28" t="s">
        <v>86</v>
      </c>
      <c r="C11" s="28" t="s">
        <v>33</v>
      </c>
      <c r="D11" s="48" t="s">
        <v>87</v>
      </c>
      <c r="E11" s="30"/>
      <c r="F11" s="30"/>
      <c r="G11" s="31" t="s">
        <v>8</v>
      </c>
      <c r="H11" s="30"/>
      <c r="I11" s="30"/>
      <c r="J11" s="31" t="s">
        <v>37</v>
      </c>
      <c r="K11" s="36"/>
    </row>
    <row r="12" ht="42.0" customHeight="1">
      <c r="A12" s="27" t="s">
        <v>91</v>
      </c>
      <c r="B12" s="28" t="s">
        <v>86</v>
      </c>
      <c r="C12" s="28" t="s">
        <v>33</v>
      </c>
      <c r="D12" s="30" t="s">
        <v>92</v>
      </c>
      <c r="E12" s="30"/>
      <c r="F12" s="30"/>
      <c r="G12" s="31" t="s">
        <v>8</v>
      </c>
      <c r="H12" s="30"/>
      <c r="I12" s="30"/>
      <c r="J12" s="31" t="s">
        <v>37</v>
      </c>
      <c r="K12" s="36"/>
    </row>
    <row r="13" ht="42.0" customHeight="1">
      <c r="A13" s="27" t="s">
        <v>97</v>
      </c>
      <c r="B13" s="28" t="s">
        <v>86</v>
      </c>
      <c r="C13" s="28" t="s">
        <v>98</v>
      </c>
      <c r="D13" s="30" t="s">
        <v>100</v>
      </c>
      <c r="E13" s="30"/>
      <c r="F13" s="30"/>
      <c r="G13" s="31" t="s">
        <v>8</v>
      </c>
      <c r="H13" s="30"/>
      <c r="I13" s="30"/>
      <c r="J13" s="31" t="s">
        <v>37</v>
      </c>
      <c r="K13" s="36"/>
    </row>
    <row r="14" ht="42.0" customHeight="1">
      <c r="A14" s="27" t="s">
        <v>103</v>
      </c>
      <c r="B14" s="28" t="s">
        <v>86</v>
      </c>
      <c r="C14" s="28" t="s">
        <v>105</v>
      </c>
      <c r="D14" s="30" t="s">
        <v>106</v>
      </c>
      <c r="E14" s="30"/>
      <c r="F14" s="30"/>
      <c r="G14" s="31" t="s">
        <v>8</v>
      </c>
      <c r="H14" s="30"/>
      <c r="I14" s="30"/>
      <c r="J14" s="31" t="s">
        <v>37</v>
      </c>
      <c r="K14" s="36"/>
    </row>
    <row r="15" ht="42.0" customHeight="1">
      <c r="A15" s="27" t="s">
        <v>109</v>
      </c>
      <c r="B15" s="28" t="s">
        <v>86</v>
      </c>
      <c r="C15" s="28" t="s">
        <v>111</v>
      </c>
      <c r="D15" s="30" t="s">
        <v>113</v>
      </c>
      <c r="E15" s="30"/>
      <c r="F15" s="30"/>
      <c r="G15" s="31" t="s">
        <v>8</v>
      </c>
      <c r="H15" s="30"/>
      <c r="I15" s="30"/>
      <c r="J15" s="31" t="s">
        <v>37</v>
      </c>
      <c r="K15" s="36"/>
    </row>
    <row r="16" ht="42.0" customHeight="1">
      <c r="A16" s="27" t="s">
        <v>115</v>
      </c>
      <c r="B16" s="28" t="s">
        <v>86</v>
      </c>
      <c r="C16" s="28" t="s">
        <v>116</v>
      </c>
      <c r="D16" s="30" t="s">
        <v>117</v>
      </c>
      <c r="E16" s="30"/>
      <c r="F16" s="30"/>
      <c r="G16" s="31" t="s">
        <v>8</v>
      </c>
      <c r="H16" s="30"/>
      <c r="I16" s="30"/>
      <c r="J16" s="31" t="s">
        <v>37</v>
      </c>
      <c r="K16" s="36"/>
    </row>
    <row r="17" ht="42.0" customHeight="1">
      <c r="A17" s="27" t="s">
        <v>121</v>
      </c>
      <c r="B17" s="28" t="s">
        <v>86</v>
      </c>
      <c r="C17" s="28" t="s">
        <v>123</v>
      </c>
      <c r="D17" s="30" t="s">
        <v>124</v>
      </c>
      <c r="E17" s="30"/>
      <c r="F17" s="30"/>
      <c r="G17" s="31" t="s">
        <v>8</v>
      </c>
      <c r="H17" s="30"/>
      <c r="I17" s="30"/>
      <c r="J17" s="31" t="s">
        <v>37</v>
      </c>
      <c r="K17" s="36"/>
    </row>
    <row r="18" ht="42.0" customHeight="1">
      <c r="A18" s="27" t="s">
        <v>128</v>
      </c>
      <c r="B18" s="28" t="s">
        <v>129</v>
      </c>
      <c r="C18" s="28" t="s">
        <v>131</v>
      </c>
      <c r="D18" s="30" t="s">
        <v>133</v>
      </c>
      <c r="E18" s="30"/>
      <c r="F18" s="30"/>
      <c r="G18" s="31" t="s">
        <v>8</v>
      </c>
      <c r="H18" s="30"/>
      <c r="I18" s="30"/>
      <c r="J18" s="31" t="s">
        <v>37</v>
      </c>
      <c r="K18" s="36"/>
    </row>
    <row r="19" ht="42.0" customHeight="1">
      <c r="A19" s="27" t="s">
        <v>135</v>
      </c>
      <c r="B19" s="28" t="s">
        <v>129</v>
      </c>
      <c r="C19" s="28" t="s">
        <v>138</v>
      </c>
      <c r="D19" s="30" t="s">
        <v>139</v>
      </c>
      <c r="E19" s="30"/>
      <c r="F19" s="30"/>
      <c r="G19" s="31" t="s">
        <v>8</v>
      </c>
      <c r="H19" s="30"/>
      <c r="I19" s="30"/>
      <c r="J19" s="31" t="s">
        <v>37</v>
      </c>
      <c r="K19" s="36"/>
    </row>
    <row r="20" ht="42.0" customHeight="1">
      <c r="A20" s="27" t="s">
        <v>140</v>
      </c>
      <c r="B20" s="28" t="s">
        <v>129</v>
      </c>
      <c r="C20" s="28" t="s">
        <v>141</v>
      </c>
      <c r="D20" s="30" t="s">
        <v>142</v>
      </c>
      <c r="E20" s="30"/>
      <c r="F20" s="30"/>
      <c r="G20" s="31" t="s">
        <v>8</v>
      </c>
      <c r="H20" s="30"/>
      <c r="I20" s="30"/>
      <c r="J20" s="31" t="s">
        <v>37</v>
      </c>
      <c r="K20" s="36"/>
    </row>
    <row r="21" ht="42.0" customHeight="1">
      <c r="A21" s="27" t="s">
        <v>146</v>
      </c>
      <c r="B21" s="28" t="s">
        <v>129</v>
      </c>
      <c r="C21" s="28" t="s">
        <v>147</v>
      </c>
      <c r="D21" s="30" t="s">
        <v>148</v>
      </c>
      <c r="E21" s="30"/>
      <c r="F21" s="30"/>
      <c r="G21" s="31" t="s">
        <v>8</v>
      </c>
      <c r="H21" s="30"/>
      <c r="I21" s="30"/>
      <c r="J21" s="31" t="s">
        <v>37</v>
      </c>
      <c r="K21" s="36"/>
    </row>
    <row r="22" ht="42.0" customHeight="1">
      <c r="A22" s="27" t="s">
        <v>152</v>
      </c>
      <c r="B22" s="28" t="s">
        <v>129</v>
      </c>
      <c r="C22" s="28" t="s">
        <v>147</v>
      </c>
      <c r="D22" s="30" t="s">
        <v>153</v>
      </c>
      <c r="E22" s="30"/>
      <c r="F22" s="30"/>
      <c r="G22" s="31" t="s">
        <v>8</v>
      </c>
      <c r="H22" s="30"/>
      <c r="I22" s="30"/>
      <c r="J22" s="31" t="s">
        <v>37</v>
      </c>
      <c r="K22" s="36"/>
    </row>
    <row r="23" ht="42.0" customHeight="1">
      <c r="A23" s="27" t="s">
        <v>156</v>
      </c>
      <c r="B23" s="28" t="s">
        <v>129</v>
      </c>
      <c r="C23" s="28" t="s">
        <v>157</v>
      </c>
      <c r="D23" s="30" t="s">
        <v>159</v>
      </c>
      <c r="E23" s="30"/>
      <c r="F23" s="30"/>
      <c r="G23" s="31" t="s">
        <v>8</v>
      </c>
      <c r="H23" s="30"/>
      <c r="I23" s="30"/>
      <c r="J23" s="31" t="s">
        <v>37</v>
      </c>
      <c r="K23" s="36"/>
    </row>
    <row r="24" ht="42.0" customHeight="1">
      <c r="A24" s="27" t="s">
        <v>161</v>
      </c>
      <c r="B24" s="28" t="s">
        <v>129</v>
      </c>
      <c r="C24" s="28" t="s">
        <v>164</v>
      </c>
      <c r="D24" s="30" t="s">
        <v>165</v>
      </c>
      <c r="E24" s="30"/>
      <c r="F24" s="30"/>
      <c r="G24" s="31" t="s">
        <v>8</v>
      </c>
      <c r="H24" s="30"/>
      <c r="I24" s="30"/>
      <c r="J24" s="31" t="s">
        <v>37</v>
      </c>
      <c r="K24" s="36"/>
    </row>
    <row r="25" ht="42.0" customHeight="1">
      <c r="A25" s="27" t="s">
        <v>167</v>
      </c>
      <c r="B25" s="28" t="s">
        <v>129</v>
      </c>
      <c r="C25" s="28" t="s">
        <v>170</v>
      </c>
      <c r="D25" s="30" t="s">
        <v>171</v>
      </c>
      <c r="E25" s="30"/>
      <c r="F25" s="30"/>
      <c r="G25" s="31" t="s">
        <v>8</v>
      </c>
      <c r="H25" s="30"/>
      <c r="I25" s="30"/>
      <c r="J25" s="31" t="s">
        <v>37</v>
      </c>
      <c r="K25" s="36"/>
    </row>
    <row r="26" ht="42.0" customHeight="1">
      <c r="A26" s="27" t="s">
        <v>172</v>
      </c>
      <c r="B26" s="28" t="s">
        <v>129</v>
      </c>
      <c r="C26" s="28" t="s">
        <v>174</v>
      </c>
      <c r="D26" s="30" t="s">
        <v>175</v>
      </c>
      <c r="E26" s="30"/>
      <c r="F26" s="30"/>
      <c r="G26" s="31" t="s">
        <v>8</v>
      </c>
      <c r="H26" s="30"/>
      <c r="I26" s="30"/>
      <c r="J26" s="31" t="s">
        <v>37</v>
      </c>
      <c r="K26" s="36"/>
    </row>
    <row r="27" ht="42.0" customHeight="1">
      <c r="A27" s="27" t="s">
        <v>178</v>
      </c>
      <c r="B27" s="28" t="s">
        <v>129</v>
      </c>
      <c r="C27" s="28" t="s">
        <v>179</v>
      </c>
      <c r="D27" s="30" t="s">
        <v>181</v>
      </c>
      <c r="E27" s="30"/>
      <c r="F27" s="30"/>
      <c r="G27" s="31" t="s">
        <v>8</v>
      </c>
      <c r="H27" s="30"/>
      <c r="I27" s="30"/>
      <c r="J27" s="31" t="s">
        <v>37</v>
      </c>
      <c r="K27" s="36"/>
    </row>
    <row r="28" ht="42.0" customHeight="1">
      <c r="A28" s="27" t="s">
        <v>183</v>
      </c>
      <c r="B28" s="28" t="s">
        <v>185</v>
      </c>
      <c r="C28" s="28" t="s">
        <v>186</v>
      </c>
      <c r="D28" s="48" t="s">
        <v>188</v>
      </c>
      <c r="E28" s="30"/>
      <c r="F28" s="30"/>
      <c r="G28" s="31" t="s">
        <v>8</v>
      </c>
      <c r="H28" s="30"/>
      <c r="I28" s="30"/>
      <c r="J28" s="31" t="s">
        <v>37</v>
      </c>
      <c r="K28" s="36"/>
    </row>
    <row r="29" ht="42.0" customHeight="1">
      <c r="A29" s="27" t="s">
        <v>190</v>
      </c>
      <c r="B29" s="28" t="s">
        <v>185</v>
      </c>
      <c r="C29" s="28" t="s">
        <v>193</v>
      </c>
      <c r="D29" s="48" t="s">
        <v>194</v>
      </c>
      <c r="E29" s="30"/>
      <c r="F29" s="30"/>
      <c r="G29" s="31" t="s">
        <v>8</v>
      </c>
      <c r="H29" s="30"/>
      <c r="I29" s="30"/>
      <c r="J29" s="31" t="s">
        <v>37</v>
      </c>
      <c r="K29" s="36"/>
    </row>
    <row r="30" ht="42.0" customHeight="1">
      <c r="A30" s="27" t="s">
        <v>196</v>
      </c>
      <c r="B30" s="28" t="s">
        <v>185</v>
      </c>
      <c r="C30" s="28" t="s">
        <v>199</v>
      </c>
      <c r="D30" s="48" t="s">
        <v>200</v>
      </c>
      <c r="E30" s="30"/>
      <c r="F30" s="30"/>
      <c r="G30" s="31" t="s">
        <v>8</v>
      </c>
      <c r="H30" s="30"/>
      <c r="I30" s="30"/>
      <c r="J30" s="31" t="s">
        <v>37</v>
      </c>
      <c r="K30" s="36"/>
    </row>
    <row r="31" ht="42.0" customHeight="1">
      <c r="A31" s="27" t="s">
        <v>202</v>
      </c>
      <c r="B31" s="28" t="s">
        <v>185</v>
      </c>
      <c r="C31" s="28" t="s">
        <v>147</v>
      </c>
      <c r="D31" s="48" t="s">
        <v>205</v>
      </c>
      <c r="E31" s="30"/>
      <c r="F31" s="30"/>
      <c r="G31" s="31" t="s">
        <v>8</v>
      </c>
      <c r="H31" s="30"/>
      <c r="I31" s="30"/>
      <c r="J31" s="31" t="s">
        <v>37</v>
      </c>
      <c r="K31" s="36"/>
    </row>
    <row r="32" ht="42.0" customHeight="1">
      <c r="A32" s="27" t="s">
        <v>207</v>
      </c>
      <c r="B32" s="28" t="s">
        <v>185</v>
      </c>
      <c r="C32" s="28" t="s">
        <v>43</v>
      </c>
      <c r="D32" s="48" t="s">
        <v>210</v>
      </c>
      <c r="E32" s="30"/>
      <c r="F32" s="30"/>
      <c r="G32" s="31" t="s">
        <v>8</v>
      </c>
      <c r="H32" s="30"/>
      <c r="I32" s="30"/>
      <c r="J32" s="31" t="s">
        <v>37</v>
      </c>
      <c r="K32" s="36"/>
    </row>
    <row r="33" ht="42.0" customHeight="1">
      <c r="A33" s="27" t="s">
        <v>212</v>
      </c>
      <c r="B33" s="28" t="s">
        <v>185</v>
      </c>
      <c r="C33" s="28" t="s">
        <v>214</v>
      </c>
      <c r="D33" s="30" t="s">
        <v>215</v>
      </c>
      <c r="E33" s="30"/>
      <c r="F33" s="30"/>
      <c r="G33" s="31" t="s">
        <v>8</v>
      </c>
      <c r="H33" s="30"/>
      <c r="I33" s="30"/>
      <c r="J33" s="31" t="s">
        <v>37</v>
      </c>
      <c r="K33" s="36"/>
    </row>
    <row r="34" ht="42.0" customHeight="1">
      <c r="A34" s="27" t="s">
        <v>217</v>
      </c>
      <c r="B34" s="28" t="s">
        <v>185</v>
      </c>
      <c r="C34" s="28" t="s">
        <v>220</v>
      </c>
      <c r="D34" s="30" t="s">
        <v>221</v>
      </c>
      <c r="E34" s="30"/>
      <c r="F34" s="30"/>
      <c r="G34" s="31" t="s">
        <v>8</v>
      </c>
      <c r="H34" s="30"/>
      <c r="I34" s="30"/>
      <c r="J34" s="31" t="s">
        <v>37</v>
      </c>
      <c r="K34" s="36"/>
    </row>
    <row r="35" ht="42.0" customHeight="1">
      <c r="A35" s="27" t="s">
        <v>224</v>
      </c>
      <c r="B35" s="28" t="s">
        <v>185</v>
      </c>
      <c r="C35" s="28" t="s">
        <v>226</v>
      </c>
      <c r="D35" s="30" t="s">
        <v>227</v>
      </c>
      <c r="E35" s="30"/>
      <c r="F35" s="30"/>
      <c r="G35" s="31" t="s">
        <v>8</v>
      </c>
      <c r="H35" s="30"/>
      <c r="I35" s="30"/>
      <c r="J35" s="31" t="s">
        <v>37</v>
      </c>
      <c r="K35" s="36"/>
    </row>
    <row r="36" ht="42.0" customHeight="1">
      <c r="A36" s="27" t="s">
        <v>229</v>
      </c>
      <c r="B36" s="28" t="s">
        <v>185</v>
      </c>
      <c r="C36" s="28" t="s">
        <v>231</v>
      </c>
      <c r="D36" s="30" t="s">
        <v>232</v>
      </c>
      <c r="E36" s="30"/>
      <c r="F36" s="30"/>
      <c r="G36" s="31" t="s">
        <v>8</v>
      </c>
      <c r="H36" s="30"/>
      <c r="I36" s="30"/>
      <c r="J36" s="31" t="s">
        <v>37</v>
      </c>
      <c r="K36" s="36"/>
    </row>
    <row r="37" ht="42.0" customHeight="1">
      <c r="A37" s="27" t="s">
        <v>235</v>
      </c>
      <c r="B37" s="28" t="s">
        <v>185</v>
      </c>
      <c r="C37" s="28" t="s">
        <v>179</v>
      </c>
      <c r="D37" s="30" t="s">
        <v>237</v>
      </c>
      <c r="E37" s="30"/>
      <c r="F37" s="30"/>
      <c r="G37" s="31" t="s">
        <v>8</v>
      </c>
      <c r="H37" s="30"/>
      <c r="I37" s="30"/>
      <c r="J37" s="31" t="s">
        <v>37</v>
      </c>
      <c r="K37" s="36"/>
    </row>
    <row r="38" ht="42.0" customHeight="1">
      <c r="A38" s="27" t="s">
        <v>239</v>
      </c>
      <c r="B38" s="28" t="s">
        <v>241</v>
      </c>
      <c r="C38" s="28" t="s">
        <v>243</v>
      </c>
      <c r="D38" s="30" t="s">
        <v>244</v>
      </c>
      <c r="E38" s="30"/>
      <c r="F38" s="30"/>
      <c r="G38" s="31" t="s">
        <v>8</v>
      </c>
      <c r="H38" s="30"/>
      <c r="I38" s="30"/>
      <c r="J38" s="31" t="s">
        <v>37</v>
      </c>
      <c r="K38" s="36"/>
    </row>
    <row r="39" ht="42.0" customHeight="1">
      <c r="A39" s="27" t="s">
        <v>246</v>
      </c>
      <c r="B39" s="28" t="s">
        <v>241</v>
      </c>
      <c r="C39" s="28" t="s">
        <v>170</v>
      </c>
      <c r="D39" s="30" t="s">
        <v>249</v>
      </c>
      <c r="E39" s="30"/>
      <c r="F39" s="30"/>
      <c r="G39" s="31" t="s">
        <v>8</v>
      </c>
      <c r="H39" s="30"/>
      <c r="I39" s="30"/>
      <c r="J39" s="31" t="s">
        <v>37</v>
      </c>
      <c r="K39" s="36"/>
    </row>
    <row r="40" ht="42.0" customHeight="1">
      <c r="A40" s="27" t="s">
        <v>252</v>
      </c>
      <c r="B40" s="28" t="s">
        <v>241</v>
      </c>
      <c r="C40" s="28" t="s">
        <v>254</v>
      </c>
      <c r="D40" s="30" t="s">
        <v>255</v>
      </c>
      <c r="E40" s="30"/>
      <c r="F40" s="30"/>
      <c r="G40" s="31" t="s">
        <v>8</v>
      </c>
      <c r="H40" s="30"/>
      <c r="I40" s="30"/>
      <c r="J40" s="31" t="s">
        <v>37</v>
      </c>
      <c r="K40" s="36"/>
    </row>
    <row r="41" ht="42.0" customHeight="1">
      <c r="A41" s="27" t="s">
        <v>259</v>
      </c>
      <c r="B41" s="28" t="s">
        <v>241</v>
      </c>
      <c r="C41" s="28" t="s">
        <v>81</v>
      </c>
      <c r="D41" s="30" t="s">
        <v>260</v>
      </c>
      <c r="E41" s="30"/>
      <c r="F41" s="30"/>
      <c r="G41" s="31" t="s">
        <v>8</v>
      </c>
      <c r="H41" s="30"/>
      <c r="I41" s="30"/>
      <c r="J41" s="31" t="s">
        <v>37</v>
      </c>
      <c r="K41" s="36"/>
    </row>
    <row r="42" ht="42.0" customHeight="1">
      <c r="A42" s="27" t="s">
        <v>264</v>
      </c>
      <c r="B42" s="28" t="s">
        <v>241</v>
      </c>
      <c r="C42" s="28" t="s">
        <v>234</v>
      </c>
      <c r="D42" s="30" t="s">
        <v>265</v>
      </c>
      <c r="E42" s="30"/>
      <c r="F42" s="30"/>
      <c r="G42" s="31" t="s">
        <v>8</v>
      </c>
      <c r="H42" s="30"/>
      <c r="I42" s="30"/>
      <c r="J42" s="31" t="s">
        <v>37</v>
      </c>
      <c r="K42" s="36"/>
    </row>
    <row r="43" ht="42.0" customHeight="1">
      <c r="A43" s="27" t="s">
        <v>269</v>
      </c>
      <c r="B43" s="28" t="s">
        <v>241</v>
      </c>
      <c r="C43" s="28" t="s">
        <v>270</v>
      </c>
      <c r="D43" s="30" t="s">
        <v>271</v>
      </c>
      <c r="E43" s="30"/>
      <c r="F43" s="30"/>
      <c r="G43" s="31" t="s">
        <v>8</v>
      </c>
      <c r="H43" s="30"/>
      <c r="I43" s="30"/>
      <c r="J43" s="31" t="s">
        <v>37</v>
      </c>
      <c r="K43" s="36"/>
    </row>
    <row r="44" ht="42.0" customHeight="1">
      <c r="A44" s="27" t="s">
        <v>275</v>
      </c>
      <c r="B44" s="28" t="s">
        <v>241</v>
      </c>
      <c r="C44" s="28" t="s">
        <v>276</v>
      </c>
      <c r="D44" s="30" t="s">
        <v>277</v>
      </c>
      <c r="E44" s="30"/>
      <c r="F44" s="30"/>
      <c r="G44" s="31" t="s">
        <v>8</v>
      </c>
      <c r="H44" s="30"/>
      <c r="I44" s="30"/>
      <c r="J44" s="31" t="s">
        <v>37</v>
      </c>
      <c r="K44" s="36"/>
    </row>
    <row r="45" ht="42.0" customHeight="1">
      <c r="A45" s="27" t="s">
        <v>278</v>
      </c>
      <c r="B45" s="28" t="s">
        <v>241</v>
      </c>
      <c r="C45" s="28" t="s">
        <v>279</v>
      </c>
      <c r="D45" s="30" t="s">
        <v>281</v>
      </c>
      <c r="E45" s="30"/>
      <c r="F45" s="30"/>
      <c r="G45" s="31" t="s">
        <v>8</v>
      </c>
      <c r="H45" s="30"/>
      <c r="I45" s="30"/>
      <c r="J45" s="31" t="s">
        <v>37</v>
      </c>
      <c r="K45" s="36"/>
    </row>
    <row r="46" ht="42.0" customHeight="1">
      <c r="A46" s="27" t="s">
        <v>283</v>
      </c>
      <c r="B46" s="28" t="s">
        <v>241</v>
      </c>
      <c r="C46" s="28" t="s">
        <v>284</v>
      </c>
      <c r="D46" s="30" t="s">
        <v>286</v>
      </c>
      <c r="E46" s="30"/>
      <c r="F46" s="30"/>
      <c r="G46" s="31" t="s">
        <v>8</v>
      </c>
      <c r="H46" s="30"/>
      <c r="I46" s="30"/>
      <c r="J46" s="31" t="s">
        <v>37</v>
      </c>
      <c r="K46" s="36"/>
    </row>
    <row r="47" ht="42.0" customHeight="1">
      <c r="A47" s="27" t="s">
        <v>288</v>
      </c>
      <c r="B47" s="28" t="s">
        <v>241</v>
      </c>
      <c r="C47" s="28" t="s">
        <v>289</v>
      </c>
      <c r="D47" s="30" t="s">
        <v>290</v>
      </c>
      <c r="E47" s="30"/>
      <c r="F47" s="30"/>
      <c r="G47" s="31" t="s">
        <v>8</v>
      </c>
      <c r="H47" s="30"/>
      <c r="I47" s="30"/>
      <c r="J47" s="31" t="s">
        <v>37</v>
      </c>
      <c r="K47" s="36"/>
    </row>
    <row r="48" ht="42.0" customHeight="1">
      <c r="A48" s="27" t="s">
        <v>293</v>
      </c>
      <c r="B48" s="28" t="s">
        <v>294</v>
      </c>
      <c r="C48" s="28" t="s">
        <v>295</v>
      </c>
      <c r="D48" s="48" t="s">
        <v>296</v>
      </c>
      <c r="E48" s="30"/>
      <c r="F48" s="30"/>
      <c r="G48" s="31" t="s">
        <v>8</v>
      </c>
      <c r="H48" s="30"/>
      <c r="I48" s="30"/>
      <c r="J48" s="31" t="s">
        <v>37</v>
      </c>
      <c r="K48" s="36"/>
    </row>
    <row r="49" ht="42.0" customHeight="1">
      <c r="A49" s="27" t="s">
        <v>300</v>
      </c>
      <c r="B49" s="28" t="s">
        <v>294</v>
      </c>
      <c r="C49" s="28" t="s">
        <v>295</v>
      </c>
      <c r="D49" s="30" t="s">
        <v>301</v>
      </c>
      <c r="E49" s="30"/>
      <c r="F49" s="30"/>
      <c r="G49" s="31" t="s">
        <v>8</v>
      </c>
      <c r="H49" s="30"/>
      <c r="I49" s="30"/>
      <c r="J49" s="31" t="s">
        <v>37</v>
      </c>
      <c r="K49" s="36"/>
    </row>
    <row r="50" ht="42.0" customHeight="1">
      <c r="A50" s="27" t="s">
        <v>305</v>
      </c>
      <c r="B50" s="28" t="s">
        <v>294</v>
      </c>
      <c r="C50" s="28" t="s">
        <v>306</v>
      </c>
      <c r="D50" s="30" t="s">
        <v>307</v>
      </c>
      <c r="E50" s="30"/>
      <c r="F50" s="30"/>
      <c r="G50" s="31" t="s">
        <v>8</v>
      </c>
      <c r="H50" s="30"/>
      <c r="I50" s="30"/>
      <c r="J50" s="31" t="s">
        <v>37</v>
      </c>
      <c r="K50" s="36"/>
    </row>
    <row r="51" ht="42.0" customHeight="1">
      <c r="A51" s="27" t="s">
        <v>311</v>
      </c>
      <c r="B51" s="28" t="s">
        <v>294</v>
      </c>
      <c r="C51" s="28" t="s">
        <v>312</v>
      </c>
      <c r="D51" s="30" t="s">
        <v>313</v>
      </c>
      <c r="E51" s="30"/>
      <c r="F51" s="30"/>
      <c r="G51" s="31" t="s">
        <v>8</v>
      </c>
      <c r="H51" s="30"/>
      <c r="I51" s="30"/>
      <c r="J51" s="31" t="s">
        <v>37</v>
      </c>
      <c r="K51" s="36"/>
    </row>
    <row r="52" ht="42.0" customHeight="1">
      <c r="A52" s="27" t="s">
        <v>317</v>
      </c>
      <c r="B52" s="28" t="s">
        <v>294</v>
      </c>
      <c r="C52" s="28" t="s">
        <v>318</v>
      </c>
      <c r="D52" s="30" t="s">
        <v>319</v>
      </c>
      <c r="E52" s="30"/>
      <c r="F52" s="30"/>
      <c r="G52" s="31" t="s">
        <v>8</v>
      </c>
      <c r="H52" s="30"/>
      <c r="I52" s="30"/>
      <c r="J52" s="31" t="s">
        <v>37</v>
      </c>
      <c r="K52" s="36"/>
    </row>
    <row r="53" ht="42.0" customHeight="1">
      <c r="A53" s="27" t="s">
        <v>322</v>
      </c>
      <c r="B53" s="28" t="s">
        <v>294</v>
      </c>
      <c r="C53" s="28" t="s">
        <v>324</v>
      </c>
      <c r="D53" s="30" t="s">
        <v>325</v>
      </c>
      <c r="E53" s="30"/>
      <c r="F53" s="30"/>
      <c r="G53" s="31" t="s">
        <v>8</v>
      </c>
      <c r="H53" s="30"/>
      <c r="I53" s="30"/>
      <c r="J53" s="31" t="s">
        <v>37</v>
      </c>
      <c r="K53" s="36"/>
    </row>
    <row r="54" ht="42.0" customHeight="1">
      <c r="A54" s="27" t="s">
        <v>326</v>
      </c>
      <c r="B54" s="28" t="s">
        <v>294</v>
      </c>
      <c r="C54" s="28" t="s">
        <v>328</v>
      </c>
      <c r="D54" s="30" t="s">
        <v>329</v>
      </c>
      <c r="E54" s="30"/>
      <c r="F54" s="30"/>
      <c r="G54" s="31" t="s">
        <v>8</v>
      </c>
      <c r="H54" s="30"/>
      <c r="I54" s="30"/>
      <c r="J54" s="31" t="s">
        <v>37</v>
      </c>
      <c r="K54" s="36"/>
    </row>
    <row r="55" ht="42.0" customHeight="1">
      <c r="A55" s="27" t="s">
        <v>331</v>
      </c>
      <c r="B55" s="28" t="s">
        <v>294</v>
      </c>
      <c r="C55" s="28" t="s">
        <v>332</v>
      </c>
      <c r="D55" s="30" t="s">
        <v>333</v>
      </c>
      <c r="E55" s="30"/>
      <c r="F55" s="30"/>
      <c r="G55" s="31" t="s">
        <v>8</v>
      </c>
      <c r="H55" s="30"/>
      <c r="I55" s="30"/>
      <c r="J55" s="31" t="s">
        <v>37</v>
      </c>
      <c r="K55" s="36"/>
    </row>
    <row r="56" ht="42.0" customHeight="1">
      <c r="A56" s="27" t="s">
        <v>336</v>
      </c>
      <c r="B56" s="28" t="s">
        <v>294</v>
      </c>
      <c r="C56" s="28" t="s">
        <v>303</v>
      </c>
      <c r="D56" s="30" t="s">
        <v>337</v>
      </c>
      <c r="E56" s="30"/>
      <c r="F56" s="30"/>
      <c r="G56" s="31" t="s">
        <v>8</v>
      </c>
      <c r="H56" s="30"/>
      <c r="I56" s="30"/>
      <c r="J56" s="31" t="s">
        <v>37</v>
      </c>
      <c r="K56" s="36"/>
    </row>
    <row r="57" ht="42.0" customHeight="1">
      <c r="A57" s="27" t="s">
        <v>341</v>
      </c>
      <c r="B57" s="28" t="s">
        <v>294</v>
      </c>
      <c r="C57" s="28" t="s">
        <v>342</v>
      </c>
      <c r="D57" s="30" t="s">
        <v>343</v>
      </c>
      <c r="E57" s="30"/>
      <c r="F57" s="30"/>
      <c r="G57" s="31" t="s">
        <v>8</v>
      </c>
      <c r="H57" s="30"/>
      <c r="I57" s="30"/>
      <c r="J57" s="31" t="s">
        <v>37</v>
      </c>
      <c r="K57" s="36"/>
    </row>
    <row r="58" ht="42.0" customHeight="1">
      <c r="A58" s="27" t="s">
        <v>347</v>
      </c>
      <c r="B58" s="28" t="s">
        <v>348</v>
      </c>
      <c r="C58" s="28" t="s">
        <v>349</v>
      </c>
      <c r="D58" s="30" t="s">
        <v>350</v>
      </c>
      <c r="E58" s="30"/>
      <c r="F58" s="30"/>
      <c r="G58" s="31" t="s">
        <v>8</v>
      </c>
      <c r="H58" s="30"/>
      <c r="I58" s="30"/>
      <c r="J58" s="31" t="s">
        <v>37</v>
      </c>
      <c r="K58" s="36"/>
    </row>
    <row r="59" ht="42.0" customHeight="1">
      <c r="A59" s="27" t="s">
        <v>354</v>
      </c>
      <c r="B59" s="28" t="s">
        <v>348</v>
      </c>
      <c r="C59" s="28" t="s">
        <v>355</v>
      </c>
      <c r="D59" s="30" t="s">
        <v>357</v>
      </c>
      <c r="E59" s="30"/>
      <c r="F59" s="30"/>
      <c r="G59" s="31" t="s">
        <v>8</v>
      </c>
      <c r="H59" s="30"/>
      <c r="I59" s="30"/>
      <c r="J59" s="31" t="s">
        <v>37</v>
      </c>
      <c r="K59" s="36"/>
    </row>
    <row r="60" ht="42.0" customHeight="1">
      <c r="A60" s="27" t="s">
        <v>359</v>
      </c>
      <c r="B60" s="28" t="s">
        <v>348</v>
      </c>
      <c r="C60" s="28" t="s">
        <v>360</v>
      </c>
      <c r="D60" s="30" t="s">
        <v>361</v>
      </c>
      <c r="E60" s="30"/>
      <c r="F60" s="30"/>
      <c r="G60" s="31" t="s">
        <v>8</v>
      </c>
      <c r="H60" s="30"/>
      <c r="I60" s="30"/>
      <c r="J60" s="31" t="s">
        <v>37</v>
      </c>
      <c r="K60" s="36"/>
    </row>
    <row r="61" ht="42.0" customHeight="1">
      <c r="A61" s="27" t="s">
        <v>366</v>
      </c>
      <c r="B61" s="28" t="s">
        <v>348</v>
      </c>
      <c r="C61" s="28" t="s">
        <v>367</v>
      </c>
      <c r="D61" s="30" t="s">
        <v>368</v>
      </c>
      <c r="E61" s="30"/>
      <c r="F61" s="30"/>
      <c r="G61" s="31" t="s">
        <v>8</v>
      </c>
      <c r="H61" s="30"/>
      <c r="I61" s="30"/>
      <c r="J61" s="31" t="s">
        <v>37</v>
      </c>
      <c r="K61" s="36"/>
    </row>
    <row r="62" ht="42.0" customHeight="1">
      <c r="A62" s="27" t="s">
        <v>372</v>
      </c>
      <c r="B62" s="28" t="s">
        <v>348</v>
      </c>
      <c r="C62" s="28" t="s">
        <v>373</v>
      </c>
      <c r="D62" s="30" t="s">
        <v>374</v>
      </c>
      <c r="E62" s="30"/>
      <c r="F62" s="30"/>
      <c r="G62" s="31" t="s">
        <v>8</v>
      </c>
      <c r="H62" s="30"/>
      <c r="I62" s="30"/>
      <c r="J62" s="31" t="s">
        <v>37</v>
      </c>
      <c r="K62" s="36"/>
    </row>
    <row r="63" ht="42.0" customHeight="1">
      <c r="A63" s="27" t="s">
        <v>378</v>
      </c>
      <c r="B63" s="28" t="s">
        <v>348</v>
      </c>
      <c r="C63" s="28" t="s">
        <v>379</v>
      </c>
      <c r="D63" s="30" t="s">
        <v>380</v>
      </c>
      <c r="E63" s="30"/>
      <c r="F63" s="30"/>
      <c r="G63" s="31" t="s">
        <v>8</v>
      </c>
      <c r="H63" s="30"/>
      <c r="I63" s="30"/>
      <c r="J63" s="31" t="s">
        <v>37</v>
      </c>
      <c r="K63" s="36"/>
    </row>
    <row r="64" ht="42.0" customHeight="1">
      <c r="A64" s="52" t="s">
        <v>383</v>
      </c>
      <c r="B64" s="53" t="s">
        <v>348</v>
      </c>
      <c r="C64" s="53" t="s">
        <v>384</v>
      </c>
      <c r="D64" s="54" t="s">
        <v>386</v>
      </c>
      <c r="E64" s="54"/>
      <c r="F64" s="54"/>
      <c r="G64" s="55" t="s">
        <v>8</v>
      </c>
      <c r="H64" s="54"/>
      <c r="I64" s="54"/>
      <c r="J64" s="55" t="s">
        <v>37</v>
      </c>
      <c r="K64" s="56"/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K1"/>
    <mergeCell ref="A2:K2"/>
    <mergeCell ref="A3:K3"/>
  </mergeCells>
  <conditionalFormatting sqref="G6:G64">
    <cfRule type="expression" dxfId="5" priority="1">
      <formula>G6="確認済み"</formula>
    </cfRule>
  </conditionalFormatting>
  <conditionalFormatting sqref="G6:G64">
    <cfRule type="expression" dxfId="6" priority="2">
      <formula>G6="回答あり・根拠未確認"</formula>
    </cfRule>
  </conditionalFormatting>
  <conditionalFormatting sqref="G6:G64">
    <cfRule type="expression" dxfId="7" priority="3">
      <formula>G6="一部確認"</formula>
    </cfRule>
  </conditionalFormatting>
  <conditionalFormatting sqref="G6:G64">
    <cfRule type="expression" dxfId="8" priority="4">
      <formula>G6="未整備"</formula>
    </cfRule>
  </conditionalFormatting>
  <dataValidations>
    <dataValidation type="list" allowBlank="1" sqref="J6:J64">
      <formula1>"現行,将来,現行・将来"</formula1>
    </dataValidation>
    <dataValidation type="list" allowBlank="1" sqref="G6:G64">
      <formula1>"未回答,確認済み,回答あり・根拠未確認,一部確認,未整備"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24.0"/>
    <col customWidth="1" min="3" max="3" width="22.0"/>
    <col customWidth="1" min="4" max="4" width="62.0"/>
    <col customWidth="1" min="5" max="5" width="42.0"/>
    <col customWidth="1" min="6" max="6" width="18.0"/>
    <col customWidth="1" min="7" max="7" width="22.0"/>
    <col customWidth="1" min="8" max="8" width="30.0"/>
    <col customWidth="1" min="9" max="9" width="32.0"/>
    <col customWidth="1" min="10" max="10" width="14.0"/>
    <col customWidth="1" min="11" max="11" width="20.0"/>
    <col customWidth="1" min="12" max="26" width="8.63"/>
  </cols>
  <sheetData>
    <row r="1" ht="30.0" customHeight="1">
      <c r="A1" s="1" t="s">
        <v>10</v>
      </c>
    </row>
    <row r="2" ht="36.0" customHeight="1">
      <c r="A2" s="6" t="s">
        <v>11</v>
      </c>
    </row>
    <row r="3" ht="33.75" customHeight="1">
      <c r="A3" s="8" t="s">
        <v>13</v>
      </c>
    </row>
    <row r="5" ht="31.5" customHeight="1">
      <c r="A5" s="10" t="s">
        <v>14</v>
      </c>
      <c r="B5" s="13" t="s">
        <v>17</v>
      </c>
      <c r="C5" s="13" t="s">
        <v>19</v>
      </c>
      <c r="D5" s="13" t="s">
        <v>20</v>
      </c>
      <c r="E5" s="13" t="s">
        <v>21</v>
      </c>
      <c r="F5" s="13" t="s">
        <v>22</v>
      </c>
      <c r="G5" s="13" t="s">
        <v>23</v>
      </c>
      <c r="H5" s="13" t="s">
        <v>24</v>
      </c>
      <c r="I5" s="13" t="s">
        <v>25</v>
      </c>
      <c r="J5" s="13" t="s">
        <v>26</v>
      </c>
      <c r="K5" s="15" t="s">
        <v>27</v>
      </c>
    </row>
    <row r="6" ht="42.0" customHeight="1">
      <c r="A6" s="17" t="s">
        <v>29</v>
      </c>
      <c r="B6" s="19" t="s">
        <v>30</v>
      </c>
      <c r="C6" s="19" t="s">
        <v>33</v>
      </c>
      <c r="D6" s="21" t="s">
        <v>35</v>
      </c>
      <c r="E6" s="21"/>
      <c r="F6" s="21"/>
      <c r="G6" s="23" t="s">
        <v>8</v>
      </c>
      <c r="H6" s="21"/>
      <c r="I6" s="21"/>
      <c r="J6" s="23" t="s">
        <v>37</v>
      </c>
      <c r="K6" s="25"/>
    </row>
    <row r="7" ht="42.0" customHeight="1">
      <c r="A7" s="27" t="s">
        <v>40</v>
      </c>
      <c r="B7" s="28" t="s">
        <v>30</v>
      </c>
      <c r="C7" s="28" t="s">
        <v>43</v>
      </c>
      <c r="D7" s="30" t="s">
        <v>46</v>
      </c>
      <c r="E7" s="30"/>
      <c r="F7" s="30"/>
      <c r="G7" s="31" t="s">
        <v>8</v>
      </c>
      <c r="H7" s="30"/>
      <c r="I7" s="30"/>
      <c r="J7" s="31" t="s">
        <v>37</v>
      </c>
      <c r="K7" s="36"/>
    </row>
    <row r="8" ht="42.0" customHeight="1">
      <c r="A8" s="27" t="s">
        <v>68</v>
      </c>
      <c r="B8" s="28" t="s">
        <v>30</v>
      </c>
      <c r="C8" s="28" t="s">
        <v>72</v>
      </c>
      <c r="D8" s="30" t="s">
        <v>76</v>
      </c>
      <c r="E8" s="30"/>
      <c r="F8" s="30"/>
      <c r="G8" s="31" t="s">
        <v>8</v>
      </c>
      <c r="H8" s="30"/>
      <c r="I8" s="30"/>
      <c r="J8" s="31" t="s">
        <v>37</v>
      </c>
      <c r="K8" s="36"/>
    </row>
    <row r="9" ht="42.0" customHeight="1">
      <c r="A9" s="27" t="s">
        <v>83</v>
      </c>
      <c r="B9" s="28" t="s">
        <v>30</v>
      </c>
      <c r="C9" s="28" t="s">
        <v>81</v>
      </c>
      <c r="D9" s="30" t="s">
        <v>84</v>
      </c>
      <c r="E9" s="30"/>
      <c r="F9" s="30"/>
      <c r="G9" s="31" t="s">
        <v>8</v>
      </c>
      <c r="H9" s="30"/>
      <c r="I9" s="30"/>
      <c r="J9" s="31" t="s">
        <v>37</v>
      </c>
      <c r="K9" s="36"/>
    </row>
    <row r="10" ht="42.0" customHeight="1">
      <c r="A10" s="27" t="s">
        <v>88</v>
      </c>
      <c r="B10" s="28" t="s">
        <v>30</v>
      </c>
      <c r="C10" s="28" t="s">
        <v>89</v>
      </c>
      <c r="D10" s="30" t="s">
        <v>90</v>
      </c>
      <c r="E10" s="30"/>
      <c r="F10" s="30"/>
      <c r="G10" s="31" t="s">
        <v>8</v>
      </c>
      <c r="H10" s="30"/>
      <c r="I10" s="30"/>
      <c r="J10" s="31" t="s">
        <v>37</v>
      </c>
      <c r="K10" s="36"/>
    </row>
    <row r="11" ht="42.0" customHeight="1">
      <c r="A11" s="27" t="s">
        <v>93</v>
      </c>
      <c r="B11" s="28" t="s">
        <v>94</v>
      </c>
      <c r="C11" s="28" t="s">
        <v>95</v>
      </c>
      <c r="D11" s="30" t="s">
        <v>96</v>
      </c>
      <c r="E11" s="30"/>
      <c r="F11" s="30"/>
      <c r="G11" s="31" t="s">
        <v>8</v>
      </c>
      <c r="H11" s="30"/>
      <c r="I11" s="30"/>
      <c r="J11" s="31" t="s">
        <v>37</v>
      </c>
      <c r="K11" s="36"/>
    </row>
    <row r="12" ht="42.0" customHeight="1">
      <c r="A12" s="27" t="s">
        <v>99</v>
      </c>
      <c r="B12" s="28" t="s">
        <v>94</v>
      </c>
      <c r="C12" s="28" t="s">
        <v>101</v>
      </c>
      <c r="D12" s="30" t="s">
        <v>102</v>
      </c>
      <c r="E12" s="30"/>
      <c r="F12" s="30"/>
      <c r="G12" s="31" t="s">
        <v>8</v>
      </c>
      <c r="H12" s="30"/>
      <c r="I12" s="30"/>
      <c r="J12" s="31" t="s">
        <v>37</v>
      </c>
      <c r="K12" s="36"/>
    </row>
    <row r="13" ht="42.0" customHeight="1">
      <c r="A13" s="27" t="s">
        <v>104</v>
      </c>
      <c r="B13" s="28" t="s">
        <v>94</v>
      </c>
      <c r="C13" s="28" t="s">
        <v>107</v>
      </c>
      <c r="D13" s="30" t="s">
        <v>108</v>
      </c>
      <c r="E13" s="30"/>
      <c r="F13" s="30"/>
      <c r="G13" s="31" t="s">
        <v>8</v>
      </c>
      <c r="H13" s="30"/>
      <c r="I13" s="30"/>
      <c r="J13" s="31" t="s">
        <v>37</v>
      </c>
      <c r="K13" s="36"/>
    </row>
    <row r="14" ht="42.0" customHeight="1">
      <c r="A14" s="27" t="s">
        <v>110</v>
      </c>
      <c r="B14" s="28" t="s">
        <v>94</v>
      </c>
      <c r="C14" s="28" t="s">
        <v>112</v>
      </c>
      <c r="D14" s="30" t="s">
        <v>114</v>
      </c>
      <c r="E14" s="30"/>
      <c r="F14" s="30"/>
      <c r="G14" s="31" t="s">
        <v>8</v>
      </c>
      <c r="H14" s="30"/>
      <c r="I14" s="30"/>
      <c r="J14" s="31" t="s">
        <v>37</v>
      </c>
      <c r="K14" s="36"/>
    </row>
    <row r="15" ht="42.0" customHeight="1">
      <c r="A15" s="27" t="s">
        <v>118</v>
      </c>
      <c r="B15" s="28" t="s">
        <v>94</v>
      </c>
      <c r="C15" s="28" t="s">
        <v>119</v>
      </c>
      <c r="D15" s="30" t="s">
        <v>120</v>
      </c>
      <c r="E15" s="30"/>
      <c r="F15" s="30"/>
      <c r="G15" s="31" t="s">
        <v>8</v>
      </c>
      <c r="H15" s="30"/>
      <c r="I15" s="30"/>
      <c r="J15" s="31" t="s">
        <v>37</v>
      </c>
      <c r="K15" s="36"/>
    </row>
    <row r="16" ht="42.0" customHeight="1">
      <c r="A16" s="27" t="s">
        <v>122</v>
      </c>
      <c r="B16" s="28" t="s">
        <v>94</v>
      </c>
      <c r="C16" s="28" t="s">
        <v>125</v>
      </c>
      <c r="D16" s="30" t="s">
        <v>126</v>
      </c>
      <c r="E16" s="30"/>
      <c r="F16" s="30"/>
      <c r="G16" s="31" t="s">
        <v>8</v>
      </c>
      <c r="H16" s="30"/>
      <c r="I16" s="30"/>
      <c r="J16" s="31" t="s">
        <v>37</v>
      </c>
      <c r="K16" s="36"/>
    </row>
    <row r="17" ht="42.0" customHeight="1">
      <c r="A17" s="27" t="s">
        <v>127</v>
      </c>
      <c r="B17" s="28" t="s">
        <v>94</v>
      </c>
      <c r="C17" s="28" t="s">
        <v>130</v>
      </c>
      <c r="D17" s="30" t="s">
        <v>132</v>
      </c>
      <c r="E17" s="30"/>
      <c r="F17" s="30"/>
      <c r="G17" s="31" t="s">
        <v>8</v>
      </c>
      <c r="H17" s="30"/>
      <c r="I17" s="30"/>
      <c r="J17" s="31" t="s">
        <v>37</v>
      </c>
      <c r="K17" s="36"/>
    </row>
    <row r="18" ht="42.0" customHeight="1">
      <c r="A18" s="27" t="s">
        <v>134</v>
      </c>
      <c r="B18" s="28" t="s">
        <v>94</v>
      </c>
      <c r="C18" s="28" t="s">
        <v>136</v>
      </c>
      <c r="D18" s="30" t="s">
        <v>137</v>
      </c>
      <c r="E18" s="30"/>
      <c r="F18" s="30"/>
      <c r="G18" s="31" t="s">
        <v>8</v>
      </c>
      <c r="H18" s="30"/>
      <c r="I18" s="30"/>
      <c r="J18" s="31" t="s">
        <v>37</v>
      </c>
      <c r="K18" s="36"/>
    </row>
    <row r="19" ht="42.0" customHeight="1">
      <c r="A19" s="27" t="s">
        <v>143</v>
      </c>
      <c r="B19" s="28" t="s">
        <v>94</v>
      </c>
      <c r="C19" s="28" t="s">
        <v>144</v>
      </c>
      <c r="D19" s="30" t="s">
        <v>145</v>
      </c>
      <c r="E19" s="30"/>
      <c r="F19" s="30"/>
      <c r="G19" s="31" t="s">
        <v>8</v>
      </c>
      <c r="H19" s="30"/>
      <c r="I19" s="30"/>
      <c r="J19" s="31" t="s">
        <v>37</v>
      </c>
      <c r="K19" s="36"/>
    </row>
    <row r="20" ht="42.0" customHeight="1">
      <c r="A20" s="27" t="s">
        <v>149</v>
      </c>
      <c r="B20" s="28" t="s">
        <v>94</v>
      </c>
      <c r="C20" s="28" t="s">
        <v>150</v>
      </c>
      <c r="D20" s="30" t="s">
        <v>151</v>
      </c>
      <c r="E20" s="30"/>
      <c r="F20" s="30"/>
      <c r="G20" s="31" t="s">
        <v>8</v>
      </c>
      <c r="H20" s="30"/>
      <c r="I20" s="30"/>
      <c r="J20" s="31" t="s">
        <v>37</v>
      </c>
      <c r="K20" s="36"/>
    </row>
    <row r="21" ht="42.0" customHeight="1">
      <c r="A21" s="27" t="s">
        <v>154</v>
      </c>
      <c r="B21" s="28" t="s">
        <v>155</v>
      </c>
      <c r="C21" s="28" t="s">
        <v>112</v>
      </c>
      <c r="D21" s="30" t="s">
        <v>158</v>
      </c>
      <c r="E21" s="30"/>
      <c r="F21" s="30"/>
      <c r="G21" s="31" t="s">
        <v>8</v>
      </c>
      <c r="H21" s="30"/>
      <c r="I21" s="30"/>
      <c r="J21" s="31" t="s">
        <v>37</v>
      </c>
      <c r="K21" s="36"/>
    </row>
    <row r="22" ht="42.0" customHeight="1">
      <c r="A22" s="27" t="s">
        <v>160</v>
      </c>
      <c r="B22" s="28" t="s">
        <v>155</v>
      </c>
      <c r="C22" s="28" t="s">
        <v>162</v>
      </c>
      <c r="D22" s="30" t="s">
        <v>163</v>
      </c>
      <c r="E22" s="30"/>
      <c r="F22" s="30"/>
      <c r="G22" s="31" t="s">
        <v>8</v>
      </c>
      <c r="H22" s="30"/>
      <c r="I22" s="30"/>
      <c r="J22" s="31" t="s">
        <v>37</v>
      </c>
      <c r="K22" s="36"/>
    </row>
    <row r="23" ht="42.0" customHeight="1">
      <c r="A23" s="27" t="s">
        <v>166</v>
      </c>
      <c r="B23" s="28" t="s">
        <v>155</v>
      </c>
      <c r="C23" s="28" t="s">
        <v>168</v>
      </c>
      <c r="D23" s="30" t="s">
        <v>169</v>
      </c>
      <c r="E23" s="30"/>
      <c r="F23" s="30"/>
      <c r="G23" s="31" t="s">
        <v>8</v>
      </c>
      <c r="H23" s="30"/>
      <c r="I23" s="30"/>
      <c r="J23" s="31" t="s">
        <v>37</v>
      </c>
      <c r="K23" s="36"/>
    </row>
    <row r="24" ht="42.0" customHeight="1">
      <c r="A24" s="27" t="s">
        <v>173</v>
      </c>
      <c r="B24" s="28" t="s">
        <v>155</v>
      </c>
      <c r="C24" s="28" t="s">
        <v>176</v>
      </c>
      <c r="D24" s="30" t="s">
        <v>177</v>
      </c>
      <c r="E24" s="30"/>
      <c r="F24" s="30"/>
      <c r="G24" s="31" t="s">
        <v>8</v>
      </c>
      <c r="H24" s="30"/>
      <c r="I24" s="30"/>
      <c r="J24" s="31" t="s">
        <v>37</v>
      </c>
      <c r="K24" s="36"/>
    </row>
    <row r="25" ht="42.0" customHeight="1">
      <c r="A25" s="27" t="s">
        <v>180</v>
      </c>
      <c r="B25" s="28" t="s">
        <v>155</v>
      </c>
      <c r="C25" s="28" t="s">
        <v>179</v>
      </c>
      <c r="D25" s="30" t="s">
        <v>182</v>
      </c>
      <c r="E25" s="30"/>
      <c r="F25" s="30"/>
      <c r="G25" s="31" t="s">
        <v>8</v>
      </c>
      <c r="H25" s="30"/>
      <c r="I25" s="30"/>
      <c r="J25" s="31" t="s">
        <v>37</v>
      </c>
      <c r="K25" s="36"/>
    </row>
    <row r="26" ht="42.0" customHeight="1">
      <c r="A26" s="27" t="s">
        <v>184</v>
      </c>
      <c r="B26" s="28" t="s">
        <v>155</v>
      </c>
      <c r="C26" s="28" t="s">
        <v>119</v>
      </c>
      <c r="D26" s="30" t="s">
        <v>187</v>
      </c>
      <c r="E26" s="30"/>
      <c r="F26" s="30"/>
      <c r="G26" s="31" t="s">
        <v>8</v>
      </c>
      <c r="H26" s="30"/>
      <c r="I26" s="30"/>
      <c r="J26" s="31" t="s">
        <v>37</v>
      </c>
      <c r="K26" s="36"/>
    </row>
    <row r="27" ht="42.0" customHeight="1">
      <c r="A27" s="27" t="s">
        <v>189</v>
      </c>
      <c r="B27" s="28" t="s">
        <v>155</v>
      </c>
      <c r="C27" s="28" t="s">
        <v>191</v>
      </c>
      <c r="D27" s="30" t="s">
        <v>192</v>
      </c>
      <c r="E27" s="30"/>
      <c r="F27" s="30"/>
      <c r="G27" s="31" t="s">
        <v>8</v>
      </c>
      <c r="H27" s="30"/>
      <c r="I27" s="30"/>
      <c r="J27" s="31" t="s">
        <v>37</v>
      </c>
      <c r="K27" s="36"/>
    </row>
    <row r="28" ht="42.0" customHeight="1">
      <c r="A28" s="27" t="s">
        <v>195</v>
      </c>
      <c r="B28" s="28" t="s">
        <v>155</v>
      </c>
      <c r="C28" s="28" t="s">
        <v>197</v>
      </c>
      <c r="D28" s="30" t="s">
        <v>198</v>
      </c>
      <c r="E28" s="30"/>
      <c r="F28" s="30"/>
      <c r="G28" s="31" t="s">
        <v>8</v>
      </c>
      <c r="H28" s="30"/>
      <c r="I28" s="30"/>
      <c r="J28" s="31" t="s">
        <v>37</v>
      </c>
      <c r="K28" s="36"/>
    </row>
    <row r="29" ht="42.0" customHeight="1">
      <c r="A29" s="27" t="s">
        <v>201</v>
      </c>
      <c r="B29" s="28" t="s">
        <v>155</v>
      </c>
      <c r="C29" s="28" t="s">
        <v>203</v>
      </c>
      <c r="D29" s="30" t="s">
        <v>204</v>
      </c>
      <c r="E29" s="30"/>
      <c r="F29" s="30"/>
      <c r="G29" s="31" t="s">
        <v>8</v>
      </c>
      <c r="H29" s="30"/>
      <c r="I29" s="30"/>
      <c r="J29" s="31" t="s">
        <v>37</v>
      </c>
      <c r="K29" s="36"/>
    </row>
    <row r="30" ht="42.0" customHeight="1">
      <c r="A30" s="27" t="s">
        <v>206</v>
      </c>
      <c r="B30" s="28" t="s">
        <v>155</v>
      </c>
      <c r="C30" s="28" t="s">
        <v>208</v>
      </c>
      <c r="D30" s="30" t="s">
        <v>209</v>
      </c>
      <c r="E30" s="30"/>
      <c r="F30" s="30"/>
      <c r="G30" s="31" t="s">
        <v>8</v>
      </c>
      <c r="H30" s="30"/>
      <c r="I30" s="30"/>
      <c r="J30" s="31" t="s">
        <v>37</v>
      </c>
      <c r="K30" s="36"/>
    </row>
    <row r="31" ht="42.0" customHeight="1">
      <c r="A31" s="27" t="s">
        <v>211</v>
      </c>
      <c r="B31" s="28" t="s">
        <v>64</v>
      </c>
      <c r="C31" s="28" t="s">
        <v>89</v>
      </c>
      <c r="D31" s="30" t="s">
        <v>213</v>
      </c>
      <c r="E31" s="30"/>
      <c r="F31" s="30"/>
      <c r="G31" s="31" t="s">
        <v>8</v>
      </c>
      <c r="H31" s="30"/>
      <c r="I31" s="30"/>
      <c r="J31" s="31" t="s">
        <v>37</v>
      </c>
      <c r="K31" s="36"/>
    </row>
    <row r="32" ht="42.0" customHeight="1">
      <c r="A32" s="27" t="s">
        <v>216</v>
      </c>
      <c r="B32" s="28" t="s">
        <v>64</v>
      </c>
      <c r="C32" s="28" t="s">
        <v>218</v>
      </c>
      <c r="D32" s="30" t="s">
        <v>219</v>
      </c>
      <c r="E32" s="30"/>
      <c r="F32" s="30"/>
      <c r="G32" s="31" t="s">
        <v>8</v>
      </c>
      <c r="H32" s="30"/>
      <c r="I32" s="30"/>
      <c r="J32" s="31" t="s">
        <v>37</v>
      </c>
      <c r="K32" s="36"/>
    </row>
    <row r="33" ht="42.0" customHeight="1">
      <c r="A33" s="27" t="s">
        <v>222</v>
      </c>
      <c r="B33" s="28" t="s">
        <v>64</v>
      </c>
      <c r="C33" s="28" t="s">
        <v>223</v>
      </c>
      <c r="D33" s="30" t="s">
        <v>225</v>
      </c>
      <c r="E33" s="30"/>
      <c r="F33" s="30"/>
      <c r="G33" s="31" t="s">
        <v>8</v>
      </c>
      <c r="H33" s="30"/>
      <c r="I33" s="30"/>
      <c r="J33" s="31" t="s">
        <v>37</v>
      </c>
      <c r="K33" s="36"/>
    </row>
    <row r="34" ht="42.0" customHeight="1">
      <c r="A34" s="27" t="s">
        <v>228</v>
      </c>
      <c r="B34" s="28" t="s">
        <v>64</v>
      </c>
      <c r="C34" s="28" t="s">
        <v>193</v>
      </c>
      <c r="D34" s="30" t="s">
        <v>230</v>
      </c>
      <c r="E34" s="30"/>
      <c r="F34" s="30"/>
      <c r="G34" s="31" t="s">
        <v>8</v>
      </c>
      <c r="H34" s="30"/>
      <c r="I34" s="30"/>
      <c r="J34" s="31" t="s">
        <v>37</v>
      </c>
      <c r="K34" s="36"/>
    </row>
    <row r="35" ht="42.0" customHeight="1">
      <c r="A35" s="27" t="s">
        <v>233</v>
      </c>
      <c r="B35" s="28" t="s">
        <v>64</v>
      </c>
      <c r="C35" s="28" t="s">
        <v>234</v>
      </c>
      <c r="D35" s="30" t="s">
        <v>236</v>
      </c>
      <c r="E35" s="30"/>
      <c r="F35" s="30"/>
      <c r="G35" s="31" t="s">
        <v>8</v>
      </c>
      <c r="H35" s="30"/>
      <c r="I35" s="30"/>
      <c r="J35" s="31" t="s">
        <v>37</v>
      </c>
      <c r="K35" s="36"/>
    </row>
    <row r="36" ht="42.0" customHeight="1">
      <c r="A36" s="27" t="s">
        <v>238</v>
      </c>
      <c r="B36" s="28" t="s">
        <v>64</v>
      </c>
      <c r="C36" s="28" t="s">
        <v>240</v>
      </c>
      <c r="D36" s="30" t="s">
        <v>242</v>
      </c>
      <c r="E36" s="30"/>
      <c r="F36" s="30"/>
      <c r="G36" s="31" t="s">
        <v>8</v>
      </c>
      <c r="H36" s="30"/>
      <c r="I36" s="30"/>
      <c r="J36" s="31" t="s">
        <v>37</v>
      </c>
      <c r="K36" s="36"/>
    </row>
    <row r="37" ht="42.0" customHeight="1">
      <c r="A37" s="27" t="s">
        <v>245</v>
      </c>
      <c r="B37" s="28" t="s">
        <v>64</v>
      </c>
      <c r="C37" s="28" t="s">
        <v>247</v>
      </c>
      <c r="D37" s="30" t="s">
        <v>248</v>
      </c>
      <c r="E37" s="30"/>
      <c r="F37" s="30"/>
      <c r="G37" s="31" t="s">
        <v>8</v>
      </c>
      <c r="H37" s="30"/>
      <c r="I37" s="30"/>
      <c r="J37" s="31" t="s">
        <v>37</v>
      </c>
      <c r="K37" s="36"/>
    </row>
    <row r="38" ht="42.0" customHeight="1">
      <c r="A38" s="27" t="s">
        <v>250</v>
      </c>
      <c r="B38" s="28" t="s">
        <v>64</v>
      </c>
      <c r="C38" s="28" t="s">
        <v>251</v>
      </c>
      <c r="D38" s="30" t="s">
        <v>253</v>
      </c>
      <c r="E38" s="30"/>
      <c r="F38" s="30"/>
      <c r="G38" s="31" t="s">
        <v>8</v>
      </c>
      <c r="H38" s="30"/>
      <c r="I38" s="30"/>
      <c r="J38" s="31" t="s">
        <v>37</v>
      </c>
      <c r="K38" s="36"/>
    </row>
    <row r="39" ht="42.0" customHeight="1">
      <c r="A39" s="27" t="s">
        <v>256</v>
      </c>
      <c r="B39" s="28" t="s">
        <v>64</v>
      </c>
      <c r="C39" s="28" t="s">
        <v>257</v>
      </c>
      <c r="D39" s="30" t="s">
        <v>258</v>
      </c>
      <c r="E39" s="30"/>
      <c r="F39" s="30"/>
      <c r="G39" s="31" t="s">
        <v>8</v>
      </c>
      <c r="H39" s="30"/>
      <c r="I39" s="30"/>
      <c r="J39" s="31" t="s">
        <v>37</v>
      </c>
      <c r="K39" s="36"/>
    </row>
    <row r="40" ht="42.0" customHeight="1">
      <c r="A40" s="27" t="s">
        <v>261</v>
      </c>
      <c r="B40" s="28" t="s">
        <v>64</v>
      </c>
      <c r="C40" s="28" t="s">
        <v>262</v>
      </c>
      <c r="D40" s="30" t="s">
        <v>263</v>
      </c>
      <c r="E40" s="30"/>
      <c r="F40" s="30"/>
      <c r="G40" s="31" t="s">
        <v>8</v>
      </c>
      <c r="H40" s="30"/>
      <c r="I40" s="30"/>
      <c r="J40" s="31" t="s">
        <v>37</v>
      </c>
      <c r="K40" s="36"/>
    </row>
    <row r="41" ht="42.0" customHeight="1">
      <c r="A41" s="27" t="s">
        <v>266</v>
      </c>
      <c r="B41" s="28" t="s">
        <v>267</v>
      </c>
      <c r="C41" s="28" t="s">
        <v>170</v>
      </c>
      <c r="D41" s="30" t="s">
        <v>268</v>
      </c>
      <c r="E41" s="30"/>
      <c r="F41" s="30"/>
      <c r="G41" s="31" t="s">
        <v>8</v>
      </c>
      <c r="H41" s="30"/>
      <c r="I41" s="30"/>
      <c r="J41" s="31" t="s">
        <v>37</v>
      </c>
      <c r="K41" s="36"/>
    </row>
    <row r="42" ht="42.0" customHeight="1">
      <c r="A42" s="27" t="s">
        <v>272</v>
      </c>
      <c r="B42" s="28" t="s">
        <v>267</v>
      </c>
      <c r="C42" s="28" t="s">
        <v>273</v>
      </c>
      <c r="D42" s="30" t="s">
        <v>274</v>
      </c>
      <c r="E42" s="30"/>
      <c r="F42" s="30"/>
      <c r="G42" s="31" t="s">
        <v>8</v>
      </c>
      <c r="H42" s="30"/>
      <c r="I42" s="30"/>
      <c r="J42" s="31" t="s">
        <v>37</v>
      </c>
      <c r="K42" s="36"/>
    </row>
    <row r="43" ht="42.0" customHeight="1">
      <c r="A43" s="27" t="s">
        <v>280</v>
      </c>
      <c r="B43" s="28" t="s">
        <v>267</v>
      </c>
      <c r="C43" s="28" t="s">
        <v>254</v>
      </c>
      <c r="D43" s="30" t="s">
        <v>282</v>
      </c>
      <c r="E43" s="30"/>
      <c r="F43" s="30"/>
      <c r="G43" s="31" t="s">
        <v>8</v>
      </c>
      <c r="H43" s="30"/>
      <c r="I43" s="30"/>
      <c r="J43" s="31" t="s">
        <v>37</v>
      </c>
      <c r="K43" s="36"/>
    </row>
    <row r="44" ht="42.0" customHeight="1">
      <c r="A44" s="27" t="s">
        <v>285</v>
      </c>
      <c r="B44" s="28" t="s">
        <v>267</v>
      </c>
      <c r="C44" s="28" t="s">
        <v>164</v>
      </c>
      <c r="D44" s="30" t="s">
        <v>287</v>
      </c>
      <c r="E44" s="30"/>
      <c r="F44" s="30"/>
      <c r="G44" s="31" t="s">
        <v>8</v>
      </c>
      <c r="H44" s="30"/>
      <c r="I44" s="30"/>
      <c r="J44" s="31" t="s">
        <v>37</v>
      </c>
      <c r="K44" s="36"/>
    </row>
    <row r="45" ht="42.0" customHeight="1">
      <c r="A45" s="27" t="s">
        <v>291</v>
      </c>
      <c r="B45" s="28" t="s">
        <v>267</v>
      </c>
      <c r="C45" s="28" t="s">
        <v>174</v>
      </c>
      <c r="D45" s="30" t="s">
        <v>292</v>
      </c>
      <c r="E45" s="30"/>
      <c r="F45" s="30"/>
      <c r="G45" s="31" t="s">
        <v>8</v>
      </c>
      <c r="H45" s="30"/>
      <c r="I45" s="30"/>
      <c r="J45" s="31" t="s">
        <v>37</v>
      </c>
      <c r="K45" s="36"/>
    </row>
    <row r="46" ht="42.0" customHeight="1">
      <c r="A46" s="27" t="s">
        <v>297</v>
      </c>
      <c r="B46" s="28" t="s">
        <v>267</v>
      </c>
      <c r="C46" s="28" t="s">
        <v>298</v>
      </c>
      <c r="D46" s="30" t="s">
        <v>299</v>
      </c>
      <c r="E46" s="30"/>
      <c r="F46" s="30"/>
      <c r="G46" s="31" t="s">
        <v>8</v>
      </c>
      <c r="H46" s="30"/>
      <c r="I46" s="30"/>
      <c r="J46" s="31" t="s">
        <v>37</v>
      </c>
      <c r="K46" s="36"/>
    </row>
    <row r="47" ht="42.0" customHeight="1">
      <c r="A47" s="27" t="s">
        <v>302</v>
      </c>
      <c r="B47" s="28" t="s">
        <v>267</v>
      </c>
      <c r="C47" s="28" t="s">
        <v>303</v>
      </c>
      <c r="D47" s="30" t="s">
        <v>304</v>
      </c>
      <c r="E47" s="30"/>
      <c r="F47" s="30"/>
      <c r="G47" s="31" t="s">
        <v>8</v>
      </c>
      <c r="H47" s="30"/>
      <c r="I47" s="30"/>
      <c r="J47" s="31" t="s">
        <v>37</v>
      </c>
      <c r="K47" s="36"/>
    </row>
    <row r="48" ht="42.0" customHeight="1">
      <c r="A48" s="27" t="s">
        <v>308</v>
      </c>
      <c r="B48" s="28" t="s">
        <v>267</v>
      </c>
      <c r="C48" s="28" t="s">
        <v>309</v>
      </c>
      <c r="D48" s="30" t="s">
        <v>310</v>
      </c>
      <c r="E48" s="30"/>
      <c r="F48" s="30"/>
      <c r="G48" s="31" t="s">
        <v>8</v>
      </c>
      <c r="H48" s="30"/>
      <c r="I48" s="30"/>
      <c r="J48" s="31" t="s">
        <v>37</v>
      </c>
      <c r="K48" s="36"/>
    </row>
    <row r="49" ht="42.0" customHeight="1">
      <c r="A49" s="27" t="s">
        <v>314</v>
      </c>
      <c r="B49" s="28" t="s">
        <v>267</v>
      </c>
      <c r="C49" s="28" t="s">
        <v>315</v>
      </c>
      <c r="D49" s="30" t="s">
        <v>316</v>
      </c>
      <c r="E49" s="30"/>
      <c r="F49" s="30"/>
      <c r="G49" s="31" t="s">
        <v>8</v>
      </c>
      <c r="H49" s="30"/>
      <c r="I49" s="30"/>
      <c r="J49" s="31" t="s">
        <v>37</v>
      </c>
      <c r="K49" s="36"/>
    </row>
    <row r="50" ht="42.0" customHeight="1">
      <c r="A50" s="27" t="s">
        <v>320</v>
      </c>
      <c r="B50" s="28" t="s">
        <v>295</v>
      </c>
      <c r="C50" s="28" t="s">
        <v>321</v>
      </c>
      <c r="D50" s="30" t="s">
        <v>323</v>
      </c>
      <c r="E50" s="30"/>
      <c r="F50" s="30"/>
      <c r="G50" s="31" t="s">
        <v>8</v>
      </c>
      <c r="H50" s="30"/>
      <c r="I50" s="30"/>
      <c r="J50" s="31" t="s">
        <v>37</v>
      </c>
      <c r="K50" s="36"/>
    </row>
    <row r="51" ht="42.0" customHeight="1">
      <c r="A51" s="27" t="s">
        <v>327</v>
      </c>
      <c r="B51" s="28" t="s">
        <v>295</v>
      </c>
      <c r="C51" s="28" t="s">
        <v>112</v>
      </c>
      <c r="D51" s="30" t="s">
        <v>330</v>
      </c>
      <c r="E51" s="30"/>
      <c r="F51" s="30"/>
      <c r="G51" s="31" t="s">
        <v>8</v>
      </c>
      <c r="H51" s="30"/>
      <c r="I51" s="30"/>
      <c r="J51" s="31" t="s">
        <v>37</v>
      </c>
      <c r="K51" s="36"/>
    </row>
    <row r="52" ht="42.0" customHeight="1">
      <c r="A52" s="27" t="s">
        <v>334</v>
      </c>
      <c r="B52" s="28" t="s">
        <v>295</v>
      </c>
      <c r="C52" s="28" t="s">
        <v>193</v>
      </c>
      <c r="D52" s="30" t="s">
        <v>335</v>
      </c>
      <c r="E52" s="30"/>
      <c r="F52" s="30"/>
      <c r="G52" s="31" t="s">
        <v>8</v>
      </c>
      <c r="H52" s="30"/>
      <c r="I52" s="30"/>
      <c r="J52" s="31" t="s">
        <v>37</v>
      </c>
      <c r="K52" s="36"/>
    </row>
    <row r="53" ht="42.0" customHeight="1">
      <c r="A53" s="27" t="s">
        <v>338</v>
      </c>
      <c r="B53" s="28" t="s">
        <v>295</v>
      </c>
      <c r="C53" s="28" t="s">
        <v>339</v>
      </c>
      <c r="D53" s="30" t="s">
        <v>340</v>
      </c>
      <c r="E53" s="30"/>
      <c r="F53" s="30"/>
      <c r="G53" s="31" t="s">
        <v>8</v>
      </c>
      <c r="H53" s="30"/>
      <c r="I53" s="30"/>
      <c r="J53" s="31" t="s">
        <v>37</v>
      </c>
      <c r="K53" s="36"/>
    </row>
    <row r="54" ht="42.0" customHeight="1">
      <c r="A54" s="27" t="s">
        <v>344</v>
      </c>
      <c r="B54" s="28" t="s">
        <v>295</v>
      </c>
      <c r="C54" s="28" t="s">
        <v>345</v>
      </c>
      <c r="D54" s="30" t="s">
        <v>346</v>
      </c>
      <c r="E54" s="30"/>
      <c r="F54" s="30"/>
      <c r="G54" s="31" t="s">
        <v>8</v>
      </c>
      <c r="H54" s="30"/>
      <c r="I54" s="30"/>
      <c r="J54" s="31" t="s">
        <v>37</v>
      </c>
      <c r="K54" s="36"/>
    </row>
    <row r="55" ht="42.0" customHeight="1">
      <c r="A55" s="27" t="s">
        <v>351</v>
      </c>
      <c r="B55" s="28" t="s">
        <v>295</v>
      </c>
      <c r="C55" s="28" t="s">
        <v>352</v>
      </c>
      <c r="D55" s="30" t="s">
        <v>353</v>
      </c>
      <c r="E55" s="30"/>
      <c r="F55" s="30"/>
      <c r="G55" s="31" t="s">
        <v>8</v>
      </c>
      <c r="H55" s="30"/>
      <c r="I55" s="30"/>
      <c r="J55" s="31" t="s">
        <v>37</v>
      </c>
      <c r="K55" s="36"/>
    </row>
    <row r="56" ht="42.0" customHeight="1">
      <c r="A56" s="27" t="s">
        <v>356</v>
      </c>
      <c r="B56" s="28" t="s">
        <v>295</v>
      </c>
      <c r="C56" s="28" t="s">
        <v>332</v>
      </c>
      <c r="D56" s="30" t="s">
        <v>358</v>
      </c>
      <c r="E56" s="30"/>
      <c r="F56" s="30"/>
      <c r="G56" s="31" t="s">
        <v>8</v>
      </c>
      <c r="H56" s="30"/>
      <c r="I56" s="30"/>
      <c r="J56" s="31" t="s">
        <v>37</v>
      </c>
      <c r="K56" s="36"/>
    </row>
    <row r="57" ht="42.0" customHeight="1">
      <c r="A57" s="27" t="s">
        <v>362</v>
      </c>
      <c r="B57" s="28" t="s">
        <v>363</v>
      </c>
      <c r="C57" s="28" t="s">
        <v>364</v>
      </c>
      <c r="D57" s="30" t="s">
        <v>365</v>
      </c>
      <c r="E57" s="30"/>
      <c r="F57" s="30"/>
      <c r="G57" s="31" t="s">
        <v>8</v>
      </c>
      <c r="H57" s="30"/>
      <c r="I57" s="30"/>
      <c r="J57" s="31" t="s">
        <v>37</v>
      </c>
      <c r="K57" s="36"/>
    </row>
    <row r="58" ht="42.0" customHeight="1">
      <c r="A58" s="27" t="s">
        <v>369</v>
      </c>
      <c r="B58" s="28" t="s">
        <v>363</v>
      </c>
      <c r="C58" s="28" t="s">
        <v>370</v>
      </c>
      <c r="D58" s="30" t="s">
        <v>371</v>
      </c>
      <c r="E58" s="30"/>
      <c r="F58" s="30"/>
      <c r="G58" s="31" t="s">
        <v>8</v>
      </c>
      <c r="H58" s="30"/>
      <c r="I58" s="30"/>
      <c r="J58" s="31" t="s">
        <v>37</v>
      </c>
      <c r="K58" s="36"/>
    </row>
    <row r="59" ht="42.0" customHeight="1">
      <c r="A59" s="27" t="s">
        <v>375</v>
      </c>
      <c r="B59" s="28" t="s">
        <v>363</v>
      </c>
      <c r="C59" s="28" t="s">
        <v>376</v>
      </c>
      <c r="D59" s="30" t="s">
        <v>377</v>
      </c>
      <c r="E59" s="30"/>
      <c r="F59" s="30"/>
      <c r="G59" s="31" t="s">
        <v>8</v>
      </c>
      <c r="H59" s="30"/>
      <c r="I59" s="30"/>
      <c r="J59" s="31" t="s">
        <v>37</v>
      </c>
      <c r="K59" s="36"/>
    </row>
    <row r="60" ht="42.0" customHeight="1">
      <c r="A60" s="27" t="s">
        <v>381</v>
      </c>
      <c r="B60" s="28" t="s">
        <v>363</v>
      </c>
      <c r="C60" s="28" t="s">
        <v>360</v>
      </c>
      <c r="D60" s="30" t="s">
        <v>382</v>
      </c>
      <c r="E60" s="30"/>
      <c r="F60" s="30"/>
      <c r="G60" s="31" t="s">
        <v>8</v>
      </c>
      <c r="H60" s="30"/>
      <c r="I60" s="30"/>
      <c r="J60" s="31" t="s">
        <v>37</v>
      </c>
      <c r="K60" s="36"/>
    </row>
    <row r="61" ht="42.0" customHeight="1">
      <c r="A61" s="27" t="s">
        <v>385</v>
      </c>
      <c r="B61" s="28" t="s">
        <v>363</v>
      </c>
      <c r="C61" s="28" t="s">
        <v>387</v>
      </c>
      <c r="D61" s="30" t="s">
        <v>388</v>
      </c>
      <c r="E61" s="30"/>
      <c r="F61" s="30"/>
      <c r="G61" s="31" t="s">
        <v>8</v>
      </c>
      <c r="H61" s="30"/>
      <c r="I61" s="30"/>
      <c r="J61" s="31" t="s">
        <v>37</v>
      </c>
      <c r="K61" s="36"/>
    </row>
    <row r="62" ht="42.0" customHeight="1">
      <c r="A62" s="52" t="s">
        <v>389</v>
      </c>
      <c r="B62" s="53" t="s">
        <v>363</v>
      </c>
      <c r="C62" s="53" t="s">
        <v>390</v>
      </c>
      <c r="D62" s="54" t="s">
        <v>391</v>
      </c>
      <c r="E62" s="54"/>
      <c r="F62" s="54"/>
      <c r="G62" s="55" t="s">
        <v>8</v>
      </c>
      <c r="H62" s="54"/>
      <c r="I62" s="54"/>
      <c r="J62" s="55" t="s">
        <v>37</v>
      </c>
      <c r="K62" s="56"/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K1"/>
    <mergeCell ref="A2:K2"/>
    <mergeCell ref="A3:K3"/>
  </mergeCells>
  <conditionalFormatting sqref="G6:G62">
    <cfRule type="expression" dxfId="5" priority="1">
      <formula>G6="確認済み"</formula>
    </cfRule>
  </conditionalFormatting>
  <conditionalFormatting sqref="G6:G62">
    <cfRule type="expression" dxfId="6" priority="2">
      <formula>G6="回答あり・根拠未確認"</formula>
    </cfRule>
  </conditionalFormatting>
  <conditionalFormatting sqref="G6:G62">
    <cfRule type="expression" dxfId="7" priority="3">
      <formula>G6="一部確認"</formula>
    </cfRule>
  </conditionalFormatting>
  <conditionalFormatting sqref="G6:G62">
    <cfRule type="expression" dxfId="8" priority="4">
      <formula>G6="未整備"</formula>
    </cfRule>
  </conditionalFormatting>
  <dataValidations>
    <dataValidation type="list" allowBlank="1" sqref="J6:J62">
      <formula1>"現行,将来,現行・将来"</formula1>
    </dataValidation>
    <dataValidation type="list" allowBlank="1" sqref="G6:G62">
      <formula1>"未回答,確認済み,回答あり・根拠未確認,一部確認,未整備"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