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0fadc836f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-SLIM_追加確認回答表" sheetId="1" r:id="Rfaa2def0c17640f4"/>
    <x:sheet xmlns:r="http://schemas.openxmlformats.org/officeDocument/2006/relationships" name="障害レベル対応表" sheetId="2" r:id="Rb33ff335e15943cb"/>
    <x:sheet xmlns:r="http://schemas.openxmlformats.org/officeDocument/2006/relationships" name="確認済み事項" sheetId="3" r:id="R7339425f0dac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Yu Gothic UI"/>
    </x:font>
    <x:font>
      <x:sz val="9"/>
      <x:name val="Yu Gothic U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f11fbf7d1446f" /><Relationship Type="http://schemas.openxmlformats.org/officeDocument/2006/relationships/theme" Target="/xl/theme/theme1.xml" Id="Rb146707723074fb8" /><Relationship Type="http://schemas.openxmlformats.org/officeDocument/2006/relationships/sharedStrings" Target="/xl/sharedStrings.xml" Id="Rd8553e90ca2442dd" /><Relationship Type="http://schemas.openxmlformats.org/officeDocument/2006/relationships/worksheet" Target="/xl/worksheets/sheet1.xml" Id="Rfaa2def0c17640f4" /><Relationship Type="http://schemas.openxmlformats.org/officeDocument/2006/relationships/worksheet" Target="/xl/worksheets/sheet2.xml" Id="Rb33ff335e15943cb" /><Relationship Type="http://schemas.openxmlformats.org/officeDocument/2006/relationships/worksheet" Target="/xl/worksheets/sheet3.xml" Id="R7339425f0dac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5" hidden="0" customWidth="1"/>
    <x:col min="4" max="4" width="42" hidden="0" customWidth="1"/>
    <x:col min="5" max="5" width="43" hidden="0" customWidth="1"/>
    <x:col min="6" max="6" width="12" hidden="0" customWidth="1"/>
    <x:col min="7" max="7" width="38" hidden="0" customWidth="1"/>
    <x:col min="8" max="8" width="30" hidden="0" customWidth="1"/>
    <x:col min="9" max="9" width="34" hidden="0" customWidth="1"/>
  </x:cols>
  <x:sheetData>
    <x:row r="1" ht="30" customHeight="1">
      <x:c r="A1" s="5" t="str">
        <x:v>U-SLIM　号口運用設計 最低限追加確認回答表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目的：U-SLIM質問票と3つの根拠資料を突き合わせた結果、元の「号口運用設計」Excelへ反映するために追加確認が必要な項目だけを整理しています。
黄色のセルへご記入ください。既存資料に記載がある場合は、回答を作り直さず、資料名・保存場所・URLをご記載ください。</x:v>
      </x:c>
      <x:c r="B2" s="13"/>
      <x:c r="C2" s="13"/>
      <x:c r="D2" s="13"/>
      <x:c r="E2" s="13"/>
      <x:c r="F2" s="13"/>
      <x:c r="G2" s="13"/>
      <x:c r="H2" s="13"/>
      <x:c r="I2" s="13"/>
    </x:row>
    <x:row r="3" ht="28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5">
      <x:c r="A5" s="19" t="str">
        <x:v>作成日</x:v>
      </x:c>
      <x:c r="B5" s="28" t="n">
        <x:v>46238</x:v>
      </x:c>
      <x:c r="D5" s="33" t="str">
        <x:v>進捗指標</x:v>
      </x:c>
      <x:c r="E5" s="33" t="str">
        <x:v>件数</x:v>
      </x:c>
    </x:row>
    <x:row r="6">
      <x:c r="A6" s="19" t="str">
        <x:v>回答取りまとめ者</x:v>
      </x:c>
      <x:c r="B6" s="24"/>
      <x:c r="D6" s="19" t="str">
        <x:v>総質問数</x:v>
      </x:c>
      <x:c r="E6" s="39" t="n">
        <x:v>17</x:v>
      </x:c>
    </x:row>
    <x:row r="7">
      <x:c r="A7" s="19" t="str">
        <x:v>全体備考</x:v>
      </x:c>
      <x:c r="B7" s="24"/>
      <x:c r="D7" s="19" t="str">
        <x:v>回答済み</x:v>
      </x:c>
      <x:c r="E7" s="39" t="n">
        <x:f>COUNTIF(F11:F27,"回答済み")</x:f>
        <x:v>0</x:v>
      </x:c>
    </x:row>
    <x:row r="8">
      <x:c r="D8" s="19" t="str">
        <x:v>未回答・確認中</x:v>
      </x:c>
      <x:c r="E8" s="39" t="n">
        <x:f>COUNTIF(F11:F27,"未回答")+COUNTIF(F11:F27,"確認中")</x:f>
        <x:v>17</x:v>
      </x:c>
    </x:row>
    <x:row r="10" ht="36" customHeight="1">
      <x:c r="A10" s="45" t="str">
        <x:v>No.</x:v>
      </x:c>
      <x:c r="B10" s="45" t="str">
        <x:v>確認分類</x:v>
      </x:c>
      <x:c r="C10" s="45" t="str">
        <x:v>回答者候補</x:v>
      </x:c>
      <x:c r="D10" s="45" t="str">
        <x:v>資料から確認できた現在の認識</x:v>
      </x:c>
      <x:c r="E10" s="45" t="str">
        <x:v>追加確認する内容</x:v>
      </x:c>
      <x:c r="F10" s="45" t="str">
        <x:v>回答状況</x:v>
      </x:c>
      <x:c r="G10" s="45" t="str">
        <x:v>回答・正式内容</x:v>
      </x:c>
      <x:c r="H10" s="45" t="str">
        <x:v>根拠資料・保存場所・URL</x:v>
      </x:c>
      <x:c r="I10" s="45" t="str">
        <x:v>元Excel反映時の注意</x:v>
      </x:c>
    </x:row>
    <x:row r="11" ht="86" customHeight="1">
      <x:c r="A11" s="51" t="n">
        <x:v>1</x:v>
      </x:c>
      <x:c r="B11" s="46" t="str">
        <x:v>資料の適用範囲</x:v>
      </x:c>
      <x:c r="C11" s="46" t="str">
        <x:v>U-SLIM運用責任者／PM</x:v>
      </x:c>
      <x:c r="D11" s="46" t="str">
        <x:v>「U-SLIM 死活監視対応手順」は2026年GW向けの資料。高・中・低の基準、動作確認、PM→POの流れが記載されている。</x:v>
      </x:c>
      <x:c r="E11" s="46" t="str">
        <x:v>担当者名・日付を除く運用ルールは、現在の通常運用でも有効ですか。変更がある場合は、変更箇所を記載してください。</x:v>
      </x:c>
      <x:c r="F11" s="47" t="str">
        <x:v>未回答</x:v>
      </x:c>
      <x:c r="G11" s="47"/>
      <x:c r="H11" s="47"/>
      <x:c r="I11" s="46" t="str">
        <x:v>通常時に有効か確認できるまで、GW時点の根拠として注記する。</x:v>
      </x:c>
    </x:row>
    <x:row r="12" ht="86" customHeight="1">
      <x:c r="A12" s="51" t="n">
        <x:v>2</x:v>
      </x:c>
      <x:c r="B12" s="46" t="str">
        <x:v>監視対象</x:v>
      </x:c>
      <x:c r="C12" s="46" t="str">
        <x:v>周さん／木村さん／基盤担当</x:v>
      </x:c>
      <x:c r="D12" s="46" t="str">
        <x:v>質問票ではAzure App Service、NiFi、Power BI以外は「ないと思う」と回答。一方、休日対応資料にはOCI、Azure NW、OGG、NEO・ai21連携が記載されている。</x:v>
      </x:c>
      <x:c r="E12" s="46" t="str">
        <x:v>U-SLIMの号口運用設計に含める正式な監視対象を選定してください。対象外のものは、どのチームの管理かも記載してください。</x:v>
      </x:c>
      <x:c r="F12" s="47" t="str">
        <x:v>未回答</x:v>
      </x:c>
      <x:c r="G12" s="47"/>
      <x:c r="H12" s="47"/>
      <x:c r="I12" s="46" t="str">
        <x:v>アプリ行と基盤・インフラ行の二重計上を避ける。</x:v>
      </x:c>
    </x:row>
    <x:row r="13" ht="86" customHeight="1">
      <x:c r="A13" s="51" t="n">
        <x:v>3</x:v>
      </x:c>
      <x:c r="B13" s="46" t="str">
        <x:v>責任分界</x:v>
      </x:c>
      <x:c r="C13" s="46" t="str">
        <x:v>U-SLIM運用責任者／アプリ・基盤・インフラ各担当</x:v>
      </x:c>
      <x:c r="D13" s="46" t="str">
        <x:v>休日資料では監視窓口と技術対応者が分離されているが、通常時のアプリ・データ基盤・インフラ間の正式な責任境界は明文化されていない。</x:v>
      </x:c>
      <x:c r="E13" s="46" t="str">
        <x:v>アプリ、データ基盤、インフラの各担当について、検知・一次調査・復旧・復旧確認の責任範囲を記載してください。</x:v>
      </x:c>
      <x:c r="F13" s="47" t="str">
        <x:v>未回答</x:v>
      </x:c>
      <x:c r="G13" s="47"/>
      <x:c r="H13" s="47"/>
      <x:c r="I13" s="46" t="str">
        <x:v>担当領域別に現行の責任分界を記載する。</x:v>
      </x:c>
    </x:row>
    <x:row r="14" ht="86" customHeight="1">
      <x:c r="A14" s="51" t="n">
        <x:v>4</x:v>
      </x:c>
      <x:c r="B14" s="46" t="str">
        <x:v>最終責任者</x:v>
      </x:c>
      <x:c r="C14" s="46" t="str">
        <x:v>現在のPM／U-SLIM運用責任者</x:v>
      </x:c>
      <x:c r="D14" s="46" t="str">
        <x:v>休日資料にはPM・POが記載されているが、通常時の障害対応の最終責任者は質問票で「明確な決まりなし」と回答されている。</x:v>
      </x:c>
      <x:c r="E14" s="46" t="str">
        <x:v>現在の通常運用における障害対応の最終責任者を、氏名または役割で記載してください。未決定の場合は「未決定」と記載してください。</x:v>
      </x:c>
      <x:c r="F14" s="47" t="str">
        <x:v>未回答</x:v>
      </x:c>
      <x:c r="G14" s="47"/>
      <x:c r="H14" s="47"/>
      <x:c r="I14" s="46" t="str">
        <x:v>休日当番や技術担当者を最終責任者として扱わない。</x:v>
      </x:c>
    </x:row>
    <x:row r="15" ht="86" customHeight="1">
      <x:c r="A15" s="51" t="n">
        <x:v>5</x:v>
      </x:c>
      <x:c r="B15" s="46" t="str">
        <x:v>Azure／WebAppアラート</x:v>
      </x:c>
      <x:c r="C15" s="46" t="str">
        <x:v>曾さん／鄭さん／WebApp監視設定担当</x:v>
      </x:c>
      <x:c r="D15" s="46" t="str">
        <x:v>App Serviceのヘルスチェックは有効。Teamsの「13_WebAppアラート共有」を使用している。元Excelにある監視条件が現行かは未確認。</x:v>
      </x:c>
      <x:c r="E15" s="46" t="str">
        <x:v>現在有効なアラート名、監視条件・閾値、通知先を記載してください。元Excelの記載が正しい場合は「変更なし」と記載してください。</x:v>
      </x:c>
      <x:c r="F15" s="47" t="str">
        <x:v>未回答</x:v>
      </x:c>
      <x:c r="G15" s="47"/>
      <x:c r="H15" s="47"/>
      <x:c r="I15" s="46" t="str">
        <x:v>現在有効な設定だけを反映する。</x:v>
      </x:c>
    </x:row>
    <x:row r="16" ht="86" customHeight="1">
      <x:c r="A16" s="51" t="n">
        <x:v>6</x:v>
      </x:c>
      <x:c r="B16" s="46" t="str">
        <x:v>Azure／WebAppアラート</x:v>
      </x:c>
      <x:c r="C16" s="46" t="str">
        <x:v>曾さん／鄭さん／WebApp監視設定担当</x:v>
      </x:c>
      <x:c r="D16" s="46" t="str">
        <x:v>質問票では「送信しないエラーあり」と回答されているが、対象エラーは未確認。</x:v>
      </x:c>
      <x:c r="E16" s="46" t="str">
        <x:v>Teamsへ通知しない、または抑止しているエラーの条件・理由・確認方法を記載してください。</x:v>
      </x:c>
      <x:c r="F16" s="47" t="str">
        <x:v>未回答</x:v>
      </x:c>
      <x:c r="G16" s="47"/>
      <x:c r="H16" s="47"/>
      <x:c r="I16" s="46" t="str">
        <x:v>通知除外条件を監視漏れと誤認しないよう記載する。</x:v>
      </x:c>
    </x:row>
    <x:row r="17" ht="86" customHeight="1">
      <x:c r="A17" s="51" t="n">
        <x:v>7</x:v>
      </x:c>
      <x:c r="B17" s="46" t="str">
        <x:v>Azure／WebApp初動</x:v>
      </x:c>
      <x:c r="C17" s="46" t="str">
        <x:v>WebApp障害対応担当</x:v>
      </x:c>
      <x:c r="D17" s="46" t="str">
        <x:v>基盤チームがPM・障害対応者へ通知し、障害対応者が原因調査する。死活監視資料にはログイン・画面・主要機能・データ・性能の確認観点がある。</x:v>
      </x:c>
      <x:c r="E17" s="46" t="str">
        <x:v>アラート発生後に最初に確認するログ・画面・項目と、その確認担当者を記載してください。</x:v>
      </x:c>
      <x:c r="F17" s="47" t="str">
        <x:v>未回答</x:v>
      </x:c>
      <x:c r="G17" s="47"/>
      <x:c r="H17" s="47"/>
      <x:c r="I17" s="46" t="str">
        <x:v>監視窓口と技術調査担当を分けて記載する。</x:v>
      </x:c>
    </x:row>
    <x:row r="18" ht="86" customHeight="1">
      <x:c r="A18" s="51" t="n">
        <x:v>8</x:v>
      </x:c>
      <x:c r="B18" s="46" t="str">
        <x:v>NiFi一次対応</x:v>
      </x:c>
      <x:c r="C18" s="46" t="str">
        <x:v>周さん／NiFi保守・基盤担当</x:v>
      </x:c>
      <x:c r="D18" s="46" t="str">
        <x:v>NiFi停止は保守チーム、データ元未連携は保守・基盤チーム、U-SLIM側の現行確認担当は周さんと回答されている。</x:v>
      </x:c>
      <x:c r="E18" s="46" t="str">
        <x:v>事象別に、最初に確認するチーム・担当者を確定してください。対象例：NiFi停止、元データ未連携、U-SLIM独自処理失敗。</x:v>
      </x:c>
      <x:c r="F18" s="47" t="str">
        <x:v>未回答</x:v>
      </x:c>
      <x:c r="G18" s="47"/>
      <x:c r="H18" s="47"/>
      <x:c r="I18" s="46" t="str">
        <x:v>事象別に一次対応者を分ける。</x:v>
      </x:c>
    </x:row>
    <x:row r="19" ht="86" customHeight="1">
      <x:c r="A19" s="51" t="n">
        <x:v>9</x:v>
      </x:c>
      <x:c r="B19" s="46" t="str">
        <x:v>NiFi復旧</x:v>
      </x:c>
      <x:c r="C19" s="46" t="str">
        <x:v>NiFi保守・基盤担当／周さん</x:v>
      </x:c>
      <x:c r="D19" s="46" t="str">
        <x:v>標準の再実行手順書はない。障害管理表には、前バージョンへの切り戻しと再修正を行った事例が1件ある。</x:v>
      </x:c>
      <x:c r="E19" s="46" t="str">
        <x:v>再実行・切り戻し・再リリースを行う担当者、承認者、基本手順、参照資料を記載してください。</x:v>
      </x:c>
      <x:c r="F19" s="47" t="str">
        <x:v>未回答</x:v>
      </x:c>
      <x:c r="G19" s="47"/>
      <x:c r="H19" s="47"/>
      <x:c r="I19" s="46" t="str">
        <x:v>個別事例を標準手順として扱わない。</x:v>
      </x:c>
    </x:row>
    <x:row r="20" ht="86" customHeight="1">
      <x:c r="A20" s="51" t="n">
        <x:v>10</x:v>
      </x:c>
      <x:c r="B20" s="46" t="str">
        <x:v>NiFi復旧確認</x:v>
      </x:c>
      <x:c r="C20" s="46" t="str">
        <x:v>周さん／業務アプリ担当／基盤担当</x:v>
      </x:c>
      <x:c r="D20" s="46" t="str">
        <x:v>質問票ではUpsertのため再実行後のデータ確認は不要と回答されているが、一意キーや確認証跡は記載されていない。</x:v>
      </x:c>
      <x:c r="E20" s="46" t="str">
        <x:v>復旧後に確認する内容を記載してください。例：処理成功、件数、最新時刻、欠損、重複、画面表示。確認担当者も記載してください。</x:v>
      </x:c>
      <x:c r="F20" s="47" t="str">
        <x:v>未回答</x:v>
      </x:c>
      <x:c r="G20" s="47"/>
      <x:c r="H20" s="47"/>
      <x:c r="I20" s="46" t="str">
        <x:v>復旧とデータ正常性確認を分けて記載する。</x:v>
      </x:c>
    </x:row>
    <x:row r="21" ht="86" customHeight="1">
      <x:c r="A21" s="51" t="n">
        <x:v>11</x:v>
      </x:c>
      <x:c r="B21" s="46" t="str">
        <x:v>NiFi重複防止</x:v>
      </x:c>
      <x:c r="C21" s="46" t="str">
        <x:v>NiFi実装担当／基盤担当</x:v>
      </x:c>
      <x:c r="D21" s="46" t="str">
        <x:v>アプリチーム実装のNiFiは基本的に「upsert into」と回答されているが、全処理が対象か、一意キーは何か不明。</x:v>
      </x:c>
      <x:c r="E21" s="46" t="str">
        <x:v>Upsert対象の処理範囲、一意キー、再実行時に重複しない根拠、例外となる処理の有無を記載してください。</x:v>
      </x:c>
      <x:c r="F21" s="47" t="str">
        <x:v>未回答</x:v>
      </x:c>
      <x:c r="G21" s="47"/>
      <x:c r="H21" s="47"/>
      <x:c r="I21" s="46" t="str">
        <x:v>確認根拠がない場合は「要確認」とする。</x:v>
      </x:c>
    </x:row>
    <x:row r="22" ht="86" customHeight="1">
      <x:c r="A22" s="51" t="n">
        <x:v>12</x:v>
      </x:c>
      <x:c r="B22" s="46" t="str">
        <x:v>PM・PO・リーダー</x:v>
      </x:c>
      <x:c r="C22" s="46" t="str">
        <x:v>現在のPM／PO／U-SLIM運用責任者</x:v>
      </x:c>
      <x:c r="D22" s="46" t="str">
        <x:v>2026年GW資料にはPM・POの氏名があるが、現在も同じ体制かは不明。</x:v>
      </x:c>
      <x:c r="E22" s="46" t="str">
        <x:v>現在のPM、PO、リーダーを氏名または役割で記載し、それぞれの担当範囲を記載してください。</x:v>
      </x:c>
      <x:c r="F22" s="47" t="str">
        <x:v>未回答</x:v>
      </x:c>
      <x:c r="G22" s="47"/>
      <x:c r="H22" s="47"/>
      <x:c r="I22" s="46" t="str">
        <x:v>GW限定の担当者を最新体制として固定しない。</x:v>
      </x:c>
    </x:row>
    <x:row r="23" ht="86" customHeight="1">
      <x:c r="A23" s="51" t="n">
        <x:v>13</x:v>
      </x:c>
      <x:c r="B23" s="46" t="str">
        <x:v>承認者</x:v>
      </x:c>
      <x:c r="C23" s="46" t="str">
        <x:v>現在のPM／PO</x:v>
      </x:c>
      <x:c r="D23" s="46" t="str">
        <x:v>高・中レベルでリリースする場合はPO承認が必要。一方、暫定対応、恒久対応、クローズの承認者は未整備。</x:v>
      </x:c>
      <x:c r="E23" s="46" t="str">
        <x:v>暫定対応、恒久対応、緊急リリース、通常リリース、障害クローズの承認者をそれぞれ記載してください。</x:v>
      </x:c>
      <x:c r="F23" s="47" t="str">
        <x:v>未回答</x:v>
      </x:c>
      <x:c r="G23" s="47"/>
      <x:c r="H23" s="47"/>
      <x:c r="I23" s="46" t="str">
        <x:v>承認対象ごとに分けて反映する。</x:v>
      </x:c>
    </x:row>
    <x:row r="24" ht="86" customHeight="1">
      <x:c r="A24" s="51" t="n">
        <x:v>14</x:v>
      </x:c>
      <x:c r="B24" s="46" t="str">
        <x:v>完了報告・クローズ</x:v>
      </x:c>
      <x:c r="C24" s="46" t="str">
        <x:v>PM／障害対応責任者</x:v>
      </x:c>
      <x:c r="D24" s="46" t="str">
        <x:v>高・中の対応中レポート頻度はあるが、復旧完了報告者、報告先、クローズ条件は資料にない。障害管理表の確認者・確認完了日も実データでは未記入。</x:v>
      </x:c>
      <x:c r="E24" s="46" t="str">
        <x:v>復旧完了の判断条件、完了報告者・報告先、確認者、管理表を完了にする条件を記載してください。</x:v>
      </x:c>
      <x:c r="F24" s="47" t="str">
        <x:v>未回答</x:v>
      </x:c>
      <x:c r="G24" s="47"/>
      <x:c r="H24" s="47"/>
      <x:c r="I24" s="46" t="str">
        <x:v>対応完了と第三者確認完了を区別する。</x:v>
      </x:c>
    </x:row>
    <x:row r="25" ht="86" customHeight="1">
      <x:c r="A25" s="51" t="n">
        <x:v>15</x:v>
      </x:c>
      <x:c r="B25" s="46" t="str">
        <x:v>サービス提供時間</x:v>
      </x:c>
      <x:c r="C25" s="46" t="str">
        <x:v>U-SLIM運用責任者／PO</x:v>
      </x:c>
      <x:c r="D25" s="46" t="str">
        <x:v>質問票では20:00～翌8:00をメンテナンスタイムと回答。死活監視資料では提供時間外障害の24時間計算を9:00開始としている。</x:v>
      </x:c>
      <x:c r="E25" s="46" t="str">
        <x:v>現在の正式なU-SLIM提供時間を記載してください。通常日・休日で異なる場合は分けて記載してください。</x:v>
      </x:c>
      <x:c r="F25" s="47" t="str">
        <x:v>未回答</x:v>
      </x:c>
      <x:c r="G25" s="47"/>
      <x:c r="H25" s="47"/>
      <x:c r="I25" s="46" t="str">
        <x:v>8:00と9:00の不整合を解消してから反映する。</x:v>
      </x:c>
    </x:row>
    <x:row r="26" ht="86" customHeight="1">
      <x:c r="A26" s="51" t="n">
        <x:v>16</x:v>
      </x:c>
      <x:c r="B26" s="46" t="str">
        <x:v>利用者告知</x:v>
      </x:c>
      <x:c r="C26" s="46" t="str">
        <x:v>PM／PO／U-SLIM運用責任者</x:v>
      </x:c>
      <x:c r="D26" s="46" t="str">
        <x:v>低レベル・OGG連携遅延は24時間未解消時にお知らせ掲載。高・中の利用者告知条件は資料に明記されていない。</x:v>
      </x:c>
      <x:c r="E26" s="46" t="str">
        <x:v>高・中・低それぞれについて、告知開始条件、承認者、掲載担当者、復旧後の更新・終了方法を記載してください。</x:v>
      </x:c>
      <x:c r="F26" s="47" t="str">
        <x:v>未回答</x:v>
      </x:c>
      <x:c r="G26" s="47"/>
      <x:c r="H26" s="47"/>
      <x:c r="I26" s="46" t="str">
        <x:v>24時間ルールを全レベルへ一律適用しない。</x:v>
      </x:c>
    </x:row>
    <x:row r="27" ht="86" customHeight="1">
      <x:c r="A27" s="51" t="n">
        <x:v>17</x:v>
      </x:c>
      <x:c r="B27" s="46" t="str">
        <x:v>誤データ・情報漏えい</x:v>
      </x:c>
      <x:c r="C27" s="46" t="str">
        <x:v>PM／PO／U-SLIM運用責任者／セキュリティ窓口</x:v>
      </x:c>
      <x:c r="D27" s="46" t="str">
        <x:v>誤データ、他販社データ表示、権限漏れ、情報漏えいを通常の機能障害と分ける正式ルールは確認できていない。</x:v>
      </x:c>
      <x:c r="E27" s="46" t="str">
        <x:v>各事象の重大度、一次連絡先、TMCへの連絡条件、利用者告知、証跡保全の方法を記載してください。</x:v>
      </x:c>
      <x:c r="F27" s="47" t="str">
        <x:v>未回答</x:v>
      </x:c>
      <x:c r="G27" s="47"/>
      <x:c r="H27" s="47"/>
      <x:c r="I27" s="46" t="str">
        <x:v>サービス停止とは別のセキュリティ事象として整理する。</x:v>
      </x:c>
    </x:row>
  </x:sheetData>
  <x:mergeCells>
    <x:mergeCell ref="A1:I1"/>
    <x:mergeCell ref="A2:I3"/>
  </x:mergeCells>
  <x:conditionalFormatting sqref="F11:F27">
    <x:cfRule type="expression" dxfId="0" priority="1">
      <x:formula>F11="回答済み"</x:formula>
    </x:cfRule>
    <x:cfRule type="expression" dxfId="1" priority="2">
      <x:formula>F11="確認中"</x:formula>
    </x:cfRule>
    <x:cfRule type="expression" dxfId="2" priority="3">
      <x:formula>F11="未回答"</x:formula>
    </x:cfRule>
  </x:conditionalFormatting>
  <x:dataValidations count="1">
    <x:dataValidation type="list" sqref="F11:F27">
      <x:formula1>"未回答,確認中,回答済み,該当なし"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26" hidden="0" customWidth="1"/>
    <x:col min="8" max="8" width="28" hidden="0" customWidth="1"/>
    <x:col min="9" max="9" width="32" hidden="0" customWidth="1"/>
  </x:cols>
  <x:sheetData>
    <x:row r="1" ht="30" customHeight="1">
      <x:c r="A1" s="65" t="str">
        <x:v>U-SLIM障害レベルと元Excelレベル1～4の対応確認</x:v>
      </x:c>
      <x:c r="B1" s="65"/>
      <x:c r="C1" s="65"/>
      <x:c r="D1" s="65"/>
      <x:c r="E1" s="65"/>
      <x:c r="F1" s="65"/>
      <x:c r="G1" s="65"/>
      <x:c r="H1" s="65"/>
      <x:c r="I1" s="65"/>
    </x:row>
    <x:row r="2">
      <x:c r="A2" s="66" t="str">
        <x:v>U-SLIMの資料では「高・中・低」の3段階ですが、元の号口運用設計Excelはレベル1（極小）～レベル4（極大）の4段階です。
黄色のセルへ正式な対応関係を記載してください。無理に4段階へ変換せず、使用しないレベルは「使用しない」と記載できます。</x:v>
      </x:c>
      <x:c r="B2" s="66"/>
      <x:c r="C2" s="66"/>
      <x:c r="D2" s="66"/>
      <x:c r="E2" s="66"/>
      <x:c r="F2" s="66"/>
      <x:c r="G2" s="66"/>
      <x:c r="H2" s="66"/>
      <x:c r="I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</x:row>
    <x:row r="5">
      <x:c r="A5" s="45" t="str">
        <x:v>元Excel区分</x:v>
      </x:c>
      <x:c r="B5" s="45" t="str">
        <x:v>現在のU-SLIMレベル</x:v>
      </x:c>
      <x:c r="C5" s="45" t="str">
        <x:v>資料で確認できたサービス状態</x:v>
      </x:c>
      <x:c r="D5" s="45" t="str">
        <x:v>正式な判断基準</x:v>
      </x:c>
      <x:c r="E5" s="45" t="str">
        <x:v>対応開始</x:v>
      </x:c>
      <x:c r="F5" s="45" t="str">
        <x:v>報告頻度</x:v>
      </x:c>
      <x:c r="G5" s="45" t="str">
        <x:v>エスカレーション先</x:v>
      </x:c>
      <x:c r="H5" s="45" t="str">
        <x:v>承認者・承認内容</x:v>
      </x:c>
      <x:c r="I5" s="45" t="str">
        <x:v>利用者告知・補足</x:v>
      </x:c>
    </x:row>
    <x:row r="6" ht="72" customHeight="1">
      <x:c r="A6" s="46" t="str">
        <x:v>レベル1（極小）</x:v>
      </x:c>
      <x:c r="B6" s="47"/>
      <x:c r="C6" s="46" t="str">
        <x:v>U-SLIM資料には対応する区分なし</x:v>
      </x:c>
      <x:c r="D6" s="47"/>
      <x:c r="E6" s="47"/>
      <x:c r="F6" s="47"/>
      <x:c r="G6" s="47"/>
      <x:c r="H6" s="47"/>
      <x:c r="I6" s="47"/>
    </x:row>
    <x:row r="7" ht="72" customHeight="1">
      <x:c r="A7" s="46" t="str">
        <x:v>レベル2（小）</x:v>
      </x:c>
      <x:c r="B7" s="47"/>
      <x:c r="C7" s="46" t="str">
        <x:v>候補：低（遅延・不安定だが利用可能）※未確定</x:v>
      </x:c>
      <x:c r="D7" s="47"/>
      <x:c r="E7" s="47"/>
      <x:c r="F7" s="47"/>
      <x:c r="G7" s="47"/>
      <x:c r="H7" s="47"/>
      <x:c r="I7" s="47"/>
    </x:row>
    <x:row r="8" ht="72" customHeight="1">
      <x:c r="A8" s="46" t="str">
        <x:v>レベル3（大）</x:v>
      </x:c>
      <x:c r="B8" s="47"/>
      <x:c r="C8" s="46" t="str">
        <x:v>候補：中（一部機能のみ利用不可）※未確定</x:v>
      </x:c>
      <x:c r="D8" s="47"/>
      <x:c r="E8" s="47"/>
      <x:c r="F8" s="47"/>
      <x:c r="G8" s="47"/>
      <x:c r="H8" s="47"/>
      <x:c r="I8" s="47"/>
    </x:row>
    <x:row r="9" ht="72" customHeight="1">
      <x:c r="A9" s="46" t="str">
        <x:v>レベル4（極大）</x:v>
      </x:c>
      <x:c r="B9" s="47"/>
      <x:c r="C9" s="46" t="str">
        <x:v>候補：高（U-SLIMが利用不可）※未確定</x:v>
      </x:c>
      <x:c r="D9" s="47"/>
      <x:c r="E9" s="47"/>
      <x:c r="F9" s="47"/>
      <x:c r="G9" s="47"/>
      <x:c r="H9" s="47"/>
      <x:c r="I9" s="4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</x:row>
    <x:row r="11">
      <x:c r="A11" s="68" t="str">
        <x:v>資料で確認済みのU-SLIM基準</x:v>
      </x:c>
      <x:c r="B11" s="68"/>
      <x:c r="C11" s="68"/>
      <x:c r="D11" s="68"/>
      <x:c r="E11" s="68"/>
      <x:c r="F11" s="68"/>
      <x:c r="G11" s="68"/>
      <x:c r="H11" s="68"/>
      <x:c r="I11" s="68"/>
    </x:row>
    <x:row r="12">
      <x:c r="A12" s="45" t="str">
        <x:v>U-SLIMレベル</x:v>
      </x:c>
      <x:c r="B12" s="45" t="str">
        <x:v>停止状況</x:v>
      </x:c>
      <x:c r="C12" s="45" t="str">
        <x:v>サービス状態</x:v>
      </x:c>
      <x:c r="D12" s="45" t="str">
        <x:v>対応開始</x:v>
      </x:c>
      <x:c r="E12" s="45" t="str">
        <x:v>報告頻度</x:v>
      </x:c>
      <x:c r="F12" s="45" t="str">
        <x:v>承認</x:v>
      </x:c>
      <x:c r="G12" s="45" t="str">
        <x:v>利用者告知</x:v>
      </x:c>
      <x:c r="H12" s="45" t="str">
        <x:v>根拠資料</x:v>
      </x:c>
      <x:c r="I12" s="45"/>
    </x:row>
    <x:row r="13" ht="52" customHeight="1">
      <x:c r="A13" s="46" t="str">
        <x:v>高</x:v>
      </x:c>
      <x:c r="B13" s="46" t="str">
        <x:v>完全停止</x:v>
      </x:c>
      <x:c r="C13" s="46" t="str">
        <x:v>U-SLIMが利用できない</x:v>
      </x:c>
      <x:c r="D13" s="46" t="str">
        <x:v>即時対応</x:v>
      </x:c>
      <x:c r="E13" s="46" t="str">
        <x:v>1時間おき</x:v>
      </x:c>
      <x:c r="F13" s="46" t="str">
        <x:v>PO承認後に緊急リリース</x:v>
      </x:c>
      <x:c r="G13" s="46" t="str">
        <x:v>明確な即時告知条件は資料にない</x:v>
      </x:c>
      <x:c r="H13" s="46" t="str">
        <x:v>U-SLIM 死活監視対応手順</x:v>
      </x:c>
      <x:c r="I13" s="46"/>
    </x:row>
    <x:row r="14" ht="52" customHeight="1">
      <x:c r="A14" s="46" t="str">
        <x:v>中</x:v>
      </x:c>
      <x:c r="B14" s="46" t="str">
        <x:v>部分停止</x:v>
      </x:c>
      <x:c r="C14" s="46" t="str">
        <x:v>一部機能のみ利用不可</x:v>
      </x:c>
      <x:c r="D14" s="46" t="str">
        <x:v>即時対応</x:v>
      </x:c>
      <x:c r="E14" s="46" t="str">
        <x:v>3時間おき</x:v>
      </x:c>
      <x:c r="F14" s="46" t="str">
        <x:v>PO承認後にリリース</x:v>
      </x:c>
      <x:c r="G14" s="46" t="str">
        <x:v>明確な即時告知条件は資料にない</x:v>
      </x:c>
      <x:c r="H14" s="46" t="str">
        <x:v>U-SLIM 死活監視対応手順</x:v>
      </x:c>
      <x:c r="I14" s="46"/>
    </x:row>
    <x:row r="15" ht="52" customHeight="1">
      <x:c r="A15" s="46" t="str">
        <x:v>低</x:v>
      </x:c>
      <x:c r="B15" s="46" t="str">
        <x:v>機能低下</x:v>
      </x:c>
      <x:c r="C15" s="46" t="str">
        <x:v>遅延・不安定だが利用可能</x:v>
      </x:c>
      <x:c r="D15" s="46" t="str">
        <x:v>経過観察</x:v>
      </x:c>
      <x:c r="E15" s="46" t="str">
        <x:v>明記なし</x:v>
      </x:c>
      <x:c r="F15" s="46" t="str">
        <x:v>明記なし</x:v>
      </x:c>
      <x:c r="G15" s="46" t="str">
        <x:v>24時間未解消時にお知らせ掲載</x:v>
      </x:c>
      <x:c r="H15" s="46" t="str">
        <x:v>U-SLIM 死活監視対応手順</x:v>
      </x:c>
      <x:c r="I15" s="46"/>
    </x:row>
  </x:sheetData>
  <x:mergeCells>
    <x:mergeCell ref="A1:I1"/>
    <x:mergeCell ref="A2:I3"/>
    <x:mergeCell ref="A11:I11"/>
  </x:mergeCells>
  <x:dataValidations count="1">
    <x:dataValidation type="list" sqref="B6:B9">
      <x:formula1>"使用しない,低,中,高,その他"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45" hidden="0" customWidth="1"/>
    <x:col min="4" max="4" width="34" hidden="0" customWidth="1"/>
    <x:col min="5" max="5" width="36" hidden="0" customWidth="1"/>
    <x:col min="6" max="6" width="28" hidden="0" customWidth="1"/>
  </x:cols>
  <x:sheetData>
    <x:row r="1">
      <x:c r="A1" s="65" t="str">
        <x:v>追加質問の対象外とする確認済み事項</x:v>
      </x:c>
      <x:c r="B1" s="65"/>
      <x:c r="C1" s="65"/>
      <x:c r="D1" s="65"/>
      <x:c r="E1" s="65"/>
      <x:c r="F1" s="65"/>
    </x:row>
    <x:row r="2">
      <x:c r="A2" s="66" t="str">
        <x:v>以下は質問票と根拠資料で確認できているため、原則として再回答は不要です。内容が現在と異なる場合のみ、追加確認回答表で修正してください。</x:v>
      </x:c>
      <x:c r="B2" s="66"/>
      <x:c r="C2" s="66"/>
      <x:c r="D2" s="66"/>
      <x:c r="E2" s="66"/>
      <x:c r="F2" s="66"/>
    </x:row>
    <x:row r="3">
      <x:c r="A3" s="66"/>
      <x:c r="B3" s="66"/>
      <x:c r="C3" s="66"/>
      <x:c r="D3" s="66"/>
      <x:c r="E3" s="66"/>
      <x:c r="F3" s="66"/>
    </x:row>
    <x:row r="4">
      <x:c r="A4" s="67"/>
      <x:c r="B4" s="67"/>
      <x:c r="C4" s="67"/>
      <x:c r="D4" s="67"/>
      <x:c r="E4" s="67"/>
      <x:c r="F4" s="67"/>
    </x:row>
    <x:row r="5">
      <x:c r="A5" s="45" t="str">
        <x:v>No.</x:v>
      </x:c>
      <x:c r="B5" s="45" t="str">
        <x:v>確認済み事項</x:v>
      </x:c>
      <x:c r="C5" s="45" t="str">
        <x:v>確認結果</x:v>
      </x:c>
      <x:c r="D5" s="45" t="str">
        <x:v>根拠資料</x:v>
      </x:c>
      <x:c r="E5" s="45" t="str">
        <x:v>適用上の注意</x:v>
      </x:c>
      <x:c r="F5" s="45" t="str">
        <x:v>元Excelへの扱い</x:v>
      </x:c>
    </x:row>
    <x:row r="6" ht="54" customHeight="1">
      <x:c r="A6" s="46" t="n">
        <x:v>1</x:v>
      </x:c>
      <x:c r="B6" s="46" t="str">
        <x:v>休日監視体制</x:v>
      </x:c>
      <x:c r="C6" s="46" t="str">
        <x:v>アラート監視窓口と技術対応者が分離され、共通Teamsチャネルで対応依頼・状況報告を行う。</x:v>
      </x:c>
      <x:c r="D6" s="46" t="str">
        <x:v>休日対応エスカレーションフロー.pptx</x:v>
      </x:c>
      <x:c r="E6" s="46" t="str">
        <x:v>担当者名は休暇期間ごとに変わる。</x:v>
      </x:c>
      <x:c r="F6" s="46" t="str">
        <x:v>体制の考え方を反映</x:v>
      </x:c>
    </x:row>
    <x:row r="7" ht="54" customHeight="1">
      <x:c r="A7" s="46" t="n">
        <x:v>2</x:v>
      </x:c>
      <x:c r="B7" s="46" t="str">
        <x:v>長期連休</x:v>
      </x:c>
      <x:c r="C7" s="46" t="str">
        <x:v>土曜日を含む連続4日以上の休日では、日別輪番表を作成する。</x:v>
      </x:c>
      <x:c r="D7" s="46" t="str">
        <x:v>休日対応エスカレーションフロー.pptx</x:v>
      </x:c>
      <x:c r="E7" s="46" t="str">
        <x:v>通常休日と長期連休を区別する。</x:v>
      </x:c>
      <x:c r="F7" s="46" t="str">
        <x:v>休日運用へ反映</x:v>
      </x:c>
    </x:row>
    <x:row r="8" ht="54" customHeight="1">
      <x:c r="A8" s="46" t="n">
        <x:v>3</x:v>
      </x:c>
      <x:c r="B8" s="46" t="str">
        <x:v>動作確認</x:v>
      </x:c>
      <x:c r="C8" s="46" t="str">
        <x:v>ログイン、全画面、主要機能、帳票・データ表示、著しい性能低下を確認する観点がある。</x:v>
      </x:c>
      <x:c r="D8" s="46" t="str">
        <x:v>U-SLIM 死活監視対応手順.pptx</x:v>
      </x:c>
      <x:c r="E8" s="46" t="str">
        <x:v>2026年GW向け。通常時の適用可否を別途確認。</x:v>
      </x:c>
      <x:c r="F8" s="46" t="str">
        <x:v>監視項目へ反映</x:v>
      </x:c>
    </x:row>
    <x:row r="9" ht="54" customHeight="1">
      <x:c r="A9" s="46" t="n">
        <x:v>4</x:v>
      </x:c>
      <x:c r="B9" s="46" t="str">
        <x:v>障害レベル</x:v>
      </x:c>
      <x:c r="C9" s="46" t="str">
        <x:v>高・中・低の3段階。高・中は即時対応、高は1時間、中は3時間おきに報告する。</x:v>
      </x:c>
      <x:c r="D9" s="46" t="str">
        <x:v>U-SLIM 死活監視対応手順.pptx／U-44補足</x:v>
      </x:c>
      <x:c r="E9" s="46" t="str">
        <x:v>元Excelは4段階のため対応確認が必要。</x:v>
      </x:c>
      <x:c r="F9" s="46" t="str">
        <x:v>レベル対応表で確定</x:v>
      </x:c>
    </x:row>
    <x:row r="10" ht="54" customHeight="1">
      <x:c r="A10" s="46" t="n">
        <x:v>5</x:v>
      </x:c>
      <x:c r="B10" s="46" t="str">
        <x:v>リリース承認</x:v>
      </x:c>
      <x:c r="C10" s="46" t="str">
        <x:v>高・中レベルでリリースを行う場合はPO承認を得る。</x:v>
      </x:c>
      <x:c r="D10" s="46" t="str">
        <x:v>U-SLIM 死活監視対応手順.pptx</x:v>
      </x:c>
      <x:c r="E10" s="46" t="str">
        <x:v>暫定・恒久・クローズの承認とは区別する。</x:v>
      </x:c>
      <x:c r="F10" s="46" t="str">
        <x:v>承認欄へ注意付き反映</x:v>
      </x:c>
    </x:row>
    <x:row r="11" ht="54" customHeight="1">
      <x:c r="A11" s="46" t="n">
        <x:v>6</x:v>
      </x:c>
      <x:c r="B11" s="46" t="str">
        <x:v>利用者告知</x:v>
      </x:c>
      <x:c r="C11" s="46" t="str">
        <x:v>OGG障害または低レベルの事象が24時間未解消の場合、お知らせ掲載の手順がある。</x:v>
      </x:c>
      <x:c r="D11" s="46" t="str">
        <x:v>U-SLIM 死活監視対応手順.pptx</x:v>
      </x:c>
      <x:c r="E11" s="46" t="str">
        <x:v>高・中の告知条件は未確認。</x:v>
      </x:c>
      <x:c r="F11" s="46" t="str">
        <x:v>告知条件へ一部反映</x:v>
      </x:c>
    </x:row>
    <x:row r="12" ht="54" customHeight="1">
      <x:c r="A12" s="46" t="n">
        <x:v>7</x:v>
      </x:c>
      <x:c r="B12" s="46" t="str">
        <x:v>障害記録</x:v>
      </x:c>
      <x:c r="C12" s="46" t="str">
        <x:v>2026年7月15日から障害・不良管理表を使用し、原因・対策・重要度・担当者等を記録している。</x:v>
      </x:c>
      <x:c r="D12" s="46" t="str">
        <x:v>本番-障害・不良管理表.xlsx</x:v>
      </x:c>
      <x:c r="E12" s="46" t="str">
        <x:v>登録ルール・クローズ条件は未整備。</x:v>
      </x:c>
      <x:c r="F12" s="46" t="str">
        <x:v>事後対応へ反映</x:v>
      </x:c>
    </x:row>
    <x:row r="13" ht="54" customHeight="1">
      <x:c r="A13" s="46" t="n">
        <x:v>8</x:v>
      </x:c>
      <x:c r="B13" s="46" t="str">
        <x:v>NiFi事例</x:v>
      </x:c>
      <x:c r="C13" s="46" t="str">
        <x:v>NiFi操作不能時に前バージョンへ切り戻し、再修正した事例がある。</x:v>
      </x:c>
      <x:c r="D13" s="46" t="str">
        <x:v>本番-障害・不良管理表.xlsx</x:v>
      </x:c>
      <x:c r="E13" s="46" t="str">
        <x:v>個別事例であり標準復旧手順ではない。</x:v>
      </x:c>
      <x:c r="F13" s="46" t="str">
        <x:v>事例としてのみ記載</x:v>
      </x:c>
    </x:row>
  </x:sheetData>
  <x:mergeCells>
    <x:mergeCell ref="A1:F1"/>
    <x:mergeCell ref="A2:F3"/>
  </x:mergeCells>
  <x:pageMargins left="0.7" right="0.7" top="0.75" bottom="0.75" header="0.3" footer="0.3"/>
</x:worksheet>
</file>