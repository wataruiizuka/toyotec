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7"/>
  <workbookPr/>
  <mc:AlternateContent xmlns:mc="http://schemas.openxmlformats.org/markup-compatibility/2006">
    <mc:Choice Requires="x15">
      <x15ac:absPath xmlns:x15ac="http://schemas.microsoft.com/office/spreadsheetml/2010/11/ac" url="https://tatgroup.sharepoint.com/sites/TEC_U-SLIM879/Shared Documents/General/99_Work/06_Whizen/ソースコード/celes/亘作業用フォルダ/調査関連/7月29日_号口運用_エスカレーション関連/"/>
    </mc:Choice>
  </mc:AlternateContent>
  <xr:revisionPtr revIDLastSave="0" documentId="8_{55E5E531-0D02-4C2D-A40C-12E9F4A5F232}" xr6:coauthVersionLast="47" xr6:coauthVersionMax="47" xr10:uidLastSave="{00000000-0000-0000-0000-000000000000}"/>
  <bookViews>
    <workbookView xWindow="-108" yWindow="-108" windowWidth="23256" windowHeight="13896" xr2:uid="{00000000-000D-0000-FFFF-FFFF00000000}"/>
  </bookViews>
  <sheets>
    <sheet name="U-SLIM_運用設計用" sheetId="5" r:id="rId1"/>
    <sheet name="U-SLIM_運用設計用_修正後" sheetId="7" r:id="rId2"/>
    <sheet name="U-SLIM質問票" sheetId="2" r:id="rId3"/>
    <sheet name="U-SLIM_追加確認回答表" sheetId="4" r:id="rId4"/>
    <sheet name="U-SLIM_レベル別" sheetId="3" r:id="rId5"/>
    <sheet name="U-SLIM_再確認質問票" sheetId="6" r:id="rId6"/>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WyX7I/0t3oXHemw4AL5Dc/uRnTC9FxDAyO4ddHqvCIw="/>
    </ext>
  </extLst>
</workbook>
</file>

<file path=xl/calcChain.xml><?xml version="1.0" encoding="utf-8"?>
<calcChain xmlns="http://schemas.openxmlformats.org/spreadsheetml/2006/main">
  <c r="K45" i="6" l="1"/>
  <c r="K44"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I5" i="6"/>
  <c r="F5" i="6"/>
  <c r="C5" i="6"/>
  <c r="E8" i="4"/>
  <c r="E7" i="4"/>
  <c r="L5"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U10" authorId="0" shapeId="0" xr:uid="{C4ED0353-0EE8-4BE7-90CF-5441E92BE824}">
      <text>
        <r>
          <rPr>
            <sz val="11"/>
            <color theme="1"/>
            <rFont val="Carlito"/>
            <family val="2"/>
            <scheme val="minor"/>
          </rPr>
          <t>======
ID#AAAB-v6tVUI
木村　悠羽    (2026-07-01 07:59:24)
◎：自動化＋アラート連携済
○：定常運用として実施
△：一部手動 / 不十分
×：未対応</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U10" authorId="0" shapeId="0" xr:uid="{51D5E418-B9EC-4EBE-B69B-8B2CEF5C6361}">
      <text>
        <r>
          <rPr>
            <sz val="11"/>
            <color theme="1"/>
            <rFont val="Carlito"/>
            <family val="2"/>
            <scheme val="minor"/>
          </rPr>
          <t>======
ID#AAAB-v6tVUI
木村　悠羽    (2026-07-01 07:59:24)
◎：自動化＋アラート連携済
○：定常運用として実施
△：一部手動 / 不十分
×：未対応</t>
        </r>
      </text>
    </comment>
  </commentList>
</comments>
</file>

<file path=xl/sharedStrings.xml><?xml version="1.0" encoding="utf-8"?>
<sst xmlns="http://schemas.openxmlformats.org/spreadsheetml/2006/main" count="1652" uniqueCount="698">
  <si>
    <t>号口運用設計（監視・インシデント）</t>
  </si>
  <si>
    <t>▼判定の凡例</t>
  </si>
  <si>
    <t>▼前提</t>
  </si>
  <si>
    <t>　◎：適切な手段・設定で対応できている</t>
  </si>
  <si>
    <t>　・システム構成のサブネット種別（サービス種別含む）で、運営方法や求められるインシデントレベルの設計が変わる想定</t>
  </si>
  <si>
    <t>　◯：対応はできているがツール・設定の見直しが必要</t>
  </si>
  <si>
    <t>　</t>
  </si>
  <si>
    <t>　・2階建て構造の考え方から、共通部より、ユーザー影響のあるアプリのインシデントを優先して障害報を出す</t>
  </si>
  <si>
    <t>　△：手動での対応あるいは対応が不十分</t>
  </si>
  <si>
    <t>　×：未対応</t>
  </si>
  <si>
    <t>　N/A：不適当</t>
  </si>
  <si>
    <t>号口運用の責任の範囲</t>
  </si>
  <si>
    <t>定常運用（現状）</t>
  </si>
  <si>
    <t>定常運用（未来）</t>
    <phoneticPr fontId="1"/>
  </si>
  <si>
    <t>インシデントレベル</t>
  </si>
  <si>
    <t>エスカレーション</t>
  </si>
  <si>
    <t>管理種別（大）</t>
  </si>
  <si>
    <t>管理種別（中）</t>
  </si>
  <si>
    <t>管理種別（小）</t>
  </si>
  <si>
    <t>日次</t>
  </si>
  <si>
    <t>週次</t>
  </si>
  <si>
    <t>月次</t>
  </si>
  <si>
    <t>スポット</t>
  </si>
  <si>
    <t>判定</t>
  </si>
  <si>
    <t>インシデント種別</t>
  </si>
  <si>
    <t>レベル1（極小）</t>
  </si>
  <si>
    <t>レベル2（小）</t>
  </si>
  <si>
    <t>レベル3（大）</t>
  </si>
  <si>
    <t>レベル4（極大）</t>
  </si>
  <si>
    <t>責任者</t>
  </si>
  <si>
    <t>承認者</t>
  </si>
  <si>
    <t>エスカレーション方法</t>
  </si>
  <si>
    <t>-</t>
  </si>
  <si>
    <t>対応内容</t>
  </si>
  <si>
    <t>使用監視ツール</t>
  </si>
  <si>
    <t>アラート発動項目＆条件</t>
  </si>
  <si>
    <t>出力チャネル</t>
  </si>
  <si>
    <t>評価</t>
  </si>
  <si>
    <t>コメント</t>
  </si>
  <si>
    <t>統一基準</t>
  </si>
  <si>
    <t>見た目の不具合に相当する</t>
  </si>
  <si>
    <t>機能の一部に障害に相当する</t>
  </si>
  <si>
    <t>サービスの重要な機能、導線に障害に相当する</t>
  </si>
  <si>
    <t>サービスが起動不能な状態に相当する</t>
  </si>
  <si>
    <t>トヨテック責任者</t>
  </si>
  <si>
    <t>顧客責任者</t>
  </si>
  <si>
    <t>トヨテック承認者</t>
  </si>
  <si>
    <t>LV1</t>
  </si>
  <si>
    <t>LV2</t>
  </si>
  <si>
    <t>LV3</t>
  </si>
  <si>
    <t>LV4</t>
  </si>
  <si>
    <t>種別</t>
  </si>
  <si>
    <t>チャネル名</t>
  </si>
  <si>
    <t>承認依頼ルール</t>
  </si>
  <si>
    <t>通知ルール</t>
  </si>
  <si>
    <t>ユーザー告知</t>
  </si>
  <si>
    <t>一次対策</t>
  </si>
  <si>
    <t>恒久対策</t>
  </si>
  <si>
    <t>業務アプリ（U-SLIM）
※rg-uslim</t>
  </si>
  <si>
    <t>検証用として利用</t>
  </si>
  <si>
    <t>PowerBI（WebAppへの組み込み）</t>
  </si>
  <si>
    <t>N/A
→検証用途のみのため未整備</t>
  </si>
  <si>
    <t>【U-SLIM現状の正式な回答2026-08-20】
・Power BIは現時点では検証用とであり、号口の業務画面としては未提供
・今後はU-SLIMの一機能として提供する予定との回答あり
・木村さんからの回答では、U-SLIMチームの担当を「Azure App Service、NiFi、Power_BI」としたい意向が示されている。
・ただし、正式な監視対象、責任分界は関係者合意まであり、Power_BIの本番提供開始次期、監視方法、運用責任者も未確定。
・そのため現行の号口運用設計ではN/Aを継続して、本番提供前に監視・障害対応・エスカレーションを別途設計する。</t>
  </si>
  <si>
    <t>本番提供開始前に、Power_BIをU-SLIMの正式な監視対象とするか関係者で合意し、監視方法・障害対応・責任者・エスカレーション設計する。</t>
  </si>
  <si>
    <t>未確定</t>
  </si>
  <si>
    <t>業務アプリ、帳票の一部のテキスト表示に不具合がある状態（例：テキストガイドなど誤案内にならないレベル）</t>
  </si>
  <si>
    <t>インシデントフロー_業務アプリ（U-SLIM）</t>
  </si>
  <si>
    <t>業務アプリ、帳票を利用するユーザの一部機能が利用できない状態</t>
  </si>
  <si>
    <t>業務アプリ、帳票を利用するユーザの重要な機能、導線が利用できない状態</t>
  </si>
  <si>
    <t>業務アプリ、帳票が全く表示されず、サービスが提供できない状態</t>
  </si>
  <si>
    <t>運用アプリ（バックエンド）</t>
  </si>
  <si>
    <t>Azure App Service</t>
  </si>
  <si>
    <t>・Azure App Serviceで検知した予期しないシステムエラーを
「13_WebAppアラート共有」へ自動通知し、監視する。
（質問シート_U-06、U-16回答）
・App Serviceのヘルスチェックは現在も有効。
（質問シート_U-13回答）
・通常運用における主要機能の定期的な動作確認はルール化されていない。
（質問シート_U-08回答）
・Nodeリソース枯渇アラートを現在も日次監視しているかは確認できていない。
質問シート_U-13が未回答</t>
  </si>
  <si>
    <r>
      <rPr>
        <sz val="11"/>
        <color rgb="FF000000"/>
        <rFont val="Yu Gothic UI"/>
      </rPr>
      <t xml:space="preserve">Azure Monitor
</t>
    </r>
    <r>
      <rPr>
        <sz val="11"/>
        <color rgb="FF4472C4"/>
        <rFont val="Yu Gothic UI"/>
      </rPr>
      <t>Azure App Service
Azure Console</t>
    </r>
  </si>
  <si>
    <t>・App Serviceのヘルスチェックは有効。
（質問シート_U-13回答）
・現行のアラート名、監視条件、閾値は未確認。
質問シート_U-13で現行条件・閾値が未回答
・Teamsへ送信しないエラーが存在するが、対象となるエラー条件・除外理由は未確認。
質問シート_U-14、U-15で対象条件が未回答
"・可用性監視（uslim-webapp-healthcheck）
　・HealthCheckStatus &lt; 100 : Warning
・uslim-webapp-dbexceptions
　・Table rows &gt; 0 : Error
　   ・除外対象を除く例外発生件数
　　　→Azure Consoleにて設定</t>
  </si>
  <si>
    <t>Teams</t>
  </si>
  <si>
    <t>13_WebAppアラート共有
（質問シート_U-06、U-16回答）</t>
  </si>
  <si>
    <t>N/A
※U-SLIM全体として週次運用は存在するが、
Azure App Service固有の週次対応内容は質問シート上で未回答。
（質問シート_U-11回答）</t>
  </si>
  <si>
    <t>N/A
※U-SLIM全体として週次運用は存在するが、
Azure App Service固有の仕様監視ツールは質問シート上で未回答。
（質問シート_U-11回答）</t>
  </si>
  <si>
    <t>N/A
※U-SLIM全体として週次運用は存在するが、
Azure App Service固有のアラート発動項目・条件は質問シート上で未回答。
（質問シート_U-11回答）</t>
  </si>
  <si>
    <t>N/A
※U-SLIM全体として週次運用は存在するが、
Azure App Service固有の出力チャネルは質問シート上で未回答。
（質問シート_U-11回答）</t>
  </si>
  <si>
    <t>N/A
質問シートNo11が未回答</t>
  </si>
  <si>
    <t>・アラート監視窓口が内容を確認し、PM・障害対応者へ通知。
・障害対応者が原因調査・アプリ/Azure、インフラの切り分けを行う。
・対応が必要な場合は、原因と対策を顧客へ説明し、承認後に臨時リリースを検討。</t>
  </si>
  <si>
    <t>Azure Moniter
App Serviceログ
U-SLIM画面
リリース手順書</t>
  </si>
  <si>
    <t>WebAppアラート発生
ログイン不可
画面表示不可
一部機能停止
DB例外
性能低下</t>
  </si>
  <si>
    <t>Teams
必要に応じて電話</t>
  </si>
  <si>
    <t>1.監視窓口
2.障害対応者
3.PM：佐藤
4.PO：新庄
※通常運用の最終責任者、およびアプリ/データ基盤/インフラ間の正式な責任分界は未決定</t>
  </si>
  <si>
    <t>〇</t>
  </si>
  <si>
    <t>【U-SLIM現状の正式な回答2026-08-20】
・通常運用時に長期休暇と同一ルールへ従う恒久ルールは存在せず、長期休暇の都度、死活監視ルールをメンテナンスしている。
・現行PM：佐藤さん、PO：新庄さん。PM/PO等の詳細な担当は不明確で、通常運用の障害対応の最終責任者は未決定。
・サービス提供時間は毎日8:00～20:00。20:00以降はメンテナンスタイム。
・App Serviceのヘルスチェックと「13_WebAppアラート共有」の理由は確認済み。
・現行アラート条件・閾値、通知除外エラー、通常時の初動確認手順は、WebApp/Azure監視設定・障害対応担当へ要確認。
・暫定対応/恒久対応/リリース/クローズの承認、利用者告知、誤データ・権限漏れ・情報漏えい時のルールは未整備。
・高/中/低の3段階は長期休暇資料で確認できるが、通常運用へ同一ルールを蘊奥する恒久ルールおよび元Excelレベル1～4との正式対応は未決定。
資料：
休日対応エスカレーションフロー.pptx
U-SLIM死活監視対応手順.pptx</t>
  </si>
  <si>
    <t>・現行アラート条件・閾値と通知除外条件を確認・確定
・通常運用の初動確認項目を手順化
・サービス提供時間8:00～20:00を前提に監視体制を整理</t>
  </si>
  <si>
    <t>Azure Moniter
Azure App Service
運用手順書</t>
  </si>
  <si>
    <t>現行条件・閾値はWebApp / Azure監視設定担当へ確認後に確定</t>
  </si>
  <si>
    <t>13_WebAppアラート共有
10_アラート監視共有</t>
  </si>
  <si>
    <t>・アプリ/データ基盤/インフラの責任分界と最終責任者を確定
・承認、クローズ、利用者告知をルール化
・誤データ/権限漏れ/情報漏えい時のエスカレーションを別途整備</t>
  </si>
  <si>
    <t>運用手順書
障害管理表</t>
  </si>
  <si>
    <t>N/A</t>
  </si>
  <si>
    <t>△</t>
  </si>
  <si>
    <t>・WebApp/U-SLIM利用不可、ログイン不可
・一部機能停止
・DB例外/予期しないエラー
・画面表示不良/著しい機能低下</t>
  </si>
  <si>
    <t>暫定候補：低
遅延・不安定だが利用可能</t>
  </si>
  <si>
    <t>暫定候補：中
一部機能のみ利用不可</t>
  </si>
  <si>
    <t>暫定候補：高
U--SLIMが利用できない</t>
  </si>
  <si>
    <t>NiFi</t>
  </si>
  <si>
    <t>・NiFiの実行ログが正常に出力されているかを保守チームが監視する。
（質問シート_U-06回答）
・NiFi停止の場合は保守チームが確認する。
・データ元からデータが連携されていない場合は、保守チーム・基盤チームが確認する。
（質問シート_U-25回答）
・U-SLIM側の現行確認担当は周さん。
（質問シート_U-27回答）
・Repository使用率監視の現在の設定・運用状況は確認できていない。
質問シート_U-56が未回答</t>
  </si>
  <si>
    <r>
      <rPr>
        <sz val="11"/>
        <color rgb="FF000000"/>
        <rFont val="Yu Gothic UI"/>
        <family val="3"/>
        <charset val="128"/>
      </rPr>
      <t xml:space="preserve">Cloudera Manager
</t>
    </r>
    <r>
      <rPr>
        <sz val="11"/>
        <color rgb="FF4472C4"/>
        <rFont val="Yu Gothic UI"/>
        <family val="3"/>
        <charset val="128"/>
      </rPr>
      <t>NiFi</t>
    </r>
  </si>
  <si>
    <t>【元Excel記載値／現行有効性は未確認】
・FlowFile Repository
　Warning：80%以上
　Failure：90%以上
・Content Repository
　Warning：80%以上
　Failure：90%以上
・Provenance Repository
　Warning：80%以上
　Failure：90%以上
※上記Repository監視の対象・閾値が現在も有効かは確認できていない。
質問シート_U-56で現行の監視対象・閾値が未回答</t>
  </si>
  <si>
    <t>TEC_U-SLIM(基盤検証)_一般
※データ連携停止・遅延等について、現状は基盤チームから当該チャネルで通知。
（質問シート_U-09回答）
12_CDPアラート共有
※U-SLIM担当へ連絡する正式ルールはない認識。
（質問シート_U-26回答）</t>
  </si>
  <si>
    <t>N/A
※U-SLIM全体として週次運用は存在するが、
NiFi固有の週次対応内容は質問シート上で未回答。
（質問シート_U-11回答）</t>
  </si>
  <si>
    <t>N/A
※U-SLIM全体として週次運用は存在するが、
NiFi固有の仕様監視ツールは質問シート上で未回答。
（質問シート_U-11回答）</t>
  </si>
  <si>
    <t>N/A
※U-SLIM全体として週次運用は存在するが、
NiFi固有のアラート発動項目・条件は質問シート上で未回答。
（質問シート_U-11回答）</t>
  </si>
  <si>
    <t>N/A
※U-SLIM全体として週次運用は存在するが、
NiFi固有の出力チャネルは質問シート上で未回答。
（質問シート_U-11回答）</t>
  </si>
  <si>
    <t xml:space="preserve">事象に応じて保守チーム・基盤チーム・U-SLIM担当が原因を調査する。
失敗ケースによって手動再実行、切り戻し、再修正を行う事例がある。
追加回答でも、標準の再実行・切り戻し・再リリース手順書、および復旧後データ確認手順書が存在しないことを確認。
→手順書作成が必要
</t>
  </si>
  <si>
    <t>NiFi
Cloudera Manager
処理ログ
U-SLIM画面</t>
  </si>
  <si>
    <t>・NiFi停止/処理失敗
・データ元からの連携停止
・U-SLIM独自蓄積処理失敗
・外部データ連携遅延
・Repository使用率上昇</t>
  </si>
  <si>
    <t>1.保守・基盤チーム
2.U-SLIM担当(現状：周さん)
3.PM：佐藤
4.PO：新庄</t>
  </si>
  <si>
    <t>【U-SLIM現状の正式な回答2026-08-20】
・GAZOO、U-PASS、データ図書館、U-SLIM独自蓄積処理がU-SLIM機能へ影響するとの一次回答あり。
・アプリ側には、データ連携停止・遅延・欠損・重複・古いデータを定常確認する方法が無いとの一次回答あり。
・アプリチーム実装のNiFiは基本的にUpsertとの回答だが、対象範囲、一意キー、例外処理、再実行時の重複防止根拠は未確認。NiFi/基盤担当へ要確認。
・標準の再実行・切り戻し・再リリース手順書は存在せず、手順書作成が必要。
・復旧後のデータ正常性確認についても標準手順書は存在せず、手順書作成が必要。
・事象別の一次対応責任、アプリ/データ基盤/インフラ間の責任分界は未整備。
・現行PM：佐藤さん、PO：新庄さん。通常運用の障害対応の最終責任者は未決定。
・U-SLIMチーム担当にNiFiを含めたい意向はあるが、正式な監視対象・責任分界は関係者合意前。
・承認、クローズ、利用者告知、誤データ、情報漏えい時のルールは未整備。
・障害管理表は2026-07-15から利用開始。原因・対策・重要度・担当者等を記録しているが、確認者・クローズ条件は未整備。
・高/中/艇の3段階は長期休暇資料で確認できるが、レベル1～4との正式対応は未決定。
資料：
休日対応エスカレーションフロー.pptx
U-SLIM死活監視対応手順.pptx
本番-障害・不要管理表.xlsx</t>
  </si>
  <si>
    <t>・NiFi停止/元データ未連携/U-SLIM独自処理失敗ごとの一次対応責任者を確定
・再実行/切り戻し/再リリース手順書を作成
・普及後のデータ正常性確認手順を作成</t>
  </si>
  <si>
    <t>NiFi
Cloudera Manager
運用手順書</t>
  </si>
  <si>
    <t>Repository閾値の現行有効性、Upsert対象範囲・一意キーはNiFi/基盤担当へ確認後に確定</t>
  </si>
  <si>
    <t>12_CDPアラート共有
10_アラート監視共有</t>
  </si>
  <si>
    <t>・責任分界、最終責任者、承認、クローズ、利用者告知をルール化
・再実行時の重複防止根拠を明文化
・誤データ/権限漏れ/情報漏えい時のエスカレーションを別途整備</t>
  </si>
  <si>
    <t>・NiFi停止/処理失敗
・外部データ連携停止・停止
・U-SLIM独自蓄積処理失敗
・データ欠損/重複/古いデータ表示
・Repository容量逼迫</t>
  </si>
  <si>
    <t>【U-SLIM現状・確認結果】
・Power BIは現時点では検証用とであり、号口の業務画面としては未提供
・今後はU-SLIMの一機能として提供する予定との回答あり
・これまでの確認では、､U=SLIMチームの担当範囲を「Azure App Service、NiFi、Power_BI」とする意向が示されている。
・ただし、正式な監視対象、責任分界は関係者合意まであり、Power_BIの本番提供開始次期、監視方法、運用責任者も未確定。
・そのため現行の号口運用設計ではN/Aを継続して、本番提供前に監視・障害対応・エスカレーションを別途設計する。</t>
  </si>
  <si>
    <r>
      <rPr>
        <sz val="11"/>
        <color rgb="FF000000"/>
        <rFont val="Yu Gothic UI"/>
      </rPr>
      <t xml:space="preserve">・Azure App Serviceで検知した予期しないシステムエラーを
「13_WebAppアラート共有」へ自動通知し、監視する。
（質問シート_U-06、U-16回答）
・App Serviceのヘルスチェックは現在も有効。
（質問シート_U-13回答）
・通常運用における主要機能の定期的な動作確認はルール化されていない。
（質問シート_U-08回答）
</t>
    </r>
    <r>
      <rPr>
        <sz val="11"/>
        <color rgb="FFC00000"/>
        <rFont val="Yu Gothic UI"/>
      </rPr>
      <t>・WebAppアラート発生後の一次技術確認はU-SLIMアプリ担当が実施する。
例外ログからエラーが発生した画面・原因を確認して
必要に応じてアクセスログからエラー発生前後の操作を確認する。
（U-SLIM_再確認質問票 No.3回答）</t>
    </r>
  </si>
  <si>
    <t>Azure Monitor
Azure App Service</t>
  </si>
  <si>
    <r>
      <rPr>
        <sz val="11"/>
        <color rgb="FF000000"/>
        <rFont val="Yu Gothic UI"/>
      </rPr>
      <t xml:space="preserve">・App Serviceのヘルスチェックは有効。
（質問シート_U-13回答）
</t>
    </r>
    <r>
      <rPr>
        <sz val="11"/>
        <color rgb="FFC00000"/>
        <rFont val="Yu Gothic UI"/>
      </rPr>
      <t xml:space="preserve">・WebApp/App ServiceからTeamsへの通知について、通知対象から除外しているエラーはない。
（U-SLIM_再確認質問票 No.2回答）
</t>
    </r>
    <r>
      <rPr>
        <sz val="11"/>
        <color rgb="FF000000"/>
        <rFont val="Yu Gothic UI"/>
      </rPr>
      <t xml:space="preserve">
</t>
    </r>
    <r>
      <rPr>
        <sz val="11"/>
        <color rgb="FFFFC000"/>
        <rFont val="Yu Gothic UI"/>
      </rPr>
      <t xml:space="preserve">・現行のアラート名、発動条件、閾値については未確認。
U-SLIM_再確認質問票 No.1の回答後にこの部分を修正
</t>
    </r>
    <r>
      <rPr>
        <sz val="11"/>
        <color rgb="FF000000"/>
        <rFont val="Yu Gothic UI"/>
      </rPr>
      <t xml:space="preserve">
修正前内容：
"・可用性監視（uslim-webapp-healthcheck）
　・HealthCheckStatus &lt; 100 : Warning
・uslim-webapp-dbexceptions
　・Table rows &gt; 0 : Error
　   ・除外対象を除く例外発生件数
　　　→条件は現行設定か確認中
・App Serviceのヘルスチェックは有効
・Teamsへ送信されないエラーが存在しているが、対象条件は確認中"
</t>
    </r>
  </si>
  <si>
    <t>・WebApp/App SerViceのアラート発生時は、U-SLIMアプリ担当が一次技術確認んを行う。
例外ログからエラー発生画面・原因を確認して、必要に応じてアクセスログから発生前後の操作を確認する。
（U-SLIM_再確認質問票 No3回答）
・一次調査及び復旧作業の技術担当は事象に応じて異なる。
関係部署へハンドリングするための一次判断は、U-SLIMアプリ担当（PO/M）が行う方針とする。
（U-SLIM_再確認質問票 No12回答）
・障害対応の最終責任者はPMとする。
（U-SLIM_再確認質問票 No15回答）
・暫定対応、恒久対応、緊急リリース、通常リリース、障害クローズの承認者はPMとする。
U-SLIM_再確認質問票 No16～No20回答）
・復旧後はU-SLIMアプリ担当が正常性を確認して、復旧完了後はPMへ報告する。
PMから障害Levelに応じて関係者へ連携する。
U-SLIM_再確認質問票 No14、 No31、 No32回答）</t>
  </si>
  <si>
    <t>Azure Moniter
Azure App Service
App Service堤外ログ
アクセスログ
U-SLIM画面
リリース手順書</t>
  </si>
  <si>
    <t>・WebApp/App Serviceアラート発生
・U-SLIM全体が利用できない
・一部機能が利用できない
・ログイン不可
画面表示不可
一部機能停止
DB例外
性能低下
※U-SLIM全体利用不可はLevel4（極大）
一部機能利用不可はLevel3（大）として扱う。
（U-SLIM_再確認質問票 No22、 No23回答）
※誤データ、他販社データ表示、権限漏れ、情報漏えい等は通常の機能障害とは分けて、セキュリティインシデントとして別管理する。
（U-SLIM_再確認質問票 No23、 No33回答）</t>
  </si>
  <si>
    <t xml:space="preserve">Teams
</t>
  </si>
  <si>
    <t>13_WebAppアラート共有
※WebApp/App Serviceのアラート通知先として現在利用中
（U-SLIM_再確認質問票 No06、 No16回答）
※PMへのエスカレーション・復旧完了報告等に使用する。</t>
  </si>
  <si>
    <t>【U-SLIM再確認結果 2026-08-25】
・U-SLIMのサービス提供時間は毎日8:00～20:00。
20:00以降はメンテナンスタイム。
・App Serviceのヘルスチェックは有効で、
WebApp／App Serviceのエラー通知先として
Teams「13_WebAppアラート共有」を現在も利用している。
・Teamsへの通知除外エラーはないことを再確認済み。
過去回答にあった「送信しないエラーあり」は記載誤りとの回答あり。
（U-SLIM_再確認質問票 No.2）
・WebAppアラート発生後の一次技術確認は
U-SLIMアプリ担当が実施する。
例外ログからエラー発生画面・原因を確認し、
必要に応じてアクセスログから発生前後の操作を確認する。
（No.3）
・通常運用の障害対応における最終責任者はPMとする。
暫定対応、恒久対応、緊急リリース、通常リリース、
障害クローズの承認者もPMとする。
（No.15～20）
・通常運用の障害レベルは、
従来の「高／中／低」ではなくLevel1～4へ統合する。
U-SLIM全体利用不可はLevel4（極大）、
一部機能利用不可はLevel3（大）とする。
（No.21～23）
・利用者への初回告知は、
Level4相当では1時間以内、
Level3相当では3時間以内とする。
告知承認者はPM、掲載・更新・終了はU-SLIMアプリ担当とする。
（No.26、27、29、30）
・復旧後は機能および監視が正常であることを確認し、
U-SLIMアプリ担当が正常性確認を行う。
復旧完了後はPMへ報告し、
PMからLevelに応じて関係者へ連携する。
（No.14、31、32）
・誤データ、他販社データ表示、権限漏れ、情報漏えい等は
通常の機能障害とは分け、
セキュリティインシデントとして別管理する。
一次エスカレーション先はPMとし、
調査時は必要な証跡を保全する。
（No.25、33～35）</t>
  </si>
  <si>
    <t>・NiFi/データ連携について、基盤側で停止・遅延等を監視する。
・NiFi自体が停止した場合は、基盤チームが最初に確認・切り分けを行う。
（U-SLIM_再確認質問票 No.4回答）
・元システムからデータが連携されていない場合は、基盤チームが最初に確認・切り分けを行う。
（U-SLIM_再確認質問票 No.5回答）
・U-SLIM独自のNiFi蓄積処理が失敗した場合は、U-SLIMアプリ担当が最初に確認・切り分けを行う。
（U-SLIM_再確認質問票 No.6回答）
・NiFi/データ連携の停止・遅延については、基盤側で監視する方針とする。
（U-SLIM_再確認質問票 No.7回答）</t>
  </si>
  <si>
    <t>・NiFi自体が停止した場合は、基盤チームが最初に確認・切り分けを行う。
（U-SLIM_再確認質問票 No4回答）
・元システムからデータが連携されていない場合は、基盤チームが最初に確認・切り分けを行う。
（U-SLIM_再確認質問票 No5回答）
・U-SLIM独自のNiFi蓄積処理が失敗した場合は、U-SLIMアプリ担当が最初に確認・切り分けを行う。
（U-SLIM_再確認質問票 No6回答）
・一次調査及び復旧作業の技術担当者事象に応じて異なる、関係部署へハンドリングするための一次判断はU-SLIMアプリ担当(PO/PM)が行う方針とする。
（U-SLIM_再確認質問票 No12、 No13回答）
・NiFi障害時の再実行・切り戻し、再リリースについては、標準手順書を新規作成する方針とする。
現時点では標準手順書は未完成。
（U-SLIM_再確認質問票 No8回答）
・復旧後はデータ正常性確認を必ず実施する。
ただし、具体的な確認方法は今後検討するため未整備。
（U-SLIM_再確認質問票 No9回答）
・復旧完了後はPMへ報告して、PMから障害Levelに応じて関係者へ連携する。
（U-SLIM_再確認質問票 No32回答）</t>
  </si>
  <si>
    <t>NiFi
Cloudera Manager
NiFi処理ログ
U-SLIM画面</t>
  </si>
  <si>
    <t>・NiFi停止/処理失敗
・データ元からの連携停止
・U-SLIM独自蓄積処理失敗
・外部データ連携遅延
・Repository使用率上昇
※画面利用可能だがデータ更新が遅延している場合はLevel2（小）として扱う。
（U-SLIM_再確認質問票 No24回答）</t>
  </si>
  <si>
    <t xml:space="preserve">TEC_USLIM(基盤検証)_一般
※データ連携停止・遅延等について、現状は基盤チームから上記チャネルで通知する。
（U-SLIM質問票 No09回答）
12_CDPアラート共有
※U-SLIM担当へ連絡する正式ルールについては未整備ｔ。
（U-SLIM質問票 No26回答）
</t>
  </si>
  <si>
    <t>【U-SLIM再確認結果 2026-08-25】
・NiFi／データ連携の停止・遅延については、
今後、基盤側で監視する方針とする。
（U-SLIM_再確認質問票 No.7）
・NiFi自体が停止した場合は基盤チーム、
元システムからデータが連携されていない場合も
基盤チームが最初に確認・切り分けを行う。
（No.4、5）
・U-SLIM独自のNiFi蓄積処理が失敗した場合は、
U-SLIMアプリ担当が最初に確認・切り分けを行う。
（No.6）
・一次調査および復旧作業の技術担当は事象ごとに異なる。
関係部署へハンドリングするための一次判断は
U-SLIMアプリ担当（PO・PM）が行う方針とする。
（No.12、13）
・NiFi障害時の再実行、切り戻し、再リリースについては、
標準手順書を新規作成する方針を確認済み。
現時点では標準手順書は未完成。
（No.8）
・NiFi復旧後はデータ正常性確認を必ず実施する。
ただし、具体的な確認方法については今後検討する。
（No.9）
・UpsertはNiFiのすべての処理ではなく、
差分データの登録・更新を混在して処理する必要がある
一部処理で使用する。
一意キーには主キーを利用するとの回答あり。
（No.10）
・通常運用の障害対応における最終責任者はPMとする。
暫定対応、恒久対応、緊急リリース、通常リリース、
障害クローズの承認者もPMとする。
（No.15～20）
・通常運用の障害レベルはLevel1～4へ統合する。
画面は利用できるがデータ更新が遅延している場合は
Level2（小）とする。
一部機能利用不可はLevel3（大）、
U-SLIM全体利用不可はLevel4（極大）とする。
（No.21～24）
・データ連携遅延については、
発生から24時間経過しても未解消の場合に
利用者へ告知する従来の24時間ルールを継続する。
告知承認者はPM、掲載・更新・終了はU-SLIMアプリ担当とする。
（No.28～30）
・復旧完了後はPMへ報告し、
PMからLevelに応じて関係者へ連携する。
（No.32）
・誤データ、他販社データ表示、権限漏れ、情報漏えい等は
通常の機能障害とは分け、
セキュリティインシデントとして別管理する。
一次エスカレーション先はPMとし、
調査時は必要な証跡を保全する。
（No.25、33～35）
【今後の整備事項】
・再実行、切り戻し、再リリースの標準手順書を作成する。
・復旧後のデータ正常性確認方法を具体化する。
・Upsert対象となる具体的な処理・テーブルの範囲を必要に応じて整理する。
・基盤側からU-SLIM側へ連絡する正式な通知・エスカレーションルールを整備する。</t>
  </si>
  <si>
    <t>U-SLIM 監視・エスカレーション ヒアリング質問票</t>
  </si>
  <si>
    <t>対象者：周さん、木村さん　／　目的：現行の監視・障害対応・責任分界・エスカレーション・既存資料を確認する</t>
  </si>
  <si>
    <t>回答は「現在実施している運用」と「今後の予定」を分けて記録してください。資料がない場合は「資料なし」、確認できない場合は「未回答」と明記ししてください。</t>
  </si>
  <si>
    <t>質問No.</t>
  </si>
  <si>
    <t>大分類</t>
  </si>
  <si>
    <t>対象機能・論点</t>
  </si>
  <si>
    <t>質問内容</t>
  </si>
  <si>
    <t>回答</t>
  </si>
  <si>
    <t>回答者</t>
  </si>
  <si>
    <t>実施状況</t>
  </si>
  <si>
    <t>根拠資料</t>
  </si>
  <si>
    <t>追加確認・不明点</t>
  </si>
  <si>
    <t>現行／将来</t>
  </si>
  <si>
    <t>Excel反映先</t>
  </si>
  <si>
    <t>U-01</t>
  </si>
  <si>
    <t>対象範囲</t>
  </si>
  <si>
    <t>全体</t>
  </si>
  <si>
    <t>現在、U-SLIMで本番運用している画面・機能・バッチ・データ連携には、どのようなものがありますか。</t>
  </si>
  <si>
    <t>現在運用中
車両検索 / 小売 工程管理(トライアル) / 実績ダッシュボード(トライアル)/販売店L/T一覧(トライアル)
今後の予定
小売 経営層管理 / 卸 経営層管理 / 卸工程管理 / レンタ店 管理</t>
  </si>
  <si>
    <t>木村
周</t>
    <rPh sb="3" eb="4">
      <t>シュウ</t>
    </rPh>
    <phoneticPr fontId="7"/>
  </si>
  <si>
    <t>未回答</t>
  </si>
  <si>
    <t>https://tatgroup.sharepoint.com/:f:/s/TEC_U-SLIM879/IgAV4DCPNNbITpyONL-CtkvyAblGOW5CiBusXoi60A-MeVQ?e=7cPy3K
03_WEB化対応
07_販売店・経営層向けPBI・WEB
06_実績ダッシュボード</t>
    <phoneticPr fontId="7"/>
  </si>
  <si>
    <t>現行</t>
  </si>
  <si>
    <t>U-02</t>
  </si>
  <si>
    <t>Power BI</t>
  </si>
  <si>
    <t>Power BIは現在も検証用途のみでしょうか。それとも、本番の業務画面として利用しているものがありますか。</t>
  </si>
  <si>
    <t>検証用途のみです。
今後も本番(号口)はU-SLIMの一機能として提供していくはずです。</t>
  </si>
  <si>
    <t>木村</t>
  </si>
  <si>
    <t>U-03</t>
  </si>
  <si>
    <t>Azure App Service、NiFi、Power BI以外に、運用監視の対象としている機能やシステムはありますか。</t>
  </si>
  <si>
    <t>ないと思います。</t>
    <rPh sb="3" eb="4">
      <t>オモ</t>
    </rPh>
    <phoneticPr fontId="7"/>
  </si>
  <si>
    <t>周</t>
    <rPh sb="0" eb="1">
      <t>シュウ</t>
    </rPh>
    <phoneticPr fontId="7"/>
  </si>
  <si>
    <t>U-04</t>
  </si>
  <si>
    <t>運用体制</t>
  </si>
  <si>
    <t>U-SLIMの運用について、周さん、木村さんさんの担当範囲はそれぞれどこでしょうか。</t>
  </si>
  <si>
    <r>
      <rPr>
        <sz val="11"/>
        <color rgb="FF000000"/>
        <rFont val="Carlito"/>
        <family val="3"/>
        <charset val="128"/>
      </rPr>
      <t>周さん
リリース対応</t>
    </r>
    <r>
      <rPr>
        <sz val="11"/>
        <color rgb="FFFF0000"/>
        <rFont val="Carlito"/>
        <family val="3"/>
        <charset val="128"/>
      </rPr>
      <t>(周さん・彭さん)</t>
    </r>
    <r>
      <rPr>
        <sz val="11"/>
        <color rgb="FF000000"/>
        <rFont val="Carlito"/>
        <family val="3"/>
        <charset val="128"/>
      </rPr>
      <t>・障害対応(</t>
    </r>
    <r>
      <rPr>
        <sz val="11"/>
        <color rgb="FFFF0000"/>
        <rFont val="Carlito"/>
        <family val="3"/>
        <charset val="128"/>
      </rPr>
      <t xml:space="preserve">周さん、鄭さん)
</t>
    </r>
    <r>
      <rPr>
        <sz val="11"/>
        <color rgb="FF000000"/>
        <rFont val="Carlito"/>
        <family val="3"/>
        <charset val="128"/>
      </rPr>
      <t>木村
運用については主担当無し</t>
    </r>
  </si>
  <si>
    <t>U-05</t>
  </si>
  <si>
    <t>責任分界</t>
  </si>
  <si>
    <t>トヨテック側と顧客側で、それぞれどこまでを担当していますか。</t>
  </si>
  <si>
    <t>トヨテック側で開発~品質確認~リリースまで行っています。
今後は顧客側の受入テストフローが強化されます。明文化はされていないです。</t>
  </si>
  <si>
    <t>U-06</t>
  </si>
  <si>
    <t>現在の監視方法</t>
  </si>
  <si>
    <t>現在、U-SLIMが正常に動作していることを、どのような方法で確認していますか。</t>
  </si>
  <si>
    <t>通常：azure app Servicesで捕まった予期せぬシステムエラーを　(TEC_U-SLIM(基盤検証)_13_WebAppアラート共有)に送信する。自動監視
長期休暇：　(TEC_U-SLIM(基盤検証)_13_WebAppアラート共有)にエラー有無に加えて、ログインして、主要的な機能を利用可否を確認します。
NIFI：実行ログは正しく出力されるかどうか、保守チームより、監視します。(通常と長期休暇と関係なく、保守体制より対応)</t>
  </si>
  <si>
    <t>U-07</t>
  </si>
  <si>
    <t>自動監視している項目と、人が目視で確認している項目を分けて教えてください。</t>
    <phoneticPr fontId="7"/>
  </si>
  <si>
    <t>エラー監視以外は目視</t>
    <phoneticPr fontId="7"/>
  </si>
  <si>
    <t>U-08</t>
  </si>
  <si>
    <t>画面・ログイン</t>
  </si>
  <si>
    <t>画面が表示できるか、ログインできるか、主要機能が動作するかについて、定期的な確認を行っていますか。</t>
  </si>
  <si>
    <t>毎週火曜 20:00~リリースに伴うテストは実施しますが、主要機能の動作確認はルール化されていないので、やっていないという回答にします。</t>
    <phoneticPr fontId="7"/>
  </si>
  <si>
    <t>U-09</t>
  </si>
  <si>
    <t>データ連携</t>
  </si>
  <si>
    <t>データが最新状態になっているか、データ連携が停止・遅延していないかを確認していますか。</t>
    <phoneticPr fontId="7"/>
  </si>
  <si>
    <t>現状基盤チームより、「(TEC_U-SLIM(基盤検証)_一般」のチャンネルで通知します。</t>
  </si>
  <si>
    <t>U-10</t>
  </si>
  <si>
    <t>問い合わせ</t>
  </si>
  <si>
    <t>利用者からの問い合わせや障害連絡によって、初めて異常に気付くケースはありますか。</t>
  </si>
  <si>
    <t>問い合わせをいただいて、そこから調査や仕様変更を行うことはあります。</t>
  </si>
  <si>
    <t>U-11</t>
  </si>
  <si>
    <t>定常運用</t>
  </si>
  <si>
    <t>日次・週次・月次など、定期的に行っている運用確認はありますか。</t>
  </si>
  <si>
    <t>週次のリリース
週次のユーザー数増加監視
週次のユーザー追加
週次の販売店追加
週次のU-Pass利用販売店更新
定期のマニュアル改訂</t>
    <rPh sb="21" eb="23">
      <t>シュウジ</t>
    </rPh>
    <rPh sb="28" eb="30">
      <t>ツイカ</t>
    </rPh>
    <rPh sb="31" eb="33">
      <t>シュウジ</t>
    </rPh>
    <rPh sb="34" eb="37">
      <t>ハンバイテン</t>
    </rPh>
    <rPh sb="37" eb="39">
      <t>ツイカ</t>
    </rPh>
    <rPh sb="40" eb="42">
      <t>シュウジ</t>
    </rPh>
    <rPh sb="49" eb="54">
      <t>リヨウハンバイテン</t>
    </rPh>
    <rPh sb="54" eb="56">
      <t>コウシン</t>
    </rPh>
    <rPh sb="57" eb="59">
      <t>テイキ</t>
    </rPh>
    <rPh sb="65" eb="67">
      <t>カイテイ</t>
    </rPh>
    <phoneticPr fontId="7"/>
  </si>
  <si>
    <t>U-12</t>
  </si>
  <si>
    <t>スポット運用</t>
  </si>
  <si>
    <t>構成変更、リリース、データ更新などの際にだけ行うスポット確認はありますか。</t>
  </si>
  <si>
    <t>特にない</t>
    <rPh sb="0" eb="1">
      <t>トク</t>
    </rPh>
    <phoneticPr fontId="7"/>
  </si>
  <si>
    <t>周</t>
    <phoneticPr fontId="7"/>
  </si>
  <si>
    <t>U-13</t>
  </si>
  <si>
    <t>Azure Monitor</t>
  </si>
  <si>
    <t>Excelに記載されているAzure Monitorの監視設定は、現在も有効でしょうか。</t>
    <phoneticPr fontId="7"/>
  </si>
  <si>
    <t>エクセル資料不明。
App Serviceのヘルスチェックは有効の状態です</t>
  </si>
  <si>
    <t>U-14</t>
  </si>
  <si>
    <t>ヘルスチェック</t>
  </si>
  <si>
    <t>App Serviceのヘルスチェックアラートが発生した場合、最初に誰が確認しますか。</t>
    <phoneticPr fontId="7"/>
  </si>
  <si>
    <t>U-17を参照
※送信しないエラーあり(曾さん・鄭さんに聞いてみて)</t>
  </si>
  <si>
    <t>U-15</t>
  </si>
  <si>
    <t>DB例外</t>
  </si>
  <si>
    <t>DB例外のアラートが発生した場合、最初に誰が内容を確認しますか。</t>
  </si>
  <si>
    <t>U-17を参照
※送信しないエラーあり(曾さん・鄭さんに聞いてみて)</t>
    <rPh sb="24" eb="25">
      <t>テイ</t>
    </rPh>
    <phoneticPr fontId="7"/>
  </si>
  <si>
    <t>U-16</t>
  </si>
  <si>
    <t>Teams通知</t>
  </si>
  <si>
    <t>Teamsの「13_WebAppアラート共有」への通知は、現在も使用していますか。</t>
    <phoneticPr fontId="7"/>
  </si>
  <si>
    <t>利用しています。</t>
    <rPh sb="0" eb="2">
      <t>リヨウ</t>
    </rPh>
    <phoneticPr fontId="7"/>
  </si>
  <si>
    <t>U-17</t>
  </si>
  <si>
    <t>通知を確認する担当者は決まっていますか。それとも、チーム内の誰かが確認する運用ですか。</t>
  </si>
  <si>
    <t>基盤チームはアラート情報をPM、障害対応者に通知します。
障害原因は障害対応者より、調査して、結果を保守チームのメンバー及びPMに報告します。</t>
    <rPh sb="0" eb="2">
      <t>キバン</t>
    </rPh>
    <rPh sb="10" eb="12">
      <t>ジョウホウ</t>
    </rPh>
    <rPh sb="20" eb="21">
      <t>シャ</t>
    </rPh>
    <rPh sb="22" eb="24">
      <t>ツウチ</t>
    </rPh>
    <rPh sb="29" eb="31">
      <t>ショウガイ</t>
    </rPh>
    <rPh sb="31" eb="33">
      <t>ゲンイン</t>
    </rPh>
    <rPh sb="42" eb="44">
      <t>チョウサ</t>
    </rPh>
    <rPh sb="47" eb="49">
      <t>ケッカ</t>
    </rPh>
    <rPh sb="50" eb="52">
      <t>ホシュ</t>
    </rPh>
    <rPh sb="60" eb="61">
      <t>オヨ</t>
    </rPh>
    <rPh sb="65" eb="67">
      <t>ホウコク</t>
    </rPh>
    <phoneticPr fontId="7"/>
  </si>
  <si>
    <t>U-18</t>
  </si>
  <si>
    <t>一次調査</t>
  </si>
  <si>
    <t>アラート発生後に、最初に確認する画面・ログ・項目は決まっていますか。</t>
  </si>
  <si>
    <t>U-17を参照</t>
    <rPh sb="5" eb="7">
      <t>サンショウ</t>
    </rPh>
    <phoneticPr fontId="7"/>
  </si>
  <si>
    <t>U-19</t>
  </si>
  <si>
    <t>切り分け</t>
  </si>
  <si>
    <t>アプリ側の問題か、Azure・インフラ側の問題かを、誰が切り分けますか。</t>
  </si>
  <si>
    <t>アラートの原因を調査した作業メンバー</t>
    <phoneticPr fontId="7"/>
  </si>
  <si>
    <t>U-20</t>
  </si>
  <si>
    <t>一次対応</t>
  </si>
  <si>
    <t>App Serviceの再起動や設定変更など、一次対応を行える担当者は誰ですか。</t>
    <phoneticPr fontId="7"/>
  </si>
  <si>
    <t>App Serviceの再起動することは極めて避けたいことです。
エラー内容より、至急対応、臨時リリースより対応。</t>
  </si>
  <si>
    <t>U-21</t>
  </si>
  <si>
    <t>承認</t>
  </si>
  <si>
    <t>一次対応に承認が必要な場合、誰へ確認しますか。</t>
  </si>
  <si>
    <t>原因をお客様に説明してから、承認を受った後に、臨時リリースで対応します。</t>
    <rPh sb="0" eb="2">
      <t>ゲンイン</t>
    </rPh>
    <rPh sb="4" eb="6">
      <t>キャクサマ</t>
    </rPh>
    <rPh sb="7" eb="9">
      <t>セツメイ</t>
    </rPh>
    <rPh sb="14" eb="16">
      <t>ショウニン</t>
    </rPh>
    <rPh sb="17" eb="18">
      <t>ウケ</t>
    </rPh>
    <rPh sb="20" eb="21">
      <t>アト</t>
    </rPh>
    <rPh sb="23" eb="25">
      <t>リンジ</t>
    </rPh>
    <rPh sb="30" eb="32">
      <t>タイオウ</t>
    </rPh>
    <phoneticPr fontId="7"/>
  </si>
  <si>
    <t>U-22</t>
  </si>
  <si>
    <t>復旧確認</t>
  </si>
  <si>
    <t>復旧後、正常になったことをどのように確認していますか。</t>
  </si>
  <si>
    <t>リリース手順書を参照します</t>
    <rPh sb="4" eb="6">
      <t>テジュン</t>
    </rPh>
    <rPh sb="6" eb="7">
      <t>ショ</t>
    </rPh>
    <rPh sb="8" eb="10">
      <t>サンショウ</t>
    </rPh>
    <phoneticPr fontId="7"/>
  </si>
  <si>
    <t>U-23</t>
  </si>
  <si>
    <t>NiFi・データ連携</t>
  </si>
  <si>
    <t>NiFiで行っている処理のうち、U-SLIMに関係するデータ連携はどれですか。</t>
  </si>
  <si>
    <t>★外部連携情報
・GAZOOデータ
・UPASSデータ
・データ図書館データ
★USLIM独自の蓄積処理</t>
    <rPh sb="1" eb="3">
      <t>ガイブ</t>
    </rPh>
    <rPh sb="3" eb="5">
      <t>レンケイ</t>
    </rPh>
    <rPh sb="5" eb="7">
      <t>ジョウホウ</t>
    </rPh>
    <rPh sb="32" eb="35">
      <t>トショカン</t>
    </rPh>
    <rPh sb="45" eb="47">
      <t>ドクジ</t>
    </rPh>
    <rPh sb="48" eb="50">
      <t>チクセキ</t>
    </rPh>
    <rPh sb="50" eb="52">
      <t>ショリ</t>
    </rPh>
    <phoneticPr fontId="7"/>
  </si>
  <si>
    <t>U-24</t>
  </si>
  <si>
    <t>影響範囲</t>
  </si>
  <si>
    <t>NiFiの処理が停止または遅延した場合、U-SLIMのどの画面・機能・データに影響しますか。</t>
  </si>
  <si>
    <t>★外部連携情報
・GAZOOデータ
車両検索、工程管理など
・UPASSデータ
車両検索
・データ図書館データ
車両検索、工程管理など
★USLIM独自の蓄積処理
車両検索、工程管理・実績ダッシュボードなど</t>
    <rPh sb="18" eb="20">
      <t>シャリョウ</t>
    </rPh>
    <rPh sb="20" eb="22">
      <t>ケンサク</t>
    </rPh>
    <rPh sb="23" eb="25">
      <t>コウテイ</t>
    </rPh>
    <rPh sb="25" eb="27">
      <t>カンリ</t>
    </rPh>
    <rPh sb="92" eb="94">
      <t>ジッセキ</t>
    </rPh>
    <phoneticPr fontId="7"/>
  </si>
  <si>
    <t>U-25</t>
  </si>
  <si>
    <t>一次確認</t>
  </si>
  <si>
    <t>NiFiの異常を最初に確認するのは、データ基盤担当でしょうか、U-SLIM担当でしょうか。</t>
  </si>
  <si>
    <t>NIFIエラータイプより違う
★NIFI停止など
・保守チーム
★データ元からデータが連携されていない場合
・保守チーム・基盤チーム</t>
    <rPh sb="12" eb="13">
      <t>チガ</t>
    </rPh>
    <rPh sb="20" eb="22">
      <t>テイシ</t>
    </rPh>
    <rPh sb="36" eb="37">
      <t>モト</t>
    </rPh>
    <rPh sb="43" eb="45">
      <t>レンケイ</t>
    </rPh>
    <rPh sb="51" eb="53">
      <t>バアイ</t>
    </rPh>
    <rPh sb="61" eb="63">
      <t>キバン</t>
    </rPh>
    <phoneticPr fontId="7"/>
  </si>
  <si>
    <t>U-26</t>
  </si>
  <si>
    <t>Teamsの「12_CDPアラート共有」からU-SLIM担当へ連絡するルールはありますか。</t>
  </si>
  <si>
    <t>知り限り、ルールないと思います。</t>
    <rPh sb="0" eb="1">
      <t>シ</t>
    </rPh>
    <rPh sb="2" eb="3">
      <t>カギ</t>
    </rPh>
    <rPh sb="11" eb="12">
      <t>オモ</t>
    </rPh>
    <phoneticPr fontId="7"/>
  </si>
  <si>
    <t>U-27</t>
  </si>
  <si>
    <t>担当者</t>
  </si>
  <si>
    <t>NiFi障害時の一次対応者と、U-SLIM側の確認担当者は誰ですか。</t>
  </si>
  <si>
    <t>現状は周です。
実績ダッシュボード本気に運用に伴って、彭さん・夏さんにも通知する可能性があります</t>
  </si>
  <si>
    <t>U-28</t>
  </si>
  <si>
    <t>遅延監視</t>
  </si>
  <si>
    <t>データ連携の停止・遅延を、業務アプリ側で確認する方法はありますか。</t>
  </si>
  <si>
    <t>特にないです。</t>
    <rPh sb="0" eb="1">
      <t>トク</t>
    </rPh>
    <phoneticPr fontId="7"/>
  </si>
  <si>
    <t>U-29</t>
  </si>
  <si>
    <t>データ品質</t>
  </si>
  <si>
    <t>データ欠損、重複、古いデータの表示を確認する方法はありますか。</t>
  </si>
  <si>
    <t>基盤チームの方針に準じます。
APPチームは対策、確認方法がありません。</t>
    <rPh sb="0" eb="2">
      <t>キバン</t>
    </rPh>
    <rPh sb="6" eb="8">
      <t>ホウシン</t>
    </rPh>
    <rPh sb="9" eb="10">
      <t>ジュン</t>
    </rPh>
    <rPh sb="22" eb="24">
      <t>タイサク</t>
    </rPh>
    <rPh sb="25" eb="27">
      <t>カクニン</t>
    </rPh>
    <rPh sb="27" eb="29">
      <t>ホウホウ</t>
    </rPh>
    <phoneticPr fontId="7"/>
  </si>
  <si>
    <t>U-30</t>
  </si>
  <si>
    <t>再実行</t>
  </si>
  <si>
    <t>失敗した処理の再実行手順はありますか。</t>
  </si>
  <si>
    <t>手順書がありません。
失敗ケースより、手動実施可能性があります。</t>
    <rPh sb="0" eb="3">
      <t>テジュンショ</t>
    </rPh>
    <rPh sb="11" eb="13">
      <t>シッパイ</t>
    </rPh>
    <rPh sb="19" eb="21">
      <t>シュドウ</t>
    </rPh>
    <rPh sb="21" eb="23">
      <t>ジッシ</t>
    </rPh>
    <rPh sb="23" eb="26">
      <t>カノウセイ</t>
    </rPh>
    <phoneticPr fontId="7"/>
  </si>
  <si>
    <t>U-31</t>
  </si>
  <si>
    <t>重複防止</t>
  </si>
  <si>
    <t>再実行によってデータが重複しないことを、どのように確認していますか。</t>
  </si>
  <si>
    <t>Appチーム実装したNIFIは基本的に「upsert into」で実装しています。データが重複される可能がないと思います</t>
  </si>
  <si>
    <t>U-32</t>
  </si>
  <si>
    <t>再実行後のデータ確認を誰が行いますか。</t>
  </si>
  <si>
    <t>U-31より、データ確認不要です</t>
    <rPh sb="10" eb="12">
      <t>カクニン</t>
    </rPh>
    <rPh sb="12" eb="14">
      <t>フヨウ</t>
    </rPh>
    <phoneticPr fontId="7"/>
  </si>
  <si>
    <t>U-33</t>
  </si>
  <si>
    <t>障害発生後の対応</t>
  </si>
  <si>
    <t>対応フロー</t>
  </si>
  <si>
    <t>異常を検知した後、現在はどのような順番で対応していますか。</t>
  </si>
  <si>
    <t xml:space="preserve">①保守チームより、異常情報を関係者に通知します。
②障害対応担当者より、異常を調査します。
③調査結果を保守チームとPM、リーダーに報告します。
④-1対応不要の場合、そのまま終わる
④-2要対応(バグなど)の場合、原因を分析して、対策を出して、お客様に説明してから、臨時リリースを検討する
⑤リリースの流れで対応します。
</t>
    <rPh sb="1" eb="3">
      <t>ホシュ</t>
    </rPh>
    <rPh sb="9" eb="11">
      <t>イジョウ</t>
    </rPh>
    <rPh sb="11" eb="13">
      <t>ジョウホウ</t>
    </rPh>
    <rPh sb="14" eb="17">
      <t>カンケイシャ</t>
    </rPh>
    <rPh sb="18" eb="20">
      <t>ツウチ</t>
    </rPh>
    <rPh sb="30" eb="33">
      <t>タントウシャ</t>
    </rPh>
    <rPh sb="36" eb="38">
      <t>イジョウ</t>
    </rPh>
    <rPh sb="39" eb="41">
      <t>チョウサ</t>
    </rPh>
    <rPh sb="47" eb="51">
      <t>チョウサケッカ</t>
    </rPh>
    <rPh sb="52" eb="54">
      <t>ホシュ</t>
    </rPh>
    <rPh sb="66" eb="68">
      <t>ホウコク</t>
    </rPh>
    <rPh sb="76" eb="78">
      <t>タイオウ</t>
    </rPh>
    <rPh sb="78" eb="80">
      <t>フヨウ</t>
    </rPh>
    <rPh sb="81" eb="83">
      <t>バアイ</t>
    </rPh>
    <rPh sb="88" eb="89">
      <t>オ</t>
    </rPh>
    <rPh sb="95" eb="96">
      <t>ヨウ</t>
    </rPh>
    <rPh sb="96" eb="98">
      <t>タイオウ</t>
    </rPh>
    <rPh sb="105" eb="107">
      <t>バアイ</t>
    </rPh>
    <rPh sb="108" eb="110">
      <t>ゲンイン</t>
    </rPh>
    <rPh sb="111" eb="113">
      <t>ブンセキ</t>
    </rPh>
    <rPh sb="116" eb="118">
      <t>タイサク</t>
    </rPh>
    <rPh sb="152" eb="153">
      <t>ナガ</t>
    </rPh>
    <rPh sb="155" eb="157">
      <t>タイオウ</t>
    </rPh>
    <phoneticPr fontId="7"/>
  </si>
  <si>
    <t>U-34</t>
  </si>
  <si>
    <t>最初に状況確認を行う一次対応者は誰ですか。</t>
  </si>
  <si>
    <t xml:space="preserve">障害対応担当者(周さん、鄭さん、彭さん)
※彭さんは実績ダッシュボード本番運用に次第
</t>
    <rPh sb="8" eb="9">
      <t>シュウ</t>
    </rPh>
    <rPh sb="12" eb="13">
      <t>テイ</t>
    </rPh>
    <rPh sb="16" eb="17">
      <t>ホウ</t>
    </rPh>
    <rPh sb="26" eb="28">
      <t>ジッセキ</t>
    </rPh>
    <rPh sb="35" eb="37">
      <t>ホンバン</t>
    </rPh>
    <rPh sb="37" eb="39">
      <t>ウンヨウ</t>
    </rPh>
    <rPh sb="40" eb="42">
      <t>シダイ</t>
    </rPh>
    <phoneticPr fontId="7"/>
  </si>
  <si>
    <t>U-35</t>
  </si>
  <si>
    <t>一次対応者だけで解決できない場合、次に誰へ連絡しますか。</t>
  </si>
  <si>
    <t>リーダー、PMに連絡します。</t>
    <rPh sb="8" eb="10">
      <t>レンラク</t>
    </rPh>
    <phoneticPr fontId="7"/>
  </si>
  <si>
    <t>U-36</t>
  </si>
  <si>
    <t>アプリ担当、データ基盤担当、インフラ担当の責任境界は決まっていますか。</t>
  </si>
  <si>
    <t>明確な決まりはないです</t>
  </si>
  <si>
    <t xml:space="preserve">木村
</t>
  </si>
  <si>
    <t>U-37</t>
  </si>
  <si>
    <t>障害対応の最終責任者は誰ですか。</t>
  </si>
  <si>
    <t>U-38</t>
  </si>
  <si>
    <t>顧客連絡</t>
  </si>
  <si>
    <t>顧客側の責任者へ連絡する条件は決まっていますか。</t>
  </si>
  <si>
    <t>明確な決まりはないですが、連休中の障害対応体制編成には記載があります。</t>
  </si>
  <si>
    <t>休日対応エスカレーションフロー.pptx</t>
  </si>
  <si>
    <t>U-39</t>
  </si>
  <si>
    <t>暫定対応</t>
  </si>
  <si>
    <t>暫定対応の承認者は誰ですか。</t>
  </si>
  <si>
    <t>明確な決まりがないです</t>
  </si>
  <si>
    <t>U-40</t>
  </si>
  <si>
    <t>恒久対応</t>
  </si>
  <si>
    <t>恒久対応の承認者は誰ですか。</t>
  </si>
  <si>
    <t>U-41</t>
  </si>
  <si>
    <t>完了報告</t>
  </si>
  <si>
    <t>復旧後の完了報告は、誰が誰へ行いますか。</t>
  </si>
  <si>
    <t>U-42</t>
  </si>
  <si>
    <t>事後対応</t>
  </si>
  <si>
    <t>障害後に原因分析や振り返りを行っていますか。</t>
  </si>
  <si>
    <t>リリース時にもし障害が発生した場合に分析し、記録に残すことはやっています。ただしルール化はしていません。</t>
  </si>
  <si>
    <t>本番-障害・不良管理表.xlsx</t>
  </si>
  <si>
    <t>U-43</t>
  </si>
  <si>
    <t>障害レベル・エスカレーション</t>
  </si>
  <si>
    <t>障害レベル</t>
  </si>
  <si>
    <t>U-SLIMには、現在使用している障害レベルや重要度の分類がありますか。</t>
  </si>
  <si>
    <t>ある</t>
    <phoneticPr fontId="7"/>
  </si>
  <si>
    <t>乙間</t>
    <rPh sb="0" eb="2">
      <t>オトマ</t>
    </rPh>
    <phoneticPr fontId="7"/>
  </si>
  <si>
    <t>U-44</t>
    <phoneticPr fontId="7"/>
  </si>
  <si>
    <t>ある場合、何段階で、各レベルをどのように判断していますか。</t>
  </si>
  <si>
    <t>「U-44補足」シート参照</t>
    <rPh sb="11" eb="13">
      <t>サンショウ</t>
    </rPh>
    <phoneticPr fontId="7"/>
  </si>
  <si>
    <t>U-45</t>
  </si>
  <si>
    <t>判定基準</t>
  </si>
  <si>
    <t>障害レベルは、影響する利用者数、停止時間、機能、データ影響など、何を基準にしていますか。</t>
  </si>
  <si>
    <t>U-SLIM提供時間</t>
    <phoneticPr fontId="7"/>
  </si>
  <si>
    <t>U-46</t>
  </si>
  <si>
    <t>画面停止</t>
  </si>
  <si>
    <t>画面が完全に利用できない場合は、どのレベルとして扱いますか。</t>
  </si>
  <si>
    <t>高</t>
    <rPh sb="0" eb="1">
      <t>タカ</t>
    </rPh>
    <phoneticPr fontId="7"/>
  </si>
  <si>
    <t>U-47</t>
  </si>
  <si>
    <t>一部機能停止</t>
  </si>
  <si>
    <t>一部機能のみ利用できない場合は、どのレベルとして扱いますか。</t>
  </si>
  <si>
    <t>中</t>
    <rPh sb="0" eb="1">
      <t>チュウ</t>
    </rPh>
    <phoneticPr fontId="7"/>
  </si>
  <si>
    <t>U-48</t>
  </si>
  <si>
    <t>データ遅延</t>
  </si>
  <si>
    <t>データ更新が遅れているが画面は表示できる場合、どのように扱いますか。</t>
  </si>
  <si>
    <t>低</t>
    <rPh sb="0" eb="1">
      <t>ヒク</t>
    </rPh>
    <phoneticPr fontId="7"/>
  </si>
  <si>
    <t>U-49</t>
  </si>
  <si>
    <t>誤データ・情報漏えい</t>
  </si>
  <si>
    <t>誤ったデータや他販社のデータが表示された場合、通常の機能障害とは別に扱いますか。</t>
  </si>
  <si>
    <t>U-50</t>
  </si>
  <si>
    <t>レベル別対応</t>
  </si>
  <si>
    <t>障害レベルごとに、連絡先や対応開始時間が決まっていますか。</t>
  </si>
  <si>
    <t>U-51</t>
  </si>
  <si>
    <t>夜間・休日</t>
  </si>
  <si>
    <t>夜間・休日に障害が発生した場合の連絡方法はありますか。</t>
  </si>
  <si>
    <t>休日分は存在します。夜間(20:00~翌8:00)はU-SLIMがメンテナンスタイムのため、U-SLIMの障害が発生することは原則ないと考えています。</t>
  </si>
  <si>
    <t>U-52</t>
  </si>
  <si>
    <t>利用者告知</t>
  </si>
  <si>
    <t>利用者や顧客へ告知する条件は決まっていますか。</t>
  </si>
  <si>
    <t>利用者：発生から24時間経過後も解消されない場合
※24時間とは、販売店様への影響があってから24時間とする（※U-SLIM提供時間外の障害は、U-SLIMが開始する8:00から24時間とする）​</t>
  </si>
  <si>
    <t>U-53</t>
  </si>
  <si>
    <t>既存資料・証跡</t>
  </si>
  <si>
    <t>運用資料</t>
  </si>
  <si>
    <t>現在の監視項目や運用方法が記載された資料はありますか。</t>
  </si>
  <si>
    <t>https://tatgroup.sharepoint.com/:p:/s/TEC_U-SLIM879/IQBpHyVY05CWS7K7H6rDTSRYAZIVoKi-kFtuCoMtZ5YdTpI?e=3r0WCc</t>
    <phoneticPr fontId="7"/>
  </si>
  <si>
    <t>U-54</t>
  </si>
  <si>
    <t>手順書・連絡網</t>
  </si>
  <si>
    <t>障害対応手順書、連絡網、体制図はありますか。</t>
  </si>
  <si>
    <t>体制図・連絡網はあります</t>
  </si>
  <si>
    <t>U-55</t>
  </si>
  <si>
    <t>過去記録</t>
  </si>
  <si>
    <t>過去の障害チケットや対応記録を確認できますか。</t>
  </si>
  <si>
    <t>2026/07/15日から
本番-障害・不良管理表.xlsxで管理します</t>
    <rPh sb="10" eb="11">
      <t>ニチ</t>
    </rPh>
    <rPh sb="14" eb="16">
      <t>ホンバン</t>
    </rPh>
    <rPh sb="17" eb="19">
      <t>ショウガイ</t>
    </rPh>
    <rPh sb="20" eb="22">
      <t>フリョウ</t>
    </rPh>
    <rPh sb="22" eb="24">
      <t>カンリ</t>
    </rPh>
    <rPh sb="24" eb="25">
      <t>ヒョウ</t>
    </rPh>
    <rPh sb="31" eb="33">
      <t>カンリ</t>
    </rPh>
    <phoneticPr fontId="7"/>
  </si>
  <si>
    <t>U-56</t>
  </si>
  <si>
    <t>アラート証跡</t>
  </si>
  <si>
    <t>アラート通知の設定画面や通知例を確認できますか。</t>
  </si>
  <si>
    <t>CDPにアクセスすれば確認可能です</t>
  </si>
  <si>
    <t>U-57</t>
  </si>
  <si>
    <t>復旧手順</t>
  </si>
  <si>
    <t>再起動、再実行、切り戻しなどの手順書はありますか。</t>
  </si>
  <si>
    <t>手順書はありません</t>
  </si>
  <si>
    <t>U-58</t>
  </si>
  <si>
    <t>実運用</t>
  </si>
  <si>
    <t>資料に記載された手順は、現在も実際に使用されていますか。</t>
  </si>
  <si>
    <t>U-59</t>
  </si>
  <si>
    <t>旧資料</t>
  </si>
  <si>
    <t>古い資料や、現在は使用していないルールがありますか。</t>
  </si>
  <si>
    <t>存在すると思います。
ないと言いきれるような管理は出来ていません。</t>
  </si>
  <si>
    <t>U-SLIM　号口運用設計 最低限追加確認回答表</t>
  </si>
  <si>
    <t>目的：U-SLIM質問票と3つの根拠資料を突き合わせた結果、元の「号口運用設計」Excelへ反映するために追加確認が必要な項目だけを整理しています。
黄色のセルへご記入ください。既存資料に記載がある場合は、回答を作り直さず、資料名・保存場所・URLをご記載ください。</t>
  </si>
  <si>
    <t>作成日</t>
  </si>
  <si>
    <t>進捗指標</t>
  </si>
  <si>
    <t>件数</t>
  </si>
  <si>
    <t>回答取りまとめ者</t>
  </si>
  <si>
    <t>総質問数</t>
  </si>
  <si>
    <t>全体備考</t>
  </si>
  <si>
    <t>回答済み</t>
  </si>
  <si>
    <t>未回答・確認中</t>
  </si>
  <si>
    <t>No.</t>
  </si>
  <si>
    <t>確認分類</t>
  </si>
  <si>
    <t>回答者候補</t>
  </si>
  <si>
    <t>資料から確認できた現在の認識</t>
  </si>
  <si>
    <t>追加確認する内容</t>
  </si>
  <si>
    <t>回答状況</t>
  </si>
  <si>
    <t>回答・正式内容</t>
  </si>
  <si>
    <t>根拠資料・保存場所・URL</t>
  </si>
  <si>
    <t>元Excel反映時の注意</t>
  </si>
  <si>
    <t>資料の適用範囲</t>
  </si>
  <si>
    <t>U-SLIM運用責任者／PM</t>
  </si>
  <si>
    <t>「U-SLIM 死活監視対応手順」は2026年GW向けの資料。高・中・低の基準、動作確認、PM→POの流れが記載されている。</t>
  </si>
  <si>
    <t>担当者名・日付を除く運用ルールは、現在の通常運用でも有効ですか。変更がある場合は、変更箇所を記載してください。</t>
  </si>
  <si>
    <t>通常運用時に同様のルールに従うというルールは存在していません。
そのため、長期休暇の度に死活監視のルールをメンテしています。</t>
  </si>
  <si>
    <t>通常時に有効か確認できるまで、GW時点の根拠として注記する。</t>
  </si>
  <si>
    <t>監視対象</t>
  </si>
  <si>
    <t>周さん／木村さん／基盤担当</t>
  </si>
  <si>
    <t>質問票ではAzure App Service、NiFi、Power BI以外は「ないと思う」と回答。一方、休日対応資料にはOCI、Azure NW、OGG、NEO・ai21連携が記載されている。</t>
  </si>
  <si>
    <t>U-SLIMの号口運用設計に含める正式な監視対象を選定してください。対象外のものは、どのチームの管理かも記載してください。</t>
  </si>
  <si>
    <t>U-SLIMチームの担当は「Azure App Service、NiFi、Power BI」としたい。
それ以外はデータ基盤・インフラチーム等適切なチームへお願いしたい。</t>
  </si>
  <si>
    <t>アプリ行と基盤・インフラ行の二重計上を避ける。</t>
  </si>
  <si>
    <t>U-SLIM運用責任者／アプリ・基盤・インフラ各担当</t>
  </si>
  <si>
    <t>休日資料では監視窓口と技術対応者が分離されているが、通常時のアプリ・データ基盤・インフラ間の正式な責任境界は明文化されていない。</t>
  </si>
  <si>
    <t>アプリ、データ基盤、インフラの各担当について、検知・一次調査・復旧・復旧確認の責任範囲を記載してください。</t>
  </si>
  <si>
    <t>明確に決まっていないので、相談の上決めるようにしたい。</t>
  </si>
  <si>
    <t>担当領域別に現行の責任分界を記載する。</t>
  </si>
  <si>
    <t>最終責任者</t>
  </si>
  <si>
    <t>現在のPM／U-SLIM運用責任者</t>
  </si>
  <si>
    <t>休日資料にはPM・POが記載されているが、通常時の障害対応の最終責任者は質問票で「明確な決まりなし」と回答されている。</t>
  </si>
  <si>
    <t>現在の通常運用における障害対応の最終責任者を、氏名または役割で記載してください。未決定の場合は「未決定」と記載してください。</t>
  </si>
  <si>
    <t>未決定</t>
  </si>
  <si>
    <t>休日当番や技術担当者を最終責任者として扱わない。</t>
  </si>
  <si>
    <t>Azure／WebAppアラート</t>
  </si>
  <si>
    <t>曾さん／鄭さん／WebApp監視設定担当</t>
  </si>
  <si>
    <t>App Serviceのヘルスチェックは有効。Teamsの「13_WebAppアラート共有」を使用している。元Excelにある監視条件が現行かは未確認。</t>
  </si>
  <si>
    <t>現在有効なアラート名、監視条件・閾値、通知先を記載してください。元Excelの記載が正しい場合は「変更なし」と記載してください。</t>
  </si>
  <si>
    <t>現在有効な設定だけを反映する。</t>
  </si>
  <si>
    <t>質問票では「送信しないエラーあり」と回答されているが、対象エラーは未確認。</t>
  </si>
  <si>
    <t>Teamsへ通知しない、または抑止しているエラーの条件・理由・確認方法を記載してください。</t>
  </si>
  <si>
    <t>通知除外条件を監視漏れと誤認しないよう記載する。</t>
  </si>
  <si>
    <t>Azure／WebApp初動</t>
  </si>
  <si>
    <t>WebApp障害対応担当</t>
  </si>
  <si>
    <t>基盤チームがPM・障害対応者へ通知し、障害対応者が原因調査する。死活監視資料にはログイン・画面・主要機能・データ・性能の確認観点がある。</t>
  </si>
  <si>
    <t>アラート発生後に最初に確認するログ・画面・項目と、その確認担当者を記載してください。</t>
  </si>
  <si>
    <t>監視窓口と技術調査担当を分けて記載する。</t>
  </si>
  <si>
    <t>NiFi一次対応</t>
  </si>
  <si>
    <t>周さん／NiFi保守・基盤担当</t>
  </si>
  <si>
    <t>NiFi停止は保守チーム、データ元未連携は保守・基盤チーム、U-SLIM側の現行確認担当は周さんと回答されている。</t>
  </si>
  <si>
    <t>事象別に、最初に確認するチーム・担当者を確定してください。対象例：NiFi停止、元データ未連携、U-SLIM独自処理失敗。</t>
  </si>
  <si>
    <t>事象別に一次対応者を分ける。</t>
  </si>
  <si>
    <t>NiFi復旧</t>
  </si>
  <si>
    <t>NiFi保守・基盤担当／周さん</t>
  </si>
  <si>
    <t>標準の再実行手順書はない。障害管理表には、前バージョンへの切り戻しと再修正を行った事例が1件ある。</t>
  </si>
  <si>
    <t>再実行・切り戻し・再リリースを行う担当者、承認者、基本手順、参照資料を記載してください。</t>
  </si>
  <si>
    <t>手順書が存在しない為、手順書作成が必要</t>
  </si>
  <si>
    <t>個別事例を標準手順として扱わない。</t>
  </si>
  <si>
    <t>NiFi復旧確認</t>
  </si>
  <si>
    <t>周さん／業務アプリ担当／基盤担当</t>
  </si>
  <si>
    <t>質問票ではUpsertのため再実行後のデータ確認は不要と回答されているが、一意キーや確認証跡は記載されていない。</t>
  </si>
  <si>
    <t>復旧後に確認する内容を記載してください。例：処理成功、件数、最新時刻、欠損、重複、画面表示。確認担当者も記載してください。</t>
  </si>
  <si>
    <t>復旧とデータ正常性確認を分けて記載する。</t>
  </si>
  <si>
    <t>NiFi重複防止</t>
  </si>
  <si>
    <t>NiFi実装担当／基盤担当</t>
  </si>
  <si>
    <t>アプリチーム実装のNiFiは基本的に「upsert into」と回答されているが、全処理が対象か、一意キーは何か不明。</t>
  </si>
  <si>
    <t>Upsert対象の処理範囲、一意キー、再実行時に重複しない根拠、例外となる処理の有無を記載してください。</t>
  </si>
  <si>
    <t>確認根拠がない場合は「要確認」とする。</t>
  </si>
  <si>
    <t>PM・PO・リーダー</t>
  </si>
  <si>
    <t>現在のPM／PO／U-SLIM運用責任者</t>
  </si>
  <si>
    <t>2026年GW資料にはPM・POの氏名があるが、現在も同じ体制かは不明。</t>
  </si>
  <si>
    <t>現在のPM、PO、リーダーを氏名または役割で記載し、それぞれの担当範囲を記載してください。</t>
  </si>
  <si>
    <t>PM佐藤
PO新庄
担当: 不明確</t>
  </si>
  <si>
    <t>GW限定の担当者を最新体制として固定しない。</t>
  </si>
  <si>
    <t>現在のPM／PO</t>
  </si>
  <si>
    <t>高・中レベルでリリースする場合はPO承認が必要。一方、暫定対応、恒久対応、クローズの承認者は未整備。</t>
  </si>
  <si>
    <t>暫定対応、恒久対応、緊急リリース、通常リリース、障害クローズの承認者をそれぞれ記載してください。</t>
  </si>
  <si>
    <t>明確にしたうえでルール化・メンテナンスが必要</t>
  </si>
  <si>
    <t>承認対象ごとに分けて反映する。</t>
  </si>
  <si>
    <t>完了報告・クローズ</t>
  </si>
  <si>
    <t>PM／障害対応責任者</t>
  </si>
  <si>
    <t>高・中の対応中レポート頻度はあるが、復旧完了報告者、報告先、クローズ条件は資料にない。障害管理表の確認者・確認完了日も実データでは未記入。</t>
  </si>
  <si>
    <t>復旧完了の判断条件、完了報告者・報告先、確認者、管理表を完了にする条件を記載してください。</t>
  </si>
  <si>
    <t>対応完了と第三者確認完了を区別する。</t>
  </si>
  <si>
    <t>サービス提供時間</t>
  </si>
  <si>
    <t>U-SLIM運用責任者／PO</t>
  </si>
  <si>
    <t>質問票では20:00～翌8:00をメンテナンスタイムと回答。死活監視資料では提供時間外障害の24時間計算を9:00開始としている。</t>
  </si>
  <si>
    <t>現在の正式なU-SLIM提供時間を記載してください。通常日・休日で異なる場合は分けて記載してください。</t>
  </si>
  <si>
    <t>稼働時間 毎日: 8:00 ~ 20:00
20:00~ メンテナンスタイムとなる</t>
  </si>
  <si>
    <t>8:00と9:00の不整合を解消してから反映する。</t>
  </si>
  <si>
    <t>PM／PO／U-SLIM運用責任者</t>
  </si>
  <si>
    <t>低レベル・OGG連携遅延は24時間未解消時にお知らせ掲載。高・中の利用者告知条件は資料に明記されていない。</t>
  </si>
  <si>
    <t>高・中・低それぞれについて、告知開始条件、承認者、掲載担当者、復旧後の更新・終了方法を記載してください。</t>
  </si>
  <si>
    <t>24時間ルールを全レベルへ一律適用しない。</t>
  </si>
  <si>
    <t>PM／PO／U-SLIM運用責任者／セキュリティ窓口</t>
  </si>
  <si>
    <t>誤データ、他販社データ表示、権限漏れ、情報漏えいを通常の機能障害と分ける正式ルールは確認できていない。</t>
  </si>
  <si>
    <t>各事象の重大度、一次連絡先、TMCへの連絡条件、利用者告知、証跡保全の方法を記載してください。</t>
  </si>
  <si>
    <t>サービス停止とは別のセキュリティ事象として整理する。</t>
  </si>
  <si>
    <r>
      <t>【サービスレベル】</t>
    </r>
    <r>
      <rPr>
        <sz val="12"/>
        <color rgb="FF000000"/>
        <rFont val="游ゴシック"/>
        <family val="3"/>
        <charset val="128"/>
      </rPr>
      <t>​​</t>
    </r>
  </si>
  <si>
    <r>
      <t>【対応内容】</t>
    </r>
    <r>
      <rPr>
        <sz val="12"/>
        <color rgb="FF000000"/>
        <rFont val="游ゴシック"/>
        <family val="3"/>
        <charset val="128"/>
      </rPr>
      <t>​​</t>
    </r>
  </si>
  <si>
    <t>停止状況​​</t>
  </si>
  <si>
    <t>レベル​​</t>
  </si>
  <si>
    <t>サービス状況​​</t>
  </si>
  <si>
    <r>
      <t>完全停止</t>
    </r>
    <r>
      <rPr>
        <sz val="12"/>
        <color rgb="FF000000"/>
        <rFont val="游ゴシック"/>
        <family val="3"/>
        <charset val="128"/>
      </rPr>
      <t>​​</t>
    </r>
  </si>
  <si>
    <t>高​​</t>
  </si>
  <si>
    <t>症状​​</t>
  </si>
  <si>
    <t>U-SLIMが利用できない​​</t>
  </si>
  <si>
    <t>即時対応​</t>
  </si>
  <si>
    <t>1時間おきの状況のレポート​</t>
  </si>
  <si>
    <t>解消策を立案し、検証環境での解消策を検証​</t>
  </si>
  <si>
    <t>対応内容についてPOの承認を得て緊急リリースを行う​</t>
  </si>
  <si>
    <t>例​​</t>
  </si>
  <si>
    <r>
      <t>U-SLIMにログインできない</t>
    </r>
    <r>
      <rPr>
        <sz val="12"/>
        <color rgb="FF000000"/>
        <rFont val="游ゴシック"/>
        <family val="1"/>
        <charset val="128"/>
      </rPr>
      <t>​​</t>
    </r>
    <phoneticPr fontId="7"/>
  </si>
  <si>
    <r>
      <t>部分停止</t>
    </r>
    <r>
      <rPr>
        <sz val="12"/>
        <color rgb="FF000000"/>
        <rFont val="游ゴシック"/>
        <family val="3"/>
        <charset val="128"/>
      </rPr>
      <t>​​</t>
    </r>
  </si>
  <si>
    <t>中​​</t>
  </si>
  <si>
    <t>一部機能のみ利用不可​​</t>
  </si>
  <si>
    <t>3時間おきの状況のレポート​</t>
  </si>
  <si>
    <t>対応内容についてPOの承認を得てリリースを行う​</t>
  </si>
  <si>
    <t>提案予定入力・編集できない​​</t>
  </si>
  <si>
    <t>共有在庫のリンク先が開かない​​</t>
  </si>
  <si>
    <t>提案予定状況管理画面が開けない​​</t>
  </si>
  <si>
    <r>
      <t>機能低下</t>
    </r>
    <r>
      <rPr>
        <sz val="12"/>
        <color rgb="FF000000"/>
        <rFont val="游ゴシック"/>
        <family val="3"/>
        <charset val="128"/>
      </rPr>
      <t>​​</t>
    </r>
  </si>
  <si>
    <t>低​​</t>
  </si>
  <si>
    <t>遅延や不安定な状態だが利用可能​​</t>
  </si>
  <si>
    <t>経過観察​</t>
  </si>
  <si>
    <t>発生から24時間経過後も解消されない場合、フラグ無しでお知らせ​を掲載​</t>
  </si>
  <si>
    <t>外部システムからデータ連携遅延​​</t>
  </si>
  <si>
    <t>U-SLIM 号口運用設計　未確認事項 再確認質問票</t>
  </si>
  <si>
    <t>目的：これまでのU-SLIM質問票・追加確認回答・レベル別資料で確認できていない／未決定の事項を、選択式で確定しやすくするための質問票です。</t>
  </si>
  <si>
    <t>入力方法：黄色の「選択回答」をプルダウンから選択してください。詳細コメント・回答者・根拠資料は任意です。ただし「一部変更あり」「その他」「未決定」「確認できない」等を選んだ場合は補足記載を推奨します。</t>
  </si>
  <si>
    <t>回答率</t>
  </si>
  <si>
    <t>※この質問票は「既に回答済みの内容を再質問する」ものではなく、号口運用設計を正式化するために残っている未確認・未決定事項に絞っています。</t>
  </si>
  <si>
    <t>推奨：まず「最優先」だけ回答すると、WebApp/NiFiの現行仕様・責任者・障害レベル・誤データ/情報漏えいの主要未確定事項を先に確定できます。</t>
  </si>
  <si>
    <t>重要度</t>
  </si>
  <si>
    <t>確認対象</t>
  </si>
  <si>
    <t>これまでに確認できていること</t>
  </si>
  <si>
    <t>今回確認したいこと</t>
  </si>
  <si>
    <t>選択回答</t>
  </si>
  <si>
    <t>任意コメント（詳細）</t>
  </si>
  <si>
    <t>回答者／役割（任意）</t>
  </si>
  <si>
    <t>根拠資料・URL（任意）</t>
  </si>
  <si>
    <t>元Excel反映先</t>
  </si>
  <si>
    <t>最優先</t>
  </si>
  <si>
    <t>Azure／WebApp</t>
  </si>
  <si>
    <t>現行アラート設定</t>
  </si>
  <si>
    <t>App Serviceのヘルスチェックは有効。Teams「13_WebAppアラート共有」は利用中。ただし元Excel記載のアラート名・条件・閾値が現在も有効かは未確認。</t>
    <phoneticPr fontId="7"/>
  </si>
  <si>
    <t>現在有効なWebApp／App Serviceのアラート設定は、元Excel記載内容から変更がありますか。</t>
  </si>
  <si>
    <t>元Excel記載値と変更なし</t>
  </si>
  <si>
    <t>2026/8/25 Azureコンソールにて設定を確認</t>
  </si>
  <si>
    <t>61行：監視ツール／アラート条件</t>
  </si>
  <si>
    <t>通知除外条件</t>
  </si>
  <si>
    <t>質問票では「送信しないエラーあり」と回答されているが、対象エラー・理由・確認方法は未確認。</t>
    <phoneticPr fontId="7"/>
  </si>
  <si>
    <t>Teamsへ通知しない、または通知を抑止しているエラーはありますか。</t>
  </si>
  <si>
    <t>通知除外なし</t>
  </si>
  <si>
    <t>補足：
U-14：App ServiceのヘルスチェックとDB例外など柄通知と関係ない。※の内容は記載ミスです
U-15：DBエラーの除外処理なしを鄭さんに確認しました。</t>
  </si>
  <si>
    <t>61行：アラート条件／コメント</t>
  </si>
  <si>
    <t>アラート後の初動</t>
  </si>
  <si>
    <t>基盤チームがPM・障害対応者へ通知し、障害対応者が原因調査する流れは確認済み。ただし最初に見るログ・画面・項目は未確認。</t>
    <phoneticPr fontId="7"/>
  </si>
  <si>
    <t>WebAppアラート発生後、最初に技術確認する主体を選んでください。</t>
  </si>
  <si>
    <t>U-SLIMアプリ担当</t>
  </si>
  <si>
    <t>例外ログより、エラーが起こした画面と原因を判断しますが。
必要があれば、アクセスログより、当該エラーが起こした時点の前後操作を特定します。</t>
  </si>
  <si>
    <t>61行：対応内容／一次対応者</t>
  </si>
  <si>
    <t>NiFi／データ連携</t>
  </si>
  <si>
    <t>NiFi停止の一次対応</t>
  </si>
  <si>
    <t>既存回答ではNiFi停止は「保守チーム」が確認するとされているが、正式な事象別責任者としては未確定。</t>
  </si>
  <si>
    <t>NiFi自体が停止した場合、最初に確認・切り分けを行う主体を確定してください。</t>
  </si>
  <si>
    <t>基盤チーム</t>
  </si>
  <si>
    <t>62行：一次対応者</t>
  </si>
  <si>
    <t>元データ未連携の一次対応</t>
  </si>
  <si>
    <t>既存回答では元データ未連携は「保守チーム・基盤チーム」が確認するとされている。</t>
  </si>
  <si>
    <t>元システムからデータが連携されていない場合、最初に確認・切り分けを行う主体を確定してください。</t>
  </si>
  <si>
    <t>U-SLIM独自処理失敗の一次対応</t>
  </si>
  <si>
    <t>U-SLIM独自の蓄積処理が存在することは確認済み。ただし当該処理失敗時の事象別一次対応者は未確認。</t>
  </si>
  <si>
    <t>U-SLIM独自のNiFi蓄積処理が失敗した場合、最初に確認・切り分けを行う主体を確定してください。</t>
  </si>
  <si>
    <t>高</t>
  </si>
  <si>
    <t>停止・遅延の監視主体</t>
  </si>
  <si>
    <t>U-SLIMアプリ側には、データ連携停止・遅延を定常確認する方法がない。現状は基盤側の通知に依存。</t>
  </si>
  <si>
    <t>今後、NiFi／データ連携の停止・遅延をどこで監視する方針としますか。</t>
  </si>
  <si>
    <t>基盤側のみで監視</t>
  </si>
  <si>
    <t>62行：将来運用／監視ツール</t>
  </si>
  <si>
    <t>標準の再実行・切り戻し手順書はなく、ケースにより手動対応する状態。</t>
  </si>
  <si>
    <t>NiFi障害時の再実行・切り戻し・再リリース手順を、今後どのように整備しますか。</t>
  </si>
  <si>
    <t>新規に標準手順書を作成</t>
  </si>
  <si>
    <t>62行：将来対応／運用手順書</t>
  </si>
  <si>
    <t>復旧後データ確認</t>
  </si>
  <si>
    <t>現状は「Upsertのため再実行後確認不要」という回答があるが、標準のデータ正常性確認手順はない。</t>
  </si>
  <si>
    <t>NiFi復旧後のデータ正常性確認をどの方針にしますか。</t>
  </si>
  <si>
    <t>必ず実施する</t>
  </si>
  <si>
    <t>復旧後のデータ確認手法を検討するところから実施
確認は必要だと考えているが、
確認手法の対応難易度や発生頻度によって確認作業を行うことが大きい負担になってしまう可能性あり,検討が必要</t>
  </si>
  <si>
    <t>62行：復旧確認</t>
  </si>
  <si>
    <t>Upsert・重複防止</t>
  </si>
  <si>
    <t>アプリ実装NiFiは基本的にUpsertとの回答があるが、対象範囲・一意キー・例外処理は未確認。</t>
    <phoneticPr fontId="7"/>
  </si>
  <si>
    <t>Upsertの対象範囲と一意キーの確認状況を選んでください。</t>
  </si>
  <si>
    <t>一部処理のみUpsert</t>
  </si>
  <si>
    <t>対象範囲：仕様上、差分データ(登録・更新)が混ぜて処理する必要がある場合、Upsertを利用します。
一意キー：主キー
例外処理：処理上はエラーが発生したら、保守チームの連絡より対応</t>
  </si>
  <si>
    <t>62行：アラート条件／復旧確認／重複防止</t>
  </si>
  <si>
    <t>異常検知</t>
  </si>
  <si>
    <t>アプリ・データ基盤・インフラ間の正式な責任境界は未決定。</t>
  </si>
  <si>
    <t>通常運用で「異常を最初に検知・受領する責任」を原則どこに置きますか。</t>
  </si>
  <si>
    <t>インフラ担当</t>
  </si>
  <si>
    <t>61～62行：責任分界</t>
  </si>
  <si>
    <t>原因調査は障害対応者が行う運用はあるが、チーム間の正式責任境界は未決定。</t>
  </si>
  <si>
    <t>通常運用で「一次調査・切り分けの責任」を原則どこに置きますか。</t>
  </si>
  <si>
    <t>事象ごとに異なる</t>
  </si>
  <si>
    <t>事象事に異なる認識だが、
それを関係部署にハンドリングするための一次判断は U-SLIMアプリ担当(PO・PM)が行うべきと考えている。</t>
  </si>
  <si>
    <t>復旧作業</t>
  </si>
  <si>
    <t>復旧作業は事象に応じて各担当が行っているが、標準責任分界は未決定。</t>
  </si>
  <si>
    <t>通常運用で「復旧作業の実施責任」を原則どこに置きますか。</t>
  </si>
  <si>
    <t>App Serviceはリリース手順書参照の回答がある。NiFiは標準確認手順がない。全体の復旧確認責任は未決定。</t>
  </si>
  <si>
    <t>通常運用で「復旧後に正常性を確認する責任」を原則どこに置きますか。</t>
  </si>
  <si>
    <t>61～62行：復旧確認／責任分界</t>
  </si>
  <si>
    <t>責任・承認</t>
  </si>
  <si>
    <t>障害対応の最終責任者</t>
  </si>
  <si>
    <t>現在のPMは佐藤さん、POは新庄さんと回答されているが、通常運用の障害対応の最終責任者は「未決定」。</t>
  </si>
  <si>
    <t>通常運用の障害対応における最終責任者の役割を確定してください。</t>
  </si>
  <si>
    <t>PM</t>
  </si>
  <si>
    <t>61～62行：顧客責任者／エスカレーション</t>
  </si>
  <si>
    <t>暫定対応の承認</t>
  </si>
  <si>
    <t>暫定対応の承認者は明確な決まりがない。</t>
  </si>
  <si>
    <t>暫定対応を実施する際の承認者を選んでください。</t>
  </si>
  <si>
    <t>61～62行：承認</t>
  </si>
  <si>
    <t>恒久対応の承認</t>
  </si>
  <si>
    <t>恒久対応の承認者は明確な決まりがない。</t>
  </si>
  <si>
    <t>恒久対応方針を確定する際の承認者を選んでください。</t>
  </si>
  <si>
    <t>緊急リリースの承認</t>
  </si>
  <si>
    <t>高・中レベル資料ではPO承認後にリリースする記載があるが、通常運用の恒久ルールではない。</t>
  </si>
  <si>
    <t>通常運用で緊急リリースを行う際の承認者を選んでください。</t>
  </si>
  <si>
    <t>61～62行：レベル別対応／承認</t>
  </si>
  <si>
    <t>通常リリースの承認</t>
  </si>
  <si>
    <t>通常リリース時の承認ルールは今回の根拠資料では確定していない。</t>
  </si>
  <si>
    <t>障害対応に伴う通常リリースの承認者を選んでください。</t>
  </si>
  <si>
    <t>障害クローズの承認</t>
  </si>
  <si>
    <t>復旧後のクローズ条件・クローズ承認者は未整備。</t>
  </si>
  <si>
    <t>障害チケット／管理表をクローズする際の承認者を選んでください。</t>
  </si>
  <si>
    <t>61～62行：クローズ</t>
  </si>
  <si>
    <t>通常運用のレベル体系</t>
  </si>
  <si>
    <t>高・中・低は長期休暇向け資料に存在するが、通常運用で同じルールに従う恒久ルールは存在しない。</t>
  </si>
  <si>
    <t>通常運用の障害レベル体系を、今後どの方針にしますか。</t>
  </si>
  <si>
    <t>Level1～4へ統合</t>
  </si>
  <si>
    <t>61～62行：インシデントレベル</t>
  </si>
  <si>
    <t>サービス全体利用不可</t>
  </si>
  <si>
    <t>U-SLIM_レベル別では「完全停止＝高」。号口運用設計ではLevel4（極大）候補だが正式対応は未確定。</t>
  </si>
  <si>
    <t>通常運用でU-SLIM全体が利用できない場合、Level1～4でどの重大度としますか。</t>
  </si>
  <si>
    <t>Level4（極大）</t>
  </si>
  <si>
    <t>61～62行：Level1～4</t>
  </si>
  <si>
    <t>一部機能利用不可</t>
  </si>
  <si>
    <t>U-SLIM_レベル別では「部分停止＝中」。Level1～4との正式な対応関係は未確定。</t>
  </si>
  <si>
    <t>通常運用で一部機能のみ利用できない場合、Level1～4でどの重大度としますか。</t>
  </si>
  <si>
    <t>Level3（大）</t>
  </si>
  <si>
    <t>データ連携遅延</t>
  </si>
  <si>
    <t>U-SLIM_レベル別では「機能低下＝低」の例として外部システムからのデータ連携遅延が記載されている。</t>
  </si>
  <si>
    <t>画面は利用できるがデータ更新が遅延している場合、Level1～4でどの重大度としますか。</t>
  </si>
  <si>
    <t>Level2（小）</t>
  </si>
  <si>
    <t>62行：Level1～4</t>
  </si>
  <si>
    <t>誤データ・他販社データ表示</t>
  </si>
  <si>
    <t>誤データ、他販社データ表示、権限漏れ、情報漏えいを通常障害と分ける正式ルールは未整備。</t>
  </si>
  <si>
    <t>誤データまたは他販社データが表示された場合、どの扱いを原則としますか。</t>
  </si>
  <si>
    <t>セキュリティ事象として別管理</t>
  </si>
  <si>
    <t>61～62行：インシデント／セキュリティ</t>
  </si>
  <si>
    <t>高レベル資料には1時間おきの状況報告があるが、通常運用での利用者告知開始条件は未整備。</t>
  </si>
  <si>
    <t>U-SLIM全体が利用できない場合、利用者への初回告知をいつ行いますか。</t>
  </si>
  <si>
    <t>1時間以内</t>
  </si>
  <si>
    <t>61～62行：Level4相当／利用者告知</t>
  </si>
  <si>
    <t>中レベル資料には3時間おきの状況報告があるが、通常運用での利用者告知開始条件は未整備。</t>
  </si>
  <si>
    <t>一部機能のみ利用できない場合、利用者への初回告知をいつ行いますか。</t>
  </si>
  <si>
    <t>3時間以内</t>
  </si>
  <si>
    <t>61～62行：Level3相当／利用者告知</t>
  </si>
  <si>
    <t>低レベル資料では、発生から24時間経過後も未解消の場合にお知らせ掲載とされている。</t>
  </si>
  <si>
    <t>データ連携遅延の場合、通常運用でも24時間ルールを使用しますか。</t>
  </si>
  <si>
    <t>24時間ルールをそのまま使用</t>
  </si>
  <si>
    <t>62行：Level1相当／利用者告知</t>
  </si>
  <si>
    <t>告知承認者</t>
  </si>
  <si>
    <t>告知の承認者は通常運用ルールとして未確定。</t>
  </si>
  <si>
    <t>利用者向け障害告知を掲載する際の承認者を選んでください。</t>
  </si>
  <si>
    <t>61～62行：利用者告知／承認</t>
  </si>
  <si>
    <t>告知掲載担当</t>
  </si>
  <si>
    <t>掲載担当者および復旧後の更新・終了方法は未確定。</t>
  </si>
  <si>
    <t>利用者向け障害告知の掲載・更新・終了を行う主体を選んでください。</t>
  </si>
  <si>
    <t>61～62行：利用者告知</t>
  </si>
  <si>
    <t>完了・クローズ</t>
  </si>
  <si>
    <t>復旧完了条件</t>
  </si>
  <si>
    <t>復旧後の完了報告・クローズ条件は標準化されていない。NiFiはデータ正常性確認手順も未整備。</t>
  </si>
  <si>
    <t>障害を「復旧完了」と判定する最低条件を選んでください。</t>
  </si>
  <si>
    <t>機能＋監視正常で完了</t>
  </si>
  <si>
    <t>61～62行：復旧確認／クローズ</t>
  </si>
  <si>
    <t>中</t>
  </si>
  <si>
    <t>復旧完了報告先</t>
  </si>
  <si>
    <t>復旧後の完了報告者・報告先は明確なルールがない。</t>
  </si>
  <si>
    <t>復旧完了時の標準報告先を選んでください。</t>
  </si>
  <si>
    <t>PMからLevelに応じて関係各所へ連携</t>
  </si>
  <si>
    <t>61～62行：エスカレーション／完了報告</t>
  </si>
  <si>
    <t>事象の管理方法</t>
  </si>
  <si>
    <t>誤データ、他販社データ表示、権限漏れ、情報漏えいを通常の機能障害と分ける正式ルールは未整備。</t>
  </si>
  <si>
    <t>これらの事象を、通常の機能障害とどのように管理しますか。</t>
  </si>
  <si>
    <t>セキュリティインシデントとして別管理</t>
  </si>
  <si>
    <t>61～62行：セキュリティエスカレーション</t>
  </si>
  <si>
    <t>一次エスカレーション</t>
  </si>
  <si>
    <t>誤データ・権限漏れ・情報漏えい時の一次連絡先、TMCへの連絡条件は未確定。</t>
  </si>
  <si>
    <t>誤データ・他販社データ表示・権限漏れ等を検知した場合、最初にエスカレーションする役割を選んでください。</t>
  </si>
  <si>
    <t>証跡保全</t>
  </si>
  <si>
    <t>誤データ・権限漏れ・情報漏えい時のログや画面等の証跡保全ルールは未確認。</t>
  </si>
  <si>
    <t>該当事象の調査時に、ログ・画面キャプチャ・対象データ等の証跡保全をどう扱いますか。</t>
  </si>
  <si>
    <t>セキュリティ事象のみ保全する</t>
  </si>
  <si>
    <t>61～62行：調査・証跡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</si>
</sst>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yyyy\-mm\-dd"/>
  </numFmts>
  <fonts count="46">
    <font>
      <sz val="11"/>
      <color rgb="FF000000"/>
      <name val="Carlito"/>
      <scheme val="minor"/>
    </font>
    <font>
      <b/>
      <sz val="16"/>
      <color rgb="FFFFFFFF"/>
      <name val="Carlito"/>
      <family val="3"/>
      <charset val="128"/>
    </font>
    <font>
      <sz val="11"/>
      <color theme="1"/>
      <name val="Carlito"/>
      <family val="3"/>
      <charset val="128"/>
    </font>
    <font>
      <b/>
      <sz val="11"/>
      <color rgb="FFFFFFFF"/>
      <name val="Carlito"/>
      <family val="3"/>
      <charset val="128"/>
    </font>
    <font>
      <sz val="11"/>
      <color rgb="FF1F1F1F"/>
      <name val="Carlito"/>
      <family val="3"/>
      <charset val="128"/>
    </font>
    <font>
      <i/>
      <sz val="11"/>
      <color rgb="FF404040"/>
      <name val="Carlito"/>
      <family val="3"/>
      <charset val="128"/>
    </font>
    <font>
      <u/>
      <sz val="11"/>
      <color theme="10"/>
      <name val="Carlito"/>
      <family val="3"/>
      <charset val="128"/>
      <scheme val="minor"/>
    </font>
    <font>
      <sz val="6"/>
      <name val="Carlito"/>
      <family val="3"/>
      <charset val="128"/>
      <scheme val="minor"/>
    </font>
    <font>
      <sz val="14"/>
      <color rgb="FF000000"/>
      <name val="游ゴシック"/>
      <family val="3"/>
      <charset val="128"/>
    </font>
    <font>
      <sz val="11"/>
      <color rgb="FF000000"/>
      <name val="游ゴシック"/>
      <family val="3"/>
      <charset val="128"/>
    </font>
    <font>
      <b/>
      <sz val="12"/>
      <color rgb="FF000000"/>
      <name val="游ゴシック"/>
      <family val="3"/>
      <charset val="128"/>
    </font>
    <font>
      <sz val="12"/>
      <color rgb="FF000000"/>
      <name val="游ゴシック"/>
      <family val="3"/>
      <charset val="128"/>
    </font>
    <font>
      <sz val="9.6"/>
      <color rgb="FF000000"/>
      <name val="游ゴシック"/>
      <family val="3"/>
      <charset val="128"/>
    </font>
    <font>
      <sz val="12"/>
      <color rgb="FF000000"/>
      <name val="游ゴシック"/>
      <family val="1"/>
      <charset val="128"/>
    </font>
    <font>
      <sz val="11"/>
      <color rgb="FFFF0000"/>
      <name val="Carlito"/>
      <family val="3"/>
      <charset val="128"/>
    </font>
    <font>
      <sz val="11"/>
      <color rgb="FF000000"/>
      <name val="Carlito"/>
      <family val="3"/>
      <charset val="128"/>
    </font>
    <font>
      <sz val="11"/>
      <name val="Carlito"/>
      <family val="3"/>
      <charset val="128"/>
    </font>
    <font>
      <sz val="10"/>
      <name val="Carlito"/>
      <family val="3"/>
      <charset val="128"/>
    </font>
    <font>
      <b/>
      <sz val="11"/>
      <name val="Carlito"/>
      <family val="3"/>
      <charset val="128"/>
    </font>
    <font>
      <b/>
      <sz val="9"/>
      <color rgb="FFFFFFFF"/>
      <name val="Yu Gothic UI"/>
      <family val="3"/>
      <charset val="128"/>
    </font>
    <font>
      <sz val="9"/>
      <name val="Yu Gothic UI"/>
      <family val="3"/>
      <charset val="128"/>
    </font>
    <font>
      <sz val="11"/>
      <color theme="1"/>
      <name val="Carlito"/>
      <family val="2"/>
      <scheme val="minor"/>
    </font>
    <font>
      <sz val="11"/>
      <color theme="1"/>
      <name val="Yu Gothic UI"/>
      <family val="3"/>
      <charset val="128"/>
    </font>
    <font>
      <b/>
      <sz val="14"/>
      <color theme="1"/>
      <name val="Yu Gothic UI"/>
      <family val="3"/>
      <charset val="128"/>
    </font>
    <font>
      <sz val="12"/>
      <color theme="1"/>
      <name val="Yu Gothic UI"/>
      <family val="3"/>
      <charset val="128"/>
    </font>
    <font>
      <sz val="14"/>
      <color theme="1"/>
      <name val="Yu Gothic UI"/>
      <family val="3"/>
      <charset val="128"/>
    </font>
    <font>
      <b/>
      <sz val="11"/>
      <color theme="1"/>
      <name val="Yu Gothic UI"/>
      <family val="3"/>
      <charset val="128"/>
    </font>
    <font>
      <sz val="11"/>
      <name val="Yu Gothic UI"/>
      <family val="3"/>
      <charset val="128"/>
    </font>
    <font>
      <b/>
      <sz val="11"/>
      <color theme="0"/>
      <name val="Yu Gothic UI"/>
      <family val="3"/>
      <charset val="128"/>
    </font>
    <font>
      <b/>
      <sz val="11"/>
      <color rgb="FFFFFFFF"/>
      <name val="Yu Gothic UI"/>
      <family val="3"/>
      <charset val="128"/>
    </font>
    <font>
      <sz val="11"/>
      <color rgb="FF000000"/>
      <name val="Yu Gothic UI"/>
      <family val="3"/>
      <charset val="128"/>
    </font>
    <font>
      <sz val="11"/>
      <color rgb="FF7F7F7F"/>
      <name val="Yu Gothic UI"/>
      <family val="3"/>
      <charset val="128"/>
    </font>
    <font>
      <sz val="11"/>
      <color rgb="FF4472C4"/>
      <name val="Yu Gothic UI"/>
      <family val="3"/>
      <charset val="128"/>
    </font>
    <font>
      <sz val="11"/>
      <color rgb="FF000000"/>
      <name val="Carlito"/>
      <family val="3"/>
      <charset val="128"/>
      <scheme val="minor"/>
    </font>
    <font>
      <sz val="10"/>
      <color rgb="FF595959"/>
      <name val="Carlito"/>
      <family val="3"/>
      <charset val="128"/>
    </font>
    <font>
      <b/>
      <sz val="12"/>
      <color rgb="FF1F4E78"/>
      <name val="Carlito"/>
      <family val="3"/>
      <charset val="128"/>
    </font>
    <font>
      <i/>
      <sz val="9"/>
      <color rgb="FF595959"/>
      <name val="Carlito"/>
      <family val="3"/>
      <charset val="128"/>
    </font>
    <font>
      <b/>
      <sz val="9"/>
      <color rgb="FF9C0006"/>
      <name val="Carlito"/>
      <family val="3"/>
      <charset val="128"/>
    </font>
    <font>
      <b/>
      <sz val="10"/>
      <color rgb="FFFFFFFF"/>
      <name val="Carlito"/>
      <family val="3"/>
      <charset val="128"/>
    </font>
    <font>
      <sz val="9"/>
      <name val="Carlito"/>
      <family val="3"/>
      <charset val="128"/>
    </font>
    <font>
      <sz val="11"/>
      <color rgb="FF000000"/>
      <name val="Yu Gothic UI"/>
    </font>
    <font>
      <sz val="11"/>
      <color rgb="FFC00000"/>
      <name val="Yu Gothic UI"/>
    </font>
    <font>
      <sz val="11"/>
      <color theme="1"/>
      <name val="Yu Gothic UI"/>
    </font>
    <font>
      <sz val="11"/>
      <color rgb="FFFFC000"/>
      <name val="Yu Gothic UI"/>
    </font>
    <font>
      <sz val="11"/>
      <color rgb="FFC00000"/>
      <name val="Yu Gothic UI"/>
      <family val="3"/>
      <charset val="128"/>
    </font>
    <font>
      <sz val="11"/>
      <color rgb="FF4472C4"/>
      <name val="Yu Gothic UI"/>
    </font>
  </fonts>
  <fills count="35">
    <fill>
      <patternFill patternType="none"/>
    </fill>
    <fill>
      <patternFill patternType="gray125"/>
    </fill>
    <fill>
      <patternFill patternType="solid">
        <fgColor rgb="FF1F4E78"/>
        <bgColor rgb="FF1F4E78"/>
      </patternFill>
    </fill>
    <fill>
      <patternFill patternType="solid">
        <fgColor rgb="FFD9EAF7"/>
        <bgColor rgb="FFD9EAF7"/>
      </patternFill>
    </fill>
    <fill>
      <patternFill patternType="solid">
        <fgColor rgb="FF5B9BD5"/>
        <bgColor rgb="FF5B9BD5"/>
      </patternFill>
    </fill>
    <fill>
      <patternFill patternType="solid">
        <fgColor rgb="FFEAF2F8"/>
        <bgColor rgb="FFEAF2F8"/>
      </patternFill>
    </fill>
    <fill>
      <patternFill patternType="solid">
        <fgColor rgb="FFF7FBFE"/>
        <bgColor rgb="FFF7FBFE"/>
      </patternFill>
    </fill>
    <fill>
      <patternFill patternType="solid">
        <fgColor rgb="FFD9D9D9"/>
        <bgColor indexed="64"/>
      </patternFill>
    </fill>
    <fill>
      <patternFill patternType="solid">
        <fgColor rgb="FFFFCCCC"/>
        <bgColor indexed="64"/>
      </patternFill>
    </fill>
    <fill>
      <patternFill patternType="solid">
        <fgColor rgb="FFFDEADA"/>
        <bgColor indexed="64"/>
      </patternFill>
    </fill>
    <fill>
      <patternFill patternType="solid">
        <fgColor rgb="FFDCE6F2"/>
        <bgColor indexed="64"/>
      </patternFill>
    </fill>
    <fill>
      <patternFill patternType="solid">
        <fgColor theme="0"/>
        <bgColor indexed="64"/>
      </patternFill>
    </fill>
    <fill>
      <patternFill patternType="solid">
        <fgColor rgb="FF17365D"/>
      </patternFill>
    </fill>
    <fill>
      <patternFill patternType="solid">
        <fgColor rgb="FFEAF2F8"/>
      </patternFill>
    </fill>
    <fill>
      <patternFill patternType="solid">
        <fgColor rgb="FFF3F4F6"/>
      </patternFill>
    </fill>
    <fill>
      <patternFill patternType="solid">
        <fgColor rgb="FFFFF2CC"/>
      </patternFill>
    </fill>
    <fill>
      <patternFill patternType="solid">
        <fgColor rgb="FFAEABAB"/>
        <bgColor rgb="FFAEABAB"/>
      </patternFill>
    </fill>
    <fill>
      <patternFill patternType="solid">
        <fgColor rgb="FF9CC2E5"/>
        <bgColor rgb="FF9CC2E5"/>
      </patternFill>
    </fill>
    <fill>
      <patternFill patternType="solid">
        <fgColor rgb="FF595959"/>
        <bgColor rgb="FF595959"/>
      </patternFill>
    </fill>
    <fill>
      <patternFill patternType="solid">
        <fgColor rgb="FFD8D8D8"/>
        <bgColor rgb="FFD8D8D8"/>
      </patternFill>
    </fill>
    <fill>
      <patternFill patternType="solid">
        <fgColor rgb="FFDEEAF6"/>
        <bgColor rgb="FFDEEAF6"/>
      </patternFill>
    </fill>
    <fill>
      <patternFill patternType="solid">
        <fgColor rgb="FFBDD6EE"/>
        <bgColor rgb="FFBDD6EE"/>
      </patternFill>
    </fill>
    <fill>
      <patternFill patternType="solid">
        <fgColor rgb="FFFFF2CB"/>
        <bgColor rgb="FFFFF2CB"/>
      </patternFill>
    </fill>
    <fill>
      <patternFill patternType="solid">
        <fgColor rgb="FFFFE598"/>
        <bgColor rgb="FFFFE598"/>
      </patternFill>
    </fill>
    <fill>
      <patternFill patternType="solid">
        <fgColor rgb="FFF4B083"/>
        <bgColor rgb="FFF4B083"/>
      </patternFill>
    </fill>
    <fill>
      <patternFill patternType="solid">
        <fgColor rgb="FF3F3F3F"/>
        <bgColor rgb="FF3F3F3F"/>
      </patternFill>
    </fill>
    <fill>
      <patternFill patternType="solid">
        <fgColor theme="9" tint="0.79998168889431442"/>
        <bgColor indexed="64"/>
      </patternFill>
    </fill>
    <fill>
      <patternFill patternType="solid">
        <fgColor theme="0" tint="-0.14999847407452621"/>
        <bgColor indexed="64"/>
      </patternFill>
    </fill>
    <fill>
      <patternFill patternType="solid">
        <fgColor rgb="FF1F4E78"/>
      </patternFill>
    </fill>
    <fill>
      <patternFill patternType="solid">
        <fgColor rgb="FFEAF3F8"/>
      </patternFill>
    </fill>
    <fill>
      <patternFill patternType="solid">
        <fgColor rgb="FFFFF9E6"/>
      </patternFill>
    </fill>
    <fill>
      <patternFill patternType="solid">
        <fgColor rgb="FFFFFFFF"/>
      </patternFill>
    </fill>
    <fill>
      <patternFill patternType="solid">
        <fgColor rgb="FFE7E6E6"/>
      </patternFill>
    </fill>
    <fill>
      <patternFill patternType="solid">
        <fgColor rgb="FFF4CCCC"/>
      </patternFill>
    </fill>
    <fill>
      <patternFill patternType="solid">
        <fgColor rgb="FF00B0F0"/>
        <bgColor indexed="64"/>
      </patternFill>
    </fill>
  </fills>
  <borders count="95">
    <border>
      <left/>
      <right/>
      <top/>
      <bottom/>
      <diagonal/>
    </border>
    <border>
      <left style="thin">
        <color rgb="FFB7C9D6"/>
      </left>
      <right/>
      <top style="thin">
        <color rgb="FFB7C9D6"/>
      </top>
      <bottom style="thin">
        <color rgb="FFB7C9D6"/>
      </bottom>
      <diagonal/>
    </border>
    <border>
      <left/>
      <right/>
      <top style="thin">
        <color rgb="FFB7C9D6"/>
      </top>
      <bottom style="thin">
        <color rgb="FFB7C9D6"/>
      </bottom>
      <diagonal/>
    </border>
    <border>
      <left/>
      <right style="thin">
        <color rgb="FFB7C9D6"/>
      </right>
      <top style="thin">
        <color rgb="FFB7C9D6"/>
      </top>
      <bottom style="thin">
        <color rgb="FFB7C9D6"/>
      </bottom>
      <diagonal/>
    </border>
    <border>
      <left style="thin">
        <color rgb="FFB7C9D6"/>
      </left>
      <right/>
      <top style="thin">
        <color rgb="FFB7C9D6"/>
      </top>
      <bottom/>
      <diagonal/>
    </border>
    <border>
      <left/>
      <right/>
      <top style="thin">
        <color rgb="FFB7C9D6"/>
      </top>
      <bottom/>
      <diagonal/>
    </border>
    <border>
      <left/>
      <right style="thin">
        <color rgb="FFB7C9D6"/>
      </right>
      <top style="thin">
        <color rgb="FFB7C9D6"/>
      </top>
      <bottom/>
      <diagonal/>
    </border>
    <border>
      <left style="thin">
        <color rgb="FFB7C9D6"/>
      </left>
      <right/>
      <top/>
      <bottom/>
      <diagonal/>
    </border>
    <border>
      <left/>
      <right style="thin">
        <color rgb="FFB7C9D6"/>
      </right>
      <top/>
      <bottom/>
      <diagonal/>
    </border>
    <border>
      <left style="thin">
        <color rgb="FFB7C9D6"/>
      </left>
      <right/>
      <top/>
      <bottom style="thin">
        <color rgb="FFB7C9D6"/>
      </bottom>
      <diagonal/>
    </border>
    <border>
      <left/>
      <right/>
      <top/>
      <bottom style="thin">
        <color rgb="FFB7C9D6"/>
      </bottom>
      <diagonal/>
    </border>
    <border>
      <left/>
      <right style="thin">
        <color rgb="FFB7C9D6"/>
      </right>
      <top/>
      <bottom style="thin">
        <color rgb="FFB7C9D6"/>
      </bottom>
      <diagonal/>
    </border>
    <border>
      <left style="medium">
        <color rgb="FF808080"/>
      </left>
      <right style="medium">
        <color rgb="FF808080"/>
      </right>
      <top style="medium">
        <color rgb="FF808080"/>
      </top>
      <bottom/>
      <diagonal/>
    </border>
    <border>
      <left/>
      <right style="medium">
        <color rgb="FF808080"/>
      </right>
      <top style="medium">
        <color rgb="FF808080"/>
      </top>
      <bottom/>
      <diagonal/>
    </border>
    <border>
      <left/>
      <right style="medium">
        <color rgb="FF808080"/>
      </right>
      <top/>
      <bottom/>
      <diagonal/>
    </border>
    <border>
      <left style="medium">
        <color rgb="FF808080"/>
      </left>
      <right style="medium">
        <color rgb="FF808080"/>
      </right>
      <top/>
      <bottom/>
      <diagonal/>
    </border>
    <border>
      <left/>
      <right style="medium">
        <color rgb="FF808080"/>
      </right>
      <top/>
      <bottom style="dotted">
        <color rgb="FF808080"/>
      </bottom>
      <diagonal/>
    </border>
    <border>
      <left/>
      <right style="medium">
        <color rgb="FF808080"/>
      </right>
      <top style="dotted">
        <color rgb="FF808080"/>
      </top>
      <bottom/>
      <diagonal/>
    </border>
    <border>
      <left style="thin">
        <color rgb="FF000000"/>
      </left>
      <right/>
      <top style="thin">
        <color rgb="FF000000"/>
      </top>
      <bottom/>
      <diagonal/>
    </border>
    <border>
      <left/>
      <right/>
      <top style="thin">
        <color rgb="FF000000"/>
      </top>
      <bottom/>
      <diagonal/>
    </border>
    <border>
      <left/>
      <right style="medium">
        <color rgb="FF808080"/>
      </right>
      <top style="thin">
        <color rgb="FF000000"/>
      </top>
      <bottom/>
      <diagonal/>
    </border>
    <border>
      <left style="medium">
        <color rgb="FF808080"/>
      </left>
      <right style="thin">
        <color rgb="FF000000"/>
      </right>
      <top style="thin">
        <color rgb="FF000000"/>
      </top>
      <bottom/>
      <diagonal/>
    </border>
    <border>
      <left style="thin">
        <color rgb="FF000000"/>
      </left>
      <right/>
      <top/>
      <bottom/>
      <diagonal/>
    </border>
    <border>
      <left style="medium">
        <color rgb="FF808080"/>
      </left>
      <right style="thin">
        <color rgb="FF000000"/>
      </right>
      <top/>
      <bottom/>
      <diagonal/>
    </border>
    <border>
      <left style="thin">
        <color rgb="FF000000"/>
      </left>
      <right/>
      <top style="medium">
        <color rgb="FF808080"/>
      </top>
      <bottom/>
      <diagonal/>
    </border>
    <border>
      <left style="medium">
        <color rgb="FF808080"/>
      </left>
      <right style="thin">
        <color rgb="FF000000"/>
      </right>
      <top style="medium">
        <color rgb="FF808080"/>
      </top>
      <bottom/>
      <diagonal/>
    </border>
    <border>
      <left style="thin">
        <color rgb="FF000000"/>
      </left>
      <right/>
      <top/>
      <bottom style="thin">
        <color rgb="FF000000"/>
      </bottom>
      <diagonal/>
    </border>
    <border>
      <left/>
      <right style="medium">
        <color rgb="FF808080"/>
      </right>
      <top/>
      <bottom style="thin">
        <color rgb="FF000000"/>
      </bottom>
      <diagonal/>
    </border>
    <border>
      <left style="medium">
        <color rgb="FF80808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medium">
        <color rgb="FF808080"/>
      </right>
      <top style="thin">
        <color rgb="FF000000"/>
      </top>
      <bottom/>
      <diagonal/>
    </border>
    <border>
      <left style="medium">
        <color rgb="FF808080"/>
      </left>
      <right style="medium">
        <color rgb="FF808080"/>
      </right>
      <top/>
      <bottom style="thin">
        <color rgb="FF000000"/>
      </bottom>
      <diagonal/>
    </border>
    <border>
      <left style="medium">
        <color rgb="FF808080"/>
      </left>
      <right style="medium">
        <color rgb="FF808080"/>
      </right>
      <top style="thin">
        <color rgb="FF000000"/>
      </top>
      <bottom/>
      <diagonal/>
    </border>
    <border>
      <left style="medium">
        <color rgb="FF808080"/>
      </left>
      <right style="medium">
        <color rgb="FF808080"/>
      </right>
      <top/>
      <bottom style="dotted">
        <color rgb="FF808080"/>
      </bottom>
      <diagonal/>
    </border>
    <border>
      <left style="medium">
        <color rgb="FF808080"/>
      </left>
      <right style="medium">
        <color rgb="FF808080"/>
      </right>
      <top style="dotted">
        <color rgb="FF808080"/>
      </top>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top style="medium">
        <color rgb="FF000000"/>
      </top>
      <bottom/>
      <diagonal/>
    </border>
    <border>
      <left/>
      <right style="medium">
        <color rgb="FF000000"/>
      </right>
      <top style="medium">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style="dotted">
        <color rgb="FF000000"/>
      </right>
      <top style="thin">
        <color rgb="FF000000"/>
      </top>
      <bottom style="thin">
        <color rgb="FF000000"/>
      </bottom>
      <diagonal/>
    </border>
    <border>
      <left style="dotted">
        <color rgb="FF000000"/>
      </left>
      <right style="dotted">
        <color rgb="FF000000"/>
      </right>
      <top style="thin">
        <color rgb="FF000000"/>
      </top>
      <bottom style="thin">
        <color rgb="FF000000"/>
      </bottom>
      <diagonal/>
    </border>
    <border>
      <left style="dotted">
        <color rgb="FF000000"/>
      </left>
      <right/>
      <top style="thin">
        <color rgb="FF000000"/>
      </top>
      <bottom style="thin">
        <color rgb="FF000000"/>
      </bottom>
      <diagonal/>
    </border>
    <border>
      <left style="medium">
        <color rgb="FF000000"/>
      </left>
      <right/>
      <top style="thin">
        <color rgb="FF000000"/>
      </top>
      <bottom style="thin">
        <color rgb="FF000000"/>
      </bottom>
      <diagonal/>
    </border>
    <border>
      <left style="thin">
        <color rgb="FF000000"/>
      </left>
      <right style="dotted">
        <color rgb="FF000000"/>
      </right>
      <top style="thin">
        <color rgb="FF000000"/>
      </top>
      <bottom/>
      <diagonal/>
    </border>
    <border>
      <left style="thin">
        <color rgb="FF000000"/>
      </left>
      <right style="medium">
        <color rgb="FF000000"/>
      </right>
      <top style="thin">
        <color rgb="FF000000"/>
      </top>
      <bottom style="thin">
        <color rgb="FF000000"/>
      </bottom>
      <diagonal/>
    </border>
    <border>
      <left style="medium">
        <color rgb="FF000000"/>
      </left>
      <right/>
      <top style="thin">
        <color rgb="FF000000"/>
      </top>
      <bottom style="double">
        <color rgb="FF000000"/>
      </bottom>
      <diagonal/>
    </border>
    <border>
      <left style="thin">
        <color rgb="FF000000"/>
      </left>
      <right style="thin">
        <color rgb="FF000000"/>
      </right>
      <top style="thin">
        <color rgb="FF000000"/>
      </top>
      <bottom style="double">
        <color rgb="FF000000"/>
      </bottom>
      <diagonal/>
    </border>
    <border>
      <left style="thin">
        <color rgb="FF000000"/>
      </left>
      <right/>
      <top style="thin">
        <color rgb="FF000000"/>
      </top>
      <bottom style="double">
        <color rgb="FF000000"/>
      </bottom>
      <diagonal/>
    </border>
    <border>
      <left style="thin">
        <color rgb="FF000000"/>
      </left>
      <right style="dotted">
        <color rgb="FF000000"/>
      </right>
      <top style="thin">
        <color rgb="FF000000"/>
      </top>
      <bottom style="double">
        <color rgb="FF000000"/>
      </bottom>
      <diagonal/>
    </border>
    <border>
      <left style="dotted">
        <color rgb="FF000000"/>
      </left>
      <right style="dotted">
        <color rgb="FF000000"/>
      </right>
      <top style="thin">
        <color rgb="FF000000"/>
      </top>
      <bottom style="double">
        <color rgb="FF000000"/>
      </bottom>
      <diagonal/>
    </border>
    <border>
      <left style="dotted">
        <color rgb="FF000000"/>
      </left>
      <right/>
      <top style="thin">
        <color rgb="FF000000"/>
      </top>
      <bottom style="double">
        <color rgb="FF000000"/>
      </bottom>
      <diagonal/>
    </border>
    <border>
      <left/>
      <right/>
      <top style="thin">
        <color rgb="FF000000"/>
      </top>
      <bottom style="double">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double">
        <color rgb="FF000000"/>
      </bottom>
      <diagonal/>
    </border>
    <border>
      <left style="thin">
        <color rgb="FF000000"/>
      </left>
      <right style="medium">
        <color rgb="FF000000"/>
      </right>
      <top style="thin">
        <color rgb="FF000000"/>
      </top>
      <bottom style="double">
        <color rgb="FF000000"/>
      </bottom>
      <diagonal/>
    </border>
    <border>
      <left style="medium">
        <color rgb="FF000000"/>
      </left>
      <right/>
      <top/>
      <bottom/>
      <diagonal/>
    </border>
    <border>
      <left style="thin">
        <color rgb="FF000000"/>
      </left>
      <right style="dotted">
        <color rgb="FF000000"/>
      </right>
      <top/>
      <bottom style="dotted">
        <color rgb="FF000000"/>
      </bottom>
      <diagonal/>
    </border>
    <border>
      <left style="dotted">
        <color rgb="FF000000"/>
      </left>
      <right/>
      <top/>
      <bottom style="dotted">
        <color rgb="FF000000"/>
      </bottom>
      <diagonal/>
    </border>
    <border>
      <left/>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style="thin">
        <color rgb="FF000000"/>
      </left>
      <right/>
      <top style="dotted">
        <color rgb="FF000000"/>
      </top>
      <bottom style="dotted">
        <color rgb="FF000000"/>
      </bottom>
      <diagonal/>
    </border>
    <border>
      <left/>
      <right/>
      <top style="dotted">
        <color rgb="FF000000"/>
      </top>
      <bottom/>
      <diagonal/>
    </border>
    <border>
      <left style="thin">
        <color rgb="FF000000"/>
      </left>
      <right style="dotted">
        <color rgb="FF000000"/>
      </right>
      <top style="dotted">
        <color rgb="FF000000"/>
      </top>
      <bottom/>
      <diagonal/>
    </border>
    <border>
      <left/>
      <right style="dotted">
        <color rgb="FF000000"/>
      </right>
      <top style="dotted">
        <color rgb="FF000000"/>
      </top>
      <bottom/>
      <diagonal/>
    </border>
    <border>
      <left style="dotted">
        <color rgb="FF000000"/>
      </left>
      <right/>
      <top style="dotted">
        <color rgb="FF000000"/>
      </top>
      <bottom/>
      <diagonal/>
    </border>
    <border>
      <left style="dotted">
        <color rgb="FF000000"/>
      </left>
      <right style="dotted">
        <color rgb="FF000000"/>
      </right>
      <top style="dotted">
        <color rgb="FF000000"/>
      </top>
      <bottom/>
      <diagonal/>
    </border>
    <border>
      <left style="thin">
        <color rgb="FF000000"/>
      </left>
      <right style="dotted">
        <color rgb="FF000000"/>
      </right>
      <top style="dotted">
        <color rgb="FF000000"/>
      </top>
      <bottom style="thin">
        <color rgb="FF000000"/>
      </bottom>
      <diagonal/>
    </border>
    <border>
      <left style="medium">
        <color rgb="FF000000"/>
      </left>
      <right/>
      <top style="thin">
        <color rgb="FF000000"/>
      </top>
      <bottom/>
      <diagonal/>
    </border>
    <border>
      <left style="dotted">
        <color rgb="FF000000"/>
      </left>
      <right/>
      <top style="thin">
        <color rgb="FF000000"/>
      </top>
      <bottom style="dotted">
        <color rgb="FF000000"/>
      </bottom>
      <diagonal/>
    </border>
    <border>
      <left style="dotted">
        <color rgb="FF000000"/>
      </left>
      <right style="medium">
        <color rgb="FF000000"/>
      </right>
      <top/>
      <bottom style="dotted">
        <color rgb="FF000000"/>
      </bottom>
      <diagonal/>
    </border>
    <border>
      <left style="thin">
        <color rgb="FF000000"/>
      </left>
      <right/>
      <top style="dotted">
        <color rgb="FF000000"/>
      </top>
      <bottom/>
      <diagonal/>
    </border>
    <border>
      <left style="thin">
        <color rgb="FF000000"/>
      </left>
      <right style="dotted">
        <color rgb="FF000000"/>
      </right>
      <top style="thin">
        <color rgb="FF000000"/>
      </top>
      <bottom style="dotted">
        <color rgb="FF000000"/>
      </bottom>
      <diagonal/>
    </border>
    <border>
      <left style="dotted">
        <color rgb="FF000000"/>
      </left>
      <right style="dotted">
        <color rgb="FF000000"/>
      </right>
      <top style="thin">
        <color rgb="FF000000"/>
      </top>
      <bottom style="dotted">
        <color rgb="FF000000"/>
      </bottom>
      <diagonal/>
    </border>
    <border>
      <left/>
      <right style="dotted">
        <color rgb="FF000000"/>
      </right>
      <top style="thin">
        <color rgb="FF000000"/>
      </top>
      <bottom style="dotted">
        <color rgb="FF000000"/>
      </bottom>
      <diagonal/>
    </border>
    <border>
      <left/>
      <right/>
      <top style="thin">
        <color rgb="FF000000"/>
      </top>
      <bottom style="dotted">
        <color rgb="FF000000"/>
      </bottom>
      <diagonal/>
    </border>
    <border>
      <left style="thin">
        <color rgb="FF000000"/>
      </left>
      <right/>
      <top style="thin">
        <color rgb="FF000000"/>
      </top>
      <bottom style="dotted">
        <color rgb="FF000000"/>
      </bottom>
      <diagonal/>
    </border>
    <border>
      <left style="dotted">
        <color rgb="FF000000"/>
      </left>
      <right/>
      <top style="dotted">
        <color rgb="FF000000"/>
      </top>
      <bottom style="thin">
        <color rgb="FF000000"/>
      </bottom>
      <diagonal/>
    </border>
    <border>
      <left/>
      <right style="medium">
        <color rgb="FF000000"/>
      </right>
      <top style="thin">
        <color rgb="FF000000"/>
      </top>
      <bottom style="dotted">
        <color rgb="FF000000"/>
      </bottom>
      <diagonal/>
    </border>
    <border>
      <left/>
      <right/>
      <top/>
      <bottom style="dotted">
        <color rgb="FF000000"/>
      </bottom>
      <diagonal/>
    </border>
    <border>
      <left style="dotted">
        <color rgb="FF000000"/>
      </left>
      <right style="medium">
        <color rgb="FF000000"/>
      </right>
      <top style="dotted">
        <color rgb="FF000000"/>
      </top>
      <bottom/>
      <diagonal/>
    </border>
    <border>
      <left style="thin">
        <color rgb="FFB7C9D6"/>
      </left>
      <right style="thin">
        <color rgb="FFB7C9D6"/>
      </right>
      <top style="thin">
        <color rgb="FFB7C9D6"/>
      </top>
      <bottom style="thin">
        <color rgb="FFB7C9D6"/>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s>
  <cellStyleXfs count="5">
    <xf numFmtId="0" fontId="0" fillId="0" borderId="0"/>
    <xf numFmtId="0" fontId="6" fillId="0" borderId="0" applyNumberFormat="0" applyFill="0" applyBorder="0" applyAlignment="0" applyProtection="0"/>
    <xf numFmtId="0" fontId="6" fillId="0" borderId="0" applyNumberFormat="0" applyFill="0" applyBorder="0" applyAlignment="0" applyProtection="0"/>
    <xf numFmtId="0" fontId="16" fillId="0" borderId="0"/>
    <xf numFmtId="0" fontId="21" fillId="0" borderId="0"/>
  </cellStyleXfs>
  <cellXfs count="302">
    <xf numFmtId="0" fontId="0" fillId="0" borderId="0" xfId="0"/>
    <xf numFmtId="0" fontId="3" fillId="4" borderId="1" xfId="0" applyFont="1" applyFill="1" applyBorder="1" applyAlignment="1">
      <alignment horizontal="center" vertical="center" wrapText="1"/>
    </xf>
    <xf numFmtId="0" fontId="3" fillId="4" borderId="2" xfId="0" applyFont="1" applyFill="1" applyBorder="1" applyAlignment="1">
      <alignment horizontal="center" vertical="center" wrapText="1"/>
    </xf>
    <xf numFmtId="0" fontId="3" fillId="4" borderId="3" xfId="0" applyFont="1" applyFill="1" applyBorder="1" applyAlignment="1">
      <alignment horizontal="center" vertical="center" wrapText="1"/>
    </xf>
    <xf numFmtId="0" fontId="2" fillId="6" borderId="4" xfId="0" applyFont="1" applyFill="1" applyBorder="1" applyAlignment="1">
      <alignment vertical="top" wrapText="1"/>
    </xf>
    <xf numFmtId="0" fontId="2" fillId="6" borderId="5" xfId="0" applyFont="1" applyFill="1" applyBorder="1" applyAlignment="1">
      <alignment vertical="top" wrapText="1"/>
    </xf>
    <xf numFmtId="0" fontId="2" fillId="0" borderId="5" xfId="0" applyFont="1" applyBorder="1" applyAlignment="1">
      <alignment vertical="top" wrapText="1"/>
    </xf>
    <xf numFmtId="0" fontId="2" fillId="0" borderId="5" xfId="0" applyFont="1" applyBorder="1" applyAlignment="1">
      <alignment horizontal="center" vertical="top" wrapText="1"/>
    </xf>
    <xf numFmtId="0" fontId="2" fillId="0" borderId="6" xfId="0" applyFont="1" applyBorder="1" applyAlignment="1">
      <alignment vertical="top" wrapText="1"/>
    </xf>
    <xf numFmtId="0" fontId="2" fillId="6" borderId="7" xfId="0" applyFont="1" applyFill="1" applyBorder="1" applyAlignment="1">
      <alignment vertical="top" wrapText="1"/>
    </xf>
    <xf numFmtId="0" fontId="2" fillId="6" borderId="0" xfId="0" applyFont="1" applyFill="1" applyAlignment="1">
      <alignment vertical="top" wrapText="1"/>
    </xf>
    <xf numFmtId="0" fontId="2" fillId="0" borderId="0" xfId="0" applyFont="1" applyAlignment="1">
      <alignment vertical="top" wrapText="1"/>
    </xf>
    <xf numFmtId="0" fontId="2" fillId="0" borderId="0" xfId="0" applyFont="1" applyAlignment="1">
      <alignment horizontal="center" vertical="top" wrapText="1"/>
    </xf>
    <xf numFmtId="0" fontId="2" fillId="0" borderId="8" xfId="0" applyFont="1" applyBorder="1" applyAlignment="1">
      <alignment vertical="top" wrapText="1"/>
    </xf>
    <xf numFmtId="0" fontId="2" fillId="6" borderId="9" xfId="0" applyFont="1" applyFill="1" applyBorder="1" applyAlignment="1">
      <alignment vertical="top" wrapText="1"/>
    </xf>
    <xf numFmtId="0" fontId="2" fillId="0" borderId="10" xfId="0" applyFont="1" applyBorder="1" applyAlignment="1">
      <alignment vertical="top" wrapText="1"/>
    </xf>
    <xf numFmtId="0" fontId="2" fillId="0" borderId="11" xfId="0" applyFont="1" applyBorder="1" applyAlignment="1">
      <alignment vertical="top" wrapText="1"/>
    </xf>
    <xf numFmtId="0" fontId="2" fillId="6" borderId="10" xfId="0" applyFont="1" applyFill="1" applyBorder="1" applyAlignment="1">
      <alignment vertical="top" wrapText="1"/>
    </xf>
    <xf numFmtId="0" fontId="2" fillId="0" borderId="10" xfId="0" applyFont="1" applyBorder="1" applyAlignment="1">
      <alignment horizontal="center" vertical="top" wrapText="1"/>
    </xf>
    <xf numFmtId="0" fontId="8" fillId="0" borderId="0" xfId="0" applyFont="1"/>
    <xf numFmtId="0" fontId="9" fillId="0" borderId="0" xfId="0" applyFont="1"/>
    <xf numFmtId="0" fontId="11" fillId="7" borderId="29" xfId="0" applyFont="1" applyFill="1" applyBorder="1" applyAlignment="1">
      <alignment horizontal="left" vertical="center" wrapText="1"/>
    </xf>
    <xf numFmtId="0" fontId="11" fillId="11" borderId="25" xfId="0" applyFont="1" applyFill="1" applyBorder="1" applyAlignment="1">
      <alignment horizontal="left" vertical="center" wrapText="1"/>
    </xf>
    <xf numFmtId="0" fontId="11" fillId="11" borderId="14" xfId="0" applyFont="1" applyFill="1" applyBorder="1" applyAlignment="1">
      <alignment horizontal="left" vertical="center" wrapText="1"/>
    </xf>
    <xf numFmtId="0" fontId="11" fillId="11" borderId="23" xfId="0" applyFont="1" applyFill="1" applyBorder="1" applyAlignment="1">
      <alignment horizontal="left" vertical="center" wrapText="1"/>
    </xf>
    <xf numFmtId="0" fontId="11" fillId="11" borderId="17" xfId="0" applyFont="1" applyFill="1" applyBorder="1" applyAlignment="1">
      <alignment horizontal="left" vertical="center" wrapText="1"/>
    </xf>
    <xf numFmtId="0" fontId="9" fillId="11" borderId="23" xfId="0" applyFont="1" applyFill="1" applyBorder="1" applyAlignment="1">
      <alignment vertical="top" wrapText="1"/>
    </xf>
    <xf numFmtId="0" fontId="9" fillId="11" borderId="28" xfId="0" applyFont="1" applyFill="1" applyBorder="1" applyAlignment="1">
      <alignment vertical="top" wrapText="1"/>
    </xf>
    <xf numFmtId="0" fontId="11" fillId="11" borderId="21" xfId="0" applyFont="1" applyFill="1" applyBorder="1" applyAlignment="1">
      <alignment horizontal="left" vertical="center" wrapText="1"/>
    </xf>
    <xf numFmtId="0" fontId="12" fillId="11" borderId="23" xfId="0" applyFont="1" applyFill="1" applyBorder="1" applyAlignment="1">
      <alignment vertical="top" wrapText="1"/>
    </xf>
    <xf numFmtId="0" fontId="12" fillId="11" borderId="28" xfId="0" applyFont="1" applyFill="1" applyBorder="1" applyAlignment="1">
      <alignment vertical="top" wrapText="1"/>
    </xf>
    <xf numFmtId="0" fontId="10" fillId="7" borderId="21" xfId="0" applyFont="1" applyFill="1" applyBorder="1" applyAlignment="1">
      <alignment vertical="top" wrapText="1"/>
    </xf>
    <xf numFmtId="0" fontId="10" fillId="7" borderId="23" xfId="0" applyFont="1" applyFill="1" applyBorder="1" applyAlignment="1">
      <alignment vertical="top" wrapText="1"/>
    </xf>
    <xf numFmtId="0" fontId="10" fillId="7" borderId="19" xfId="0" applyFont="1" applyFill="1" applyBorder="1" applyAlignment="1">
      <alignment vertical="center" wrapText="1"/>
    </xf>
    <xf numFmtId="0" fontId="10" fillId="7" borderId="20" xfId="0" applyFont="1" applyFill="1" applyBorder="1" applyAlignment="1">
      <alignment vertical="center" wrapText="1"/>
    </xf>
    <xf numFmtId="0" fontId="10" fillId="7" borderId="18" xfId="0" applyFont="1" applyFill="1" applyBorder="1" applyAlignment="1">
      <alignment vertical="center"/>
    </xf>
    <xf numFmtId="0" fontId="6" fillId="0" borderId="0" xfId="2" applyAlignment="1">
      <alignment vertical="top" wrapText="1"/>
    </xf>
    <xf numFmtId="0" fontId="14" fillId="0" borderId="0" xfId="0" applyFont="1" applyAlignment="1">
      <alignment vertical="top" wrapText="1"/>
    </xf>
    <xf numFmtId="0" fontId="6" fillId="0" borderId="0" xfId="1"/>
    <xf numFmtId="0" fontId="6" fillId="0" borderId="0" xfId="1" applyFill="1" applyAlignment="1">
      <alignment vertical="top" wrapText="1"/>
    </xf>
    <xf numFmtId="0" fontId="18" fillId="14" borderId="0" xfId="3" applyFont="1" applyFill="1"/>
    <xf numFmtId="176" fontId="0" fillId="15" borderId="0" xfId="3" applyNumberFormat="1" applyFont="1" applyFill="1" applyAlignment="1">
      <alignment vertical="top" wrapText="1"/>
    </xf>
    <xf numFmtId="0" fontId="0" fillId="15" borderId="0" xfId="3" applyFont="1" applyFill="1" applyAlignment="1">
      <alignment vertical="top" wrapText="1"/>
    </xf>
    <xf numFmtId="0" fontId="0" fillId="0" borderId="0" xfId="3" applyFont="1" applyAlignment="1">
      <alignment horizontal="center"/>
    </xf>
    <xf numFmtId="0" fontId="19" fillId="12" borderId="0" xfId="3" applyFont="1" applyFill="1" applyAlignment="1">
      <alignment horizontal="center" vertical="center" wrapText="1"/>
    </xf>
    <xf numFmtId="0" fontId="20" fillId="0" borderId="0" xfId="3" applyFont="1" applyAlignment="1">
      <alignment horizontal="center" vertical="top" wrapText="1"/>
    </xf>
    <xf numFmtId="0" fontId="20" fillId="0" borderId="0" xfId="3" applyFont="1" applyAlignment="1">
      <alignment vertical="top" wrapText="1"/>
    </xf>
    <xf numFmtId="0" fontId="20" fillId="15" borderId="0" xfId="3" applyFont="1" applyFill="1" applyAlignment="1">
      <alignment vertical="top" wrapText="1"/>
    </xf>
    <xf numFmtId="0" fontId="22" fillId="0" borderId="0" xfId="4" applyFont="1"/>
    <xf numFmtId="0" fontId="23" fillId="0" borderId="0" xfId="4" applyFont="1"/>
    <xf numFmtId="0" fontId="22" fillId="0" borderId="0" xfId="4" applyFont="1" applyAlignment="1">
      <alignment wrapText="1"/>
    </xf>
    <xf numFmtId="0" fontId="24" fillId="0" borderId="0" xfId="4" applyFont="1" applyAlignment="1">
      <alignment horizontal="left"/>
    </xf>
    <xf numFmtId="0" fontId="22" fillId="0" borderId="0" xfId="4" applyFont="1" applyAlignment="1">
      <alignment horizontal="center"/>
    </xf>
    <xf numFmtId="0" fontId="22" fillId="0" borderId="0" xfId="4" applyFont="1" applyAlignment="1">
      <alignment horizontal="center" wrapText="1"/>
    </xf>
    <xf numFmtId="0" fontId="22" fillId="0" borderId="0" xfId="4" applyFont="1" applyAlignment="1">
      <alignment horizontal="center" vertical="center"/>
    </xf>
    <xf numFmtId="0" fontId="24" fillId="0" borderId="0" xfId="4" applyFont="1"/>
    <xf numFmtId="0" fontId="25" fillId="0" borderId="0" xfId="4" applyFont="1"/>
    <xf numFmtId="0" fontId="25" fillId="0" borderId="0" xfId="4" applyFont="1" applyAlignment="1">
      <alignment wrapText="1"/>
    </xf>
    <xf numFmtId="0" fontId="26" fillId="19" borderId="41" xfId="4" applyFont="1" applyFill="1" applyBorder="1" applyAlignment="1">
      <alignment horizontal="center" vertical="center"/>
    </xf>
    <xf numFmtId="0" fontId="26" fillId="19" borderId="42" xfId="4" applyFont="1" applyFill="1" applyBorder="1" applyAlignment="1">
      <alignment horizontal="center" vertical="center"/>
    </xf>
    <xf numFmtId="0" fontId="26" fillId="19" borderId="43" xfId="4" applyFont="1" applyFill="1" applyBorder="1" applyAlignment="1">
      <alignment horizontal="center" vertical="center"/>
    </xf>
    <xf numFmtId="0" fontId="26" fillId="21" borderId="43" xfId="4" applyFont="1" applyFill="1" applyBorder="1" applyAlignment="1">
      <alignment horizontal="center" vertical="center"/>
    </xf>
    <xf numFmtId="0" fontId="26" fillId="22" borderId="42" xfId="4" applyFont="1" applyFill="1" applyBorder="1" applyAlignment="1">
      <alignment horizontal="center" vertical="center"/>
    </xf>
    <xf numFmtId="0" fontId="26" fillId="23" borderId="42" xfId="4" applyFont="1" applyFill="1" applyBorder="1" applyAlignment="1">
      <alignment horizontal="center" vertical="center"/>
    </xf>
    <xf numFmtId="0" fontId="26" fillId="24" borderId="42" xfId="4" applyFont="1" applyFill="1" applyBorder="1" applyAlignment="1">
      <alignment horizontal="center" vertical="center"/>
    </xf>
    <xf numFmtId="0" fontId="28" fillId="25" borderId="42" xfId="4" applyFont="1" applyFill="1" applyBorder="1" applyAlignment="1">
      <alignment horizontal="center" vertical="center"/>
    </xf>
    <xf numFmtId="0" fontId="26" fillId="19" borderId="44" xfId="4" applyFont="1" applyFill="1" applyBorder="1" applyAlignment="1">
      <alignment horizontal="center" vertical="center"/>
    </xf>
    <xf numFmtId="0" fontId="26" fillId="19" borderId="29" xfId="4" applyFont="1" applyFill="1" applyBorder="1" applyAlignment="1">
      <alignment horizontal="center" vertical="center"/>
    </xf>
    <xf numFmtId="0" fontId="26" fillId="20" borderId="47" xfId="4" applyFont="1" applyFill="1" applyBorder="1" applyAlignment="1">
      <alignment horizontal="center" vertical="center" wrapText="1"/>
    </xf>
    <xf numFmtId="0" fontId="26" fillId="20" borderId="48" xfId="4" applyFont="1" applyFill="1" applyBorder="1" applyAlignment="1">
      <alignment horizontal="center" vertical="center"/>
    </xf>
    <xf numFmtId="0" fontId="26" fillId="20" borderId="49" xfId="4" applyFont="1" applyFill="1" applyBorder="1" applyAlignment="1">
      <alignment horizontal="center" vertical="center"/>
    </xf>
    <xf numFmtId="0" fontId="26" fillId="20" borderId="47" xfId="4" applyFont="1" applyFill="1" applyBorder="1" applyAlignment="1">
      <alignment horizontal="center" vertical="center"/>
    </xf>
    <xf numFmtId="0" fontId="26" fillId="21" borderId="47" xfId="4" applyFont="1" applyFill="1" applyBorder="1" applyAlignment="1">
      <alignment horizontal="center" vertical="center"/>
    </xf>
    <xf numFmtId="0" fontId="26" fillId="21" borderId="49" xfId="4" applyFont="1" applyFill="1" applyBorder="1" applyAlignment="1">
      <alignment horizontal="center" vertical="center"/>
    </xf>
    <xf numFmtId="0" fontId="26" fillId="20" borderId="48" xfId="4" applyFont="1" applyFill="1" applyBorder="1" applyAlignment="1">
      <alignment horizontal="center" vertical="center" wrapText="1"/>
    </xf>
    <xf numFmtId="0" fontId="29" fillId="25" borderId="42" xfId="4" applyFont="1" applyFill="1" applyBorder="1" applyAlignment="1">
      <alignment horizontal="center" vertical="center"/>
    </xf>
    <xf numFmtId="0" fontId="26" fillId="19" borderId="45" xfId="4" applyFont="1" applyFill="1" applyBorder="1" applyAlignment="1">
      <alignment horizontal="center" vertical="center"/>
    </xf>
    <xf numFmtId="0" fontId="26" fillId="19" borderId="50" xfId="4" applyFont="1" applyFill="1" applyBorder="1" applyAlignment="1">
      <alignment horizontal="center" vertical="center"/>
    </xf>
    <xf numFmtId="0" fontId="26" fillId="21" borderId="51" xfId="4" applyFont="1" applyFill="1" applyBorder="1" applyAlignment="1">
      <alignment horizontal="center" vertical="center"/>
    </xf>
    <xf numFmtId="0" fontId="26" fillId="20" borderId="49" xfId="4" applyFont="1" applyFill="1" applyBorder="1" applyAlignment="1">
      <alignment horizontal="center" vertical="center" wrapText="1"/>
    </xf>
    <xf numFmtId="0" fontId="26" fillId="19" borderId="52" xfId="4" applyFont="1" applyFill="1" applyBorder="1" applyAlignment="1">
      <alignment horizontal="center" vertical="center"/>
    </xf>
    <xf numFmtId="0" fontId="26" fillId="19" borderId="53" xfId="4" applyFont="1" applyFill="1" applyBorder="1" applyAlignment="1">
      <alignment horizontal="center" vertical="center"/>
    </xf>
    <xf numFmtId="0" fontId="26" fillId="19" borderId="54" xfId="4" applyFont="1" applyFill="1" applyBorder="1" applyAlignment="1">
      <alignment horizontal="center" vertical="center"/>
    </xf>
    <xf numFmtId="0" fontId="26" fillId="19" borderId="55" xfId="4" applyFont="1" applyFill="1" applyBorder="1" applyAlignment="1">
      <alignment horizontal="center" vertical="center"/>
    </xf>
    <xf numFmtId="0" fontId="26" fillId="20" borderId="56" xfId="4" applyFont="1" applyFill="1" applyBorder="1" applyAlignment="1">
      <alignment horizontal="center" vertical="center" wrapText="1"/>
    </xf>
    <xf numFmtId="0" fontId="26" fillId="20" borderId="57" xfId="4" applyFont="1" applyFill="1" applyBorder="1" applyAlignment="1">
      <alignment horizontal="center" vertical="center"/>
    </xf>
    <xf numFmtId="0" fontId="26" fillId="20" borderId="58" xfId="4" applyFont="1" applyFill="1" applyBorder="1" applyAlignment="1">
      <alignment horizontal="center" vertical="center"/>
    </xf>
    <xf numFmtId="0" fontId="26" fillId="20" borderId="56" xfId="4" applyFont="1" applyFill="1" applyBorder="1" applyAlignment="1">
      <alignment horizontal="center" vertical="center"/>
    </xf>
    <xf numFmtId="0" fontId="26" fillId="21" borderId="56" xfId="4" applyFont="1" applyFill="1" applyBorder="1" applyAlignment="1">
      <alignment horizontal="center" vertical="center"/>
    </xf>
    <xf numFmtId="0" fontId="26" fillId="21" borderId="59" xfId="4" applyFont="1" applyFill="1" applyBorder="1" applyAlignment="1">
      <alignment horizontal="center" vertical="center"/>
    </xf>
    <xf numFmtId="0" fontId="26" fillId="20" borderId="57" xfId="4" applyFont="1" applyFill="1" applyBorder="1" applyAlignment="1">
      <alignment horizontal="center" vertical="center" wrapText="1"/>
    </xf>
    <xf numFmtId="0" fontId="26" fillId="20" borderId="58" xfId="4" applyFont="1" applyFill="1" applyBorder="1" applyAlignment="1">
      <alignment horizontal="center" vertical="center" wrapText="1"/>
    </xf>
    <xf numFmtId="0" fontId="26" fillId="21" borderId="60" xfId="4" applyFont="1" applyFill="1" applyBorder="1" applyAlignment="1">
      <alignment horizontal="center" vertical="center"/>
    </xf>
    <xf numFmtId="0" fontId="26" fillId="22" borderId="54" xfId="4" applyFont="1" applyFill="1" applyBorder="1" applyAlignment="1">
      <alignment horizontal="center" vertical="center"/>
    </xf>
    <xf numFmtId="0" fontId="26" fillId="23" borderId="54" xfId="4" applyFont="1" applyFill="1" applyBorder="1" applyAlignment="1">
      <alignment horizontal="center" vertical="center"/>
    </xf>
    <xf numFmtId="0" fontId="26" fillId="24" borderId="54" xfId="4" applyFont="1" applyFill="1" applyBorder="1" applyAlignment="1">
      <alignment horizontal="center" vertical="center"/>
    </xf>
    <xf numFmtId="0" fontId="28" fillId="25" borderId="54" xfId="4" applyFont="1" applyFill="1" applyBorder="1" applyAlignment="1">
      <alignment horizontal="center" vertical="center"/>
    </xf>
    <xf numFmtId="0" fontId="26" fillId="19" borderId="61" xfId="4" applyFont="1" applyFill="1" applyBorder="1" applyAlignment="1">
      <alignment horizontal="center" vertical="center"/>
    </xf>
    <xf numFmtId="0" fontId="26" fillId="19" borderId="62" xfId="4" applyFont="1" applyFill="1" applyBorder="1" applyAlignment="1">
      <alignment horizontal="center" vertical="center"/>
    </xf>
    <xf numFmtId="0" fontId="30" fillId="0" borderId="78" xfId="4" applyFont="1" applyBorder="1" applyAlignment="1">
      <alignment vertical="top" wrapText="1"/>
    </xf>
    <xf numFmtId="0" fontId="22" fillId="0" borderId="79" xfId="4" applyFont="1" applyBorder="1" applyAlignment="1">
      <alignment vertical="top" wrapText="1"/>
    </xf>
    <xf numFmtId="0" fontId="30" fillId="0" borderId="79" xfId="4" applyFont="1" applyBorder="1" applyAlignment="1">
      <alignment vertical="top"/>
    </xf>
    <xf numFmtId="0" fontId="31" fillId="26" borderId="82" xfId="4" applyFont="1" applyFill="1" applyBorder="1" applyAlignment="1">
      <alignment vertical="top" wrapText="1"/>
    </xf>
    <xf numFmtId="0" fontId="31" fillId="26" borderId="83" xfId="4" applyFont="1" applyFill="1" applyBorder="1" applyAlignment="1">
      <alignment vertical="top" wrapText="1"/>
    </xf>
    <xf numFmtId="0" fontId="31" fillId="26" borderId="84" xfId="4" applyFont="1" applyFill="1" applyBorder="1" applyAlignment="1">
      <alignment vertical="top" wrapText="1"/>
    </xf>
    <xf numFmtId="0" fontId="31" fillId="26" borderId="84" xfId="4" applyFont="1" applyFill="1" applyBorder="1" applyAlignment="1">
      <alignment vertical="top"/>
    </xf>
    <xf numFmtId="0" fontId="31" fillId="26" borderId="85" xfId="4" applyFont="1" applyFill="1" applyBorder="1" applyAlignment="1">
      <alignment vertical="top" wrapText="1"/>
    </xf>
    <xf numFmtId="0" fontId="31" fillId="26" borderId="86" xfId="4" applyFont="1" applyFill="1" applyBorder="1" applyAlignment="1">
      <alignment vertical="top" wrapText="1"/>
    </xf>
    <xf numFmtId="0" fontId="31" fillId="26" borderId="79" xfId="4" applyFont="1" applyFill="1" applyBorder="1" applyAlignment="1">
      <alignment vertical="top"/>
    </xf>
    <xf numFmtId="0" fontId="31" fillId="26" borderId="79" xfId="4" applyFont="1" applyFill="1" applyBorder="1" applyAlignment="1">
      <alignment vertical="top" wrapText="1"/>
    </xf>
    <xf numFmtId="0" fontId="30" fillId="0" borderId="63" xfId="4" applyFont="1" applyBorder="1" applyAlignment="1">
      <alignment vertical="top"/>
    </xf>
    <xf numFmtId="0" fontId="30" fillId="0" borderId="76" xfId="4" applyFont="1" applyBorder="1" applyAlignment="1">
      <alignment vertical="top"/>
    </xf>
    <xf numFmtId="0" fontId="30" fillId="0" borderId="70" xfId="4" applyFont="1" applyBorder="1" applyAlignment="1">
      <alignment vertical="top"/>
    </xf>
    <xf numFmtId="0" fontId="30" fillId="11" borderId="68" xfId="4" applyFont="1" applyFill="1" applyBorder="1" applyAlignment="1">
      <alignment vertical="top"/>
    </xf>
    <xf numFmtId="0" fontId="31" fillId="26" borderId="69" xfId="4" applyFont="1" applyFill="1" applyBorder="1" applyAlignment="1">
      <alignment vertical="top" wrapText="1"/>
    </xf>
    <xf numFmtId="0" fontId="31" fillId="26" borderId="67" xfId="4" applyFont="1" applyFill="1" applyBorder="1" applyAlignment="1">
      <alignment vertical="top" wrapText="1"/>
    </xf>
    <xf numFmtId="0" fontId="31" fillId="26" borderId="68" xfId="4" applyFont="1" applyFill="1" applyBorder="1" applyAlignment="1">
      <alignment vertical="top" wrapText="1"/>
    </xf>
    <xf numFmtId="0" fontId="31" fillId="26" borderId="68" xfId="4" applyFont="1" applyFill="1" applyBorder="1" applyAlignment="1">
      <alignment vertical="top"/>
    </xf>
    <xf numFmtId="0" fontId="31" fillId="26" borderId="66" xfId="4" applyFont="1" applyFill="1" applyBorder="1" applyAlignment="1">
      <alignment vertical="top" wrapText="1"/>
    </xf>
    <xf numFmtId="0" fontId="31" fillId="26" borderId="71" xfId="4" applyFont="1" applyFill="1" applyBorder="1" applyAlignment="1">
      <alignment vertical="top" wrapText="1"/>
    </xf>
    <xf numFmtId="0" fontId="31" fillId="26" borderId="70" xfId="4" applyFont="1" applyFill="1" applyBorder="1" applyAlignment="1">
      <alignment vertical="top"/>
    </xf>
    <xf numFmtId="0" fontId="31" fillId="26" borderId="70" xfId="4" applyFont="1" applyFill="1" applyBorder="1" applyAlignment="1">
      <alignment vertical="top" wrapText="1"/>
    </xf>
    <xf numFmtId="0" fontId="30" fillId="26" borderId="70" xfId="4" applyFont="1" applyFill="1" applyBorder="1" applyAlignment="1">
      <alignment vertical="top" wrapText="1"/>
    </xf>
    <xf numFmtId="0" fontId="30" fillId="0" borderId="75" xfId="4" applyFont="1" applyBorder="1" applyAlignment="1">
      <alignment vertical="top"/>
    </xf>
    <xf numFmtId="0" fontId="30" fillId="0" borderId="76" xfId="4" applyFont="1" applyBorder="1" applyAlignment="1">
      <alignment vertical="top" wrapText="1"/>
    </xf>
    <xf numFmtId="0" fontId="30" fillId="11" borderId="74" xfId="4" applyFont="1" applyFill="1" applyBorder="1" applyAlignment="1">
      <alignment vertical="top"/>
    </xf>
    <xf numFmtId="0" fontId="30" fillId="0" borderId="72" xfId="4" applyFont="1" applyBorder="1" applyAlignment="1">
      <alignment vertical="top" wrapText="1"/>
    </xf>
    <xf numFmtId="0" fontId="31" fillId="26" borderId="73" xfId="4" applyFont="1" applyFill="1" applyBorder="1" applyAlignment="1">
      <alignment vertical="top" wrapText="1"/>
    </xf>
    <xf numFmtId="0" fontId="31" fillId="26" borderId="76" xfId="4" applyFont="1" applyFill="1" applyBorder="1" applyAlignment="1">
      <alignment vertical="top" wrapText="1"/>
    </xf>
    <xf numFmtId="0" fontId="31" fillId="26" borderId="74" xfId="4" applyFont="1" applyFill="1" applyBorder="1" applyAlignment="1">
      <alignment vertical="top" wrapText="1"/>
    </xf>
    <xf numFmtId="0" fontId="31" fillId="26" borderId="74" xfId="4" applyFont="1" applyFill="1" applyBorder="1" applyAlignment="1">
      <alignment vertical="top"/>
    </xf>
    <xf numFmtId="0" fontId="31" fillId="26" borderId="72" xfId="4" applyFont="1" applyFill="1" applyBorder="1" applyAlignment="1">
      <alignment vertical="top" wrapText="1"/>
    </xf>
    <xf numFmtId="0" fontId="31" fillId="26" borderId="81" xfId="4" applyFont="1" applyFill="1" applyBorder="1" applyAlignment="1">
      <alignment vertical="top" wrapText="1"/>
    </xf>
    <xf numFmtId="0" fontId="31" fillId="26" borderId="75" xfId="4" applyFont="1" applyFill="1" applyBorder="1" applyAlignment="1">
      <alignment vertical="top"/>
    </xf>
    <xf numFmtId="0" fontId="31" fillId="26" borderId="75" xfId="4" applyFont="1" applyFill="1" applyBorder="1" applyAlignment="1">
      <alignment vertical="top" wrapText="1"/>
    </xf>
    <xf numFmtId="0" fontId="30" fillId="26" borderId="79" xfId="4" applyFont="1" applyFill="1" applyBorder="1" applyAlignment="1">
      <alignment horizontal="left" vertical="top" wrapText="1"/>
    </xf>
    <xf numFmtId="0" fontId="31" fillId="26" borderId="86" xfId="4" applyFont="1" applyFill="1" applyBorder="1" applyAlignment="1">
      <alignment horizontal="center" vertical="top"/>
    </xf>
    <xf numFmtId="0" fontId="30" fillId="26" borderId="86" xfId="4" applyFont="1" applyFill="1" applyBorder="1" applyAlignment="1">
      <alignment horizontal="left" vertical="top"/>
    </xf>
    <xf numFmtId="0" fontId="30" fillId="26" borderId="82" xfId="4" applyFont="1" applyFill="1" applyBorder="1" applyAlignment="1">
      <alignment horizontal="left" vertical="top" wrapText="1"/>
    </xf>
    <xf numFmtId="0" fontId="6" fillId="0" borderId="85" xfId="1" applyFill="1" applyBorder="1" applyAlignment="1">
      <alignment vertical="top" wrapText="1"/>
    </xf>
    <xf numFmtId="0" fontId="30" fillId="26" borderId="86" xfId="4" applyFont="1" applyFill="1" applyBorder="1" applyAlignment="1">
      <alignment horizontal="left" vertical="top" wrapText="1"/>
    </xf>
    <xf numFmtId="0" fontId="6" fillId="0" borderId="88" xfId="1" applyFill="1" applyBorder="1" applyAlignment="1">
      <alignment vertical="top" wrapText="1"/>
    </xf>
    <xf numFmtId="0" fontId="6" fillId="0" borderId="66" xfId="1" applyFill="1" applyBorder="1" applyAlignment="1">
      <alignment vertical="top" wrapText="1"/>
    </xf>
    <xf numFmtId="0" fontId="22" fillId="0" borderId="71" xfId="4" applyFont="1" applyBorder="1" applyAlignment="1">
      <alignment vertical="top" wrapText="1"/>
    </xf>
    <xf numFmtId="0" fontId="30" fillId="26" borderId="71" xfId="4" applyFont="1" applyFill="1" applyBorder="1" applyAlignment="1">
      <alignment vertical="top" wrapText="1"/>
    </xf>
    <xf numFmtId="0" fontId="30" fillId="26" borderId="73" xfId="4" applyFont="1" applyFill="1" applyBorder="1" applyAlignment="1">
      <alignment horizontal="center" vertical="top"/>
    </xf>
    <xf numFmtId="0" fontId="30" fillId="26" borderId="75" xfId="4" applyFont="1" applyFill="1" applyBorder="1" applyAlignment="1">
      <alignment horizontal="left" vertical="top" wrapText="1"/>
    </xf>
    <xf numFmtId="0" fontId="31" fillId="26" borderId="71" xfId="4" applyFont="1" applyFill="1" applyBorder="1" applyAlignment="1">
      <alignment horizontal="center" vertical="top"/>
    </xf>
    <xf numFmtId="0" fontId="30" fillId="26" borderId="71" xfId="4" applyFont="1" applyFill="1" applyBorder="1" applyAlignment="1">
      <alignment horizontal="left" vertical="top" wrapText="1"/>
    </xf>
    <xf numFmtId="0" fontId="30" fillId="27" borderId="64" xfId="4" applyFont="1" applyFill="1" applyBorder="1" applyAlignment="1">
      <alignment horizontal="left" vertical="top" wrapText="1"/>
    </xf>
    <xf numFmtId="0" fontId="33" fillId="27" borderId="89" xfId="1" applyFont="1" applyFill="1" applyBorder="1" applyAlignment="1">
      <alignment vertical="top" wrapText="1"/>
    </xf>
    <xf numFmtId="0" fontId="30" fillId="26" borderId="64" xfId="4" applyFont="1" applyFill="1" applyBorder="1" applyAlignment="1">
      <alignment horizontal="left" vertical="top" wrapText="1"/>
    </xf>
    <xf numFmtId="0" fontId="6" fillId="0" borderId="65" xfId="1" applyFill="1" applyBorder="1" applyAlignment="1">
      <alignment vertical="top" wrapText="1"/>
    </xf>
    <xf numFmtId="0" fontId="6" fillId="0" borderId="80" xfId="1" applyFill="1" applyBorder="1" applyAlignment="1">
      <alignment vertical="top" wrapText="1"/>
    </xf>
    <xf numFmtId="0" fontId="22" fillId="0" borderId="81" xfId="4" applyFont="1" applyBorder="1" applyAlignment="1">
      <alignment vertical="top" wrapText="1"/>
    </xf>
    <xf numFmtId="0" fontId="30" fillId="26" borderId="81" xfId="4" applyFont="1" applyFill="1" applyBorder="1" applyAlignment="1">
      <alignment vertical="top" wrapText="1"/>
    </xf>
    <xf numFmtId="0" fontId="30" fillId="26" borderId="75" xfId="4" applyFont="1" applyFill="1" applyBorder="1" applyAlignment="1">
      <alignment vertical="top" wrapText="1"/>
    </xf>
    <xf numFmtId="0" fontId="30" fillId="26" borderId="77" xfId="4" applyFont="1" applyFill="1" applyBorder="1" applyAlignment="1">
      <alignment horizontal="center" vertical="top"/>
    </xf>
    <xf numFmtId="0" fontId="30" fillId="26" borderId="87" xfId="4" applyFont="1" applyFill="1" applyBorder="1" applyAlignment="1">
      <alignment horizontal="left" vertical="top" wrapText="1"/>
    </xf>
    <xf numFmtId="0" fontId="31" fillId="26" borderId="81" xfId="4" applyFont="1" applyFill="1" applyBorder="1" applyAlignment="1">
      <alignment horizontal="center" vertical="top"/>
    </xf>
    <xf numFmtId="0" fontId="30" fillId="26" borderId="81" xfId="4" applyFont="1" applyFill="1" applyBorder="1" applyAlignment="1">
      <alignment horizontal="left" vertical="top" wrapText="1"/>
    </xf>
    <xf numFmtId="0" fontId="30" fillId="27" borderId="73" xfId="4" applyFont="1" applyFill="1" applyBorder="1" applyAlignment="1">
      <alignment horizontal="left" vertical="top" wrapText="1"/>
    </xf>
    <xf numFmtId="0" fontId="33" fillId="27" borderId="72" xfId="1" applyFont="1" applyFill="1" applyBorder="1" applyAlignment="1">
      <alignment vertical="top" wrapText="1"/>
    </xf>
    <xf numFmtId="0" fontId="30" fillId="26" borderId="73" xfId="4" applyFont="1" applyFill="1" applyBorder="1" applyAlignment="1">
      <alignment horizontal="left" vertical="top" wrapText="1"/>
    </xf>
    <xf numFmtId="0" fontId="6" fillId="0" borderId="75" xfId="1" applyFill="1" applyBorder="1" applyAlignment="1">
      <alignment vertical="top" wrapText="1"/>
    </xf>
    <xf numFmtId="0" fontId="6" fillId="0" borderId="90" xfId="1" applyFill="1" applyBorder="1" applyAlignment="1">
      <alignment vertical="top" wrapText="1"/>
    </xf>
    <xf numFmtId="0" fontId="35" fillId="31" borderId="91" xfId="3" applyFont="1" applyFill="1" applyBorder="1" applyAlignment="1">
      <alignment horizontal="center" vertical="center"/>
    </xf>
    <xf numFmtId="9" fontId="35" fillId="31" borderId="91" xfId="3" applyNumberFormat="1" applyFont="1" applyFill="1" applyBorder="1" applyAlignment="1">
      <alignment horizontal="center" vertical="center"/>
    </xf>
    <xf numFmtId="0" fontId="38" fillId="28" borderId="92" xfId="3" applyFont="1" applyFill="1" applyBorder="1" applyAlignment="1">
      <alignment horizontal="center" vertical="center" wrapText="1"/>
    </xf>
    <xf numFmtId="0" fontId="38" fillId="28" borderId="93" xfId="3" applyFont="1" applyFill="1" applyBorder="1" applyAlignment="1">
      <alignment horizontal="center" vertical="center" wrapText="1"/>
    </xf>
    <xf numFmtId="0" fontId="38" fillId="28" borderId="94" xfId="3" applyFont="1" applyFill="1" applyBorder="1" applyAlignment="1">
      <alignment horizontal="center" vertical="center" wrapText="1"/>
    </xf>
    <xf numFmtId="0" fontId="39" fillId="0" borderId="4" xfId="3" applyFont="1" applyBorder="1" applyAlignment="1">
      <alignment vertical="top" wrapText="1"/>
    </xf>
    <xf numFmtId="0" fontId="39" fillId="0" borderId="5" xfId="3" applyFont="1" applyBorder="1" applyAlignment="1">
      <alignment vertical="top" wrapText="1"/>
    </xf>
    <xf numFmtId="0" fontId="39" fillId="29" borderId="5" xfId="3" applyFont="1" applyFill="1" applyBorder="1" applyAlignment="1">
      <alignment vertical="top" wrapText="1"/>
    </xf>
    <xf numFmtId="0" fontId="39" fillId="15" borderId="5" xfId="3" applyFont="1" applyFill="1" applyBorder="1" applyAlignment="1">
      <alignment vertical="top" wrapText="1"/>
    </xf>
    <xf numFmtId="0" fontId="39" fillId="32" borderId="5" xfId="3" applyFont="1" applyFill="1" applyBorder="1" applyAlignment="1">
      <alignment vertical="top" wrapText="1"/>
    </xf>
    <xf numFmtId="0" fontId="39" fillId="30" borderId="6" xfId="3" applyFont="1" applyFill="1" applyBorder="1" applyAlignment="1">
      <alignment vertical="top" wrapText="1"/>
    </xf>
    <xf numFmtId="0" fontId="39" fillId="0" borderId="7" xfId="3" applyFont="1" applyBorder="1" applyAlignment="1">
      <alignment vertical="top" wrapText="1"/>
    </xf>
    <xf numFmtId="0" fontId="39" fillId="0" borderId="0" xfId="3" applyFont="1" applyAlignment="1">
      <alignment vertical="top" wrapText="1"/>
    </xf>
    <xf numFmtId="0" fontId="39" fillId="29" borderId="0" xfId="3" applyFont="1" applyFill="1" applyAlignment="1">
      <alignment vertical="top" wrapText="1"/>
    </xf>
    <xf numFmtId="0" fontId="39" fillId="15" borderId="0" xfId="3" applyFont="1" applyFill="1" applyAlignment="1">
      <alignment vertical="top" wrapText="1"/>
    </xf>
    <xf numFmtId="0" fontId="39" fillId="32" borderId="0" xfId="3" applyFont="1" applyFill="1" applyAlignment="1">
      <alignment vertical="top" wrapText="1"/>
    </xf>
    <xf numFmtId="0" fontId="39" fillId="30" borderId="8" xfId="3" applyFont="1" applyFill="1" applyBorder="1" applyAlignment="1">
      <alignment vertical="top" wrapText="1"/>
    </xf>
    <xf numFmtId="0" fontId="39" fillId="0" borderId="9" xfId="3" applyFont="1" applyBorder="1" applyAlignment="1">
      <alignment vertical="top" wrapText="1"/>
    </xf>
    <xf numFmtId="0" fontId="39" fillId="0" borderId="10" xfId="3" applyFont="1" applyBorder="1" applyAlignment="1">
      <alignment vertical="top" wrapText="1"/>
    </xf>
    <xf numFmtId="0" fontId="39" fillId="29" borderId="10" xfId="3" applyFont="1" applyFill="1" applyBorder="1" applyAlignment="1">
      <alignment vertical="top" wrapText="1"/>
    </xf>
    <xf numFmtId="0" fontId="39" fillId="15" borderId="10" xfId="3" applyFont="1" applyFill="1" applyBorder="1" applyAlignment="1">
      <alignment vertical="top" wrapText="1"/>
    </xf>
    <xf numFmtId="0" fontId="39" fillId="32" borderId="10" xfId="3" applyFont="1" applyFill="1" applyBorder="1" applyAlignment="1">
      <alignment vertical="top" wrapText="1"/>
    </xf>
    <xf numFmtId="0" fontId="39" fillId="30" borderId="11" xfId="3" applyFont="1" applyFill="1" applyBorder="1" applyAlignment="1">
      <alignment vertical="top" wrapText="1"/>
    </xf>
    <xf numFmtId="0" fontId="40" fillId="0" borderId="69" xfId="4" applyFont="1" applyBorder="1" applyAlignment="1">
      <alignment vertical="top" wrapText="1"/>
    </xf>
    <xf numFmtId="0" fontId="42" fillId="0" borderId="67" xfId="4" applyFont="1" applyBorder="1" applyAlignment="1">
      <alignment vertical="top" wrapText="1"/>
    </xf>
    <xf numFmtId="0" fontId="40" fillId="0" borderId="68" xfId="4" applyFont="1" applyBorder="1" applyAlignment="1">
      <alignment vertical="top" wrapText="1"/>
    </xf>
    <xf numFmtId="0" fontId="44" fillId="0" borderId="73" xfId="4" applyFont="1" applyBorder="1" applyAlignment="1">
      <alignment vertical="top" wrapText="1"/>
    </xf>
    <xf numFmtId="0" fontId="31" fillId="0" borderId="82" xfId="4" applyFont="1" applyBorder="1" applyAlignment="1">
      <alignment vertical="top" wrapText="1"/>
    </xf>
    <xf numFmtId="0" fontId="31" fillId="0" borderId="83" xfId="4" applyFont="1" applyBorder="1" applyAlignment="1">
      <alignment vertical="top" wrapText="1"/>
    </xf>
    <xf numFmtId="0" fontId="31" fillId="0" borderId="84" xfId="4" applyFont="1" applyBorder="1" applyAlignment="1">
      <alignment vertical="top" wrapText="1"/>
    </xf>
    <xf numFmtId="0" fontId="31" fillId="0" borderId="84" xfId="4" applyFont="1" applyBorder="1" applyAlignment="1">
      <alignment vertical="top"/>
    </xf>
    <xf numFmtId="0" fontId="31" fillId="0" borderId="85" xfId="4" applyFont="1" applyBorder="1" applyAlignment="1">
      <alignment vertical="top" wrapText="1"/>
    </xf>
    <xf numFmtId="0" fontId="31" fillId="0" borderId="86" xfId="4" applyFont="1" applyBorder="1" applyAlignment="1">
      <alignment vertical="top" wrapText="1"/>
    </xf>
    <xf numFmtId="0" fontId="31" fillId="0" borderId="79" xfId="4" applyFont="1" applyBorder="1" applyAlignment="1">
      <alignment vertical="top"/>
    </xf>
    <xf numFmtId="0" fontId="31" fillId="0" borderId="79" xfId="4" applyFont="1" applyBorder="1" applyAlignment="1">
      <alignment vertical="top" wrapText="1"/>
    </xf>
    <xf numFmtId="0" fontId="31" fillId="0" borderId="86" xfId="4" applyFont="1" applyBorder="1" applyAlignment="1">
      <alignment horizontal="center" vertical="top"/>
    </xf>
    <xf numFmtId="0" fontId="30" fillId="0" borderId="86" xfId="4" applyFont="1" applyBorder="1" applyAlignment="1">
      <alignment horizontal="left" vertical="top"/>
    </xf>
    <xf numFmtId="0" fontId="30" fillId="0" borderId="82" xfId="4" applyFont="1" applyBorder="1" applyAlignment="1">
      <alignment horizontal="left" vertical="top" wrapText="1"/>
    </xf>
    <xf numFmtId="0" fontId="30" fillId="0" borderId="86" xfId="4" applyFont="1" applyBorder="1" applyAlignment="1">
      <alignment horizontal="left" vertical="top" wrapText="1"/>
    </xf>
    <xf numFmtId="0" fontId="30" fillId="0" borderId="70" xfId="4" applyFont="1" applyBorder="1" applyAlignment="1">
      <alignment vertical="top" wrapText="1"/>
    </xf>
    <xf numFmtId="0" fontId="30" fillId="0" borderId="73" xfId="4" applyFont="1" applyBorder="1" applyAlignment="1">
      <alignment horizontal="center" vertical="top"/>
    </xf>
    <xf numFmtId="0" fontId="31" fillId="0" borderId="69" xfId="4" applyFont="1" applyBorder="1" applyAlignment="1">
      <alignment vertical="top" wrapText="1"/>
    </xf>
    <xf numFmtId="0" fontId="31" fillId="0" borderId="67" xfId="4" applyFont="1" applyBorder="1" applyAlignment="1">
      <alignment vertical="top" wrapText="1"/>
    </xf>
    <xf numFmtId="0" fontId="31" fillId="0" borderId="68" xfId="4" applyFont="1" applyBorder="1" applyAlignment="1">
      <alignment vertical="top" wrapText="1"/>
    </xf>
    <xf numFmtId="0" fontId="31" fillId="0" borderId="68" xfId="4" applyFont="1" applyBorder="1" applyAlignment="1">
      <alignment vertical="top"/>
    </xf>
    <xf numFmtId="0" fontId="31" fillId="0" borderId="66" xfId="4" applyFont="1" applyBorder="1" applyAlignment="1">
      <alignment vertical="top" wrapText="1"/>
    </xf>
    <xf numFmtId="0" fontId="31" fillId="0" borderId="71" xfId="4" applyFont="1" applyBorder="1" applyAlignment="1">
      <alignment vertical="top" wrapText="1"/>
    </xf>
    <xf numFmtId="0" fontId="31" fillId="0" borderId="70" xfId="4" applyFont="1" applyBorder="1" applyAlignment="1">
      <alignment vertical="top"/>
    </xf>
    <xf numFmtId="0" fontId="31" fillId="0" borderId="70" xfId="4" applyFont="1" applyBorder="1" applyAlignment="1">
      <alignment vertical="top" wrapText="1"/>
    </xf>
    <xf numFmtId="0" fontId="31" fillId="0" borderId="71" xfId="4" applyFont="1" applyBorder="1" applyAlignment="1">
      <alignment horizontal="center" vertical="top"/>
    </xf>
    <xf numFmtId="0" fontId="30" fillId="0" borderId="71" xfId="4" applyFont="1" applyBorder="1" applyAlignment="1">
      <alignment horizontal="left" vertical="top" wrapText="1"/>
    </xf>
    <xf numFmtId="0" fontId="30" fillId="0" borderId="64" xfId="4" applyFont="1" applyBorder="1" applyAlignment="1">
      <alignment horizontal="left" vertical="top" wrapText="1"/>
    </xf>
    <xf numFmtId="0" fontId="33" fillId="0" borderId="89" xfId="1" applyFont="1" applyFill="1" applyBorder="1" applyAlignment="1">
      <alignment vertical="top" wrapText="1"/>
    </xf>
    <xf numFmtId="0" fontId="30" fillId="0" borderId="75" xfId="4" applyFont="1" applyBorder="1" applyAlignment="1">
      <alignment vertical="top" wrapText="1"/>
    </xf>
    <xf numFmtId="0" fontId="30" fillId="0" borderId="77" xfId="4" applyFont="1" applyBorder="1" applyAlignment="1">
      <alignment horizontal="center" vertical="top"/>
    </xf>
    <xf numFmtId="0" fontId="31" fillId="0" borderId="73" xfId="4" applyFont="1" applyBorder="1" applyAlignment="1">
      <alignment vertical="top" wrapText="1"/>
    </xf>
    <xf numFmtId="0" fontId="31" fillId="0" borderId="76" xfId="4" applyFont="1" applyBorder="1" applyAlignment="1">
      <alignment vertical="top" wrapText="1"/>
    </xf>
    <xf numFmtId="0" fontId="31" fillId="0" borderId="74" xfId="4" applyFont="1" applyBorder="1" applyAlignment="1">
      <alignment vertical="top" wrapText="1"/>
    </xf>
    <xf numFmtId="0" fontId="31" fillId="0" borderId="74" xfId="4" applyFont="1" applyBorder="1" applyAlignment="1">
      <alignment vertical="top"/>
    </xf>
    <xf numFmtId="0" fontId="31" fillId="0" borderId="72" xfId="4" applyFont="1" applyBorder="1" applyAlignment="1">
      <alignment vertical="top" wrapText="1"/>
    </xf>
    <xf numFmtId="0" fontId="31" fillId="0" borderId="81" xfId="4" applyFont="1" applyBorder="1" applyAlignment="1">
      <alignment vertical="top" wrapText="1"/>
    </xf>
    <xf numFmtId="0" fontId="31" fillId="0" borderId="75" xfId="4" applyFont="1" applyBorder="1" applyAlignment="1">
      <alignment vertical="top"/>
    </xf>
    <xf numFmtId="0" fontId="31" fillId="0" borderId="75" xfId="4" applyFont="1" applyBorder="1" applyAlignment="1">
      <alignment vertical="top" wrapText="1"/>
    </xf>
    <xf numFmtId="0" fontId="31" fillId="0" borderId="81" xfId="4" applyFont="1" applyBorder="1" applyAlignment="1">
      <alignment horizontal="center" vertical="top"/>
    </xf>
    <xf numFmtId="0" fontId="30" fillId="0" borderId="81" xfId="4" applyFont="1" applyBorder="1" applyAlignment="1">
      <alignment horizontal="left" vertical="top" wrapText="1"/>
    </xf>
    <xf numFmtId="0" fontId="30" fillId="0" borderId="73" xfId="4" applyFont="1" applyBorder="1" applyAlignment="1">
      <alignment horizontal="left" vertical="top" wrapText="1"/>
    </xf>
    <xf numFmtId="0" fontId="33" fillId="0" borderId="72" xfId="1" applyFont="1" applyFill="1" applyBorder="1" applyAlignment="1">
      <alignment vertical="top" wrapText="1"/>
    </xf>
    <xf numFmtId="0" fontId="44" fillId="0" borderId="71" xfId="4" applyFont="1" applyBorder="1" applyAlignment="1">
      <alignment vertical="top" wrapText="1"/>
    </xf>
    <xf numFmtId="0" fontId="44" fillId="0" borderId="70" xfId="4" applyFont="1" applyBorder="1" applyAlignment="1">
      <alignment vertical="top" wrapText="1"/>
    </xf>
    <xf numFmtId="0" fontId="44" fillId="0" borderId="81" xfId="4" applyFont="1" applyBorder="1" applyAlignment="1">
      <alignment vertical="top" wrapText="1"/>
    </xf>
    <xf numFmtId="0" fontId="44" fillId="0" borderId="75" xfId="4" applyFont="1" applyBorder="1" applyAlignment="1">
      <alignment vertical="top" wrapText="1"/>
    </xf>
    <xf numFmtId="0" fontId="44" fillId="0" borderId="79" xfId="4" applyFont="1" applyBorder="1" applyAlignment="1">
      <alignment horizontal="left" vertical="top" wrapText="1"/>
    </xf>
    <xf numFmtId="0" fontId="44" fillId="0" borderId="75" xfId="4" applyFont="1" applyBorder="1" applyAlignment="1">
      <alignment horizontal="left" vertical="top" wrapText="1"/>
    </xf>
    <xf numFmtId="0" fontId="44" fillId="0" borderId="87" xfId="4" applyFont="1" applyBorder="1" applyAlignment="1">
      <alignment horizontal="left" vertical="top" wrapText="1"/>
    </xf>
    <xf numFmtId="0" fontId="22" fillId="34" borderId="71" xfId="4" applyFont="1" applyFill="1" applyBorder="1" applyAlignment="1">
      <alignment vertical="top" wrapText="1"/>
    </xf>
    <xf numFmtId="0" fontId="22" fillId="34" borderId="81" xfId="4" applyFont="1" applyFill="1" applyBorder="1" applyAlignment="1">
      <alignment vertical="top" wrapText="1"/>
    </xf>
    <xf numFmtId="0" fontId="30" fillId="11" borderId="82" xfId="4" applyFont="1" applyFill="1" applyBorder="1" applyAlignment="1">
      <alignment vertical="top" wrapText="1"/>
    </xf>
    <xf numFmtId="0" fontId="30" fillId="0" borderId="69" xfId="4" applyFont="1" applyBorder="1" applyAlignment="1">
      <alignment vertical="top" wrapText="1"/>
    </xf>
    <xf numFmtId="0" fontId="30" fillId="26" borderId="68" xfId="4" applyFont="1" applyFill="1" applyBorder="1" applyAlignment="1">
      <alignment vertical="top" wrapText="1"/>
    </xf>
    <xf numFmtId="0" fontId="30" fillId="0" borderId="73" xfId="4" applyFont="1" applyBorder="1" applyAlignment="1">
      <alignment vertical="top" wrapText="1"/>
    </xf>
    <xf numFmtId="0" fontId="30" fillId="26" borderId="74" xfId="4" applyFont="1" applyFill="1" applyBorder="1" applyAlignment="1">
      <alignment vertical="top" wrapText="1"/>
    </xf>
    <xf numFmtId="0" fontId="30" fillId="0" borderId="82" xfId="4" applyFont="1" applyBorder="1" applyAlignment="1">
      <alignment vertical="top" wrapText="1"/>
    </xf>
    <xf numFmtId="0" fontId="30" fillId="0" borderId="74" xfId="4" applyFont="1" applyBorder="1" applyAlignment="1">
      <alignment vertical="top" wrapText="1"/>
    </xf>
    <xf numFmtId="0" fontId="3" fillId="12" borderId="0" xfId="3" applyFont="1" applyFill="1" applyAlignment="1">
      <alignment horizontal="center" vertical="center" wrapText="1"/>
    </xf>
    <xf numFmtId="0" fontId="26" fillId="20" borderId="49" xfId="4" applyFont="1" applyFill="1" applyBorder="1" applyAlignment="1">
      <alignment horizontal="center" vertical="center"/>
    </xf>
    <xf numFmtId="0" fontId="26" fillId="19" borderId="43" xfId="4" applyFont="1" applyFill="1" applyBorder="1" applyAlignment="1">
      <alignment horizontal="center" vertical="center"/>
    </xf>
    <xf numFmtId="0" fontId="26" fillId="16" borderId="39" xfId="4" applyFont="1" applyFill="1" applyBorder="1" applyAlignment="1">
      <alignment horizontal="center"/>
    </xf>
    <xf numFmtId="0" fontId="26" fillId="20" borderId="43" xfId="4" applyFont="1" applyFill="1" applyBorder="1" applyAlignment="1">
      <alignment horizontal="center" vertical="center"/>
    </xf>
    <xf numFmtId="0" fontId="26" fillId="21" borderId="43" xfId="4" applyFont="1" applyFill="1" applyBorder="1" applyAlignment="1">
      <alignment horizontal="center" vertical="center"/>
    </xf>
    <xf numFmtId="0" fontId="28" fillId="18" borderId="38" xfId="4" applyFont="1" applyFill="1" applyBorder="1" applyAlignment="1">
      <alignment horizontal="center" vertical="center"/>
    </xf>
    <xf numFmtId="0" fontId="26" fillId="19" borderId="44" xfId="4" applyFont="1" applyFill="1" applyBorder="1" applyAlignment="1">
      <alignment horizontal="center" vertical="center"/>
    </xf>
    <xf numFmtId="0" fontId="25" fillId="0" borderId="0" xfId="4" applyFont="1" applyAlignment="1">
      <alignment horizontal="left"/>
    </xf>
    <xf numFmtId="0" fontId="26" fillId="16" borderId="35" xfId="4" applyFont="1" applyFill="1" applyBorder="1" applyAlignment="1">
      <alignment horizontal="center" vertical="center"/>
    </xf>
    <xf numFmtId="0" fontId="26" fillId="17" borderId="38" xfId="4" applyFont="1" applyFill="1" applyBorder="1" applyAlignment="1">
      <alignment horizontal="center" vertical="center"/>
    </xf>
    <xf numFmtId="0" fontId="1" fillId="2" borderId="0" xfId="0" applyFont="1" applyFill="1" applyAlignment="1">
      <alignment horizontal="left" vertical="center"/>
    </xf>
    <xf numFmtId="0" fontId="4" fillId="3" borderId="0" xfId="0" applyFont="1" applyFill="1" applyAlignment="1">
      <alignment vertical="center" wrapText="1"/>
    </xf>
    <xf numFmtId="0" fontId="5" fillId="5" borderId="0" xfId="0" applyFont="1" applyFill="1" applyAlignment="1">
      <alignment vertical="center" wrapText="1"/>
    </xf>
    <xf numFmtId="0" fontId="1" fillId="12" borderId="0" xfId="3" applyFont="1" applyFill="1" applyAlignment="1">
      <alignment horizontal="center" vertical="center"/>
    </xf>
    <xf numFmtId="0" fontId="17" fillId="13" borderId="0" xfId="3" applyFont="1" applyFill="1" applyAlignment="1">
      <alignment vertical="center" wrapText="1"/>
    </xf>
    <xf numFmtId="0" fontId="10" fillId="10" borderId="18" xfId="0" applyFont="1" applyFill="1" applyBorder="1" applyAlignment="1">
      <alignment horizontal="left" vertical="center" wrapText="1"/>
    </xf>
    <xf numFmtId="0" fontId="10" fillId="10" borderId="22" xfId="0" applyFont="1" applyFill="1" applyBorder="1" applyAlignment="1">
      <alignment horizontal="left" vertical="center" wrapText="1"/>
    </xf>
    <xf numFmtId="0" fontId="10" fillId="10" borderId="26" xfId="0" applyFont="1" applyFill="1" applyBorder="1" applyAlignment="1">
      <alignment horizontal="left" vertical="center" wrapText="1"/>
    </xf>
    <xf numFmtId="0" fontId="11" fillId="11" borderId="32" xfId="0" applyFont="1" applyFill="1" applyBorder="1" applyAlignment="1">
      <alignment horizontal="left" vertical="center" wrapText="1"/>
    </xf>
    <xf numFmtId="0" fontId="11" fillId="11" borderId="15" xfId="0" applyFont="1" applyFill="1" applyBorder="1" applyAlignment="1">
      <alignment horizontal="left" vertical="center" wrapText="1"/>
    </xf>
    <xf numFmtId="0" fontId="11" fillId="11" borderId="31" xfId="0" applyFont="1" applyFill="1" applyBorder="1" applyAlignment="1">
      <alignment horizontal="left" vertical="center" wrapText="1"/>
    </xf>
    <xf numFmtId="0" fontId="11" fillId="11" borderId="33" xfId="0" applyFont="1" applyFill="1" applyBorder="1" applyAlignment="1">
      <alignment horizontal="left" vertical="center" wrapText="1"/>
    </xf>
    <xf numFmtId="0" fontId="11" fillId="11" borderId="20" xfId="0" applyFont="1" applyFill="1" applyBorder="1" applyAlignment="1">
      <alignment horizontal="left" vertical="center" wrapText="1"/>
    </xf>
    <xf numFmtId="0" fontId="11" fillId="11" borderId="16" xfId="0" applyFont="1" applyFill="1" applyBorder="1" applyAlignment="1">
      <alignment horizontal="left" vertical="center" wrapText="1"/>
    </xf>
    <xf numFmtId="0" fontId="11" fillId="11" borderId="34" xfId="0" applyFont="1" applyFill="1" applyBorder="1" applyAlignment="1">
      <alignment horizontal="left" vertical="center" wrapText="1"/>
    </xf>
    <xf numFmtId="0" fontId="11" fillId="11" borderId="17" xfId="0" applyFont="1" applyFill="1" applyBorder="1" applyAlignment="1">
      <alignment horizontal="left" vertical="center" wrapText="1"/>
    </xf>
    <xf numFmtId="0" fontId="11" fillId="11" borderId="27" xfId="0" applyFont="1" applyFill="1" applyBorder="1" applyAlignment="1">
      <alignment horizontal="left" vertical="center" wrapText="1"/>
    </xf>
    <xf numFmtId="0" fontId="10" fillId="9" borderId="18" xfId="0" applyFont="1" applyFill="1" applyBorder="1" applyAlignment="1">
      <alignment horizontal="left" vertical="center" wrapText="1"/>
    </xf>
    <xf numFmtId="0" fontId="10" fillId="9" borderId="22" xfId="0" applyFont="1" applyFill="1" applyBorder="1" applyAlignment="1">
      <alignment horizontal="left" vertical="center" wrapText="1"/>
    </xf>
    <xf numFmtId="0" fontId="11" fillId="11" borderId="14" xfId="0" applyFont="1" applyFill="1" applyBorder="1" applyAlignment="1">
      <alignment horizontal="left" vertical="center" wrapText="1"/>
    </xf>
    <xf numFmtId="0" fontId="11" fillId="7" borderId="29" xfId="0" applyFont="1" applyFill="1" applyBorder="1" applyAlignment="1">
      <alignment horizontal="left" vertical="center" wrapText="1"/>
    </xf>
    <xf numFmtId="0" fontId="11" fillId="7" borderId="30" xfId="0" applyFont="1" applyFill="1" applyBorder="1" applyAlignment="1">
      <alignment horizontal="left" vertical="center" wrapText="1"/>
    </xf>
    <xf numFmtId="0" fontId="10" fillId="8" borderId="24" xfId="0" applyFont="1" applyFill="1" applyBorder="1" applyAlignment="1">
      <alignment horizontal="left" vertical="center" wrapText="1"/>
    </xf>
    <xf numFmtId="0" fontId="10" fillId="8" borderId="22" xfId="0" applyFont="1" applyFill="1" applyBorder="1" applyAlignment="1">
      <alignment horizontal="left" vertical="center" wrapText="1"/>
    </xf>
    <xf numFmtId="0" fontId="10" fillId="8" borderId="26" xfId="0" applyFont="1" applyFill="1" applyBorder="1" applyAlignment="1">
      <alignment horizontal="left" vertical="center" wrapText="1"/>
    </xf>
    <xf numFmtId="0" fontId="11" fillId="11" borderId="12" xfId="0" applyFont="1" applyFill="1" applyBorder="1" applyAlignment="1">
      <alignment horizontal="left" vertical="center" wrapText="1"/>
    </xf>
    <xf numFmtId="0" fontId="11" fillId="11" borderId="13" xfId="0" applyFont="1" applyFill="1" applyBorder="1" applyAlignment="1">
      <alignment horizontal="left" vertical="center" wrapText="1"/>
    </xf>
    <xf numFmtId="0" fontId="36" fillId="32" borderId="0" xfId="3" applyFont="1" applyFill="1" applyAlignment="1">
      <alignment vertical="center" wrapText="1"/>
    </xf>
    <xf numFmtId="0" fontId="37" fillId="33" borderId="0" xfId="3" applyFont="1" applyFill="1" applyAlignment="1">
      <alignment vertical="center" wrapText="1"/>
    </xf>
    <xf numFmtId="0" fontId="1" fillId="28" borderId="0" xfId="3" applyFont="1" applyFill="1" applyAlignment="1">
      <alignment horizontal="center" vertical="center"/>
    </xf>
    <xf numFmtId="0" fontId="34" fillId="29" borderId="0" xfId="3" applyFont="1" applyFill="1" applyAlignment="1">
      <alignment vertical="center" wrapText="1"/>
    </xf>
    <xf numFmtId="0" fontId="34" fillId="30" borderId="0" xfId="3" applyFont="1" applyFill="1" applyAlignment="1">
      <alignment vertical="center" wrapText="1"/>
    </xf>
    <xf numFmtId="0" fontId="3" fillId="28" borderId="0" xfId="3" applyFont="1" applyFill="1" applyAlignment="1">
      <alignment horizontal="center" vertical="center"/>
    </xf>
    <xf numFmtId="0" fontId="40" fillId="0" borderId="67" xfId="4" applyFont="1" applyBorder="1" applyAlignment="1">
      <alignment vertical="top" wrapText="1"/>
    </xf>
    <xf numFmtId="0" fontId="27" fillId="0" borderId="36" xfId="4" applyFont="1" applyBorder="1" applyAlignment="1"/>
    <xf numFmtId="0" fontId="27" fillId="0" borderId="37" xfId="4" applyFont="1" applyBorder="1" applyAlignment="1"/>
    <xf numFmtId="0" fontId="27" fillId="0" borderId="39" xfId="4" applyFont="1" applyBorder="1" applyAlignment="1"/>
    <xf numFmtId="0" fontId="27" fillId="0" borderId="40" xfId="4" applyFont="1" applyBorder="1" applyAlignment="1"/>
    <xf numFmtId="0" fontId="27" fillId="0" borderId="44" xfId="4" applyFont="1" applyBorder="1" applyAlignment="1"/>
    <xf numFmtId="0" fontId="27" fillId="0" borderId="45" xfId="4" applyFont="1" applyBorder="1" applyAlignment="1"/>
    <xf numFmtId="0" fontId="27" fillId="0" borderId="46" xfId="4" applyFont="1" applyBorder="1" applyAlignment="1"/>
    <xf numFmtId="0" fontId="0" fillId="0" borderId="0" xfId="0" applyAlignment="1"/>
  </cellXfs>
  <cellStyles count="5">
    <cellStyle name="Hyperlink" xfId="1" xr:uid="{00000000-000B-0000-0000-000008000000}"/>
    <cellStyle name="Normal" xfId="3" xr:uid="{9C026A37-AD34-4F99-92C8-1CCEBC00F66B}"/>
    <cellStyle name="ハイパーリンク" xfId="2" builtinId="8"/>
    <cellStyle name="標準" xfId="0" builtinId="0"/>
    <cellStyle name="標準 6" xfId="4" xr:uid="{5F7C73BA-9D54-454F-BCD8-191550359EB4}"/>
  </cellStyles>
  <dxfs count="12">
    <dxf>
      <font>
        <color rgb="FF9C0006"/>
      </font>
      <fill>
        <patternFill patternType="solid">
          <fgColor rgb="FFF4CCCC"/>
          <bgColor rgb="FFF4CCCC"/>
        </patternFill>
      </fill>
    </dxf>
    <dxf>
      <font>
        <color rgb="FF843C0C"/>
      </font>
      <fill>
        <patternFill patternType="solid">
          <fgColor rgb="FFFCE4D6"/>
          <bgColor rgb="FFFCE4D6"/>
        </patternFill>
      </fill>
    </dxf>
    <dxf>
      <font>
        <color rgb="FF7F6000"/>
      </font>
      <fill>
        <patternFill patternType="solid">
          <fgColor rgb="FFFFF2CC"/>
          <bgColor rgb="FFFFF2CC"/>
        </patternFill>
      </fill>
    </dxf>
    <dxf>
      <font>
        <color rgb="FF375623"/>
      </font>
      <fill>
        <patternFill patternType="solid">
          <fgColor rgb="FFE2F0D9"/>
          <bgColor rgb="FFE2F0D9"/>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border>
        <left style="thin">
          <color theme="4"/>
        </left>
        <right style="thin">
          <color theme="4"/>
        </right>
        <top style="thin">
          <color theme="4"/>
        </top>
        <bottom style="thin">
          <color theme="4"/>
        </bottom>
        <vertical style="thin">
          <color rgb="FFD4D4D4"/>
        </vertical>
        <horizontal style="thin">
          <color rgb="FFD4D4D4"/>
        </horizontal>
      </border>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border>
        <left style="thin">
          <color theme="4"/>
        </left>
        <right style="thin">
          <color theme="4"/>
        </right>
        <top style="thin">
          <color theme="4"/>
        </top>
        <bottom style="thin">
          <color theme="4"/>
        </bottom>
        <vertical style="thin">
          <color rgb="FFD4D4D4"/>
        </vertical>
        <horizontal style="thin">
          <color rgb="FFD4D4D4"/>
        </horizontal>
      </border>
    </dxf>
  </dxfs>
  <tableStyles count="2">
    <tableStyle name="DX道場質問票-style" pivot="0" count="4" xr9:uid="{00000000-0011-0000-FFFF-FFFF00000000}">
      <tableStyleElement type="wholeTable" size="0" dxfId="11"/>
      <tableStyleElement type="headerRow" dxfId="10"/>
      <tableStyleElement type="firstRowStripe" dxfId="9"/>
      <tableStyleElement type="secondRowStripe" dxfId="8"/>
    </tableStyle>
    <tableStyle name="U-SLIM質問票-style" pivot="0" count="4" xr9:uid="{00000000-0011-0000-FFFF-FFFF01000000}">
      <tableStyleElement type="wholeTable" size="0" dxfId="7"/>
      <tableStyleElement type="headerRow" dxfId="6"/>
      <tableStyleElement type="firstRowStripe" dxfId="5"/>
      <tableStyleElement type="second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USLIMInterviewTable" displayName="USLIMInterviewTable" ref="A5:K64">
  <tableColumns count="11">
    <tableColumn id="1" xr3:uid="{00000000-0010-0000-0000-000001000000}" name="質問No."/>
    <tableColumn id="2" xr3:uid="{00000000-0010-0000-0000-000002000000}" name="大分類"/>
    <tableColumn id="3" xr3:uid="{00000000-0010-0000-0000-000003000000}" name="対象機能・論点"/>
    <tableColumn id="4" xr3:uid="{00000000-0010-0000-0000-000004000000}" name="質問内容"/>
    <tableColumn id="5" xr3:uid="{00000000-0010-0000-0000-000005000000}" name="回答"/>
    <tableColumn id="6" xr3:uid="{00000000-0010-0000-0000-000006000000}" name="回答者"/>
    <tableColumn id="7" xr3:uid="{00000000-0010-0000-0000-000007000000}" name="実施状況"/>
    <tableColumn id="8" xr3:uid="{00000000-0010-0000-0000-000008000000}" name="根拠資料"/>
    <tableColumn id="9" xr3:uid="{00000000-0010-0000-0000-000009000000}" name="追加確認・不明点"/>
    <tableColumn id="10" xr3:uid="{00000000-0010-0000-0000-00000A000000}" name="現行／将来"/>
    <tableColumn id="11" xr3:uid="{00000000-0010-0000-0000-00000B000000}" name="Excel反映先"/>
  </tableColumns>
  <tableStyleInfo name="U-SLIM質問票-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x:/s/TEC_U-SLIM879/IQBTWsJ6b98-T5vYd1bnEOCoAQhOMA46qNfEJZ2qd56afuQ?e=UNohqv&amp;nav=MTVfe0JDOTBEQTI5LUU2MjMtNEQyQy1BODYxLTgwMEJDNjhEMDNCRn0" TargetMode="External"/><Relationship Id="rId3" Type="http://schemas.openxmlformats.org/officeDocument/2006/relationships/hyperlink" Target="../../../../../../../../../../../:x:/s/TEC_U-SLIM879/IQBTWsJ6b98-T5vYd1bnEOCoAQhOMA46qNfEJZ2qd56afuQ?e=UNohqv&amp;nav=MTVfe0JDOTBEQTI5LUU2MjMtNEQyQy1BODYxLTgwMEJDNjhEMDNCRn0" TargetMode="External"/><Relationship Id="rId7" Type="http://schemas.openxmlformats.org/officeDocument/2006/relationships/hyperlink" Target="../../../../../../../../../../../:x:/s/TEC_U-SLIM879/IQBTWsJ6b98-T5vYd1bnEOCoAQhOMA46qNfEJZ2qd56afuQ?e=UNohqv&amp;nav=MTVfe0JDOTBEQTI5LUU2MjMtNEQyQy1BODYxLTgwMEJDNjhEMDNCRn0" TargetMode="External"/><Relationship Id="rId12" Type="http://schemas.openxmlformats.org/officeDocument/2006/relationships/comments" Target="../comments1.xml"/><Relationship Id="rId2" Type="http://schemas.openxmlformats.org/officeDocument/2006/relationships/hyperlink" Target="../../../../../../../../../../../:x:/s/TEC_U-SLIM879/IQBTWsJ6b98-T5vYd1bnEOCoAQhOMA46qNfEJZ2qd56afuQ?e=UNohqv&amp;nav=MTVfe0JDOTBEQTI5LUU2MjMtNEQyQy1BODYxLTgwMEJDNjhEMDNCRn0" TargetMode="External"/><Relationship Id="rId1" Type="http://schemas.openxmlformats.org/officeDocument/2006/relationships/hyperlink" Target="../../../../../../../../../../../:x:/s/TEC_U-SLIM879/IQBTWsJ6b98-T5vYd1bnEOCoAQhOMA46qNfEJZ2qd56afuQ?e=UNohqv&amp;nav=MTVfe0JDOTBEQTI5LUU2MjMtNEQyQy1BODYxLTgwMEJDNjhEMDNCRn0" TargetMode="External"/><Relationship Id="rId6" Type="http://schemas.openxmlformats.org/officeDocument/2006/relationships/hyperlink" Target="../../../../../../../../../../../:x:/s/TEC_U-SLIM879/IQBTWsJ6b98-T5vYd1bnEOCoAQhOMA46qNfEJZ2qd56afuQ?e=UNohqv&amp;nav=MTVfe0JDOTBEQTI5LUU2MjMtNEQyQy1BODYxLTgwMEJDNjhEMDNCRn0" TargetMode="External"/><Relationship Id="rId11" Type="http://schemas.openxmlformats.org/officeDocument/2006/relationships/vmlDrawing" Target="../drawings/vmlDrawing1.vml"/><Relationship Id="rId5" Type="http://schemas.openxmlformats.org/officeDocument/2006/relationships/hyperlink" Target="../../../../../../../../../../../:x:/s/TEC_U-SLIM879/IQBTWsJ6b98-T5vYd1bnEOCoAQhOMA46qNfEJZ2qd56afuQ?e=UNohqv&amp;nav=MTVfe0JDOTBEQTI5LUU2MjMtNEQyQy1BODYxLTgwMEJDNjhEMDNCRn0" TargetMode="External"/><Relationship Id="rId10" Type="http://schemas.openxmlformats.org/officeDocument/2006/relationships/hyperlink" Target="../../../../../../../../../../../:x:/s/TEC_U-SLIM879/IQBTWsJ6b98-T5vYd1bnEOCoAQhOMA46qNfEJZ2qd56afuQ?e=UNohqv&amp;nav=MTVfe0JDOTBEQTI5LUU2MjMtNEQyQy1BODYxLTgwMEJDNjhEMDNCRn0" TargetMode="External"/><Relationship Id="rId4" Type="http://schemas.openxmlformats.org/officeDocument/2006/relationships/hyperlink" Target="../../../../../../../../../../../:x:/s/TEC_U-SLIM879/IQBTWsJ6b98-T5vYd1bnEOCoAQhOMA46qNfEJZ2qd56afuQ?e=UNohqv&amp;nav=MTVfe0JDOTBEQTI5LUU2MjMtNEQyQy1BODYxLTgwMEJDNjhEMDNCRn0" TargetMode="External"/><Relationship Id="rId9" Type="http://schemas.openxmlformats.org/officeDocument/2006/relationships/hyperlink" Target="../../../../../../../../../../../:x:/s/TEC_U-SLIM879/IQBTWsJ6b98-T5vYd1bnEOCoAQhOMA46qNfEJZ2qd56afuQ?e=UNohqv&amp;nav=MTVfe0JDOTBEQTI5LUU2MjMtNEQyQy1BODYxLTgwMEJDNjhEMDNCRn0"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x:/s/TEC_U-SLIM879/IQBTWsJ6b98-T5vYd1bnEOCoAQhOMA46qNfEJZ2qd56afuQ?e=UNohqv&amp;nav=MTVfe0JDOTBEQTI5LUU2MjMtNEQyQy1BODYxLTgwMEJDNjhEMDNCRn0" TargetMode="External"/><Relationship Id="rId3" Type="http://schemas.openxmlformats.org/officeDocument/2006/relationships/hyperlink" Target="../../../../../../../../../../../:x:/s/TEC_U-SLIM879/IQBTWsJ6b98-T5vYd1bnEOCoAQhOMA46qNfEJZ2qd56afuQ?e=UNohqv&amp;nav=MTVfe0JDOTBEQTI5LUU2MjMtNEQyQy1BODYxLTgwMEJDNjhEMDNCRn0" TargetMode="External"/><Relationship Id="rId7" Type="http://schemas.openxmlformats.org/officeDocument/2006/relationships/hyperlink" Target="../../../../../../../../../../../:x:/s/TEC_U-SLIM879/IQBTWsJ6b98-T5vYd1bnEOCoAQhOMA46qNfEJZ2qd56afuQ?e=UNohqv&amp;nav=MTVfe0JDOTBEQTI5LUU2MjMtNEQyQy1BODYxLTgwMEJDNjhEMDNCRn0" TargetMode="External"/><Relationship Id="rId12" Type="http://schemas.openxmlformats.org/officeDocument/2006/relationships/comments" Target="../comments2.xml"/><Relationship Id="rId2" Type="http://schemas.openxmlformats.org/officeDocument/2006/relationships/hyperlink" Target="../../../../../../../../../../../:x:/s/TEC_U-SLIM879/IQBTWsJ6b98-T5vYd1bnEOCoAQhOMA46qNfEJZ2qd56afuQ?e=UNohqv&amp;nav=MTVfe0JDOTBEQTI5LUU2MjMtNEQyQy1BODYxLTgwMEJDNjhEMDNCRn0" TargetMode="External"/><Relationship Id="rId1" Type="http://schemas.openxmlformats.org/officeDocument/2006/relationships/hyperlink" Target="../../../../../../../../../../../:x:/s/TEC_U-SLIM879/IQBTWsJ6b98-T5vYd1bnEOCoAQhOMA46qNfEJZ2qd56afuQ?e=UNohqv&amp;nav=MTVfe0JDOTBEQTI5LUU2MjMtNEQyQy1BODYxLTgwMEJDNjhEMDNCRn0" TargetMode="External"/><Relationship Id="rId6" Type="http://schemas.openxmlformats.org/officeDocument/2006/relationships/hyperlink" Target="../../../../../../../../../../../:x:/s/TEC_U-SLIM879/IQBTWsJ6b98-T5vYd1bnEOCoAQhOMA46qNfEJZ2qd56afuQ?e=UNohqv&amp;nav=MTVfe0JDOTBEQTI5LUU2MjMtNEQyQy1BODYxLTgwMEJDNjhEMDNCRn0" TargetMode="External"/><Relationship Id="rId11" Type="http://schemas.openxmlformats.org/officeDocument/2006/relationships/vmlDrawing" Target="../drawings/vmlDrawing2.vml"/><Relationship Id="rId5" Type="http://schemas.openxmlformats.org/officeDocument/2006/relationships/hyperlink" Target="../../../../../../../../../../../:x:/s/TEC_U-SLIM879/IQBTWsJ6b98-T5vYd1bnEOCoAQhOMA46qNfEJZ2qd56afuQ?e=UNohqv&amp;nav=MTVfe0JDOTBEQTI5LUU2MjMtNEQyQy1BODYxLTgwMEJDNjhEMDNCRn0" TargetMode="External"/><Relationship Id="rId10" Type="http://schemas.openxmlformats.org/officeDocument/2006/relationships/hyperlink" Target="../../../../../../../../../../../:x:/s/TEC_U-SLIM879/IQBTWsJ6b98-T5vYd1bnEOCoAQhOMA46qNfEJZ2qd56afuQ?e=UNohqv&amp;nav=MTVfe0JDOTBEQTI5LUU2MjMtNEQyQy1BODYxLTgwMEJDNjhEMDNCRn0" TargetMode="External"/><Relationship Id="rId4" Type="http://schemas.openxmlformats.org/officeDocument/2006/relationships/hyperlink" Target="../../../../../../../../../../../:x:/s/TEC_U-SLIM879/IQBTWsJ6b98-T5vYd1bnEOCoAQhOMA46qNfEJZ2qd56afuQ?e=UNohqv&amp;nav=MTVfe0JDOTBEQTI5LUU2MjMtNEQyQy1BODYxLTgwMEJDNjhEMDNCRn0" TargetMode="External"/><Relationship Id="rId9" Type="http://schemas.openxmlformats.org/officeDocument/2006/relationships/hyperlink" Target="../../../../../../../../../../../:x:/s/TEC_U-SLIM879/IQBTWsJ6b98-T5vYd1bnEOCoAQhOMA46qNfEJZ2qd56afuQ?e=UNohqv&amp;nav=MTVfe0JDOTBEQTI5LUU2MjMtNEQyQy1BODYxLTgwMEJDNjhEMDNCRn0" TargetMode="External"/></Relationships>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10_%E3%83%87%E3%83%BC%E3%82%BF%E6%B4%BB%E7%94%A8%E5%9F%BA%E7%9B%A4/%E4%BC%91%E6%97%A5%E5%AF%BE%E5%BF%9C%E3%82%A8%E3%82%B9%E3%82%AB%E3%83%AC%E3%83%BC%E3%82%B7%E3%83%A7%E3%83%B3%E3%83%95%E3%83%AD%E3%83%BC.pptx?web=1&amp;isSPOFile=1&amp;xsdata=MDV8MDJ8fDk0ZDY3MDVjMGFlNDQ3Yjg4YmY1MDhkZTkxMjcxODYyfGE3YTgxYzE5YTI3MzQ0ZTE5NjkzYjExMGIzYjYzY2E5fDB8MHw2MzkxMDc3OTQyMzIwNTI3MjV8VW5rbm93bnxWR1ZoYlhOVFpXTjFjbWwwZVZObGNuWnBZMlY4ZXlKRFFTSTZJbFJsWVcxelgwRlVVRk5sY25acFkyVmZVMUJQVEU5R0lpd2lWaUk2SWpBdU1DNHdNREF3SWl3aVVDSTZJbGRwYmpNeUlpd2lRVTRpT2lKUGRHaGxjaUlzSWxkVUlqb3hNWDA9fDF8TDJOb1lYUnpMekU1T21NMFltTmhaakF6TVRoall6UTVNakppTmpRMk5qSXhNVEkzWlRkbU1HVm1RSFJvY21WaFpDNTJNaTl0WlhOellXZGxjeTh4TnpjMU1UZ3lOVGt3T0RNMXxjMmZkOGVhM2EyNmI0YjVlMWZjZDA4ZGU5MTI3MTg2MnxjZjZhZTVkYmY3NDA0Yzg3YmVmOTFmZWM3OTlmNDVjYw%3D%3D&amp;sdata=RkdCTDBkVjZGbFRseHViMzY2QWEvTUczYUR1Yko0WnJyb1cwZm5Lb3dhST0%3D&amp;ovuser=a7a81c19-a273-44e1-9693-b110b3b63ca9%2Ctakumi_kimura_za%40toyotec-jp.com" TargetMode="External"/><Relationship Id="rId7" Type="http://schemas.openxmlformats.org/officeDocument/2006/relationships/hyperlink" Target="../../../../../../../../../../../:x:/s/TEC_U-SLIM879/IQC5j8GHNqQARIznp9j16hPiASLSPL365SztodBHLw9y_OU?e=tfZ6po" TargetMode="External"/><Relationship Id="rId2" Type="http://schemas.openxmlformats.org/officeDocument/2006/relationships/hyperlink" Target="../../../../../../../../../../../:f:/s/TEC_U-SLIM879/IgAV4DCPNNbITpyONL-CtkvyAblGOW5CiBusXoi60A-MeVQ?e=7cPy3K%0a03_WEB&#21270;&#23550;&#24540;%0a07_&#36009;&#22770;&#24215;&#12539;&#32076;&#21942;&#23652;&#21521;&#12369;PBI&#12539;WEB%0a06_&#23455;&#32318;&#12480;&#12483;&#12471;&#12517;&#12508;&#12540;&#12489;" TargetMode="External"/><Relationship Id="rId1" Type="http://schemas.openxmlformats.org/officeDocument/2006/relationships/hyperlink" Target="../../../../../../../../../../../:p:/s/TEC_U-SLIM879/IQBpHyVY05CWS7K7H6rDTSRYAZIVoKi-kFtuCoMtZ5YdTpI?e=3r0WCc" TargetMode="External"/><Relationship Id="rId6" Type="http://schemas.openxmlformats.org/officeDocument/2006/relationships/hyperlink" Target="../../../../../../../../../../../:x:/s/TEC_U-SLIM879/IQC5j8GHNqQARIznp9j16hPiASLSPL365SztodBHLw9y_OU?e=tfZ6po" TargetMode="External"/><Relationship Id="rId5" Type="http://schemas.openxmlformats.org/officeDocument/2006/relationships/hyperlink" Target="../../../../../../../10_%E3%83%87%E3%83%BC%E3%82%BF%E6%B4%BB%E7%94%A8%E5%9F%BA%E7%9B%A4/%E4%BC%91%E6%97%A5%E5%AF%BE%E5%BF%9C%E3%82%A8%E3%82%B9%E3%82%AB%E3%83%AC%E3%83%BC%E3%82%B7%E3%83%A7%E3%83%B3%E3%83%95%E3%83%AD%E3%83%BC.pptx?web=1&amp;isSPOFile=1&amp;xsdata=MDV8MDJ8fDk0ZDY3MDVjMGFlNDQ3Yjg4YmY1MDhkZTkxMjcxODYyfGE3YTgxYzE5YTI3MzQ0ZTE5NjkzYjExMGIzYjYzY2E5fDB8MHw2MzkxMDc3OTQyMzIwNTI3MjV8VW5rbm93bnxWR1ZoYlhOVFpXTjFjbWwwZVZObGNuWnBZMlY4ZXlKRFFTSTZJbFJsWVcxelgwRlVVRk5sY25acFkyVmZVMUJQVEU5R0lpd2lWaUk2SWpBdU1DNHdNREF3SWl3aVVDSTZJbGRwYmpNeUlpd2lRVTRpT2lKUGRHaGxjaUlzSWxkVUlqb3hNWDA9fDF8TDJOb1lYUnpMekU1T21NMFltTmhaakF6TVRoall6UTVNakppTmpRMk5qSXhNVEkzWlRkbU1HVm1RSFJvY21WaFpDNTJNaTl0WlhOellXZGxjeTh4TnpjMU1UZ3lOVGt3T0RNMXxjMmZkOGVhM2EyNmI0YjVlMWZjZDA4ZGU5MTI3MTg2MnxjZjZhZTVkYmY3NDA0Yzg3YmVmOTFmZWM3OTlmNDVjYw%3D%3D&amp;sdata=RkdCTDBkVjZGbFRseHViMzY2QWEvTUczYUR1Yko0WnJyb1cwZm5Lb3dhST0%3D&amp;ovuser=a7a81c19-a273-44e1-9693-b110b3b63ca9%2Ctakumi_kimura_za%40toyotec-jp.com" TargetMode="External"/><Relationship Id="rId4" Type="http://schemas.openxmlformats.org/officeDocument/2006/relationships/hyperlink" Target="../../../../../../../10_%E3%83%87%E3%83%BC%E3%82%BF%E6%B4%BB%E7%94%A8%E5%9F%BA%E7%9B%A4/%E4%BC%91%E6%97%A5%E5%AF%BE%E5%BF%9C%E3%82%A8%E3%82%B9%E3%82%AB%E3%83%AC%E3%83%BC%E3%82%B7%E3%83%A7%E3%83%B3%E3%83%95%E3%83%AD%E3%83%BC.pptx?web=1&amp;isSPOFile=1&amp;xsdata=MDV8MDJ8fDk0ZDY3MDVjMGFlNDQ3Yjg4YmY1MDhkZTkxMjcxODYyfGE3YTgxYzE5YTI3MzQ0ZTE5NjkzYjExMGIzYjYzY2E5fDB8MHw2MzkxMDc3OTQyMzIwNTI3MjV8VW5rbm93bnxWR1ZoYlhOVFpXTjFjbWwwZVZObGNuWnBZMlY4ZXlKRFFTSTZJbFJsWVcxelgwRlVVRk5sY25acFkyVmZVMUJQVEU5R0lpd2lWaUk2SWpBdU1DNHdNREF3SWl3aVVDSTZJbGRwYmpNeUlpd2lRVTRpT2lKUGRHaGxjaUlzSWxkVUlqb3hNWDA9fDF8TDJOb1lYUnpMekU1T21NMFltTmhaakF6TVRoall6UTVNakppTmpRMk5qSXhNVEkzWlRkbU1HVm1RSFJvY21WaFpDNTJNaTl0WlhOellXZGxjeTh4TnpjMU1UZ3lOVGt3T0RNMXxjMmZkOGVhM2EyNmI0YjVlMWZjZDA4ZGU5MTI3MTg2MnxjZjZhZTVkYmY3NDA0Yzg3YmVmOTFmZWM3OTlmNDVjYw%3D%3D&amp;sdata=RkdCTDBkVjZGbFRseHViMzY2QWEvTUczYUR1Yko0WnJyb1cwZm5Lb3dhST0%3D&amp;ovuser=a7a81c19-a273-44e1-9693-b110b3b63ca9%2Ctakumi_kimura_za%40toyotec-jp.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EA3-5B60-4C18-927F-49C6DBCC9B7E}">
  <dimension ref="A2:BW16"/>
  <sheetViews>
    <sheetView showGridLines="0" tabSelected="1" zoomScale="55" zoomScaleNormal="55" workbookViewId="0">
      <pane xSplit="4" ySplit="13" topLeftCell="E14" activePane="bottomRight" state="frozen"/>
      <selection pane="bottomRight" activeCell="H16" sqref="H16"/>
      <selection pane="bottomLeft" activeCell="A13" sqref="A13"/>
      <selection pane="topRight" activeCell="E1" sqref="E1"/>
    </sheetView>
  </sheetViews>
  <sheetFormatPr defaultColWidth="13.25" defaultRowHeight="15" customHeight="1" outlineLevelCol="1"/>
  <cols>
    <col min="1" max="1" width="8.25" style="48" customWidth="1"/>
    <col min="2" max="2" width="28.125" style="48" customWidth="1"/>
    <col min="3" max="3" width="45.375" style="48" customWidth="1"/>
    <col min="4" max="4" width="31.875" style="48" customWidth="1"/>
    <col min="5" max="5" width="42" style="48" customWidth="1"/>
    <col min="6" max="6" width="29.875" style="48" customWidth="1"/>
    <col min="7" max="7" width="61" style="48" customWidth="1"/>
    <col min="8" max="8" width="20.25" style="48" customWidth="1"/>
    <col min="9" max="9" width="27.25" style="48" customWidth="1"/>
    <col min="10" max="11" width="13.25" style="48" customWidth="1"/>
    <col min="12" max="12" width="19.5" style="48" customWidth="1"/>
    <col min="13" max="13" width="11.375" style="48" customWidth="1"/>
    <col min="14" max="14" width="12.375" style="48" customWidth="1"/>
    <col min="15" max="16" width="11.875" style="48" customWidth="1"/>
    <col min="17" max="17" width="19.5" style="48" customWidth="1"/>
    <col min="18" max="18" width="11.875" style="48" customWidth="1"/>
    <col min="19" max="21" width="12.375" style="48" customWidth="1"/>
    <col min="22" max="22" width="21.125" style="48" customWidth="1"/>
    <col min="23" max="23" width="12.375" style="48" customWidth="1"/>
    <col min="24" max="24" width="12.625" style="48" customWidth="1"/>
    <col min="25" max="25" width="7.125" style="48" customWidth="1"/>
    <col min="26" max="26" width="57.75" style="48" customWidth="1"/>
    <col min="27" max="27" width="26.125" style="48" customWidth="1" outlineLevel="1"/>
    <col min="28" max="28" width="15.375" style="48" customWidth="1" outlineLevel="1"/>
    <col min="29" max="29" width="26.25" style="48" customWidth="1" outlineLevel="1"/>
    <col min="30" max="30" width="7.125" style="48" customWidth="1" outlineLevel="1"/>
    <col min="31" max="31" width="15.375" style="48" customWidth="1" outlineLevel="1"/>
    <col min="32" max="32" width="23.875" style="48" customWidth="1" outlineLevel="1"/>
    <col min="33" max="33" width="15.375" style="48" customWidth="1" outlineLevel="1"/>
    <col min="34" max="34" width="18.375" style="48" customWidth="1" outlineLevel="1"/>
    <col min="35" max="35" width="7.125" style="48" customWidth="1" outlineLevel="1"/>
    <col min="36" max="36" width="15.375" style="48" customWidth="1" outlineLevel="1"/>
    <col min="37" max="37" width="23.875" style="48" customWidth="1" outlineLevel="1"/>
    <col min="38" max="38" width="15.375" style="48" customWidth="1" outlineLevel="1"/>
    <col min="39" max="39" width="18.375" style="48" customWidth="1" outlineLevel="1"/>
    <col min="40" max="40" width="7.125" style="48" customWidth="1" outlineLevel="1"/>
    <col min="41" max="41" width="15.375" style="48" customWidth="1" outlineLevel="1"/>
    <col min="42" max="42" width="23.875" style="48" customWidth="1" outlineLevel="1"/>
    <col min="43" max="43" width="15.375" style="48" customWidth="1" outlineLevel="1"/>
    <col min="44" max="44" width="18.375" style="48" customWidth="1" outlineLevel="1"/>
    <col min="45" max="45" width="7.125" style="48" customWidth="1" outlineLevel="1"/>
    <col min="46" max="46" width="15.375" style="48" customWidth="1" outlineLevel="1"/>
    <col min="47" max="47" width="7.125" style="48" customWidth="1" outlineLevel="1"/>
    <col min="48" max="48" width="13.25" style="48" customWidth="1"/>
    <col min="49" max="49" width="51.5" style="48" customWidth="1"/>
    <col min="50" max="50" width="48.125" style="48" customWidth="1"/>
    <col min="51" max="51" width="52.625" style="48" customWidth="1"/>
    <col min="52" max="52" width="48.75" style="48" customWidth="1"/>
    <col min="53" max="55" width="12.375" style="48" customWidth="1"/>
    <col min="56" max="59" width="18.75" style="48" customWidth="1"/>
    <col min="60" max="60" width="12.375" style="48" customWidth="1"/>
    <col min="61" max="61" width="23" style="48" customWidth="1"/>
    <col min="62" max="62" width="21.625" style="48" customWidth="1"/>
    <col min="63" max="63" width="18.875" style="48" customWidth="1"/>
    <col min="64" max="64" width="21.625" style="48" customWidth="1"/>
    <col min="65" max="65" width="12.375" style="48" customWidth="1"/>
    <col min="66" max="69" width="18.75" style="48" customWidth="1"/>
    <col min="70" max="70" width="19.25" style="48" customWidth="1"/>
    <col min="71" max="74" width="20.625" style="48" customWidth="1"/>
    <col min="75" max="75" width="20.875" style="48" customWidth="1"/>
    <col min="76" max="76" width="21.5" style="48" customWidth="1"/>
    <col min="77" max="80" width="20.125" style="48" customWidth="1"/>
    <col min="81" max="16383" width="9" style="48"/>
    <col min="16384" max="16384" width="13.25" style="48" bestFit="1" customWidth="1"/>
  </cols>
  <sheetData>
    <row r="2" spans="1:75" ht="20.45">
      <c r="B2" s="49" t="s">
        <v>0</v>
      </c>
      <c r="E2" s="50"/>
      <c r="Y2" s="51" t="s">
        <v>1</v>
      </c>
      <c r="Z2" s="52"/>
      <c r="AA2" s="53"/>
      <c r="AB2" s="53"/>
      <c r="AC2" s="53"/>
      <c r="AD2" s="52"/>
      <c r="AE2" s="53"/>
      <c r="AF2" s="53"/>
      <c r="AG2" s="53"/>
      <c r="AH2" s="52"/>
      <c r="AI2" s="52"/>
      <c r="AJ2" s="52"/>
      <c r="AK2" s="53"/>
      <c r="AL2" s="53"/>
      <c r="AM2" s="52"/>
      <c r="AN2" s="52"/>
      <c r="AO2" s="52"/>
      <c r="AP2" s="53"/>
      <c r="AQ2" s="52"/>
      <c r="AR2" s="52"/>
      <c r="AS2" s="52"/>
      <c r="AT2" s="52"/>
      <c r="AU2" s="52"/>
      <c r="BA2" s="54"/>
      <c r="BB2" s="54"/>
      <c r="BC2" s="54"/>
      <c r="BD2" s="54"/>
      <c r="BE2" s="54"/>
      <c r="BF2" s="54"/>
      <c r="BG2" s="54"/>
      <c r="BH2" s="54"/>
      <c r="BI2" s="54"/>
      <c r="BJ2" s="54"/>
      <c r="BK2" s="54"/>
      <c r="BL2" s="54"/>
      <c r="BM2" s="54"/>
      <c r="BN2" s="54"/>
      <c r="BO2" s="54"/>
      <c r="BP2" s="54"/>
      <c r="BQ2" s="54"/>
      <c r="BR2" s="54"/>
      <c r="BS2" s="54"/>
      <c r="BT2" s="54"/>
      <c r="BU2" s="54"/>
      <c r="BV2" s="54"/>
    </row>
    <row r="3" spans="1:75" ht="16.5" customHeight="1">
      <c r="B3" s="49" t="s">
        <v>2</v>
      </c>
      <c r="E3" s="50"/>
      <c r="Y3" s="55" t="s">
        <v>3</v>
      </c>
      <c r="Z3" s="52"/>
      <c r="AA3" s="53"/>
      <c r="AB3" s="53"/>
      <c r="AC3" s="53"/>
      <c r="AD3" s="52"/>
      <c r="AE3" s="53"/>
      <c r="AF3" s="53"/>
      <c r="AG3" s="53"/>
      <c r="AH3" s="52"/>
      <c r="AI3" s="52"/>
      <c r="AJ3" s="52"/>
      <c r="AK3" s="53"/>
      <c r="AL3" s="53"/>
      <c r="AM3" s="52"/>
      <c r="AN3" s="52"/>
      <c r="AO3" s="52"/>
      <c r="AP3" s="53"/>
      <c r="AQ3" s="52"/>
      <c r="AR3" s="52"/>
      <c r="AS3" s="52"/>
      <c r="AT3" s="52"/>
      <c r="AU3" s="52"/>
      <c r="BA3" s="54"/>
      <c r="BB3" s="54"/>
      <c r="BC3" s="54"/>
      <c r="BD3" s="54"/>
      <c r="BE3" s="54"/>
      <c r="BF3" s="54"/>
      <c r="BG3" s="54"/>
      <c r="BH3" s="54"/>
      <c r="BI3" s="54"/>
      <c r="BJ3" s="54"/>
      <c r="BK3" s="54"/>
      <c r="BL3" s="54"/>
      <c r="BM3" s="54"/>
      <c r="BN3" s="54"/>
      <c r="BO3" s="54"/>
      <c r="BP3" s="54"/>
      <c r="BQ3" s="54"/>
      <c r="BR3" s="54"/>
      <c r="BS3" s="54"/>
      <c r="BT3" s="54"/>
      <c r="BU3" s="54"/>
      <c r="BV3" s="54"/>
    </row>
    <row r="4" spans="1:75" ht="20.25" customHeight="1">
      <c r="B4" s="257" t="s">
        <v>4</v>
      </c>
      <c r="C4" s="257"/>
      <c r="D4" s="257"/>
      <c r="E4" s="257"/>
      <c r="F4" s="56"/>
      <c r="G4" s="56"/>
      <c r="H4" s="56"/>
      <c r="I4" s="56"/>
      <c r="J4" s="56"/>
      <c r="K4" s="56"/>
      <c r="L4" s="56"/>
      <c r="M4" s="56"/>
      <c r="N4" s="56"/>
      <c r="O4" s="56"/>
      <c r="P4" s="56"/>
      <c r="Q4" s="56"/>
      <c r="R4" s="56"/>
      <c r="S4" s="56"/>
      <c r="T4" s="56"/>
      <c r="U4" s="56"/>
      <c r="V4" s="56"/>
      <c r="W4" s="56"/>
      <c r="X4" s="56"/>
      <c r="Y4" s="51" t="s">
        <v>5</v>
      </c>
      <c r="Z4" s="56"/>
      <c r="AA4" s="57"/>
      <c r="AB4" s="57"/>
      <c r="AC4" s="57"/>
      <c r="AD4" s="56"/>
      <c r="AE4" s="57"/>
      <c r="AF4" s="57"/>
      <c r="AG4" s="57"/>
      <c r="AH4" s="56"/>
      <c r="AI4" s="56"/>
      <c r="AJ4" s="56"/>
      <c r="AK4" s="57"/>
      <c r="AL4" s="57"/>
      <c r="AM4" s="56"/>
      <c r="AN4" s="56"/>
      <c r="AO4" s="56"/>
      <c r="AP4" s="57"/>
      <c r="AQ4" s="56"/>
      <c r="AR4" s="56"/>
      <c r="AS4" s="56"/>
      <c r="AT4" s="56"/>
      <c r="AU4" s="56"/>
      <c r="AV4" s="56"/>
      <c r="AW4" s="56"/>
      <c r="BA4" s="54"/>
      <c r="BB4" s="54"/>
      <c r="BC4" s="54"/>
      <c r="BD4" s="54"/>
      <c r="BE4" s="54"/>
      <c r="BF4" s="54"/>
      <c r="BG4" s="54"/>
      <c r="BH4" s="54"/>
      <c r="BI4" s="54"/>
      <c r="BJ4" s="54"/>
      <c r="BK4" s="54"/>
      <c r="BL4" s="54"/>
      <c r="BM4" s="54"/>
      <c r="BN4" s="54"/>
      <c r="BO4" s="54"/>
      <c r="BP4" s="54"/>
      <c r="BQ4" s="54"/>
      <c r="BR4" s="54"/>
      <c r="BS4" s="54"/>
      <c r="BT4" s="54"/>
      <c r="BU4" s="54"/>
      <c r="BV4" s="54"/>
    </row>
    <row r="5" spans="1:75" ht="16.5" customHeight="1">
      <c r="A5" s="48" t="s">
        <v>6</v>
      </c>
      <c r="B5" s="257" t="s">
        <v>7</v>
      </c>
      <c r="C5" s="257"/>
      <c r="D5" s="257"/>
      <c r="E5" s="257"/>
      <c r="F5" s="56"/>
      <c r="G5" s="56"/>
      <c r="H5" s="56"/>
      <c r="I5" s="56"/>
      <c r="J5" s="56"/>
      <c r="K5" s="56"/>
      <c r="L5" s="56"/>
      <c r="M5" s="56"/>
      <c r="N5" s="56"/>
      <c r="O5" s="56"/>
      <c r="P5" s="56"/>
      <c r="Q5" s="56"/>
      <c r="R5" s="56"/>
      <c r="S5" s="56"/>
      <c r="T5" s="56"/>
      <c r="U5" s="56"/>
      <c r="V5" s="56"/>
      <c r="W5" s="56"/>
      <c r="X5" s="56"/>
      <c r="Y5" s="55" t="s">
        <v>8</v>
      </c>
      <c r="Z5" s="56"/>
      <c r="AA5" s="57"/>
      <c r="AB5" s="57"/>
      <c r="AC5" s="57"/>
      <c r="AD5" s="56"/>
      <c r="AE5" s="57"/>
      <c r="AF5" s="57"/>
      <c r="AG5" s="57"/>
      <c r="AH5" s="56"/>
      <c r="AI5" s="56"/>
      <c r="AJ5" s="56"/>
      <c r="AK5" s="57"/>
      <c r="AL5" s="57"/>
      <c r="AM5" s="56"/>
      <c r="AN5" s="56"/>
      <c r="AO5" s="56"/>
      <c r="AP5" s="57"/>
      <c r="AQ5" s="56"/>
      <c r="AR5" s="56"/>
      <c r="AS5" s="56"/>
      <c r="AT5" s="56"/>
      <c r="AU5" s="56"/>
      <c r="AV5" s="56"/>
      <c r="AW5" s="56"/>
      <c r="BA5" s="54"/>
      <c r="BB5" s="54"/>
      <c r="BC5" s="54"/>
      <c r="BD5" s="54"/>
      <c r="BE5" s="54"/>
      <c r="BF5" s="54"/>
      <c r="BG5" s="54"/>
      <c r="BH5" s="54"/>
      <c r="BI5" s="54"/>
      <c r="BJ5" s="54"/>
      <c r="BK5" s="54"/>
      <c r="BL5" s="54"/>
      <c r="BM5" s="54"/>
      <c r="BN5" s="54"/>
      <c r="BO5" s="54"/>
      <c r="BP5" s="54"/>
      <c r="BQ5" s="54"/>
      <c r="BR5" s="54"/>
      <c r="BS5" s="54"/>
      <c r="BT5" s="54"/>
      <c r="BU5" s="54"/>
      <c r="BV5" s="54"/>
    </row>
    <row r="6" spans="1:75" ht="16.5" customHeight="1">
      <c r="B6" s="49"/>
      <c r="E6" s="50"/>
      <c r="Y6" s="51" t="s">
        <v>9</v>
      </c>
      <c r="Z6" s="52"/>
      <c r="AA6" s="53"/>
      <c r="AB6" s="53"/>
      <c r="AC6" s="53"/>
      <c r="AD6" s="52"/>
      <c r="AE6" s="53"/>
      <c r="AF6" s="53"/>
      <c r="AG6" s="53"/>
      <c r="AH6" s="52"/>
      <c r="AI6" s="52"/>
      <c r="AJ6" s="52"/>
      <c r="AK6" s="53"/>
      <c r="AL6" s="53"/>
      <c r="AM6" s="52"/>
      <c r="AN6" s="52"/>
      <c r="AO6" s="52"/>
      <c r="AP6" s="53"/>
      <c r="AQ6" s="52"/>
      <c r="AR6" s="52"/>
      <c r="AS6" s="52"/>
      <c r="AT6" s="52"/>
      <c r="AU6" s="52"/>
      <c r="BA6" s="54"/>
      <c r="BB6" s="54"/>
      <c r="BC6" s="54"/>
      <c r="BD6" s="54"/>
      <c r="BE6" s="54"/>
      <c r="BF6" s="54"/>
      <c r="BG6" s="54"/>
      <c r="BH6" s="54"/>
      <c r="BI6" s="54"/>
      <c r="BJ6" s="54"/>
      <c r="BK6" s="54"/>
      <c r="BL6" s="54"/>
      <c r="BM6" s="54"/>
      <c r="BN6" s="54"/>
      <c r="BO6" s="54"/>
      <c r="BP6" s="54"/>
      <c r="BQ6" s="54"/>
      <c r="BR6" s="54"/>
      <c r="BS6" s="54"/>
      <c r="BT6" s="54"/>
      <c r="BU6" s="54"/>
      <c r="BV6" s="54"/>
    </row>
    <row r="7" spans="1:75" ht="16.5" customHeight="1">
      <c r="B7" s="49"/>
      <c r="E7" s="50"/>
      <c r="Y7" s="55" t="s">
        <v>10</v>
      </c>
      <c r="Z7" s="52"/>
      <c r="AA7" s="53"/>
      <c r="AB7" s="53"/>
      <c r="AC7" s="53"/>
      <c r="AD7" s="52"/>
      <c r="AE7" s="53"/>
      <c r="AF7" s="53"/>
      <c r="AG7" s="53"/>
      <c r="AH7" s="52"/>
      <c r="AI7" s="52"/>
      <c r="AJ7" s="52"/>
      <c r="AK7" s="53"/>
      <c r="AL7" s="53"/>
      <c r="AM7" s="52"/>
      <c r="AN7" s="52"/>
      <c r="AO7" s="52"/>
      <c r="AP7" s="53"/>
      <c r="AQ7" s="52"/>
      <c r="AR7" s="52"/>
      <c r="AS7" s="52"/>
      <c r="AT7" s="52"/>
      <c r="AU7" s="52"/>
      <c r="BA7" s="54"/>
      <c r="BB7" s="54"/>
      <c r="BC7" s="54"/>
      <c r="BD7" s="54"/>
      <c r="BE7" s="54"/>
      <c r="BF7" s="54"/>
      <c r="BG7" s="54"/>
      <c r="BH7" s="54"/>
      <c r="BI7" s="54"/>
      <c r="BJ7" s="54"/>
      <c r="BK7" s="54"/>
      <c r="BL7" s="54"/>
      <c r="BM7" s="54"/>
      <c r="BN7" s="54"/>
      <c r="BO7" s="54"/>
      <c r="BP7" s="54"/>
      <c r="BQ7" s="54"/>
      <c r="BR7" s="54"/>
      <c r="BS7" s="54"/>
      <c r="BT7" s="54"/>
      <c r="BU7" s="54"/>
      <c r="BV7" s="54"/>
    </row>
    <row r="8" spans="1:75" ht="16.5" customHeight="1">
      <c r="B8" s="49"/>
      <c r="E8" s="50"/>
      <c r="Y8" s="51"/>
      <c r="Z8" s="52"/>
      <c r="AA8" s="53"/>
      <c r="AB8" s="53"/>
      <c r="AC8" s="53"/>
      <c r="AD8" s="52"/>
      <c r="AE8" s="53"/>
      <c r="AF8" s="53"/>
      <c r="AG8" s="53"/>
      <c r="AH8" s="52"/>
      <c r="AI8" s="52"/>
      <c r="AJ8" s="52"/>
      <c r="AK8" s="53"/>
      <c r="AL8" s="53"/>
      <c r="AM8" s="52"/>
      <c r="AN8" s="52"/>
      <c r="AO8" s="52"/>
      <c r="AP8" s="53"/>
      <c r="AQ8" s="52"/>
      <c r="AR8" s="52"/>
      <c r="AS8" s="52"/>
      <c r="AT8" s="52"/>
      <c r="AU8" s="52"/>
      <c r="BA8" s="54"/>
      <c r="BB8" s="54"/>
      <c r="BC8" s="54"/>
      <c r="BD8" s="54"/>
      <c r="BE8" s="54"/>
      <c r="BF8" s="54"/>
      <c r="BG8" s="54"/>
      <c r="BH8" s="54"/>
      <c r="BI8" s="54"/>
      <c r="BJ8" s="54"/>
      <c r="BK8" s="54"/>
      <c r="BL8" s="54"/>
      <c r="BM8" s="54"/>
      <c r="BN8" s="54"/>
      <c r="BO8" s="54"/>
      <c r="BP8" s="54"/>
      <c r="BQ8" s="54"/>
      <c r="BR8" s="54"/>
      <c r="BS8" s="54"/>
      <c r="BT8" s="54"/>
      <c r="BU8" s="54"/>
      <c r="BV8" s="54"/>
    </row>
    <row r="9" spans="1:75" ht="16.5" customHeight="1">
      <c r="B9" s="258" t="s">
        <v>11</v>
      </c>
      <c r="C9" s="294"/>
      <c r="D9" s="295"/>
      <c r="E9" s="259" t="s">
        <v>12</v>
      </c>
      <c r="F9" s="294"/>
      <c r="G9" s="294"/>
      <c r="H9" s="294"/>
      <c r="I9" s="294"/>
      <c r="J9" s="294"/>
      <c r="K9" s="294"/>
      <c r="L9" s="294"/>
      <c r="M9" s="294"/>
      <c r="N9" s="294"/>
      <c r="O9" s="294"/>
      <c r="P9" s="294"/>
      <c r="Q9" s="294"/>
      <c r="R9" s="294"/>
      <c r="S9" s="294"/>
      <c r="T9" s="294"/>
      <c r="U9" s="294"/>
      <c r="V9" s="294"/>
      <c r="W9" s="294"/>
      <c r="X9" s="294"/>
      <c r="Y9" s="294"/>
      <c r="Z9" s="295"/>
      <c r="AA9" s="259" t="s">
        <v>13</v>
      </c>
      <c r="AB9" s="294"/>
      <c r="AC9" s="294"/>
      <c r="AD9" s="294"/>
      <c r="AE9" s="294"/>
      <c r="AF9" s="294"/>
      <c r="AG9" s="294"/>
      <c r="AH9" s="294"/>
      <c r="AI9" s="294"/>
      <c r="AJ9" s="294"/>
      <c r="AK9" s="294"/>
      <c r="AL9" s="294"/>
      <c r="AM9" s="294"/>
      <c r="AN9" s="294"/>
      <c r="AO9" s="294"/>
      <c r="AP9" s="294"/>
      <c r="AQ9" s="294"/>
      <c r="AR9" s="294"/>
      <c r="AS9" s="294"/>
      <c r="AT9" s="294"/>
      <c r="AU9" s="294"/>
      <c r="AV9" s="255" t="s">
        <v>14</v>
      </c>
      <c r="AW9" s="294"/>
      <c r="AX9" s="294"/>
      <c r="AY9" s="294"/>
      <c r="AZ9" s="295"/>
      <c r="BA9" s="252" t="s">
        <v>15</v>
      </c>
      <c r="BB9" s="296"/>
      <c r="BC9" s="296"/>
      <c r="BD9" s="296"/>
      <c r="BE9" s="296"/>
      <c r="BF9" s="296"/>
      <c r="BG9" s="296"/>
      <c r="BH9" s="296"/>
      <c r="BI9" s="296"/>
      <c r="BJ9" s="296"/>
      <c r="BK9" s="296"/>
      <c r="BL9" s="296"/>
      <c r="BM9" s="296"/>
      <c r="BN9" s="296"/>
      <c r="BO9" s="296"/>
      <c r="BP9" s="296"/>
      <c r="BQ9" s="296"/>
      <c r="BR9" s="296"/>
      <c r="BS9" s="296"/>
      <c r="BT9" s="296"/>
      <c r="BU9" s="296"/>
      <c r="BV9" s="296"/>
      <c r="BW9" s="297"/>
    </row>
    <row r="10" spans="1:75" ht="16.5" customHeight="1">
      <c r="B10" s="58" t="s">
        <v>16</v>
      </c>
      <c r="C10" s="59" t="s">
        <v>17</v>
      </c>
      <c r="D10" s="60" t="s">
        <v>18</v>
      </c>
      <c r="E10" s="253" t="s">
        <v>19</v>
      </c>
      <c r="F10" s="298"/>
      <c r="G10" s="298"/>
      <c r="H10" s="298"/>
      <c r="I10" s="298"/>
      <c r="J10" s="253" t="s">
        <v>20</v>
      </c>
      <c r="K10" s="298"/>
      <c r="L10" s="298"/>
      <c r="M10" s="298"/>
      <c r="N10" s="299"/>
      <c r="O10" s="253" t="s">
        <v>21</v>
      </c>
      <c r="P10" s="298"/>
      <c r="Q10" s="298"/>
      <c r="R10" s="298"/>
      <c r="S10" s="298"/>
      <c r="T10" s="253" t="s">
        <v>22</v>
      </c>
      <c r="U10" s="298"/>
      <c r="V10" s="298"/>
      <c r="W10" s="298"/>
      <c r="X10" s="298"/>
      <c r="Y10" s="254" t="s">
        <v>23</v>
      </c>
      <c r="Z10" s="299"/>
      <c r="AA10" s="253" t="s">
        <v>19</v>
      </c>
      <c r="AB10" s="298"/>
      <c r="AC10" s="298"/>
      <c r="AD10" s="298"/>
      <c r="AE10" s="298"/>
      <c r="AF10" s="253" t="s">
        <v>20</v>
      </c>
      <c r="AG10" s="298"/>
      <c r="AH10" s="298"/>
      <c r="AI10" s="298"/>
      <c r="AJ10" s="298"/>
      <c r="AK10" s="253" t="s">
        <v>21</v>
      </c>
      <c r="AL10" s="298"/>
      <c r="AM10" s="298"/>
      <c r="AN10" s="298"/>
      <c r="AO10" s="298"/>
      <c r="AP10" s="253" t="s">
        <v>22</v>
      </c>
      <c r="AQ10" s="298"/>
      <c r="AR10" s="298"/>
      <c r="AS10" s="298"/>
      <c r="AT10" s="298"/>
      <c r="AU10" s="61" t="s">
        <v>23</v>
      </c>
      <c r="AV10" s="59" t="s">
        <v>24</v>
      </c>
      <c r="AW10" s="62" t="s">
        <v>25</v>
      </c>
      <c r="AX10" s="63" t="s">
        <v>26</v>
      </c>
      <c r="AY10" s="64" t="s">
        <v>27</v>
      </c>
      <c r="AZ10" s="65" t="s">
        <v>28</v>
      </c>
      <c r="BA10" s="256" t="s">
        <v>29</v>
      </c>
      <c r="BB10" s="299"/>
      <c r="BC10" s="59" t="s">
        <v>30</v>
      </c>
      <c r="BD10" s="251" t="s">
        <v>31</v>
      </c>
      <c r="BE10" s="298"/>
      <c r="BF10" s="298"/>
      <c r="BG10" s="298"/>
      <c r="BH10" s="298"/>
      <c r="BI10" s="298"/>
      <c r="BJ10" s="298"/>
      <c r="BK10" s="298"/>
      <c r="BL10" s="298"/>
      <c r="BM10" s="298"/>
      <c r="BN10" s="298"/>
      <c r="BO10" s="298"/>
      <c r="BP10" s="298"/>
      <c r="BQ10" s="298"/>
      <c r="BR10" s="298"/>
      <c r="BS10" s="298"/>
      <c r="BT10" s="298"/>
      <c r="BU10" s="298"/>
      <c r="BV10" s="298"/>
      <c r="BW10" s="300"/>
    </row>
    <row r="11" spans="1:75" ht="16.5" customHeight="1">
      <c r="B11" s="58" t="s">
        <v>32</v>
      </c>
      <c r="C11" s="67" t="s">
        <v>32</v>
      </c>
      <c r="D11" s="60" t="s">
        <v>32</v>
      </c>
      <c r="E11" s="68" t="s">
        <v>33</v>
      </c>
      <c r="F11" s="69" t="s">
        <v>34</v>
      </c>
      <c r="G11" s="69" t="s">
        <v>35</v>
      </c>
      <c r="H11" s="250" t="s">
        <v>36</v>
      </c>
      <c r="I11" s="298"/>
      <c r="J11" s="71" t="s">
        <v>33</v>
      </c>
      <c r="K11" s="69" t="s">
        <v>34</v>
      </c>
      <c r="L11" s="69" t="s">
        <v>35</v>
      </c>
      <c r="M11" s="250" t="s">
        <v>36</v>
      </c>
      <c r="N11" s="298"/>
      <c r="O11" s="71" t="s">
        <v>33</v>
      </c>
      <c r="P11" s="69" t="s">
        <v>34</v>
      </c>
      <c r="Q11" s="69" t="s">
        <v>35</v>
      </c>
      <c r="R11" s="250" t="s">
        <v>36</v>
      </c>
      <c r="S11" s="298"/>
      <c r="T11" s="71" t="s">
        <v>33</v>
      </c>
      <c r="U11" s="69" t="s">
        <v>34</v>
      </c>
      <c r="V11" s="69" t="s">
        <v>35</v>
      </c>
      <c r="W11" s="250" t="s">
        <v>36</v>
      </c>
      <c r="X11" s="298"/>
      <c r="Y11" s="72" t="s">
        <v>37</v>
      </c>
      <c r="Z11" s="73" t="s">
        <v>38</v>
      </c>
      <c r="AA11" s="68" t="s">
        <v>33</v>
      </c>
      <c r="AB11" s="74" t="s">
        <v>34</v>
      </c>
      <c r="AC11" s="74" t="s">
        <v>35</v>
      </c>
      <c r="AD11" s="250" t="s">
        <v>36</v>
      </c>
      <c r="AE11" s="298"/>
      <c r="AF11" s="68" t="s">
        <v>33</v>
      </c>
      <c r="AG11" s="74" t="s">
        <v>34</v>
      </c>
      <c r="AH11" s="69" t="s">
        <v>35</v>
      </c>
      <c r="AI11" s="250" t="s">
        <v>36</v>
      </c>
      <c r="AJ11" s="298"/>
      <c r="AK11" s="68" t="s">
        <v>33</v>
      </c>
      <c r="AL11" s="74" t="s">
        <v>34</v>
      </c>
      <c r="AM11" s="69" t="s">
        <v>35</v>
      </c>
      <c r="AN11" s="250" t="s">
        <v>36</v>
      </c>
      <c r="AO11" s="298"/>
      <c r="AP11" s="68" t="s">
        <v>33</v>
      </c>
      <c r="AQ11" s="69" t="s">
        <v>34</v>
      </c>
      <c r="AR11" s="69" t="s">
        <v>35</v>
      </c>
      <c r="AS11" s="250" t="s">
        <v>36</v>
      </c>
      <c r="AT11" s="298"/>
      <c r="AU11" s="61" t="s">
        <v>32</v>
      </c>
      <c r="AV11" s="59" t="s">
        <v>39</v>
      </c>
      <c r="AW11" s="62" t="s">
        <v>40</v>
      </c>
      <c r="AX11" s="63" t="s">
        <v>41</v>
      </c>
      <c r="AY11" s="64" t="s">
        <v>42</v>
      </c>
      <c r="AZ11" s="75" t="s">
        <v>43</v>
      </c>
      <c r="BA11" s="76" t="s">
        <v>44</v>
      </c>
      <c r="BB11" s="59" t="s">
        <v>45</v>
      </c>
      <c r="BC11" s="59" t="s">
        <v>46</v>
      </c>
      <c r="BD11" s="251" t="s">
        <v>47</v>
      </c>
      <c r="BE11" s="298"/>
      <c r="BF11" s="298"/>
      <c r="BG11" s="298"/>
      <c r="BH11" s="299"/>
      <c r="BI11" s="251" t="s">
        <v>48</v>
      </c>
      <c r="BJ11" s="298"/>
      <c r="BK11" s="298"/>
      <c r="BL11" s="298"/>
      <c r="BM11" s="299"/>
      <c r="BN11" s="251" t="s">
        <v>49</v>
      </c>
      <c r="BO11" s="298"/>
      <c r="BP11" s="298"/>
      <c r="BQ11" s="298"/>
      <c r="BR11" s="299"/>
      <c r="BS11" s="251" t="s">
        <v>50</v>
      </c>
      <c r="BT11" s="298"/>
      <c r="BU11" s="298"/>
      <c r="BV11" s="298"/>
      <c r="BW11" s="300"/>
    </row>
    <row r="12" spans="1:75" ht="16.5" customHeight="1">
      <c r="B12" s="77" t="s">
        <v>32</v>
      </c>
      <c r="C12" s="67" t="s">
        <v>32</v>
      </c>
      <c r="D12" s="66" t="s">
        <v>32</v>
      </c>
      <c r="E12" s="68"/>
      <c r="F12" s="69" t="s">
        <v>32</v>
      </c>
      <c r="G12" s="69" t="s">
        <v>32</v>
      </c>
      <c r="H12" s="69" t="s">
        <v>51</v>
      </c>
      <c r="I12" s="70" t="s">
        <v>52</v>
      </c>
      <c r="J12" s="71" t="s">
        <v>32</v>
      </c>
      <c r="K12" s="69" t="s">
        <v>32</v>
      </c>
      <c r="L12" s="69" t="s">
        <v>32</v>
      </c>
      <c r="M12" s="69" t="s">
        <v>51</v>
      </c>
      <c r="N12" s="70" t="s">
        <v>52</v>
      </c>
      <c r="O12" s="71" t="s">
        <v>32</v>
      </c>
      <c r="P12" s="69" t="s">
        <v>32</v>
      </c>
      <c r="Q12" s="69" t="s">
        <v>32</v>
      </c>
      <c r="R12" s="69" t="s">
        <v>51</v>
      </c>
      <c r="S12" s="70" t="s">
        <v>52</v>
      </c>
      <c r="T12" s="71" t="s">
        <v>32</v>
      </c>
      <c r="U12" s="69" t="s">
        <v>32</v>
      </c>
      <c r="V12" s="69" t="s">
        <v>32</v>
      </c>
      <c r="W12" s="69" t="s">
        <v>51</v>
      </c>
      <c r="X12" s="70" t="s">
        <v>52</v>
      </c>
      <c r="Y12" s="78" t="s">
        <v>32</v>
      </c>
      <c r="Z12" s="73"/>
      <c r="AA12" s="68"/>
      <c r="AB12" s="74" t="s">
        <v>32</v>
      </c>
      <c r="AC12" s="74" t="s">
        <v>32</v>
      </c>
      <c r="AD12" s="69" t="s">
        <v>51</v>
      </c>
      <c r="AE12" s="79" t="s">
        <v>52</v>
      </c>
      <c r="AF12" s="68" t="s">
        <v>32</v>
      </c>
      <c r="AG12" s="74" t="s">
        <v>32</v>
      </c>
      <c r="AH12" s="69" t="s">
        <v>32</v>
      </c>
      <c r="AI12" s="69" t="s">
        <v>51</v>
      </c>
      <c r="AJ12" s="70" t="s">
        <v>52</v>
      </c>
      <c r="AK12" s="68" t="s">
        <v>32</v>
      </c>
      <c r="AL12" s="74" t="s">
        <v>32</v>
      </c>
      <c r="AM12" s="69" t="s">
        <v>32</v>
      </c>
      <c r="AN12" s="69" t="s">
        <v>51</v>
      </c>
      <c r="AO12" s="70" t="s">
        <v>52</v>
      </c>
      <c r="AP12" s="68" t="s">
        <v>32</v>
      </c>
      <c r="AQ12" s="69" t="s">
        <v>32</v>
      </c>
      <c r="AR12" s="69" t="s">
        <v>32</v>
      </c>
      <c r="AS12" s="69" t="s">
        <v>51</v>
      </c>
      <c r="AT12" s="70" t="s">
        <v>52</v>
      </c>
      <c r="AU12" s="61" t="s">
        <v>32</v>
      </c>
      <c r="AV12" s="59" t="s">
        <v>32</v>
      </c>
      <c r="AW12" s="62" t="s">
        <v>32</v>
      </c>
      <c r="AX12" s="63" t="s">
        <v>32</v>
      </c>
      <c r="AY12" s="64" t="s">
        <v>32</v>
      </c>
      <c r="AZ12" s="65" t="s">
        <v>32</v>
      </c>
      <c r="BA12" s="76" t="s">
        <v>32</v>
      </c>
      <c r="BB12" s="59" t="s">
        <v>32</v>
      </c>
      <c r="BC12" s="59" t="s">
        <v>32</v>
      </c>
      <c r="BD12" s="251" t="s">
        <v>53</v>
      </c>
      <c r="BE12" s="299"/>
      <c r="BF12" s="251" t="s">
        <v>54</v>
      </c>
      <c r="BG12" s="299"/>
      <c r="BH12" s="59" t="s">
        <v>55</v>
      </c>
      <c r="BI12" s="251" t="s">
        <v>53</v>
      </c>
      <c r="BJ12" s="299"/>
      <c r="BK12" s="251" t="s">
        <v>54</v>
      </c>
      <c r="BL12" s="299"/>
      <c r="BM12" s="59" t="s">
        <v>55</v>
      </c>
      <c r="BN12" s="251" t="s">
        <v>53</v>
      </c>
      <c r="BO12" s="299"/>
      <c r="BP12" s="251" t="s">
        <v>54</v>
      </c>
      <c r="BQ12" s="299"/>
      <c r="BR12" s="59" t="s">
        <v>55</v>
      </c>
      <c r="BS12" s="251" t="s">
        <v>53</v>
      </c>
      <c r="BT12" s="299"/>
      <c r="BU12" s="251" t="s">
        <v>54</v>
      </c>
      <c r="BV12" s="299"/>
      <c r="BW12" s="80" t="s">
        <v>55</v>
      </c>
    </row>
    <row r="13" spans="1:75" ht="16.5" customHeight="1">
      <c r="B13" s="81" t="s">
        <v>32</v>
      </c>
      <c r="C13" s="82" t="s">
        <v>32</v>
      </c>
      <c r="D13" s="83" t="s">
        <v>32</v>
      </c>
      <c r="E13" s="84"/>
      <c r="F13" s="85" t="s">
        <v>32</v>
      </c>
      <c r="G13" s="85" t="s">
        <v>32</v>
      </c>
      <c r="H13" s="85" t="s">
        <v>32</v>
      </c>
      <c r="I13" s="86" t="s">
        <v>32</v>
      </c>
      <c r="J13" s="87" t="s">
        <v>32</v>
      </c>
      <c r="K13" s="85" t="s">
        <v>32</v>
      </c>
      <c r="L13" s="85" t="s">
        <v>32</v>
      </c>
      <c r="M13" s="85" t="s">
        <v>32</v>
      </c>
      <c r="N13" s="86" t="s">
        <v>32</v>
      </c>
      <c r="O13" s="87" t="s">
        <v>32</v>
      </c>
      <c r="P13" s="85" t="s">
        <v>32</v>
      </c>
      <c r="Q13" s="85" t="s">
        <v>32</v>
      </c>
      <c r="R13" s="85" t="s">
        <v>32</v>
      </c>
      <c r="S13" s="86" t="s">
        <v>32</v>
      </c>
      <c r="T13" s="87" t="s">
        <v>32</v>
      </c>
      <c r="U13" s="85" t="s">
        <v>32</v>
      </c>
      <c r="V13" s="85" t="s">
        <v>32</v>
      </c>
      <c r="W13" s="85" t="s">
        <v>32</v>
      </c>
      <c r="X13" s="86" t="s">
        <v>32</v>
      </c>
      <c r="Y13" s="88" t="s">
        <v>32</v>
      </c>
      <c r="Z13" s="89"/>
      <c r="AA13" s="84"/>
      <c r="AB13" s="90" t="s">
        <v>32</v>
      </c>
      <c r="AC13" s="90" t="s">
        <v>32</v>
      </c>
      <c r="AD13" s="85" t="s">
        <v>32</v>
      </c>
      <c r="AE13" s="91" t="s">
        <v>32</v>
      </c>
      <c r="AF13" s="84" t="s">
        <v>32</v>
      </c>
      <c r="AG13" s="90" t="s">
        <v>32</v>
      </c>
      <c r="AH13" s="85" t="s">
        <v>32</v>
      </c>
      <c r="AI13" s="85" t="s">
        <v>32</v>
      </c>
      <c r="AJ13" s="86" t="s">
        <v>32</v>
      </c>
      <c r="AK13" s="84" t="s">
        <v>32</v>
      </c>
      <c r="AL13" s="90" t="s">
        <v>32</v>
      </c>
      <c r="AM13" s="85" t="s">
        <v>32</v>
      </c>
      <c r="AN13" s="85" t="s">
        <v>32</v>
      </c>
      <c r="AO13" s="86" t="s">
        <v>32</v>
      </c>
      <c r="AP13" s="84" t="s">
        <v>32</v>
      </c>
      <c r="AQ13" s="85" t="s">
        <v>32</v>
      </c>
      <c r="AR13" s="85" t="s">
        <v>32</v>
      </c>
      <c r="AS13" s="85" t="s">
        <v>32</v>
      </c>
      <c r="AT13" s="86" t="s">
        <v>32</v>
      </c>
      <c r="AU13" s="92" t="s">
        <v>32</v>
      </c>
      <c r="AV13" s="67" t="s">
        <v>32</v>
      </c>
      <c r="AW13" s="93" t="s">
        <v>32</v>
      </c>
      <c r="AX13" s="94" t="s">
        <v>32</v>
      </c>
      <c r="AY13" s="95" t="s">
        <v>32</v>
      </c>
      <c r="AZ13" s="96" t="s">
        <v>32</v>
      </c>
      <c r="BA13" s="97" t="s">
        <v>32</v>
      </c>
      <c r="BB13" s="82" t="s">
        <v>32</v>
      </c>
      <c r="BC13" s="82" t="s">
        <v>32</v>
      </c>
      <c r="BD13" s="82" t="s">
        <v>56</v>
      </c>
      <c r="BE13" s="82" t="s">
        <v>57</v>
      </c>
      <c r="BF13" s="82" t="s">
        <v>56</v>
      </c>
      <c r="BG13" s="82" t="s">
        <v>57</v>
      </c>
      <c r="BH13" s="82" t="s">
        <v>32</v>
      </c>
      <c r="BI13" s="82" t="s">
        <v>56</v>
      </c>
      <c r="BJ13" s="82" t="s">
        <v>57</v>
      </c>
      <c r="BK13" s="82" t="s">
        <v>56</v>
      </c>
      <c r="BL13" s="82" t="s">
        <v>57</v>
      </c>
      <c r="BM13" s="82" t="s">
        <v>32</v>
      </c>
      <c r="BN13" s="82" t="s">
        <v>56</v>
      </c>
      <c r="BO13" s="82" t="s">
        <v>57</v>
      </c>
      <c r="BP13" s="82" t="s">
        <v>56</v>
      </c>
      <c r="BQ13" s="82" t="s">
        <v>57</v>
      </c>
      <c r="BR13" s="82" t="s">
        <v>32</v>
      </c>
      <c r="BS13" s="82" t="s">
        <v>56</v>
      </c>
      <c r="BT13" s="82" t="s">
        <v>57</v>
      </c>
      <c r="BU13" s="82" t="s">
        <v>56</v>
      </c>
      <c r="BV13" s="82" t="s">
        <v>57</v>
      </c>
      <c r="BW13" s="98" t="s">
        <v>32</v>
      </c>
    </row>
    <row r="14" spans="1:75" ht="168">
      <c r="B14" s="99" t="s">
        <v>58</v>
      </c>
      <c r="C14" s="100" t="s">
        <v>59</v>
      </c>
      <c r="D14" s="101" t="s">
        <v>60</v>
      </c>
      <c r="E14" s="242" t="s">
        <v>61</v>
      </c>
      <c r="F14" s="242" t="s">
        <v>61</v>
      </c>
      <c r="G14" s="242" t="s">
        <v>61</v>
      </c>
      <c r="H14" s="242" t="s">
        <v>61</v>
      </c>
      <c r="I14" s="242" t="s">
        <v>61</v>
      </c>
      <c r="J14" s="242" t="s">
        <v>61</v>
      </c>
      <c r="K14" s="242" t="s">
        <v>61</v>
      </c>
      <c r="L14" s="242" t="s">
        <v>61</v>
      </c>
      <c r="M14" s="242" t="s">
        <v>61</v>
      </c>
      <c r="N14" s="242" t="s">
        <v>61</v>
      </c>
      <c r="O14" s="242" t="s">
        <v>61</v>
      </c>
      <c r="P14" s="242" t="s">
        <v>61</v>
      </c>
      <c r="Q14" s="242" t="s">
        <v>61</v>
      </c>
      <c r="R14" s="242" t="s">
        <v>61</v>
      </c>
      <c r="S14" s="242" t="s">
        <v>61</v>
      </c>
      <c r="T14" s="242" t="s">
        <v>61</v>
      </c>
      <c r="U14" s="242" t="s">
        <v>61</v>
      </c>
      <c r="V14" s="242" t="s">
        <v>61</v>
      </c>
      <c r="W14" s="242" t="s">
        <v>61</v>
      </c>
      <c r="X14" s="242" t="s">
        <v>61</v>
      </c>
      <c r="Y14" s="242" t="s">
        <v>61</v>
      </c>
      <c r="Z14" s="135" t="s">
        <v>62</v>
      </c>
      <c r="AA14" s="102"/>
      <c r="AB14" s="103"/>
      <c r="AC14" s="104"/>
      <c r="AD14" s="105"/>
      <c r="AE14" s="106"/>
      <c r="AF14" s="107"/>
      <c r="AG14" s="103"/>
      <c r="AH14" s="108"/>
      <c r="AI14" s="108"/>
      <c r="AJ14" s="108"/>
      <c r="AK14" s="107"/>
      <c r="AL14" s="109"/>
      <c r="AM14" s="108"/>
      <c r="AN14" s="108"/>
      <c r="AO14" s="108"/>
      <c r="AP14" s="107" t="s">
        <v>63</v>
      </c>
      <c r="AQ14" s="108" t="s">
        <v>64</v>
      </c>
      <c r="AR14" s="108"/>
      <c r="AS14" s="108"/>
      <c r="AT14" s="108"/>
      <c r="AU14" s="136"/>
      <c r="AV14" s="137"/>
      <c r="AW14" s="138" t="s">
        <v>65</v>
      </c>
      <c r="AX14" s="139" t="s">
        <v>66</v>
      </c>
      <c r="AY14" s="138" t="s">
        <v>67</v>
      </c>
      <c r="AZ14" s="139" t="s">
        <v>66</v>
      </c>
      <c r="BA14" s="138" t="s">
        <v>68</v>
      </c>
      <c r="BB14" s="139" t="s">
        <v>66</v>
      </c>
      <c r="BC14" s="140" t="s">
        <v>69</v>
      </c>
      <c r="BD14" s="141" t="s">
        <v>66</v>
      </c>
    </row>
    <row r="15" spans="1:75" ht="296.25">
      <c r="B15" s="110"/>
      <c r="C15" s="111" t="s">
        <v>70</v>
      </c>
      <c r="D15" s="112" t="s">
        <v>71</v>
      </c>
      <c r="E15" s="243" t="s">
        <v>72</v>
      </c>
      <c r="F15" s="293" t="s">
        <v>73</v>
      </c>
      <c r="G15" s="244" t="s">
        <v>74</v>
      </c>
      <c r="H15" s="113" t="s">
        <v>75</v>
      </c>
      <c r="I15" s="142" t="s">
        <v>76</v>
      </c>
      <c r="J15" s="143" t="s">
        <v>77</v>
      </c>
      <c r="K15" s="143" t="s">
        <v>78</v>
      </c>
      <c r="L15" s="143" t="s">
        <v>79</v>
      </c>
      <c r="M15" s="143" t="s">
        <v>80</v>
      </c>
      <c r="N15" s="143" t="s">
        <v>80</v>
      </c>
      <c r="O15" s="143" t="s">
        <v>81</v>
      </c>
      <c r="P15" s="143" t="s">
        <v>81</v>
      </c>
      <c r="Q15" s="143" t="s">
        <v>81</v>
      </c>
      <c r="R15" s="143" t="s">
        <v>81</v>
      </c>
      <c r="S15" s="143" t="s">
        <v>81</v>
      </c>
      <c r="T15" s="144" t="s">
        <v>82</v>
      </c>
      <c r="U15" s="122" t="s">
        <v>83</v>
      </c>
      <c r="V15" s="122" t="s">
        <v>84</v>
      </c>
      <c r="W15" s="122" t="s">
        <v>85</v>
      </c>
      <c r="X15" s="122" t="s">
        <v>86</v>
      </c>
      <c r="Y15" s="145" t="s">
        <v>87</v>
      </c>
      <c r="Z15" s="146" t="s">
        <v>88</v>
      </c>
      <c r="AA15" s="114" t="s">
        <v>89</v>
      </c>
      <c r="AB15" s="115" t="s">
        <v>90</v>
      </c>
      <c r="AC15" s="116" t="s">
        <v>91</v>
      </c>
      <c r="AD15" s="117" t="s">
        <v>75</v>
      </c>
      <c r="AE15" s="118" t="s">
        <v>92</v>
      </c>
      <c r="AF15" s="119"/>
      <c r="AG15" s="115"/>
      <c r="AH15" s="120"/>
      <c r="AI15" s="120"/>
      <c r="AJ15" s="120"/>
      <c r="AK15" s="119"/>
      <c r="AL15" s="121"/>
      <c r="AM15" s="120"/>
      <c r="AN15" s="120"/>
      <c r="AO15" s="120"/>
      <c r="AP15" s="119" t="s">
        <v>93</v>
      </c>
      <c r="AQ15" s="121" t="s">
        <v>94</v>
      </c>
      <c r="AR15" s="120" t="s">
        <v>95</v>
      </c>
      <c r="AS15" s="120" t="s">
        <v>95</v>
      </c>
      <c r="AT15" s="120" t="s">
        <v>95</v>
      </c>
      <c r="AU15" s="147" t="s">
        <v>96</v>
      </c>
      <c r="AV15" s="148" t="s">
        <v>97</v>
      </c>
      <c r="AW15" s="149" t="s">
        <v>95</v>
      </c>
      <c r="AX15" s="150" t="s">
        <v>95</v>
      </c>
      <c r="AY15" s="151" t="s">
        <v>98</v>
      </c>
      <c r="AZ15" s="152" t="s">
        <v>66</v>
      </c>
      <c r="BA15" s="151" t="s">
        <v>99</v>
      </c>
      <c r="BB15" s="152" t="s">
        <v>66</v>
      </c>
      <c r="BC15" s="151" t="s">
        <v>100</v>
      </c>
      <c r="BD15" s="153" t="s">
        <v>66</v>
      </c>
    </row>
    <row r="16" spans="1:75" ht="409.6">
      <c r="B16" s="110"/>
      <c r="C16" s="123" t="s">
        <v>101</v>
      </c>
      <c r="D16" s="123"/>
      <c r="E16" s="245" t="s">
        <v>102</v>
      </c>
      <c r="F16" s="124" t="s">
        <v>103</v>
      </c>
      <c r="G16" s="246" t="s">
        <v>104</v>
      </c>
      <c r="H16" s="125" t="s">
        <v>75</v>
      </c>
      <c r="I16" s="126" t="s">
        <v>105</v>
      </c>
      <c r="J16" s="143" t="s">
        <v>106</v>
      </c>
      <c r="K16" s="143" t="s">
        <v>107</v>
      </c>
      <c r="L16" s="143" t="s">
        <v>108</v>
      </c>
      <c r="M16" s="143" t="s">
        <v>109</v>
      </c>
      <c r="N16" s="143" t="s">
        <v>106</v>
      </c>
      <c r="O16" s="154" t="s">
        <v>81</v>
      </c>
      <c r="P16" s="154" t="s">
        <v>81</v>
      </c>
      <c r="Q16" s="154" t="s">
        <v>81</v>
      </c>
      <c r="R16" s="154" t="s">
        <v>81</v>
      </c>
      <c r="S16" s="154" t="s">
        <v>81</v>
      </c>
      <c r="T16" s="155" t="s">
        <v>110</v>
      </c>
      <c r="U16" s="156" t="s">
        <v>111</v>
      </c>
      <c r="V16" s="156" t="s">
        <v>112</v>
      </c>
      <c r="W16" s="156" t="s">
        <v>85</v>
      </c>
      <c r="X16" s="156" t="s">
        <v>113</v>
      </c>
      <c r="Y16" s="157" t="s">
        <v>96</v>
      </c>
      <c r="Z16" s="158" t="s">
        <v>114</v>
      </c>
      <c r="AA16" s="127" t="s">
        <v>115</v>
      </c>
      <c r="AB16" s="128" t="s">
        <v>116</v>
      </c>
      <c r="AC16" s="129" t="s">
        <v>117</v>
      </c>
      <c r="AD16" s="130" t="s">
        <v>75</v>
      </c>
      <c r="AE16" s="131" t="s">
        <v>118</v>
      </c>
      <c r="AF16" s="132"/>
      <c r="AG16" s="128"/>
      <c r="AH16" s="133"/>
      <c r="AI16" s="133"/>
      <c r="AJ16" s="133"/>
      <c r="AK16" s="132"/>
      <c r="AL16" s="134"/>
      <c r="AM16" s="133"/>
      <c r="AN16" s="133"/>
      <c r="AO16" s="133"/>
      <c r="AP16" s="132" t="s">
        <v>119</v>
      </c>
      <c r="AQ16" s="121" t="s">
        <v>94</v>
      </c>
      <c r="AR16" s="120" t="s">
        <v>95</v>
      </c>
      <c r="AS16" s="120" t="s">
        <v>95</v>
      </c>
      <c r="AT16" s="120" t="s">
        <v>95</v>
      </c>
      <c r="AU16" s="159"/>
      <c r="AV16" s="160" t="s">
        <v>120</v>
      </c>
      <c r="AW16" s="161" t="s">
        <v>95</v>
      </c>
      <c r="AX16" s="162" t="s">
        <v>95</v>
      </c>
      <c r="AY16" s="163" t="s">
        <v>98</v>
      </c>
      <c r="AZ16" s="164" t="s">
        <v>66</v>
      </c>
      <c r="BA16" s="163" t="s">
        <v>99</v>
      </c>
      <c r="BB16" s="164" t="s">
        <v>66</v>
      </c>
      <c r="BC16" s="163" t="s">
        <v>100</v>
      </c>
      <c r="BD16" s="165" t="s">
        <v>66</v>
      </c>
    </row>
  </sheetData>
  <mergeCells count="38">
    <mergeCell ref="B4:E4"/>
    <mergeCell ref="B5:E5"/>
    <mergeCell ref="B9:D9"/>
    <mergeCell ref="E9:Z9"/>
    <mergeCell ref="AA9:AU9"/>
    <mergeCell ref="BA9:BW9"/>
    <mergeCell ref="E10:I10"/>
    <mergeCell ref="J10:N10"/>
    <mergeCell ref="O10:S10"/>
    <mergeCell ref="T10:X10"/>
    <mergeCell ref="Y10:Z10"/>
    <mergeCell ref="AA10:AE10"/>
    <mergeCell ref="AF10:AJ10"/>
    <mergeCell ref="AK10:AO10"/>
    <mergeCell ref="AP10:AT10"/>
    <mergeCell ref="AV9:AZ9"/>
    <mergeCell ref="BA10:BB10"/>
    <mergeCell ref="BD10:BW10"/>
    <mergeCell ref="H11:I11"/>
    <mergeCell ref="M11:N11"/>
    <mergeCell ref="R11:S11"/>
    <mergeCell ref="W11:X11"/>
    <mergeCell ref="AD11:AE11"/>
    <mergeCell ref="AI11:AJ11"/>
    <mergeCell ref="AN11:AO11"/>
    <mergeCell ref="AS11:AT11"/>
    <mergeCell ref="BS12:BT12"/>
    <mergeCell ref="BU12:BV12"/>
    <mergeCell ref="BD11:BH11"/>
    <mergeCell ref="BI11:BM11"/>
    <mergeCell ref="BN11:BR11"/>
    <mergeCell ref="BS11:BW11"/>
    <mergeCell ref="BD12:BE12"/>
    <mergeCell ref="BF12:BG12"/>
    <mergeCell ref="BI12:BJ12"/>
    <mergeCell ref="BK12:BL12"/>
    <mergeCell ref="BN12:BO12"/>
    <mergeCell ref="BP12:BQ12"/>
  </mergeCells>
  <phoneticPr fontId="1"/>
  <dataValidations count="2">
    <dataValidation type="list" allowBlank="1" showErrorMessage="1" sqref="AU14:AU16" xr:uid="{A1B87982-37AE-49EC-83E0-6378DFD60E35}">
      <formula1>"◎,〇,△,×"</formula1>
    </dataValidation>
    <dataValidation type="list" allowBlank="1" showErrorMessage="1" sqref="Y15:Y16" xr:uid="{84423CF8-267D-4069-9368-DB95C11DCFC2}">
      <formula1>"◎,〇,△,×,N/A"</formula1>
    </dataValidation>
  </dataValidations>
  <hyperlinks>
    <hyperlink ref="AZ15" r:id="rId1" xr:uid="{3F824370-7D19-45EF-B636-9AAE3DBFE1A0}"/>
    <hyperlink ref="AZ16" r:id="rId2" xr:uid="{DF148921-5CFE-4342-BBD9-C6A0EEE95552}"/>
    <hyperlink ref="BB16" r:id="rId3" xr:uid="{296624F7-E578-4399-9C4A-24684974BDD3}"/>
    <hyperlink ref="BB15" r:id="rId4" xr:uid="{AC1BA8F4-1C5A-41FE-B488-1E3D0E1A2A87}"/>
    <hyperlink ref="BD15" r:id="rId5" xr:uid="{6EC81BE9-E7D3-45F6-8CA9-E390C5A014F3}"/>
    <hyperlink ref="BD16" r:id="rId6" xr:uid="{AA38D417-D26C-465C-A2DD-7CC6609D5467}"/>
    <hyperlink ref="AX14" r:id="rId7" xr:uid="{8CBD8511-B807-455F-B5F8-7FA47C665CB2}"/>
    <hyperlink ref="AZ14" r:id="rId8" xr:uid="{6BB63A6D-310C-4B3A-A3E9-25F9353E2BCB}"/>
    <hyperlink ref="BB14" r:id="rId9" xr:uid="{10A24EB7-C3E3-44B4-9C1F-87682FC7AB18}"/>
    <hyperlink ref="BD14" r:id="rId10" xr:uid="{E3504E72-547B-4588-A3D3-679CE5C1D15A}"/>
  </hyperlinks>
  <pageMargins left="0.7" right="0.7" top="0.75" bottom="0.75" header="0" footer="0"/>
  <pageSetup orientation="landscape"/>
  <legacyDrawing r:id="rId1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45A0F-DA50-4730-AB68-19A381AAE504}">
  <dimension ref="A2:BW16"/>
  <sheetViews>
    <sheetView showGridLines="0" zoomScale="55" zoomScaleNormal="55" workbookViewId="0">
      <pane xSplit="4" ySplit="13" topLeftCell="F14" activePane="bottomRight" state="frozen"/>
      <selection pane="bottomRight" activeCell="C15" sqref="C15"/>
      <selection pane="bottomLeft" activeCell="A13" sqref="A13"/>
      <selection pane="topRight" activeCell="E1" sqref="E1"/>
    </sheetView>
  </sheetViews>
  <sheetFormatPr defaultColWidth="13.25" defaultRowHeight="15" customHeight="1" outlineLevelCol="1"/>
  <cols>
    <col min="1" max="1" width="8.25" style="48" customWidth="1"/>
    <col min="2" max="2" width="28.125" style="48" customWidth="1"/>
    <col min="3" max="3" width="45.375" style="48" customWidth="1"/>
    <col min="4" max="4" width="31.875" style="48" customWidth="1"/>
    <col min="5" max="5" width="42" style="48" customWidth="1"/>
    <col min="6" max="6" width="29.875" style="48" customWidth="1"/>
    <col min="7" max="7" width="61" style="48" customWidth="1"/>
    <col min="8" max="8" width="20.25" style="48" customWidth="1"/>
    <col min="9" max="9" width="27.25" style="48" customWidth="1"/>
    <col min="10" max="11" width="13.25" style="48" customWidth="1"/>
    <col min="12" max="12" width="19.5" style="48" customWidth="1"/>
    <col min="13" max="13" width="11.375" style="48" customWidth="1"/>
    <col min="14" max="14" width="12.375" style="48" customWidth="1"/>
    <col min="15" max="16" width="11.875" style="48" customWidth="1"/>
    <col min="17" max="17" width="19.5" style="48" customWidth="1"/>
    <col min="18" max="18" width="11.875" style="48" customWidth="1"/>
    <col min="19" max="21" width="12.375" style="48" customWidth="1"/>
    <col min="22" max="22" width="21.125" style="48" customWidth="1"/>
    <col min="23" max="23" width="12.375" style="48" customWidth="1"/>
    <col min="24" max="24" width="12.625" style="48" customWidth="1"/>
    <col min="25" max="25" width="7.125" style="48" customWidth="1"/>
    <col min="26" max="26" width="57.75" style="48" customWidth="1"/>
    <col min="27" max="27" width="26.125" style="48" customWidth="1" outlineLevel="1"/>
    <col min="28" max="28" width="15.375" style="48" customWidth="1" outlineLevel="1"/>
    <col min="29" max="29" width="26.25" style="48" customWidth="1" outlineLevel="1"/>
    <col min="30" max="30" width="7.125" style="48" customWidth="1" outlineLevel="1"/>
    <col min="31" max="31" width="15.375" style="48" customWidth="1" outlineLevel="1"/>
    <col min="32" max="32" width="23.875" style="48" customWidth="1" outlineLevel="1"/>
    <col min="33" max="33" width="15.375" style="48" customWidth="1" outlineLevel="1"/>
    <col min="34" max="34" width="18.375" style="48" customWidth="1" outlineLevel="1"/>
    <col min="35" max="35" width="7.125" style="48" customWidth="1" outlineLevel="1"/>
    <col min="36" max="36" width="15.375" style="48" customWidth="1" outlineLevel="1"/>
    <col min="37" max="37" width="23.875" style="48" customWidth="1" outlineLevel="1"/>
    <col min="38" max="38" width="15.375" style="48" customWidth="1" outlineLevel="1"/>
    <col min="39" max="39" width="18.375" style="48" customWidth="1" outlineLevel="1"/>
    <col min="40" max="40" width="7.125" style="48" customWidth="1" outlineLevel="1"/>
    <col min="41" max="41" width="15.375" style="48" customWidth="1" outlineLevel="1"/>
    <col min="42" max="42" width="23.875" style="48" customWidth="1" outlineLevel="1"/>
    <col min="43" max="43" width="15.375" style="48" customWidth="1" outlineLevel="1"/>
    <col min="44" max="44" width="18.375" style="48" customWidth="1" outlineLevel="1"/>
    <col min="45" max="45" width="7.125" style="48" customWidth="1" outlineLevel="1"/>
    <col min="46" max="46" width="15.375" style="48" customWidth="1" outlineLevel="1"/>
    <col min="47" max="47" width="7.125" style="48" customWidth="1" outlineLevel="1"/>
    <col min="48" max="48" width="13.25" style="48" customWidth="1"/>
    <col min="49" max="49" width="51.5" style="48" customWidth="1"/>
    <col min="50" max="50" width="48.125" style="48" customWidth="1"/>
    <col min="51" max="51" width="52.625" style="48" customWidth="1"/>
    <col min="52" max="52" width="48.75" style="48" customWidth="1"/>
    <col min="53" max="55" width="12.375" style="48" customWidth="1"/>
    <col min="56" max="59" width="18.75" style="48" customWidth="1"/>
    <col min="60" max="60" width="12.375" style="48" customWidth="1"/>
    <col min="61" max="61" width="23" style="48" customWidth="1"/>
    <col min="62" max="62" width="21.625" style="48" customWidth="1"/>
    <col min="63" max="63" width="18.875" style="48" customWidth="1"/>
    <col min="64" max="64" width="21.625" style="48" customWidth="1"/>
    <col min="65" max="65" width="12.375" style="48" customWidth="1"/>
    <col min="66" max="69" width="18.75" style="48" customWidth="1"/>
    <col min="70" max="70" width="19.25" style="48" customWidth="1"/>
    <col min="71" max="74" width="20.625" style="48" customWidth="1"/>
    <col min="75" max="75" width="20.875" style="48" customWidth="1"/>
    <col min="76" max="76" width="21.5" style="48" customWidth="1"/>
    <col min="77" max="80" width="20.125" style="48" customWidth="1"/>
    <col min="81" max="16383" width="9" style="48"/>
    <col min="16384" max="16384" width="13.25" style="48" bestFit="1" customWidth="1"/>
  </cols>
  <sheetData>
    <row r="2" spans="1:75" ht="20.25">
      <c r="B2" s="49" t="s">
        <v>0</v>
      </c>
      <c r="E2" s="50"/>
      <c r="Y2" s="51" t="s">
        <v>1</v>
      </c>
      <c r="Z2" s="52"/>
      <c r="AA2" s="53"/>
      <c r="AB2" s="53"/>
      <c r="AC2" s="53"/>
      <c r="AD2" s="52"/>
      <c r="AE2" s="53"/>
      <c r="AF2" s="53"/>
      <c r="AG2" s="53"/>
      <c r="AH2" s="52"/>
      <c r="AI2" s="52"/>
      <c r="AJ2" s="52"/>
      <c r="AK2" s="53"/>
      <c r="AL2" s="53"/>
      <c r="AM2" s="52"/>
      <c r="AN2" s="52"/>
      <c r="AO2" s="52"/>
      <c r="AP2" s="53"/>
      <c r="AQ2" s="52"/>
      <c r="AR2" s="52"/>
      <c r="AS2" s="52"/>
      <c r="AT2" s="52"/>
      <c r="AU2" s="52"/>
      <c r="BA2" s="54"/>
      <c r="BB2" s="54"/>
      <c r="BC2" s="54"/>
      <c r="BD2" s="54"/>
      <c r="BE2" s="54"/>
      <c r="BF2" s="54"/>
      <c r="BG2" s="54"/>
      <c r="BH2" s="54"/>
      <c r="BI2" s="54"/>
      <c r="BJ2" s="54"/>
      <c r="BK2" s="54"/>
      <c r="BL2" s="54"/>
      <c r="BM2" s="54"/>
      <c r="BN2" s="54"/>
      <c r="BO2" s="54"/>
      <c r="BP2" s="54"/>
      <c r="BQ2" s="54"/>
      <c r="BR2" s="54"/>
      <c r="BS2" s="54"/>
      <c r="BT2" s="54"/>
      <c r="BU2" s="54"/>
      <c r="BV2" s="54"/>
    </row>
    <row r="3" spans="1:75" ht="16.5" customHeight="1">
      <c r="B3" s="49" t="s">
        <v>2</v>
      </c>
      <c r="E3" s="50"/>
      <c r="Y3" s="55" t="s">
        <v>3</v>
      </c>
      <c r="Z3" s="52"/>
      <c r="AA3" s="53"/>
      <c r="AB3" s="53"/>
      <c r="AC3" s="53"/>
      <c r="AD3" s="52"/>
      <c r="AE3" s="53"/>
      <c r="AF3" s="53"/>
      <c r="AG3" s="53"/>
      <c r="AH3" s="52"/>
      <c r="AI3" s="52"/>
      <c r="AJ3" s="52"/>
      <c r="AK3" s="53"/>
      <c r="AL3" s="53"/>
      <c r="AM3" s="52"/>
      <c r="AN3" s="52"/>
      <c r="AO3" s="52"/>
      <c r="AP3" s="53"/>
      <c r="AQ3" s="52"/>
      <c r="AR3" s="52"/>
      <c r="AS3" s="52"/>
      <c r="AT3" s="52"/>
      <c r="AU3" s="52"/>
      <c r="BA3" s="54"/>
      <c r="BB3" s="54"/>
      <c r="BC3" s="54"/>
      <c r="BD3" s="54"/>
      <c r="BE3" s="54"/>
      <c r="BF3" s="54"/>
      <c r="BG3" s="54"/>
      <c r="BH3" s="54"/>
      <c r="BI3" s="54"/>
      <c r="BJ3" s="54"/>
      <c r="BK3" s="54"/>
      <c r="BL3" s="54"/>
      <c r="BM3" s="54"/>
      <c r="BN3" s="54"/>
      <c r="BO3" s="54"/>
      <c r="BP3" s="54"/>
      <c r="BQ3" s="54"/>
      <c r="BR3" s="54"/>
      <c r="BS3" s="54"/>
      <c r="BT3" s="54"/>
      <c r="BU3" s="54"/>
      <c r="BV3" s="54"/>
    </row>
    <row r="4" spans="1:75" ht="20.25" customHeight="1">
      <c r="B4" s="257" t="s">
        <v>4</v>
      </c>
      <c r="C4" s="257"/>
      <c r="D4" s="257"/>
      <c r="E4" s="257"/>
      <c r="F4" s="56"/>
      <c r="G4" s="56"/>
      <c r="H4" s="56"/>
      <c r="I4" s="56"/>
      <c r="J4" s="56"/>
      <c r="K4" s="56"/>
      <c r="L4" s="56"/>
      <c r="M4" s="56"/>
      <c r="N4" s="56"/>
      <c r="O4" s="56"/>
      <c r="P4" s="56"/>
      <c r="Q4" s="56"/>
      <c r="R4" s="56"/>
      <c r="S4" s="56"/>
      <c r="T4" s="56"/>
      <c r="U4" s="56"/>
      <c r="V4" s="56"/>
      <c r="W4" s="56"/>
      <c r="X4" s="56"/>
      <c r="Y4" s="51" t="s">
        <v>5</v>
      </c>
      <c r="Z4" s="56"/>
      <c r="AA4" s="57"/>
      <c r="AB4" s="57"/>
      <c r="AC4" s="57"/>
      <c r="AD4" s="56"/>
      <c r="AE4" s="57"/>
      <c r="AF4" s="57"/>
      <c r="AG4" s="57"/>
      <c r="AH4" s="56"/>
      <c r="AI4" s="56"/>
      <c r="AJ4" s="56"/>
      <c r="AK4" s="57"/>
      <c r="AL4" s="57"/>
      <c r="AM4" s="56"/>
      <c r="AN4" s="56"/>
      <c r="AO4" s="56"/>
      <c r="AP4" s="57"/>
      <c r="AQ4" s="56"/>
      <c r="AR4" s="56"/>
      <c r="AS4" s="56"/>
      <c r="AT4" s="56"/>
      <c r="AU4" s="56"/>
      <c r="AV4" s="56"/>
      <c r="AW4" s="56"/>
      <c r="BA4" s="54"/>
      <c r="BB4" s="54"/>
      <c r="BC4" s="54"/>
      <c r="BD4" s="54"/>
      <c r="BE4" s="54"/>
      <c r="BF4" s="54"/>
      <c r="BG4" s="54"/>
      <c r="BH4" s="54"/>
      <c r="BI4" s="54"/>
      <c r="BJ4" s="54"/>
      <c r="BK4" s="54"/>
      <c r="BL4" s="54"/>
      <c r="BM4" s="54"/>
      <c r="BN4" s="54"/>
      <c r="BO4" s="54"/>
      <c r="BP4" s="54"/>
      <c r="BQ4" s="54"/>
      <c r="BR4" s="54"/>
      <c r="BS4" s="54"/>
      <c r="BT4" s="54"/>
      <c r="BU4" s="54"/>
      <c r="BV4" s="54"/>
    </row>
    <row r="5" spans="1:75" ht="16.5" customHeight="1">
      <c r="A5" s="48" t="s">
        <v>6</v>
      </c>
      <c r="B5" s="257" t="s">
        <v>7</v>
      </c>
      <c r="C5" s="257"/>
      <c r="D5" s="257"/>
      <c r="E5" s="257"/>
      <c r="F5" s="56"/>
      <c r="G5" s="56"/>
      <c r="H5" s="56"/>
      <c r="I5" s="56"/>
      <c r="J5" s="56"/>
      <c r="K5" s="56"/>
      <c r="L5" s="56"/>
      <c r="M5" s="56"/>
      <c r="N5" s="56"/>
      <c r="O5" s="56"/>
      <c r="P5" s="56"/>
      <c r="Q5" s="56"/>
      <c r="R5" s="56"/>
      <c r="S5" s="56"/>
      <c r="T5" s="56"/>
      <c r="U5" s="56"/>
      <c r="V5" s="56"/>
      <c r="W5" s="56"/>
      <c r="X5" s="56"/>
      <c r="Y5" s="55" t="s">
        <v>8</v>
      </c>
      <c r="Z5" s="56"/>
      <c r="AA5" s="57"/>
      <c r="AB5" s="57"/>
      <c r="AC5" s="57"/>
      <c r="AD5" s="56"/>
      <c r="AE5" s="57"/>
      <c r="AF5" s="57"/>
      <c r="AG5" s="57"/>
      <c r="AH5" s="56"/>
      <c r="AI5" s="56"/>
      <c r="AJ5" s="56"/>
      <c r="AK5" s="57"/>
      <c r="AL5" s="57"/>
      <c r="AM5" s="56"/>
      <c r="AN5" s="56"/>
      <c r="AO5" s="56"/>
      <c r="AP5" s="57"/>
      <c r="AQ5" s="56"/>
      <c r="AR5" s="56"/>
      <c r="AS5" s="56"/>
      <c r="AT5" s="56"/>
      <c r="AU5" s="56"/>
      <c r="AV5" s="56"/>
      <c r="AW5" s="56"/>
      <c r="BA5" s="54"/>
      <c r="BB5" s="54"/>
      <c r="BC5" s="54"/>
      <c r="BD5" s="54"/>
      <c r="BE5" s="54"/>
      <c r="BF5" s="54"/>
      <c r="BG5" s="54"/>
      <c r="BH5" s="54"/>
      <c r="BI5" s="54"/>
      <c r="BJ5" s="54"/>
      <c r="BK5" s="54"/>
      <c r="BL5" s="54"/>
      <c r="BM5" s="54"/>
      <c r="BN5" s="54"/>
      <c r="BO5" s="54"/>
      <c r="BP5" s="54"/>
      <c r="BQ5" s="54"/>
      <c r="BR5" s="54"/>
      <c r="BS5" s="54"/>
      <c r="BT5" s="54"/>
      <c r="BU5" s="54"/>
      <c r="BV5" s="54"/>
    </row>
    <row r="6" spans="1:75" ht="16.5" customHeight="1">
      <c r="B6" s="49"/>
      <c r="E6" s="50"/>
      <c r="Y6" s="51" t="s">
        <v>9</v>
      </c>
      <c r="Z6" s="52"/>
      <c r="AA6" s="53"/>
      <c r="AB6" s="53"/>
      <c r="AC6" s="53"/>
      <c r="AD6" s="52"/>
      <c r="AE6" s="53"/>
      <c r="AF6" s="53"/>
      <c r="AG6" s="53"/>
      <c r="AH6" s="52"/>
      <c r="AI6" s="52"/>
      <c r="AJ6" s="52"/>
      <c r="AK6" s="53"/>
      <c r="AL6" s="53"/>
      <c r="AM6" s="52"/>
      <c r="AN6" s="52"/>
      <c r="AO6" s="52"/>
      <c r="AP6" s="53"/>
      <c r="AQ6" s="52"/>
      <c r="AR6" s="52"/>
      <c r="AS6" s="52"/>
      <c r="AT6" s="52"/>
      <c r="AU6" s="52"/>
      <c r="BA6" s="54"/>
      <c r="BB6" s="54"/>
      <c r="BC6" s="54"/>
      <c r="BD6" s="54"/>
      <c r="BE6" s="54"/>
      <c r="BF6" s="54"/>
      <c r="BG6" s="54"/>
      <c r="BH6" s="54"/>
      <c r="BI6" s="54"/>
      <c r="BJ6" s="54"/>
      <c r="BK6" s="54"/>
      <c r="BL6" s="54"/>
      <c r="BM6" s="54"/>
      <c r="BN6" s="54"/>
      <c r="BO6" s="54"/>
      <c r="BP6" s="54"/>
      <c r="BQ6" s="54"/>
      <c r="BR6" s="54"/>
      <c r="BS6" s="54"/>
      <c r="BT6" s="54"/>
      <c r="BU6" s="54"/>
      <c r="BV6" s="54"/>
    </row>
    <row r="7" spans="1:75" ht="16.5" customHeight="1">
      <c r="B7" s="49"/>
      <c r="E7" s="50"/>
      <c r="Y7" s="55" t="s">
        <v>10</v>
      </c>
      <c r="Z7" s="52"/>
      <c r="AA7" s="53"/>
      <c r="AB7" s="53"/>
      <c r="AC7" s="53"/>
      <c r="AD7" s="52"/>
      <c r="AE7" s="53"/>
      <c r="AF7" s="53"/>
      <c r="AG7" s="53"/>
      <c r="AH7" s="52"/>
      <c r="AI7" s="52"/>
      <c r="AJ7" s="52"/>
      <c r="AK7" s="53"/>
      <c r="AL7" s="53"/>
      <c r="AM7" s="52"/>
      <c r="AN7" s="52"/>
      <c r="AO7" s="52"/>
      <c r="AP7" s="53"/>
      <c r="AQ7" s="52"/>
      <c r="AR7" s="52"/>
      <c r="AS7" s="52"/>
      <c r="AT7" s="52"/>
      <c r="AU7" s="52"/>
      <c r="BA7" s="54"/>
      <c r="BB7" s="54"/>
      <c r="BC7" s="54"/>
      <c r="BD7" s="54"/>
      <c r="BE7" s="54"/>
      <c r="BF7" s="54"/>
      <c r="BG7" s="54"/>
      <c r="BH7" s="54"/>
      <c r="BI7" s="54"/>
      <c r="BJ7" s="54"/>
      <c r="BK7" s="54"/>
      <c r="BL7" s="54"/>
      <c r="BM7" s="54"/>
      <c r="BN7" s="54"/>
      <c r="BO7" s="54"/>
      <c r="BP7" s="54"/>
      <c r="BQ7" s="54"/>
      <c r="BR7" s="54"/>
      <c r="BS7" s="54"/>
      <c r="BT7" s="54"/>
      <c r="BU7" s="54"/>
      <c r="BV7" s="54"/>
    </row>
    <row r="8" spans="1:75" ht="16.5" customHeight="1">
      <c r="B8" s="49"/>
      <c r="E8" s="50"/>
      <c r="Y8" s="51"/>
      <c r="Z8" s="52"/>
      <c r="AA8" s="53"/>
      <c r="AB8" s="53"/>
      <c r="AC8" s="53"/>
      <c r="AD8" s="52"/>
      <c r="AE8" s="53"/>
      <c r="AF8" s="53"/>
      <c r="AG8" s="53"/>
      <c r="AH8" s="52"/>
      <c r="AI8" s="52"/>
      <c r="AJ8" s="52"/>
      <c r="AK8" s="53"/>
      <c r="AL8" s="53"/>
      <c r="AM8" s="52"/>
      <c r="AN8" s="52"/>
      <c r="AO8" s="52"/>
      <c r="AP8" s="53"/>
      <c r="AQ8" s="52"/>
      <c r="AR8" s="52"/>
      <c r="AS8" s="52"/>
      <c r="AT8" s="52"/>
      <c r="AU8" s="52"/>
      <c r="BA8" s="54"/>
      <c r="BB8" s="54"/>
      <c r="BC8" s="54"/>
      <c r="BD8" s="54"/>
      <c r="BE8" s="54"/>
      <c r="BF8" s="54"/>
      <c r="BG8" s="54"/>
      <c r="BH8" s="54"/>
      <c r="BI8" s="54"/>
      <c r="BJ8" s="54"/>
      <c r="BK8" s="54"/>
      <c r="BL8" s="54"/>
      <c r="BM8" s="54"/>
      <c r="BN8" s="54"/>
      <c r="BO8" s="54"/>
      <c r="BP8" s="54"/>
      <c r="BQ8" s="54"/>
      <c r="BR8" s="54"/>
      <c r="BS8" s="54"/>
      <c r="BT8" s="54"/>
      <c r="BU8" s="54"/>
      <c r="BV8" s="54"/>
    </row>
    <row r="9" spans="1:75" ht="16.5" customHeight="1">
      <c r="B9" s="258" t="s">
        <v>11</v>
      </c>
      <c r="C9" s="294"/>
      <c r="D9" s="295"/>
      <c r="E9" s="259" t="s">
        <v>12</v>
      </c>
      <c r="F9" s="294"/>
      <c r="G9" s="294"/>
      <c r="H9" s="294"/>
      <c r="I9" s="294"/>
      <c r="J9" s="294"/>
      <c r="K9" s="294"/>
      <c r="L9" s="294"/>
      <c r="M9" s="294"/>
      <c r="N9" s="294"/>
      <c r="O9" s="294"/>
      <c r="P9" s="294"/>
      <c r="Q9" s="294"/>
      <c r="R9" s="294"/>
      <c r="S9" s="294"/>
      <c r="T9" s="294"/>
      <c r="U9" s="294"/>
      <c r="V9" s="294"/>
      <c r="W9" s="294"/>
      <c r="X9" s="294"/>
      <c r="Y9" s="294"/>
      <c r="Z9" s="295"/>
      <c r="AA9" s="259" t="s">
        <v>13</v>
      </c>
      <c r="AB9" s="294"/>
      <c r="AC9" s="294"/>
      <c r="AD9" s="294"/>
      <c r="AE9" s="294"/>
      <c r="AF9" s="294"/>
      <c r="AG9" s="294"/>
      <c r="AH9" s="294"/>
      <c r="AI9" s="294"/>
      <c r="AJ9" s="294"/>
      <c r="AK9" s="294"/>
      <c r="AL9" s="294"/>
      <c r="AM9" s="294"/>
      <c r="AN9" s="294"/>
      <c r="AO9" s="294"/>
      <c r="AP9" s="294"/>
      <c r="AQ9" s="294"/>
      <c r="AR9" s="294"/>
      <c r="AS9" s="294"/>
      <c r="AT9" s="294"/>
      <c r="AU9" s="294"/>
      <c r="AV9" s="255" t="s">
        <v>14</v>
      </c>
      <c r="AW9" s="294"/>
      <c r="AX9" s="294"/>
      <c r="AY9" s="294"/>
      <c r="AZ9" s="295"/>
      <c r="BA9" s="252" t="s">
        <v>15</v>
      </c>
      <c r="BB9" s="296"/>
      <c r="BC9" s="296"/>
      <c r="BD9" s="296"/>
      <c r="BE9" s="296"/>
      <c r="BF9" s="296"/>
      <c r="BG9" s="296"/>
      <c r="BH9" s="296"/>
      <c r="BI9" s="296"/>
      <c r="BJ9" s="296"/>
      <c r="BK9" s="296"/>
      <c r="BL9" s="296"/>
      <c r="BM9" s="296"/>
      <c r="BN9" s="296"/>
      <c r="BO9" s="296"/>
      <c r="BP9" s="296"/>
      <c r="BQ9" s="296"/>
      <c r="BR9" s="296"/>
      <c r="BS9" s="296"/>
      <c r="BT9" s="296"/>
      <c r="BU9" s="296"/>
      <c r="BV9" s="296"/>
      <c r="BW9" s="297"/>
    </row>
    <row r="10" spans="1:75" ht="16.5" customHeight="1">
      <c r="B10" s="58" t="s">
        <v>16</v>
      </c>
      <c r="C10" s="59" t="s">
        <v>17</v>
      </c>
      <c r="D10" s="60" t="s">
        <v>18</v>
      </c>
      <c r="E10" s="253" t="s">
        <v>19</v>
      </c>
      <c r="F10" s="298"/>
      <c r="G10" s="298"/>
      <c r="H10" s="298"/>
      <c r="I10" s="298"/>
      <c r="J10" s="253" t="s">
        <v>20</v>
      </c>
      <c r="K10" s="298"/>
      <c r="L10" s="298"/>
      <c r="M10" s="298"/>
      <c r="N10" s="299"/>
      <c r="O10" s="253" t="s">
        <v>21</v>
      </c>
      <c r="P10" s="298"/>
      <c r="Q10" s="298"/>
      <c r="R10" s="298"/>
      <c r="S10" s="298"/>
      <c r="T10" s="253" t="s">
        <v>22</v>
      </c>
      <c r="U10" s="298"/>
      <c r="V10" s="298"/>
      <c r="W10" s="298"/>
      <c r="X10" s="298"/>
      <c r="Y10" s="254" t="s">
        <v>23</v>
      </c>
      <c r="Z10" s="299"/>
      <c r="AA10" s="253" t="s">
        <v>19</v>
      </c>
      <c r="AB10" s="298"/>
      <c r="AC10" s="298"/>
      <c r="AD10" s="298"/>
      <c r="AE10" s="298"/>
      <c r="AF10" s="253" t="s">
        <v>20</v>
      </c>
      <c r="AG10" s="298"/>
      <c r="AH10" s="298"/>
      <c r="AI10" s="298"/>
      <c r="AJ10" s="298"/>
      <c r="AK10" s="253" t="s">
        <v>21</v>
      </c>
      <c r="AL10" s="298"/>
      <c r="AM10" s="298"/>
      <c r="AN10" s="298"/>
      <c r="AO10" s="298"/>
      <c r="AP10" s="253" t="s">
        <v>22</v>
      </c>
      <c r="AQ10" s="298"/>
      <c r="AR10" s="298"/>
      <c r="AS10" s="298"/>
      <c r="AT10" s="298"/>
      <c r="AU10" s="61" t="s">
        <v>23</v>
      </c>
      <c r="AV10" s="59" t="s">
        <v>24</v>
      </c>
      <c r="AW10" s="62" t="s">
        <v>25</v>
      </c>
      <c r="AX10" s="63" t="s">
        <v>26</v>
      </c>
      <c r="AY10" s="64" t="s">
        <v>27</v>
      </c>
      <c r="AZ10" s="65" t="s">
        <v>28</v>
      </c>
      <c r="BA10" s="256" t="s">
        <v>29</v>
      </c>
      <c r="BB10" s="299"/>
      <c r="BC10" s="59" t="s">
        <v>30</v>
      </c>
      <c r="BD10" s="251" t="s">
        <v>31</v>
      </c>
      <c r="BE10" s="298"/>
      <c r="BF10" s="298"/>
      <c r="BG10" s="298"/>
      <c r="BH10" s="298"/>
      <c r="BI10" s="298"/>
      <c r="BJ10" s="298"/>
      <c r="BK10" s="298"/>
      <c r="BL10" s="298"/>
      <c r="BM10" s="298"/>
      <c r="BN10" s="298"/>
      <c r="BO10" s="298"/>
      <c r="BP10" s="298"/>
      <c r="BQ10" s="298"/>
      <c r="BR10" s="298"/>
      <c r="BS10" s="298"/>
      <c r="BT10" s="298"/>
      <c r="BU10" s="298"/>
      <c r="BV10" s="298"/>
      <c r="BW10" s="300"/>
    </row>
    <row r="11" spans="1:75" ht="16.5" customHeight="1">
      <c r="B11" s="58" t="s">
        <v>32</v>
      </c>
      <c r="C11" s="67" t="s">
        <v>32</v>
      </c>
      <c r="D11" s="60" t="s">
        <v>32</v>
      </c>
      <c r="E11" s="68" t="s">
        <v>33</v>
      </c>
      <c r="F11" s="69" t="s">
        <v>34</v>
      </c>
      <c r="G11" s="69" t="s">
        <v>35</v>
      </c>
      <c r="H11" s="250" t="s">
        <v>36</v>
      </c>
      <c r="I11" s="298"/>
      <c r="J11" s="71" t="s">
        <v>33</v>
      </c>
      <c r="K11" s="69" t="s">
        <v>34</v>
      </c>
      <c r="L11" s="69" t="s">
        <v>35</v>
      </c>
      <c r="M11" s="250" t="s">
        <v>36</v>
      </c>
      <c r="N11" s="298"/>
      <c r="O11" s="71" t="s">
        <v>33</v>
      </c>
      <c r="P11" s="69" t="s">
        <v>34</v>
      </c>
      <c r="Q11" s="69" t="s">
        <v>35</v>
      </c>
      <c r="R11" s="250" t="s">
        <v>36</v>
      </c>
      <c r="S11" s="298"/>
      <c r="T11" s="71" t="s">
        <v>33</v>
      </c>
      <c r="U11" s="69" t="s">
        <v>34</v>
      </c>
      <c r="V11" s="69" t="s">
        <v>35</v>
      </c>
      <c r="W11" s="250" t="s">
        <v>36</v>
      </c>
      <c r="X11" s="298"/>
      <c r="Y11" s="72" t="s">
        <v>37</v>
      </c>
      <c r="Z11" s="73" t="s">
        <v>38</v>
      </c>
      <c r="AA11" s="68" t="s">
        <v>33</v>
      </c>
      <c r="AB11" s="74" t="s">
        <v>34</v>
      </c>
      <c r="AC11" s="74" t="s">
        <v>35</v>
      </c>
      <c r="AD11" s="250" t="s">
        <v>36</v>
      </c>
      <c r="AE11" s="298"/>
      <c r="AF11" s="68" t="s">
        <v>33</v>
      </c>
      <c r="AG11" s="74" t="s">
        <v>34</v>
      </c>
      <c r="AH11" s="69" t="s">
        <v>35</v>
      </c>
      <c r="AI11" s="250" t="s">
        <v>36</v>
      </c>
      <c r="AJ11" s="298"/>
      <c r="AK11" s="68" t="s">
        <v>33</v>
      </c>
      <c r="AL11" s="74" t="s">
        <v>34</v>
      </c>
      <c r="AM11" s="69" t="s">
        <v>35</v>
      </c>
      <c r="AN11" s="250" t="s">
        <v>36</v>
      </c>
      <c r="AO11" s="298"/>
      <c r="AP11" s="68" t="s">
        <v>33</v>
      </c>
      <c r="AQ11" s="69" t="s">
        <v>34</v>
      </c>
      <c r="AR11" s="69" t="s">
        <v>35</v>
      </c>
      <c r="AS11" s="250" t="s">
        <v>36</v>
      </c>
      <c r="AT11" s="298"/>
      <c r="AU11" s="61" t="s">
        <v>32</v>
      </c>
      <c r="AV11" s="59" t="s">
        <v>39</v>
      </c>
      <c r="AW11" s="62" t="s">
        <v>40</v>
      </c>
      <c r="AX11" s="63" t="s">
        <v>41</v>
      </c>
      <c r="AY11" s="64" t="s">
        <v>42</v>
      </c>
      <c r="AZ11" s="75" t="s">
        <v>43</v>
      </c>
      <c r="BA11" s="76" t="s">
        <v>44</v>
      </c>
      <c r="BB11" s="59" t="s">
        <v>45</v>
      </c>
      <c r="BC11" s="59" t="s">
        <v>46</v>
      </c>
      <c r="BD11" s="251" t="s">
        <v>47</v>
      </c>
      <c r="BE11" s="298"/>
      <c r="BF11" s="298"/>
      <c r="BG11" s="298"/>
      <c r="BH11" s="299"/>
      <c r="BI11" s="251" t="s">
        <v>48</v>
      </c>
      <c r="BJ11" s="298"/>
      <c r="BK11" s="298"/>
      <c r="BL11" s="298"/>
      <c r="BM11" s="299"/>
      <c r="BN11" s="251" t="s">
        <v>49</v>
      </c>
      <c r="BO11" s="298"/>
      <c r="BP11" s="298"/>
      <c r="BQ11" s="298"/>
      <c r="BR11" s="299"/>
      <c r="BS11" s="251" t="s">
        <v>50</v>
      </c>
      <c r="BT11" s="298"/>
      <c r="BU11" s="298"/>
      <c r="BV11" s="298"/>
      <c r="BW11" s="300"/>
    </row>
    <row r="12" spans="1:75" ht="16.5" customHeight="1">
      <c r="B12" s="77" t="s">
        <v>32</v>
      </c>
      <c r="C12" s="67" t="s">
        <v>32</v>
      </c>
      <c r="D12" s="66" t="s">
        <v>32</v>
      </c>
      <c r="E12" s="68"/>
      <c r="F12" s="69" t="s">
        <v>32</v>
      </c>
      <c r="G12" s="69" t="s">
        <v>32</v>
      </c>
      <c r="H12" s="69" t="s">
        <v>51</v>
      </c>
      <c r="I12" s="70" t="s">
        <v>52</v>
      </c>
      <c r="J12" s="71" t="s">
        <v>32</v>
      </c>
      <c r="K12" s="69" t="s">
        <v>32</v>
      </c>
      <c r="L12" s="69" t="s">
        <v>32</v>
      </c>
      <c r="M12" s="69" t="s">
        <v>51</v>
      </c>
      <c r="N12" s="70" t="s">
        <v>52</v>
      </c>
      <c r="O12" s="71" t="s">
        <v>32</v>
      </c>
      <c r="P12" s="69" t="s">
        <v>32</v>
      </c>
      <c r="Q12" s="69" t="s">
        <v>32</v>
      </c>
      <c r="R12" s="69" t="s">
        <v>51</v>
      </c>
      <c r="S12" s="70" t="s">
        <v>52</v>
      </c>
      <c r="T12" s="71" t="s">
        <v>32</v>
      </c>
      <c r="U12" s="69" t="s">
        <v>32</v>
      </c>
      <c r="V12" s="69" t="s">
        <v>32</v>
      </c>
      <c r="W12" s="69" t="s">
        <v>51</v>
      </c>
      <c r="X12" s="70" t="s">
        <v>52</v>
      </c>
      <c r="Y12" s="78" t="s">
        <v>32</v>
      </c>
      <c r="Z12" s="73"/>
      <c r="AA12" s="68"/>
      <c r="AB12" s="74" t="s">
        <v>32</v>
      </c>
      <c r="AC12" s="74" t="s">
        <v>32</v>
      </c>
      <c r="AD12" s="69" t="s">
        <v>51</v>
      </c>
      <c r="AE12" s="79" t="s">
        <v>52</v>
      </c>
      <c r="AF12" s="68" t="s">
        <v>32</v>
      </c>
      <c r="AG12" s="74" t="s">
        <v>32</v>
      </c>
      <c r="AH12" s="69" t="s">
        <v>32</v>
      </c>
      <c r="AI12" s="69" t="s">
        <v>51</v>
      </c>
      <c r="AJ12" s="70" t="s">
        <v>52</v>
      </c>
      <c r="AK12" s="68" t="s">
        <v>32</v>
      </c>
      <c r="AL12" s="74" t="s">
        <v>32</v>
      </c>
      <c r="AM12" s="69" t="s">
        <v>32</v>
      </c>
      <c r="AN12" s="69" t="s">
        <v>51</v>
      </c>
      <c r="AO12" s="70" t="s">
        <v>52</v>
      </c>
      <c r="AP12" s="68" t="s">
        <v>32</v>
      </c>
      <c r="AQ12" s="69" t="s">
        <v>32</v>
      </c>
      <c r="AR12" s="69" t="s">
        <v>32</v>
      </c>
      <c r="AS12" s="69" t="s">
        <v>51</v>
      </c>
      <c r="AT12" s="70" t="s">
        <v>52</v>
      </c>
      <c r="AU12" s="61" t="s">
        <v>32</v>
      </c>
      <c r="AV12" s="59" t="s">
        <v>32</v>
      </c>
      <c r="AW12" s="62" t="s">
        <v>32</v>
      </c>
      <c r="AX12" s="63" t="s">
        <v>32</v>
      </c>
      <c r="AY12" s="64" t="s">
        <v>32</v>
      </c>
      <c r="AZ12" s="65" t="s">
        <v>32</v>
      </c>
      <c r="BA12" s="76" t="s">
        <v>32</v>
      </c>
      <c r="BB12" s="59" t="s">
        <v>32</v>
      </c>
      <c r="BC12" s="59" t="s">
        <v>32</v>
      </c>
      <c r="BD12" s="251" t="s">
        <v>53</v>
      </c>
      <c r="BE12" s="299"/>
      <c r="BF12" s="251" t="s">
        <v>54</v>
      </c>
      <c r="BG12" s="299"/>
      <c r="BH12" s="59" t="s">
        <v>55</v>
      </c>
      <c r="BI12" s="251" t="s">
        <v>53</v>
      </c>
      <c r="BJ12" s="299"/>
      <c r="BK12" s="251" t="s">
        <v>54</v>
      </c>
      <c r="BL12" s="299"/>
      <c r="BM12" s="59" t="s">
        <v>55</v>
      </c>
      <c r="BN12" s="251" t="s">
        <v>53</v>
      </c>
      <c r="BO12" s="299"/>
      <c r="BP12" s="251" t="s">
        <v>54</v>
      </c>
      <c r="BQ12" s="299"/>
      <c r="BR12" s="59" t="s">
        <v>55</v>
      </c>
      <c r="BS12" s="251" t="s">
        <v>53</v>
      </c>
      <c r="BT12" s="299"/>
      <c r="BU12" s="251" t="s">
        <v>54</v>
      </c>
      <c r="BV12" s="299"/>
      <c r="BW12" s="80" t="s">
        <v>55</v>
      </c>
    </row>
    <row r="13" spans="1:75" ht="16.5" customHeight="1">
      <c r="B13" s="81" t="s">
        <v>32</v>
      </c>
      <c r="C13" s="82" t="s">
        <v>32</v>
      </c>
      <c r="D13" s="83" t="s">
        <v>32</v>
      </c>
      <c r="E13" s="84"/>
      <c r="F13" s="85" t="s">
        <v>32</v>
      </c>
      <c r="G13" s="85" t="s">
        <v>32</v>
      </c>
      <c r="H13" s="85" t="s">
        <v>32</v>
      </c>
      <c r="I13" s="86" t="s">
        <v>32</v>
      </c>
      <c r="J13" s="87" t="s">
        <v>32</v>
      </c>
      <c r="K13" s="85" t="s">
        <v>32</v>
      </c>
      <c r="L13" s="85" t="s">
        <v>32</v>
      </c>
      <c r="M13" s="85" t="s">
        <v>32</v>
      </c>
      <c r="N13" s="86" t="s">
        <v>32</v>
      </c>
      <c r="O13" s="87" t="s">
        <v>32</v>
      </c>
      <c r="P13" s="85" t="s">
        <v>32</v>
      </c>
      <c r="Q13" s="85" t="s">
        <v>32</v>
      </c>
      <c r="R13" s="85" t="s">
        <v>32</v>
      </c>
      <c r="S13" s="86" t="s">
        <v>32</v>
      </c>
      <c r="T13" s="87" t="s">
        <v>32</v>
      </c>
      <c r="U13" s="85" t="s">
        <v>32</v>
      </c>
      <c r="V13" s="85" t="s">
        <v>32</v>
      </c>
      <c r="W13" s="85" t="s">
        <v>32</v>
      </c>
      <c r="X13" s="86" t="s">
        <v>32</v>
      </c>
      <c r="Y13" s="88" t="s">
        <v>32</v>
      </c>
      <c r="Z13" s="89"/>
      <c r="AA13" s="84"/>
      <c r="AB13" s="90" t="s">
        <v>32</v>
      </c>
      <c r="AC13" s="90" t="s">
        <v>32</v>
      </c>
      <c r="AD13" s="85" t="s">
        <v>32</v>
      </c>
      <c r="AE13" s="91" t="s">
        <v>32</v>
      </c>
      <c r="AF13" s="84" t="s">
        <v>32</v>
      </c>
      <c r="AG13" s="90" t="s">
        <v>32</v>
      </c>
      <c r="AH13" s="85" t="s">
        <v>32</v>
      </c>
      <c r="AI13" s="85" t="s">
        <v>32</v>
      </c>
      <c r="AJ13" s="86" t="s">
        <v>32</v>
      </c>
      <c r="AK13" s="84" t="s">
        <v>32</v>
      </c>
      <c r="AL13" s="90" t="s">
        <v>32</v>
      </c>
      <c r="AM13" s="85" t="s">
        <v>32</v>
      </c>
      <c r="AN13" s="85" t="s">
        <v>32</v>
      </c>
      <c r="AO13" s="86" t="s">
        <v>32</v>
      </c>
      <c r="AP13" s="84" t="s">
        <v>32</v>
      </c>
      <c r="AQ13" s="85" t="s">
        <v>32</v>
      </c>
      <c r="AR13" s="85" t="s">
        <v>32</v>
      </c>
      <c r="AS13" s="85" t="s">
        <v>32</v>
      </c>
      <c r="AT13" s="86" t="s">
        <v>32</v>
      </c>
      <c r="AU13" s="92" t="s">
        <v>32</v>
      </c>
      <c r="AV13" s="67" t="s">
        <v>32</v>
      </c>
      <c r="AW13" s="93" t="s">
        <v>32</v>
      </c>
      <c r="AX13" s="94" t="s">
        <v>32</v>
      </c>
      <c r="AY13" s="95" t="s">
        <v>32</v>
      </c>
      <c r="AZ13" s="96" t="s">
        <v>32</v>
      </c>
      <c r="BA13" s="97" t="s">
        <v>32</v>
      </c>
      <c r="BB13" s="82" t="s">
        <v>32</v>
      </c>
      <c r="BC13" s="82" t="s">
        <v>32</v>
      </c>
      <c r="BD13" s="82" t="s">
        <v>56</v>
      </c>
      <c r="BE13" s="82" t="s">
        <v>57</v>
      </c>
      <c r="BF13" s="82" t="s">
        <v>56</v>
      </c>
      <c r="BG13" s="82" t="s">
        <v>57</v>
      </c>
      <c r="BH13" s="82" t="s">
        <v>32</v>
      </c>
      <c r="BI13" s="82" t="s">
        <v>56</v>
      </c>
      <c r="BJ13" s="82" t="s">
        <v>57</v>
      </c>
      <c r="BK13" s="82" t="s">
        <v>56</v>
      </c>
      <c r="BL13" s="82" t="s">
        <v>57</v>
      </c>
      <c r="BM13" s="82" t="s">
        <v>32</v>
      </c>
      <c r="BN13" s="82" t="s">
        <v>56</v>
      </c>
      <c r="BO13" s="82" t="s">
        <v>57</v>
      </c>
      <c r="BP13" s="82" t="s">
        <v>56</v>
      </c>
      <c r="BQ13" s="82" t="s">
        <v>57</v>
      </c>
      <c r="BR13" s="82" t="s">
        <v>32</v>
      </c>
      <c r="BS13" s="82" t="s">
        <v>56</v>
      </c>
      <c r="BT13" s="82" t="s">
        <v>57</v>
      </c>
      <c r="BU13" s="82" t="s">
        <v>56</v>
      </c>
      <c r="BV13" s="82" t="s">
        <v>57</v>
      </c>
      <c r="BW13" s="98" t="s">
        <v>32</v>
      </c>
    </row>
    <row r="14" spans="1:75" ht="148.5">
      <c r="B14" s="99" t="s">
        <v>58</v>
      </c>
      <c r="C14" s="100" t="s">
        <v>59</v>
      </c>
      <c r="D14" s="101" t="s">
        <v>60</v>
      </c>
      <c r="E14" s="242" t="s">
        <v>61</v>
      </c>
      <c r="F14" s="242" t="s">
        <v>61</v>
      </c>
      <c r="G14" s="242" t="s">
        <v>61</v>
      </c>
      <c r="H14" s="242" t="s">
        <v>61</v>
      </c>
      <c r="I14" s="242" t="s">
        <v>61</v>
      </c>
      <c r="J14" s="242" t="s">
        <v>61</v>
      </c>
      <c r="K14" s="242" t="s">
        <v>61</v>
      </c>
      <c r="L14" s="242" t="s">
        <v>61</v>
      </c>
      <c r="M14" s="242" t="s">
        <v>61</v>
      </c>
      <c r="N14" s="242" t="s">
        <v>61</v>
      </c>
      <c r="O14" s="242" t="s">
        <v>61</v>
      </c>
      <c r="P14" s="242" t="s">
        <v>61</v>
      </c>
      <c r="Q14" s="242" t="s">
        <v>61</v>
      </c>
      <c r="R14" s="242" t="s">
        <v>61</v>
      </c>
      <c r="S14" s="242" t="s">
        <v>61</v>
      </c>
      <c r="T14" s="247" t="s">
        <v>61</v>
      </c>
      <c r="U14" s="247" t="s">
        <v>61</v>
      </c>
      <c r="V14" s="247" t="s">
        <v>61</v>
      </c>
      <c r="W14" s="247" t="s">
        <v>61</v>
      </c>
      <c r="X14" s="247" t="s">
        <v>61</v>
      </c>
      <c r="Y14" s="247" t="s">
        <v>61</v>
      </c>
      <c r="Z14" s="237" t="s">
        <v>121</v>
      </c>
      <c r="AA14" s="193"/>
      <c r="AB14" s="194"/>
      <c r="AC14" s="195"/>
      <c r="AD14" s="196"/>
      <c r="AE14" s="197"/>
      <c r="AF14" s="198"/>
      <c r="AG14" s="194"/>
      <c r="AH14" s="199"/>
      <c r="AI14" s="199"/>
      <c r="AJ14" s="199"/>
      <c r="AK14" s="198"/>
      <c r="AL14" s="200"/>
      <c r="AM14" s="199"/>
      <c r="AN14" s="199"/>
      <c r="AO14" s="199"/>
      <c r="AP14" s="198" t="s">
        <v>63</v>
      </c>
      <c r="AQ14" s="199" t="s">
        <v>64</v>
      </c>
      <c r="AR14" s="199"/>
      <c r="AS14" s="199"/>
      <c r="AT14" s="199"/>
      <c r="AU14" s="201"/>
      <c r="AV14" s="202"/>
      <c r="AW14" s="203" t="s">
        <v>65</v>
      </c>
      <c r="AX14" s="139" t="s">
        <v>66</v>
      </c>
      <c r="AY14" s="203" t="s">
        <v>67</v>
      </c>
      <c r="AZ14" s="139" t="s">
        <v>66</v>
      </c>
      <c r="BA14" s="203" t="s">
        <v>68</v>
      </c>
      <c r="BB14" s="139" t="s">
        <v>66</v>
      </c>
      <c r="BC14" s="204" t="s">
        <v>69</v>
      </c>
      <c r="BD14" s="141" t="s">
        <v>66</v>
      </c>
    </row>
    <row r="15" spans="1:75" ht="409.6">
      <c r="B15" s="110"/>
      <c r="C15" s="111" t="s">
        <v>70</v>
      </c>
      <c r="D15" s="112" t="s">
        <v>71</v>
      </c>
      <c r="E15" s="189" t="s">
        <v>122</v>
      </c>
      <c r="F15" s="190" t="s">
        <v>123</v>
      </c>
      <c r="G15" s="191" t="s">
        <v>124</v>
      </c>
      <c r="H15" s="113" t="s">
        <v>75</v>
      </c>
      <c r="I15" s="142" t="s">
        <v>76</v>
      </c>
      <c r="J15" s="240" t="s">
        <v>77</v>
      </c>
      <c r="K15" s="240" t="s">
        <v>78</v>
      </c>
      <c r="L15" s="240" t="s">
        <v>79</v>
      </c>
      <c r="M15" s="240" t="s">
        <v>80</v>
      </c>
      <c r="N15" s="240" t="s">
        <v>80</v>
      </c>
      <c r="O15" s="240" t="s">
        <v>81</v>
      </c>
      <c r="P15" s="240" t="s">
        <v>81</v>
      </c>
      <c r="Q15" s="240" t="s">
        <v>81</v>
      </c>
      <c r="R15" s="240" t="s">
        <v>81</v>
      </c>
      <c r="S15" s="240" t="s">
        <v>81</v>
      </c>
      <c r="T15" s="233" t="s">
        <v>125</v>
      </c>
      <c r="U15" s="234" t="s">
        <v>126</v>
      </c>
      <c r="V15" s="234" t="s">
        <v>127</v>
      </c>
      <c r="W15" s="205" t="s">
        <v>128</v>
      </c>
      <c r="X15" s="234" t="s">
        <v>129</v>
      </c>
      <c r="Y15" s="206" t="s">
        <v>87</v>
      </c>
      <c r="Z15" s="238" t="s">
        <v>130</v>
      </c>
      <c r="AA15" s="207" t="s">
        <v>89</v>
      </c>
      <c r="AB15" s="208" t="s">
        <v>90</v>
      </c>
      <c r="AC15" s="209" t="s">
        <v>91</v>
      </c>
      <c r="AD15" s="210" t="s">
        <v>75</v>
      </c>
      <c r="AE15" s="211" t="s">
        <v>92</v>
      </c>
      <c r="AF15" s="212"/>
      <c r="AG15" s="208"/>
      <c r="AH15" s="213"/>
      <c r="AI15" s="213"/>
      <c r="AJ15" s="213"/>
      <c r="AK15" s="212"/>
      <c r="AL15" s="214"/>
      <c r="AM15" s="213"/>
      <c r="AN15" s="213"/>
      <c r="AO15" s="213"/>
      <c r="AP15" s="212" t="s">
        <v>93</v>
      </c>
      <c r="AQ15" s="214" t="s">
        <v>94</v>
      </c>
      <c r="AR15" s="213" t="s">
        <v>95</v>
      </c>
      <c r="AS15" s="213" t="s">
        <v>95</v>
      </c>
      <c r="AT15" s="213" t="s">
        <v>95</v>
      </c>
      <c r="AU15" s="215" t="s">
        <v>96</v>
      </c>
      <c r="AV15" s="216" t="s">
        <v>97</v>
      </c>
      <c r="AW15" s="217" t="s">
        <v>95</v>
      </c>
      <c r="AX15" s="218" t="s">
        <v>95</v>
      </c>
      <c r="AY15" s="217" t="s">
        <v>98</v>
      </c>
      <c r="AZ15" s="152" t="s">
        <v>66</v>
      </c>
      <c r="BA15" s="217" t="s">
        <v>99</v>
      </c>
      <c r="BB15" s="152" t="s">
        <v>66</v>
      </c>
      <c r="BC15" s="217" t="s">
        <v>100</v>
      </c>
      <c r="BD15" s="153" t="s">
        <v>66</v>
      </c>
    </row>
    <row r="16" spans="1:75" ht="409.6">
      <c r="B16" s="110"/>
      <c r="C16" s="123" t="s">
        <v>101</v>
      </c>
      <c r="D16" s="123"/>
      <c r="E16" s="192" t="s">
        <v>131</v>
      </c>
      <c r="F16" s="124" t="s">
        <v>103</v>
      </c>
      <c r="G16" s="248" t="s">
        <v>104</v>
      </c>
      <c r="H16" s="125" t="s">
        <v>75</v>
      </c>
      <c r="I16" s="126" t="s">
        <v>105</v>
      </c>
      <c r="J16" s="240" t="s">
        <v>106</v>
      </c>
      <c r="K16" s="240" t="s">
        <v>107</v>
      </c>
      <c r="L16" s="240" t="s">
        <v>108</v>
      </c>
      <c r="M16" s="240" t="s">
        <v>109</v>
      </c>
      <c r="N16" s="240" t="s">
        <v>106</v>
      </c>
      <c r="O16" s="241" t="s">
        <v>81</v>
      </c>
      <c r="P16" s="241" t="s">
        <v>81</v>
      </c>
      <c r="Q16" s="241" t="s">
        <v>81</v>
      </c>
      <c r="R16" s="241" t="s">
        <v>81</v>
      </c>
      <c r="S16" s="241" t="s">
        <v>81</v>
      </c>
      <c r="T16" s="235" t="s">
        <v>132</v>
      </c>
      <c r="U16" s="219" t="s">
        <v>133</v>
      </c>
      <c r="V16" s="236" t="s">
        <v>134</v>
      </c>
      <c r="W16" s="219" t="s">
        <v>85</v>
      </c>
      <c r="X16" s="236" t="s">
        <v>135</v>
      </c>
      <c r="Y16" s="220" t="s">
        <v>87</v>
      </c>
      <c r="Z16" s="239" t="s">
        <v>136</v>
      </c>
      <c r="AA16" s="221" t="s">
        <v>115</v>
      </c>
      <c r="AB16" s="222" t="s">
        <v>116</v>
      </c>
      <c r="AC16" s="223" t="s">
        <v>117</v>
      </c>
      <c r="AD16" s="224" t="s">
        <v>75</v>
      </c>
      <c r="AE16" s="225" t="s">
        <v>118</v>
      </c>
      <c r="AF16" s="226"/>
      <c r="AG16" s="222"/>
      <c r="AH16" s="227"/>
      <c r="AI16" s="227"/>
      <c r="AJ16" s="227"/>
      <c r="AK16" s="226"/>
      <c r="AL16" s="228"/>
      <c r="AM16" s="227"/>
      <c r="AN16" s="227"/>
      <c r="AO16" s="227"/>
      <c r="AP16" s="226" t="s">
        <v>119</v>
      </c>
      <c r="AQ16" s="214" t="s">
        <v>94</v>
      </c>
      <c r="AR16" s="213" t="s">
        <v>95</v>
      </c>
      <c r="AS16" s="213" t="s">
        <v>95</v>
      </c>
      <c r="AT16" s="213" t="s">
        <v>95</v>
      </c>
      <c r="AU16" s="229"/>
      <c r="AV16" s="230" t="s">
        <v>120</v>
      </c>
      <c r="AW16" s="231" t="s">
        <v>95</v>
      </c>
      <c r="AX16" s="232" t="s">
        <v>95</v>
      </c>
      <c r="AY16" s="231" t="s">
        <v>98</v>
      </c>
      <c r="AZ16" s="164" t="s">
        <v>66</v>
      </c>
      <c r="BA16" s="231" t="s">
        <v>99</v>
      </c>
      <c r="BB16" s="164" t="s">
        <v>66</v>
      </c>
      <c r="BC16" s="231" t="s">
        <v>100</v>
      </c>
      <c r="BD16" s="165" t="s">
        <v>66</v>
      </c>
    </row>
  </sheetData>
  <mergeCells count="38">
    <mergeCell ref="B4:E4"/>
    <mergeCell ref="B5:E5"/>
    <mergeCell ref="B9:D9"/>
    <mergeCell ref="E9:Z9"/>
    <mergeCell ref="AA9:AU9"/>
    <mergeCell ref="BA9:BW9"/>
    <mergeCell ref="E10:I10"/>
    <mergeCell ref="J10:N10"/>
    <mergeCell ref="O10:S10"/>
    <mergeCell ref="T10:X10"/>
    <mergeCell ref="Y10:Z10"/>
    <mergeCell ref="AA10:AE10"/>
    <mergeCell ref="AF10:AJ10"/>
    <mergeCell ref="AK10:AO10"/>
    <mergeCell ref="AP10:AT10"/>
    <mergeCell ref="AV9:AZ9"/>
    <mergeCell ref="BA10:BB10"/>
    <mergeCell ref="BD10:BW10"/>
    <mergeCell ref="H11:I11"/>
    <mergeCell ref="M11:N11"/>
    <mergeCell ref="R11:S11"/>
    <mergeCell ref="W11:X11"/>
    <mergeCell ref="AD11:AE11"/>
    <mergeCell ref="AI11:AJ11"/>
    <mergeCell ref="AN11:AO11"/>
    <mergeCell ref="AS11:AT11"/>
    <mergeCell ref="BS12:BT12"/>
    <mergeCell ref="BU12:BV12"/>
    <mergeCell ref="BD11:BH11"/>
    <mergeCell ref="BI11:BM11"/>
    <mergeCell ref="BN11:BR11"/>
    <mergeCell ref="BS11:BW11"/>
    <mergeCell ref="BD12:BE12"/>
    <mergeCell ref="BF12:BG12"/>
    <mergeCell ref="BI12:BJ12"/>
    <mergeCell ref="BK12:BL12"/>
    <mergeCell ref="BN12:BO12"/>
    <mergeCell ref="BP12:BQ12"/>
  </mergeCells>
  <phoneticPr fontId="1"/>
  <dataValidations count="2">
    <dataValidation type="list" allowBlank="1" showErrorMessage="1" sqref="Y15:Y16" xr:uid="{86D8FE1C-5878-4A23-B084-E7EBFA0DC257}">
      <formula1>"◎,〇,△,×,N/A"</formula1>
    </dataValidation>
    <dataValidation type="list" allowBlank="1" showErrorMessage="1" sqref="AU14:AU16" xr:uid="{BDFC3786-80AA-4730-995D-D5EF624C46EE}">
      <formula1>"◎,〇,△,×"</formula1>
    </dataValidation>
  </dataValidations>
  <hyperlinks>
    <hyperlink ref="AZ15" r:id="rId1" xr:uid="{D6AC715F-CECB-4E62-8603-9991589B107B}"/>
    <hyperlink ref="AZ16" r:id="rId2" xr:uid="{CD126C35-A318-467B-8EF8-4C3762DE7D1D}"/>
    <hyperlink ref="BB16" r:id="rId3" xr:uid="{21AFBAE8-F943-42F1-BAA6-89A9A7832DF1}"/>
    <hyperlink ref="BB15" r:id="rId4" xr:uid="{B9D9B26B-9755-48F3-88E8-FAAA7539EA67}"/>
    <hyperlink ref="BD15" r:id="rId5" xr:uid="{75DD555E-653B-4B2D-B789-3A4DD11B0F96}"/>
    <hyperlink ref="BD16" r:id="rId6" xr:uid="{2BBB7304-4E9A-4E51-988B-4B37AB6771DC}"/>
    <hyperlink ref="AX14" r:id="rId7" xr:uid="{7242748B-CD36-40A0-A8BE-24239C5B1718}"/>
    <hyperlink ref="AZ14" r:id="rId8" xr:uid="{12463DB6-95D6-419F-BB10-AD1424AF22F1}"/>
    <hyperlink ref="BB14" r:id="rId9" xr:uid="{F07C0B7E-2127-46F3-87FE-AB2E0D62ABFB}"/>
    <hyperlink ref="BD14" r:id="rId10" xr:uid="{71562DDF-F297-4154-BE1B-221A5EB664BB}"/>
  </hyperlinks>
  <pageMargins left="0.7" right="0.7" top="0.75" bottom="0.75" header="0" footer="0"/>
  <pageSetup orientation="landscape"/>
  <legacyDrawing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K1000"/>
  <sheetViews>
    <sheetView topLeftCell="A14" workbookViewId="0">
      <selection activeCell="E19" sqref="E19"/>
    </sheetView>
  </sheetViews>
  <sheetFormatPr defaultColWidth="12.625" defaultRowHeight="15" customHeight="1"/>
  <cols>
    <col min="1" max="1" width="10" customWidth="1"/>
    <col min="2" max="2" width="24" customWidth="1"/>
    <col min="3" max="3" width="22" customWidth="1"/>
    <col min="4" max="4" width="94.5" customWidth="1"/>
    <col min="5" max="5" width="42" customWidth="1"/>
    <col min="6" max="6" width="18" customWidth="1"/>
    <col min="7" max="7" width="22" customWidth="1"/>
    <col min="8" max="8" width="30" customWidth="1"/>
    <col min="9" max="9" width="32" customWidth="1"/>
    <col min="10" max="10" width="14" customWidth="1"/>
    <col min="11" max="11" width="20" customWidth="1"/>
    <col min="12" max="26" width="8.625" customWidth="1"/>
  </cols>
  <sheetData>
    <row r="1" spans="1:11" ht="30" customHeight="1">
      <c r="A1" s="260" t="s">
        <v>137</v>
      </c>
      <c r="B1" s="301"/>
      <c r="C1" s="301"/>
      <c r="D1" s="301"/>
      <c r="E1" s="301"/>
      <c r="F1" s="301"/>
      <c r="G1" s="301"/>
      <c r="H1" s="301"/>
      <c r="I1" s="301"/>
      <c r="J1" s="301"/>
      <c r="K1" s="301"/>
    </row>
    <row r="2" spans="1:11" ht="36" customHeight="1">
      <c r="A2" s="261" t="s">
        <v>138</v>
      </c>
      <c r="B2" s="301"/>
      <c r="C2" s="301"/>
      <c r="D2" s="301"/>
      <c r="E2" s="301"/>
      <c r="F2" s="301"/>
      <c r="G2" s="301"/>
      <c r="H2" s="301"/>
      <c r="I2" s="301"/>
      <c r="J2" s="301"/>
      <c r="K2" s="301"/>
    </row>
    <row r="3" spans="1:11" ht="33.75" customHeight="1">
      <c r="A3" s="262" t="s">
        <v>139</v>
      </c>
      <c r="B3" s="301"/>
      <c r="C3" s="301"/>
      <c r="D3" s="301"/>
      <c r="E3" s="301"/>
      <c r="F3" s="301"/>
      <c r="G3" s="301"/>
      <c r="H3" s="301"/>
      <c r="I3" s="301"/>
      <c r="J3" s="301"/>
      <c r="K3" s="301"/>
    </row>
    <row r="5" spans="1:11" ht="31.5" customHeight="1">
      <c r="A5" s="1" t="s">
        <v>140</v>
      </c>
      <c r="B5" s="2" t="s">
        <v>141</v>
      </c>
      <c r="C5" s="2" t="s">
        <v>142</v>
      </c>
      <c r="D5" s="2" t="s">
        <v>143</v>
      </c>
      <c r="E5" s="2" t="s">
        <v>144</v>
      </c>
      <c r="F5" s="2" t="s">
        <v>145</v>
      </c>
      <c r="G5" s="2" t="s">
        <v>146</v>
      </c>
      <c r="H5" s="2" t="s">
        <v>147</v>
      </c>
      <c r="I5" s="2" t="s">
        <v>148</v>
      </c>
      <c r="J5" s="2" t="s">
        <v>149</v>
      </c>
      <c r="K5" s="3" t="s">
        <v>150</v>
      </c>
    </row>
    <row r="6" spans="1:11" ht="87" customHeight="1">
      <c r="A6" s="4" t="s">
        <v>151</v>
      </c>
      <c r="B6" s="5" t="s">
        <v>152</v>
      </c>
      <c r="C6" s="5" t="s">
        <v>153</v>
      </c>
      <c r="D6" s="6" t="s">
        <v>154</v>
      </c>
      <c r="E6" s="6" t="s">
        <v>155</v>
      </c>
      <c r="F6" s="6" t="s">
        <v>156</v>
      </c>
      <c r="G6" s="7" t="s">
        <v>157</v>
      </c>
      <c r="H6" s="39" t="s">
        <v>158</v>
      </c>
      <c r="I6" s="6"/>
      <c r="J6" s="7" t="s">
        <v>159</v>
      </c>
      <c r="K6" s="8"/>
    </row>
    <row r="7" spans="1:11" ht="42" customHeight="1">
      <c r="A7" s="9" t="s">
        <v>160</v>
      </c>
      <c r="B7" s="10" t="s">
        <v>152</v>
      </c>
      <c r="C7" s="10" t="s">
        <v>161</v>
      </c>
      <c r="D7" s="11" t="s">
        <v>162</v>
      </c>
      <c r="E7" s="11" t="s">
        <v>163</v>
      </c>
      <c r="F7" s="11" t="s">
        <v>164</v>
      </c>
      <c r="G7" s="12" t="s">
        <v>157</v>
      </c>
      <c r="H7" s="11"/>
      <c r="I7" s="11"/>
      <c r="J7" s="12" t="s">
        <v>159</v>
      </c>
      <c r="K7" s="13"/>
    </row>
    <row r="8" spans="1:11" ht="42" customHeight="1">
      <c r="A8" s="9" t="s">
        <v>165</v>
      </c>
      <c r="B8" s="10" t="s">
        <v>152</v>
      </c>
      <c r="C8" s="10" t="s">
        <v>153</v>
      </c>
      <c r="D8" s="11" t="s">
        <v>166</v>
      </c>
      <c r="E8" s="11" t="s">
        <v>167</v>
      </c>
      <c r="F8" s="11" t="s">
        <v>168</v>
      </c>
      <c r="G8" s="12" t="s">
        <v>157</v>
      </c>
      <c r="H8" s="11"/>
      <c r="I8" s="11"/>
      <c r="J8" s="12" t="s">
        <v>159</v>
      </c>
      <c r="K8" s="13"/>
    </row>
    <row r="9" spans="1:11" ht="69" customHeight="1">
      <c r="A9" s="9" t="s">
        <v>169</v>
      </c>
      <c r="B9" s="10" t="s">
        <v>152</v>
      </c>
      <c r="C9" s="10" t="s">
        <v>170</v>
      </c>
      <c r="D9" s="11" t="s">
        <v>171</v>
      </c>
      <c r="E9" s="11" t="s">
        <v>172</v>
      </c>
      <c r="F9" s="11" t="s">
        <v>156</v>
      </c>
      <c r="G9" s="12" t="s">
        <v>157</v>
      </c>
      <c r="H9" s="11"/>
      <c r="I9" s="11"/>
      <c r="J9" s="12" t="s">
        <v>159</v>
      </c>
      <c r="K9" s="13"/>
    </row>
    <row r="10" spans="1:11" ht="42" customHeight="1">
      <c r="A10" s="9" t="s">
        <v>173</v>
      </c>
      <c r="B10" s="10" t="s">
        <v>152</v>
      </c>
      <c r="C10" s="10" t="s">
        <v>174</v>
      </c>
      <c r="D10" s="11" t="s">
        <v>175</v>
      </c>
      <c r="E10" s="11" t="s">
        <v>176</v>
      </c>
      <c r="F10" s="11" t="s">
        <v>164</v>
      </c>
      <c r="G10" s="12" t="s">
        <v>157</v>
      </c>
      <c r="H10" s="11"/>
      <c r="I10" s="11"/>
      <c r="J10" s="12" t="s">
        <v>159</v>
      </c>
      <c r="K10" s="13"/>
    </row>
    <row r="11" spans="1:11" ht="150.6" customHeight="1">
      <c r="A11" s="9" t="s">
        <v>177</v>
      </c>
      <c r="B11" s="10" t="s">
        <v>178</v>
      </c>
      <c r="C11" s="10" t="s">
        <v>153</v>
      </c>
      <c r="D11" s="11" t="s">
        <v>179</v>
      </c>
      <c r="E11" s="37" t="s">
        <v>180</v>
      </c>
      <c r="F11" s="11" t="s">
        <v>156</v>
      </c>
      <c r="G11" s="12" t="s">
        <v>157</v>
      </c>
      <c r="H11" s="11"/>
      <c r="I11" s="11"/>
      <c r="J11" s="12" t="s">
        <v>159</v>
      </c>
      <c r="K11" s="13"/>
    </row>
    <row r="12" spans="1:11" ht="42" customHeight="1">
      <c r="A12" s="9" t="s">
        <v>181</v>
      </c>
      <c r="B12" s="10" t="s">
        <v>178</v>
      </c>
      <c r="C12" s="10" t="s">
        <v>153</v>
      </c>
      <c r="D12" s="11" t="s">
        <v>182</v>
      </c>
      <c r="E12" s="11" t="s">
        <v>183</v>
      </c>
      <c r="F12" s="11" t="s">
        <v>164</v>
      </c>
      <c r="G12" s="12" t="s">
        <v>157</v>
      </c>
      <c r="H12" s="11"/>
      <c r="I12" s="11"/>
      <c r="J12" s="12" t="s">
        <v>159</v>
      </c>
      <c r="K12" s="13"/>
    </row>
    <row r="13" spans="1:11" ht="42" customHeight="1">
      <c r="A13" s="9" t="s">
        <v>184</v>
      </c>
      <c r="B13" s="10" t="s">
        <v>178</v>
      </c>
      <c r="C13" s="10" t="s">
        <v>185</v>
      </c>
      <c r="D13" s="11" t="s">
        <v>186</v>
      </c>
      <c r="E13" s="11" t="s">
        <v>187</v>
      </c>
      <c r="F13" s="11" t="s">
        <v>164</v>
      </c>
      <c r="G13" s="12" t="s">
        <v>157</v>
      </c>
      <c r="H13" s="11"/>
      <c r="I13" s="11"/>
      <c r="J13" s="12" t="s">
        <v>159</v>
      </c>
      <c r="K13" s="13"/>
    </row>
    <row r="14" spans="1:11" ht="63" customHeight="1">
      <c r="A14" s="9" t="s">
        <v>188</v>
      </c>
      <c r="B14" s="10" t="s">
        <v>178</v>
      </c>
      <c r="C14" s="10" t="s">
        <v>189</v>
      </c>
      <c r="D14" s="11" t="s">
        <v>190</v>
      </c>
      <c r="E14" s="37" t="s">
        <v>191</v>
      </c>
      <c r="F14" s="11" t="s">
        <v>156</v>
      </c>
      <c r="G14" s="12" t="s">
        <v>157</v>
      </c>
      <c r="H14" s="11"/>
      <c r="I14" s="11"/>
      <c r="J14" s="12" t="s">
        <v>159</v>
      </c>
      <c r="K14" s="13"/>
    </row>
    <row r="15" spans="1:11" ht="42" customHeight="1">
      <c r="A15" s="9" t="s">
        <v>192</v>
      </c>
      <c r="B15" s="10" t="s">
        <v>178</v>
      </c>
      <c r="C15" s="10" t="s">
        <v>193</v>
      </c>
      <c r="D15" s="11" t="s">
        <v>194</v>
      </c>
      <c r="E15" s="11" t="s">
        <v>195</v>
      </c>
      <c r="F15" s="11" t="s">
        <v>164</v>
      </c>
      <c r="G15" s="12" t="s">
        <v>157</v>
      </c>
      <c r="H15" s="11"/>
      <c r="I15" s="11"/>
      <c r="J15" s="12" t="s">
        <v>159</v>
      </c>
      <c r="K15" s="13"/>
    </row>
    <row r="16" spans="1:11" ht="79.150000000000006">
      <c r="A16" s="9" t="s">
        <v>196</v>
      </c>
      <c r="B16" s="10" t="s">
        <v>178</v>
      </c>
      <c r="C16" s="10" t="s">
        <v>197</v>
      </c>
      <c r="D16" s="11" t="s">
        <v>198</v>
      </c>
      <c r="E16" s="11" t="s">
        <v>199</v>
      </c>
      <c r="F16" s="11" t="s">
        <v>164</v>
      </c>
      <c r="G16" s="12" t="s">
        <v>157</v>
      </c>
      <c r="H16" s="11"/>
      <c r="I16" s="11"/>
      <c r="J16" s="12" t="s">
        <v>159</v>
      </c>
      <c r="K16" s="13"/>
    </row>
    <row r="17" spans="1:11" ht="42" customHeight="1">
      <c r="A17" s="9" t="s">
        <v>200</v>
      </c>
      <c r="B17" s="10" t="s">
        <v>178</v>
      </c>
      <c r="C17" s="10" t="s">
        <v>201</v>
      </c>
      <c r="D17" s="11" t="s">
        <v>202</v>
      </c>
      <c r="E17" s="11" t="s">
        <v>203</v>
      </c>
      <c r="F17" s="11" t="s">
        <v>204</v>
      </c>
      <c r="G17" s="12" t="s">
        <v>157</v>
      </c>
      <c r="H17" s="11"/>
      <c r="I17" s="11"/>
      <c r="J17" s="12" t="s">
        <v>159</v>
      </c>
      <c r="K17" s="13"/>
    </row>
    <row r="18" spans="1:11" ht="42" customHeight="1">
      <c r="A18" s="9" t="s">
        <v>205</v>
      </c>
      <c r="B18" s="10" t="s">
        <v>71</v>
      </c>
      <c r="C18" s="10" t="s">
        <v>206</v>
      </c>
      <c r="D18" s="11" t="s">
        <v>207</v>
      </c>
      <c r="E18" s="37" t="s">
        <v>208</v>
      </c>
      <c r="F18" s="11" t="s">
        <v>168</v>
      </c>
      <c r="G18" s="12" t="s">
        <v>157</v>
      </c>
      <c r="H18" s="11"/>
      <c r="I18" s="11"/>
      <c r="J18" s="12" t="s">
        <v>159</v>
      </c>
      <c r="K18" s="13"/>
    </row>
    <row r="19" spans="1:11" ht="42" customHeight="1">
      <c r="A19" s="9" t="s">
        <v>209</v>
      </c>
      <c r="B19" s="10" t="s">
        <v>71</v>
      </c>
      <c r="C19" s="10" t="s">
        <v>210</v>
      </c>
      <c r="D19" s="11" t="s">
        <v>211</v>
      </c>
      <c r="E19" s="11" t="s">
        <v>212</v>
      </c>
      <c r="F19" s="11" t="s">
        <v>168</v>
      </c>
      <c r="G19" s="12" t="s">
        <v>157</v>
      </c>
      <c r="H19" s="11"/>
      <c r="I19" s="11"/>
      <c r="J19" s="12" t="s">
        <v>159</v>
      </c>
      <c r="K19" s="13"/>
    </row>
    <row r="20" spans="1:11" ht="42" customHeight="1">
      <c r="A20" s="9" t="s">
        <v>213</v>
      </c>
      <c r="B20" s="10" t="s">
        <v>71</v>
      </c>
      <c r="C20" s="10" t="s">
        <v>214</v>
      </c>
      <c r="D20" s="11" t="s">
        <v>215</v>
      </c>
      <c r="E20" s="11" t="s">
        <v>216</v>
      </c>
      <c r="F20" s="11" t="s">
        <v>168</v>
      </c>
      <c r="G20" s="12" t="s">
        <v>157</v>
      </c>
      <c r="H20" s="11"/>
      <c r="I20" s="11"/>
      <c r="J20" s="12" t="s">
        <v>159</v>
      </c>
      <c r="K20" s="13"/>
    </row>
    <row r="21" spans="1:11" ht="42" customHeight="1">
      <c r="A21" s="9" t="s">
        <v>217</v>
      </c>
      <c r="B21" s="10" t="s">
        <v>71</v>
      </c>
      <c r="C21" s="10" t="s">
        <v>218</v>
      </c>
      <c r="D21" s="11" t="s">
        <v>219</v>
      </c>
      <c r="E21" s="11" t="s">
        <v>220</v>
      </c>
      <c r="F21" s="11" t="s">
        <v>168</v>
      </c>
      <c r="G21" s="12" t="s">
        <v>157</v>
      </c>
      <c r="H21" s="11"/>
      <c r="I21" s="11"/>
      <c r="J21" s="12" t="s">
        <v>159</v>
      </c>
      <c r="K21" s="13"/>
    </row>
    <row r="22" spans="1:11" ht="80.45" customHeight="1">
      <c r="A22" s="9" t="s">
        <v>221</v>
      </c>
      <c r="B22" s="10" t="s">
        <v>71</v>
      </c>
      <c r="C22" s="10" t="s">
        <v>218</v>
      </c>
      <c r="D22" s="11" t="s">
        <v>222</v>
      </c>
      <c r="E22" s="11" t="s">
        <v>223</v>
      </c>
      <c r="F22" s="11" t="s">
        <v>168</v>
      </c>
      <c r="G22" s="12" t="s">
        <v>157</v>
      </c>
      <c r="H22" s="11"/>
      <c r="I22" s="11"/>
      <c r="J22" s="12" t="s">
        <v>159</v>
      </c>
      <c r="K22" s="13"/>
    </row>
    <row r="23" spans="1:11" ht="42" customHeight="1">
      <c r="A23" s="9" t="s">
        <v>224</v>
      </c>
      <c r="B23" s="10" t="s">
        <v>71</v>
      </c>
      <c r="C23" s="10" t="s">
        <v>225</v>
      </c>
      <c r="D23" s="11" t="s">
        <v>226</v>
      </c>
      <c r="E23" s="11" t="s">
        <v>227</v>
      </c>
      <c r="F23" s="11" t="s">
        <v>168</v>
      </c>
      <c r="G23" s="12" t="s">
        <v>157</v>
      </c>
      <c r="H23" s="11"/>
      <c r="I23" s="11"/>
      <c r="J23" s="12" t="s">
        <v>159</v>
      </c>
      <c r="K23" s="13"/>
    </row>
    <row r="24" spans="1:11" ht="23.45" customHeight="1">
      <c r="A24" s="9" t="s">
        <v>228</v>
      </c>
      <c r="B24" s="10" t="s">
        <v>71</v>
      </c>
      <c r="C24" s="10" t="s">
        <v>229</v>
      </c>
      <c r="D24" s="11" t="s">
        <v>230</v>
      </c>
      <c r="E24" s="11" t="s">
        <v>231</v>
      </c>
      <c r="F24" s="11" t="s">
        <v>164</v>
      </c>
      <c r="G24" s="12" t="s">
        <v>157</v>
      </c>
      <c r="H24" s="11"/>
      <c r="I24" s="11"/>
      <c r="J24" s="12" t="s">
        <v>159</v>
      </c>
      <c r="K24" s="13"/>
    </row>
    <row r="25" spans="1:11" ht="42" customHeight="1">
      <c r="A25" s="9" t="s">
        <v>232</v>
      </c>
      <c r="B25" s="10" t="s">
        <v>71</v>
      </c>
      <c r="C25" s="10" t="s">
        <v>233</v>
      </c>
      <c r="D25" s="11" t="s">
        <v>234</v>
      </c>
      <c r="E25" s="11" t="s">
        <v>235</v>
      </c>
      <c r="F25" s="11" t="s">
        <v>168</v>
      </c>
      <c r="G25" s="12" t="s">
        <v>157</v>
      </c>
      <c r="H25" s="11"/>
      <c r="I25" s="11"/>
      <c r="J25" s="12" t="s">
        <v>159</v>
      </c>
      <c r="K25" s="13"/>
    </row>
    <row r="26" spans="1:11" ht="42" customHeight="1">
      <c r="A26" s="9" t="s">
        <v>236</v>
      </c>
      <c r="B26" s="10" t="s">
        <v>71</v>
      </c>
      <c r="C26" s="10" t="s">
        <v>237</v>
      </c>
      <c r="D26" s="11" t="s">
        <v>238</v>
      </c>
      <c r="E26" s="11" t="s">
        <v>239</v>
      </c>
      <c r="F26" s="11" t="s">
        <v>168</v>
      </c>
      <c r="G26" s="12" t="s">
        <v>157</v>
      </c>
      <c r="H26" s="11"/>
      <c r="I26" s="11"/>
      <c r="J26" s="12" t="s">
        <v>159</v>
      </c>
      <c r="K26" s="13"/>
    </row>
    <row r="27" spans="1:11" ht="42" customHeight="1">
      <c r="A27" s="9" t="s">
        <v>240</v>
      </c>
      <c r="B27" s="10" t="s">
        <v>71</v>
      </c>
      <c r="C27" s="10" t="s">
        <v>241</v>
      </c>
      <c r="D27" s="11" t="s">
        <v>242</v>
      </c>
      <c r="E27" s="11" t="s">
        <v>243</v>
      </c>
      <c r="F27" s="11" t="s">
        <v>204</v>
      </c>
      <c r="G27" s="12" t="s">
        <v>157</v>
      </c>
      <c r="H27" s="11"/>
      <c r="I27" s="11"/>
      <c r="J27" s="12" t="s">
        <v>159</v>
      </c>
      <c r="K27" s="13"/>
    </row>
    <row r="28" spans="1:11" ht="72.599999999999994" customHeight="1">
      <c r="A28" s="9" t="s">
        <v>244</v>
      </c>
      <c r="B28" s="10" t="s">
        <v>245</v>
      </c>
      <c r="C28" s="10" t="s">
        <v>101</v>
      </c>
      <c r="D28" s="11" t="s">
        <v>246</v>
      </c>
      <c r="E28" s="11" t="s">
        <v>247</v>
      </c>
      <c r="F28" s="11" t="s">
        <v>204</v>
      </c>
      <c r="G28" s="12" t="s">
        <v>157</v>
      </c>
      <c r="H28" s="11"/>
      <c r="I28" s="11"/>
      <c r="J28" s="12" t="s">
        <v>159</v>
      </c>
      <c r="K28" s="13"/>
    </row>
    <row r="29" spans="1:11" ht="136.9" customHeight="1">
      <c r="A29" s="9" t="s">
        <v>248</v>
      </c>
      <c r="B29" s="10" t="s">
        <v>245</v>
      </c>
      <c r="C29" s="10" t="s">
        <v>249</v>
      </c>
      <c r="D29" s="11" t="s">
        <v>250</v>
      </c>
      <c r="E29" s="11" t="s">
        <v>251</v>
      </c>
      <c r="F29" s="11" t="s">
        <v>168</v>
      </c>
      <c r="G29" s="12" t="s">
        <v>157</v>
      </c>
      <c r="H29" s="11"/>
      <c r="I29" s="11"/>
      <c r="J29" s="12" t="s">
        <v>159</v>
      </c>
      <c r="K29" s="13"/>
    </row>
    <row r="30" spans="1:11" ht="87.6" customHeight="1">
      <c r="A30" s="9" t="s">
        <v>252</v>
      </c>
      <c r="B30" s="10" t="s">
        <v>245</v>
      </c>
      <c r="C30" s="10" t="s">
        <v>253</v>
      </c>
      <c r="D30" s="11" t="s">
        <v>254</v>
      </c>
      <c r="E30" s="11" t="s">
        <v>255</v>
      </c>
      <c r="F30" s="11" t="s">
        <v>168</v>
      </c>
      <c r="G30" s="12" t="s">
        <v>157</v>
      </c>
      <c r="H30" s="11"/>
      <c r="I30" s="11"/>
      <c r="J30" s="12" t="s">
        <v>159</v>
      </c>
      <c r="K30" s="13"/>
    </row>
    <row r="31" spans="1:11" ht="42" customHeight="1">
      <c r="A31" s="9" t="s">
        <v>256</v>
      </c>
      <c r="B31" s="10" t="s">
        <v>245</v>
      </c>
      <c r="C31" s="10" t="s">
        <v>218</v>
      </c>
      <c r="D31" s="11" t="s">
        <v>257</v>
      </c>
      <c r="E31" s="11" t="s">
        <v>258</v>
      </c>
      <c r="F31" s="11" t="s">
        <v>168</v>
      </c>
      <c r="G31" s="12" t="s">
        <v>157</v>
      </c>
      <c r="H31" s="11"/>
      <c r="I31" s="11"/>
      <c r="J31" s="12" t="s">
        <v>159</v>
      </c>
      <c r="K31" s="13"/>
    </row>
    <row r="32" spans="1:11" ht="42" customHeight="1">
      <c r="A32" s="9" t="s">
        <v>259</v>
      </c>
      <c r="B32" s="10" t="s">
        <v>245</v>
      </c>
      <c r="C32" s="10" t="s">
        <v>260</v>
      </c>
      <c r="D32" s="11" t="s">
        <v>261</v>
      </c>
      <c r="E32" s="11" t="s">
        <v>262</v>
      </c>
      <c r="F32" s="11" t="s">
        <v>168</v>
      </c>
      <c r="G32" s="12" t="s">
        <v>157</v>
      </c>
      <c r="H32" s="11"/>
      <c r="I32" s="11"/>
      <c r="J32" s="12" t="s">
        <v>159</v>
      </c>
      <c r="K32" s="13"/>
    </row>
    <row r="33" spans="1:11" ht="42" customHeight="1">
      <c r="A33" s="9" t="s">
        <v>263</v>
      </c>
      <c r="B33" s="10" t="s">
        <v>245</v>
      </c>
      <c r="C33" s="10" t="s">
        <v>264</v>
      </c>
      <c r="D33" s="11" t="s">
        <v>265</v>
      </c>
      <c r="E33" s="11" t="s">
        <v>266</v>
      </c>
      <c r="F33" s="11" t="s">
        <v>204</v>
      </c>
      <c r="G33" s="12" t="s">
        <v>157</v>
      </c>
      <c r="H33" s="11"/>
      <c r="I33" s="11"/>
      <c r="J33" s="12" t="s">
        <v>159</v>
      </c>
      <c r="K33" s="13"/>
    </row>
    <row r="34" spans="1:11" ht="42" customHeight="1">
      <c r="A34" s="9" t="s">
        <v>267</v>
      </c>
      <c r="B34" s="10" t="s">
        <v>245</v>
      </c>
      <c r="C34" s="10" t="s">
        <v>268</v>
      </c>
      <c r="D34" s="11" t="s">
        <v>269</v>
      </c>
      <c r="E34" s="11" t="s">
        <v>270</v>
      </c>
      <c r="F34" s="11" t="s">
        <v>168</v>
      </c>
      <c r="G34" s="12" t="s">
        <v>157</v>
      </c>
      <c r="H34" s="11"/>
      <c r="I34" s="11"/>
      <c r="J34" s="12" t="s">
        <v>159</v>
      </c>
      <c r="K34" s="13"/>
    </row>
    <row r="35" spans="1:11" ht="42" customHeight="1">
      <c r="A35" s="9" t="s">
        <v>271</v>
      </c>
      <c r="B35" s="10" t="s">
        <v>245</v>
      </c>
      <c r="C35" s="10" t="s">
        <v>272</v>
      </c>
      <c r="D35" s="11" t="s">
        <v>273</v>
      </c>
      <c r="E35" s="11" t="s">
        <v>274</v>
      </c>
      <c r="F35" s="11" t="s">
        <v>168</v>
      </c>
      <c r="G35" s="12" t="s">
        <v>157</v>
      </c>
      <c r="H35" s="11"/>
      <c r="I35" s="11"/>
      <c r="J35" s="12" t="s">
        <v>159</v>
      </c>
      <c r="K35" s="13"/>
    </row>
    <row r="36" spans="1:11" ht="42" customHeight="1">
      <c r="A36" s="9" t="s">
        <v>275</v>
      </c>
      <c r="B36" s="10" t="s">
        <v>245</v>
      </c>
      <c r="C36" s="10" t="s">
        <v>276</v>
      </c>
      <c r="D36" s="11" t="s">
        <v>277</v>
      </c>
      <c r="E36" s="11" t="s">
        <v>278</v>
      </c>
      <c r="F36" s="11" t="s">
        <v>204</v>
      </c>
      <c r="G36" s="12" t="s">
        <v>157</v>
      </c>
      <c r="H36" s="11"/>
      <c r="I36" s="11"/>
      <c r="J36" s="12" t="s">
        <v>159</v>
      </c>
      <c r="K36" s="13"/>
    </row>
    <row r="37" spans="1:11" ht="42" customHeight="1">
      <c r="A37" s="9" t="s">
        <v>279</v>
      </c>
      <c r="B37" s="10" t="s">
        <v>245</v>
      </c>
      <c r="C37" s="10" t="s">
        <v>241</v>
      </c>
      <c r="D37" s="11" t="s">
        <v>280</v>
      </c>
      <c r="E37" s="11" t="s">
        <v>281</v>
      </c>
      <c r="F37" s="11" t="s">
        <v>204</v>
      </c>
      <c r="G37" s="12" t="s">
        <v>157</v>
      </c>
      <c r="H37" s="11"/>
      <c r="I37" s="11"/>
      <c r="J37" s="12" t="s">
        <v>159</v>
      </c>
      <c r="K37" s="13"/>
    </row>
    <row r="38" spans="1:11" ht="108.6" customHeight="1">
      <c r="A38" s="9" t="s">
        <v>282</v>
      </c>
      <c r="B38" s="10" t="s">
        <v>283</v>
      </c>
      <c r="C38" s="10" t="s">
        <v>284</v>
      </c>
      <c r="D38" s="11" t="s">
        <v>285</v>
      </c>
      <c r="E38" s="11" t="s">
        <v>286</v>
      </c>
      <c r="F38" s="11" t="s">
        <v>204</v>
      </c>
      <c r="G38" s="12" t="s">
        <v>157</v>
      </c>
      <c r="H38" s="11"/>
      <c r="I38" s="11"/>
      <c r="J38" s="12" t="s">
        <v>159</v>
      </c>
      <c r="K38" s="13"/>
    </row>
    <row r="39" spans="1:11" ht="42" customHeight="1">
      <c r="A39" s="9" t="s">
        <v>287</v>
      </c>
      <c r="B39" s="10" t="s">
        <v>283</v>
      </c>
      <c r="C39" s="10" t="s">
        <v>233</v>
      </c>
      <c r="D39" s="11" t="s">
        <v>288</v>
      </c>
      <c r="E39" s="11" t="s">
        <v>289</v>
      </c>
      <c r="F39" s="11" t="s">
        <v>168</v>
      </c>
      <c r="G39" s="12" t="s">
        <v>157</v>
      </c>
      <c r="H39" s="11"/>
      <c r="I39" s="11"/>
      <c r="J39" s="12" t="s">
        <v>159</v>
      </c>
      <c r="K39" s="13"/>
    </row>
    <row r="40" spans="1:11" ht="42" customHeight="1">
      <c r="A40" s="9" t="s">
        <v>290</v>
      </c>
      <c r="B40" s="10" t="s">
        <v>283</v>
      </c>
      <c r="C40" s="10" t="s">
        <v>15</v>
      </c>
      <c r="D40" s="11" t="s">
        <v>291</v>
      </c>
      <c r="E40" s="11" t="s">
        <v>292</v>
      </c>
      <c r="F40" s="11" t="s">
        <v>204</v>
      </c>
      <c r="G40" s="12" t="s">
        <v>157</v>
      </c>
      <c r="H40" s="11"/>
      <c r="I40" s="11"/>
      <c r="J40" s="12" t="s">
        <v>159</v>
      </c>
      <c r="K40" s="13"/>
    </row>
    <row r="41" spans="1:11" ht="42" customHeight="1">
      <c r="A41" s="9" t="s">
        <v>293</v>
      </c>
      <c r="B41" s="10" t="s">
        <v>283</v>
      </c>
      <c r="C41" s="10" t="s">
        <v>174</v>
      </c>
      <c r="D41" s="11" t="s">
        <v>294</v>
      </c>
      <c r="E41" s="11" t="s">
        <v>295</v>
      </c>
      <c r="F41" s="11" t="s">
        <v>296</v>
      </c>
      <c r="G41" s="12" t="s">
        <v>157</v>
      </c>
      <c r="H41" s="11"/>
      <c r="I41" s="11"/>
      <c r="J41" s="12" t="s">
        <v>159</v>
      </c>
      <c r="K41" s="13"/>
    </row>
    <row r="42" spans="1:11" ht="42" customHeight="1">
      <c r="A42" s="9" t="s">
        <v>297</v>
      </c>
      <c r="B42" s="10" t="s">
        <v>283</v>
      </c>
      <c r="C42" s="10" t="s">
        <v>29</v>
      </c>
      <c r="D42" s="11" t="s">
        <v>298</v>
      </c>
      <c r="E42" s="11" t="s">
        <v>295</v>
      </c>
      <c r="F42" s="11" t="s">
        <v>164</v>
      </c>
      <c r="G42" s="12" t="s">
        <v>157</v>
      </c>
      <c r="H42" s="11"/>
      <c r="I42" s="11"/>
      <c r="J42" s="12" t="s">
        <v>159</v>
      </c>
      <c r="K42" s="13"/>
    </row>
    <row r="43" spans="1:11" ht="42" customHeight="1">
      <c r="A43" s="9" t="s">
        <v>299</v>
      </c>
      <c r="B43" s="10" t="s">
        <v>283</v>
      </c>
      <c r="C43" s="10" t="s">
        <v>300</v>
      </c>
      <c r="D43" s="11" t="s">
        <v>301</v>
      </c>
      <c r="E43" s="11" t="s">
        <v>302</v>
      </c>
      <c r="F43" s="11" t="s">
        <v>164</v>
      </c>
      <c r="G43" s="12" t="s">
        <v>157</v>
      </c>
      <c r="H43" s="38" t="s">
        <v>303</v>
      </c>
      <c r="I43" s="11"/>
      <c r="J43" s="12" t="s">
        <v>159</v>
      </c>
      <c r="K43" s="13"/>
    </row>
    <row r="44" spans="1:11" ht="42" customHeight="1">
      <c r="A44" s="9" t="s">
        <v>304</v>
      </c>
      <c r="B44" s="10" t="s">
        <v>283</v>
      </c>
      <c r="C44" s="10" t="s">
        <v>305</v>
      </c>
      <c r="D44" s="11" t="s">
        <v>306</v>
      </c>
      <c r="E44" s="11" t="s">
        <v>307</v>
      </c>
      <c r="F44" s="11" t="s">
        <v>164</v>
      </c>
      <c r="G44" s="12" t="s">
        <v>157</v>
      </c>
      <c r="H44" s="11"/>
      <c r="I44" s="11"/>
      <c r="J44" s="12" t="s">
        <v>159</v>
      </c>
      <c r="K44" s="13"/>
    </row>
    <row r="45" spans="1:11" ht="42" customHeight="1">
      <c r="A45" s="9" t="s">
        <v>308</v>
      </c>
      <c r="B45" s="10" t="s">
        <v>283</v>
      </c>
      <c r="C45" s="10" t="s">
        <v>309</v>
      </c>
      <c r="D45" s="11" t="s">
        <v>310</v>
      </c>
      <c r="E45" s="11" t="s">
        <v>307</v>
      </c>
      <c r="F45" s="11" t="s">
        <v>164</v>
      </c>
      <c r="G45" s="12" t="s">
        <v>157</v>
      </c>
      <c r="H45" s="11"/>
      <c r="I45" s="11"/>
      <c r="J45" s="12" t="s">
        <v>159</v>
      </c>
      <c r="K45" s="13"/>
    </row>
    <row r="46" spans="1:11" ht="42" customHeight="1">
      <c r="A46" s="9" t="s">
        <v>311</v>
      </c>
      <c r="B46" s="10" t="s">
        <v>283</v>
      </c>
      <c r="C46" s="10" t="s">
        <v>312</v>
      </c>
      <c r="D46" s="11" t="s">
        <v>313</v>
      </c>
      <c r="E46" s="11" t="s">
        <v>307</v>
      </c>
      <c r="F46" s="11" t="s">
        <v>164</v>
      </c>
      <c r="G46" s="12" t="s">
        <v>157</v>
      </c>
      <c r="H46" s="11"/>
      <c r="I46" s="11"/>
      <c r="J46" s="12" t="s">
        <v>159</v>
      </c>
      <c r="K46" s="13"/>
    </row>
    <row r="47" spans="1:11" ht="42" customHeight="1">
      <c r="A47" s="9" t="s">
        <v>314</v>
      </c>
      <c r="B47" s="10" t="s">
        <v>283</v>
      </c>
      <c r="C47" s="10" t="s">
        <v>315</v>
      </c>
      <c r="D47" s="11" t="s">
        <v>316</v>
      </c>
      <c r="E47" s="11" t="s">
        <v>317</v>
      </c>
      <c r="F47" s="11" t="s">
        <v>296</v>
      </c>
      <c r="G47" s="12" t="s">
        <v>157</v>
      </c>
      <c r="H47" s="38" t="s">
        <v>318</v>
      </c>
      <c r="I47" s="11"/>
      <c r="J47" s="12" t="s">
        <v>159</v>
      </c>
      <c r="K47" s="13"/>
    </row>
    <row r="48" spans="1:11" ht="42" customHeight="1">
      <c r="A48" s="9" t="s">
        <v>319</v>
      </c>
      <c r="B48" s="10" t="s">
        <v>320</v>
      </c>
      <c r="C48" s="10" t="s">
        <v>321</v>
      </c>
      <c r="D48" s="11" t="s">
        <v>322</v>
      </c>
      <c r="E48" s="11" t="s">
        <v>323</v>
      </c>
      <c r="F48" s="11" t="s">
        <v>324</v>
      </c>
      <c r="G48" s="12" t="s">
        <v>157</v>
      </c>
      <c r="H48" s="11"/>
      <c r="I48" s="11"/>
      <c r="J48" s="12" t="s">
        <v>159</v>
      </c>
      <c r="K48" s="13"/>
    </row>
    <row r="49" spans="1:11" ht="42" customHeight="1">
      <c r="A49" s="9" t="s">
        <v>325</v>
      </c>
      <c r="B49" s="10" t="s">
        <v>320</v>
      </c>
      <c r="C49" s="10" t="s">
        <v>321</v>
      </c>
      <c r="D49" s="11" t="s">
        <v>326</v>
      </c>
      <c r="E49" s="11" t="s">
        <v>327</v>
      </c>
      <c r="F49" s="11" t="s">
        <v>324</v>
      </c>
      <c r="G49" s="12" t="s">
        <v>157</v>
      </c>
      <c r="H49" s="11"/>
      <c r="I49" s="11"/>
      <c r="J49" s="12" t="s">
        <v>159</v>
      </c>
      <c r="K49" s="13"/>
    </row>
    <row r="50" spans="1:11" ht="42" customHeight="1">
      <c r="A50" s="9" t="s">
        <v>328</v>
      </c>
      <c r="B50" s="10" t="s">
        <v>320</v>
      </c>
      <c r="C50" s="10" t="s">
        <v>329</v>
      </c>
      <c r="D50" s="11" t="s">
        <v>330</v>
      </c>
      <c r="E50" s="11" t="s">
        <v>331</v>
      </c>
      <c r="F50" s="11" t="s">
        <v>324</v>
      </c>
      <c r="G50" s="12" t="s">
        <v>157</v>
      </c>
      <c r="H50" s="11"/>
      <c r="I50" s="11"/>
      <c r="J50" s="12" t="s">
        <v>159</v>
      </c>
      <c r="K50" s="13"/>
    </row>
    <row r="51" spans="1:11" ht="42" customHeight="1">
      <c r="A51" s="9" t="s">
        <v>332</v>
      </c>
      <c r="B51" s="10" t="s">
        <v>320</v>
      </c>
      <c r="C51" s="10" t="s">
        <v>333</v>
      </c>
      <c r="D51" s="11" t="s">
        <v>334</v>
      </c>
      <c r="E51" s="11" t="s">
        <v>335</v>
      </c>
      <c r="F51" s="11" t="s">
        <v>324</v>
      </c>
      <c r="G51" s="12" t="s">
        <v>157</v>
      </c>
      <c r="H51" s="11"/>
      <c r="I51" s="11"/>
      <c r="J51" s="12" t="s">
        <v>159</v>
      </c>
      <c r="K51" s="13"/>
    </row>
    <row r="52" spans="1:11" ht="42" customHeight="1">
      <c r="A52" s="9" t="s">
        <v>336</v>
      </c>
      <c r="B52" s="10" t="s">
        <v>320</v>
      </c>
      <c r="C52" s="10" t="s">
        <v>337</v>
      </c>
      <c r="D52" s="11" t="s">
        <v>338</v>
      </c>
      <c r="E52" s="11" t="s">
        <v>339</v>
      </c>
      <c r="F52" s="11" t="s">
        <v>324</v>
      </c>
      <c r="G52" s="12" t="s">
        <v>157</v>
      </c>
      <c r="H52" s="11"/>
      <c r="I52" s="11"/>
      <c r="J52" s="12" t="s">
        <v>159</v>
      </c>
      <c r="K52" s="13"/>
    </row>
    <row r="53" spans="1:11" ht="42" customHeight="1">
      <c r="A53" s="9" t="s">
        <v>340</v>
      </c>
      <c r="B53" s="10" t="s">
        <v>320</v>
      </c>
      <c r="C53" s="10" t="s">
        <v>341</v>
      </c>
      <c r="D53" s="11" t="s">
        <v>342</v>
      </c>
      <c r="E53" s="11" t="s">
        <v>343</v>
      </c>
      <c r="F53" s="11" t="s">
        <v>324</v>
      </c>
      <c r="G53" s="12" t="s">
        <v>157</v>
      </c>
      <c r="H53" s="11"/>
      <c r="I53" s="11"/>
      <c r="J53" s="12" t="s">
        <v>159</v>
      </c>
      <c r="K53" s="13"/>
    </row>
    <row r="54" spans="1:11" ht="42" customHeight="1">
      <c r="A54" s="9" t="s">
        <v>344</v>
      </c>
      <c r="B54" s="10" t="s">
        <v>320</v>
      </c>
      <c r="C54" s="10" t="s">
        <v>345</v>
      </c>
      <c r="D54" s="11" t="s">
        <v>346</v>
      </c>
      <c r="E54" s="11" t="s">
        <v>295</v>
      </c>
      <c r="F54" s="11" t="s">
        <v>296</v>
      </c>
      <c r="G54" s="12" t="s">
        <v>157</v>
      </c>
      <c r="H54" s="11"/>
      <c r="I54" s="11"/>
      <c r="J54" s="12" t="s">
        <v>159</v>
      </c>
      <c r="K54" s="13"/>
    </row>
    <row r="55" spans="1:11" ht="42" customHeight="1">
      <c r="A55" s="9" t="s">
        <v>347</v>
      </c>
      <c r="B55" s="10" t="s">
        <v>320</v>
      </c>
      <c r="C55" s="10" t="s">
        <v>348</v>
      </c>
      <c r="D55" s="11" t="s">
        <v>349</v>
      </c>
      <c r="E55" s="11" t="s">
        <v>295</v>
      </c>
      <c r="F55" s="11" t="s">
        <v>296</v>
      </c>
      <c r="G55" s="12" t="s">
        <v>157</v>
      </c>
      <c r="H55" s="11"/>
      <c r="I55" s="11"/>
      <c r="J55" s="12" t="s">
        <v>159</v>
      </c>
      <c r="K55" s="13"/>
    </row>
    <row r="56" spans="1:11" ht="42" customHeight="1">
      <c r="A56" s="9" t="s">
        <v>350</v>
      </c>
      <c r="B56" s="10" t="s">
        <v>320</v>
      </c>
      <c r="C56" s="10" t="s">
        <v>351</v>
      </c>
      <c r="D56" s="11" t="s">
        <v>352</v>
      </c>
      <c r="E56" s="11" t="s">
        <v>353</v>
      </c>
      <c r="F56" s="11" t="s">
        <v>296</v>
      </c>
      <c r="G56" s="12" t="s">
        <v>157</v>
      </c>
      <c r="H56" s="38" t="s">
        <v>303</v>
      </c>
      <c r="I56" s="11"/>
      <c r="J56" s="12" t="s">
        <v>159</v>
      </c>
      <c r="K56" s="13"/>
    </row>
    <row r="57" spans="1:11" ht="72">
      <c r="A57" s="9" t="s">
        <v>354</v>
      </c>
      <c r="B57" s="10" t="s">
        <v>320</v>
      </c>
      <c r="C57" s="10" t="s">
        <v>355</v>
      </c>
      <c r="D57" s="11" t="s">
        <v>356</v>
      </c>
      <c r="E57" s="11" t="s">
        <v>357</v>
      </c>
      <c r="F57" s="11" t="s">
        <v>324</v>
      </c>
      <c r="G57" s="12" t="s">
        <v>157</v>
      </c>
      <c r="H57" s="11"/>
      <c r="I57" s="11"/>
      <c r="J57" s="12" t="s">
        <v>159</v>
      </c>
      <c r="K57" s="13"/>
    </row>
    <row r="58" spans="1:11" ht="42" customHeight="1">
      <c r="A58" s="9" t="s">
        <v>358</v>
      </c>
      <c r="B58" s="10" t="s">
        <v>359</v>
      </c>
      <c r="C58" s="10" t="s">
        <v>360</v>
      </c>
      <c r="D58" s="11" t="s">
        <v>361</v>
      </c>
      <c r="E58" s="11" t="s">
        <v>323</v>
      </c>
      <c r="F58" s="11"/>
      <c r="G58" s="12" t="s">
        <v>157</v>
      </c>
      <c r="H58" s="11"/>
      <c r="I58" s="36" t="s">
        <v>362</v>
      </c>
      <c r="J58" s="12" t="s">
        <v>159</v>
      </c>
      <c r="K58" s="13"/>
    </row>
    <row r="59" spans="1:11" ht="42" customHeight="1">
      <c r="A59" s="9" t="s">
        <v>363</v>
      </c>
      <c r="B59" s="10" t="s">
        <v>359</v>
      </c>
      <c r="C59" s="10" t="s">
        <v>364</v>
      </c>
      <c r="D59" s="11" t="s">
        <v>365</v>
      </c>
      <c r="E59" s="11" t="s">
        <v>366</v>
      </c>
      <c r="F59" s="11" t="s">
        <v>296</v>
      </c>
      <c r="G59" s="12" t="s">
        <v>157</v>
      </c>
      <c r="H59" s="38" t="s">
        <v>303</v>
      </c>
      <c r="I59" s="11"/>
      <c r="J59" s="12" t="s">
        <v>159</v>
      </c>
      <c r="K59" s="13"/>
    </row>
    <row r="60" spans="1:11" ht="42" customHeight="1">
      <c r="A60" s="9" t="s">
        <v>367</v>
      </c>
      <c r="B60" s="10" t="s">
        <v>359</v>
      </c>
      <c r="C60" s="10" t="s">
        <v>368</v>
      </c>
      <c r="D60" s="11" t="s">
        <v>369</v>
      </c>
      <c r="E60" s="11" t="s">
        <v>370</v>
      </c>
      <c r="F60" s="11" t="s">
        <v>168</v>
      </c>
      <c r="G60" s="12" t="s">
        <v>157</v>
      </c>
      <c r="H60" s="38" t="s">
        <v>318</v>
      </c>
      <c r="I60" s="11"/>
      <c r="J60" s="12" t="s">
        <v>159</v>
      </c>
      <c r="K60" s="13"/>
    </row>
    <row r="61" spans="1:11" ht="42" customHeight="1">
      <c r="A61" s="9" t="s">
        <v>371</v>
      </c>
      <c r="B61" s="10" t="s">
        <v>359</v>
      </c>
      <c r="C61" s="10" t="s">
        <v>372</v>
      </c>
      <c r="D61" s="11" t="s">
        <v>373</v>
      </c>
      <c r="E61" s="11" t="s">
        <v>374</v>
      </c>
      <c r="F61" s="11" t="s">
        <v>296</v>
      </c>
      <c r="G61" s="12" t="s">
        <v>157</v>
      </c>
      <c r="H61" s="11"/>
      <c r="I61" s="11"/>
      <c r="J61" s="12" t="s">
        <v>159</v>
      </c>
      <c r="K61" s="13"/>
    </row>
    <row r="62" spans="1:11" ht="42" customHeight="1">
      <c r="A62" s="9" t="s">
        <v>375</v>
      </c>
      <c r="B62" s="10" t="s">
        <v>359</v>
      </c>
      <c r="C62" s="10" t="s">
        <v>376</v>
      </c>
      <c r="D62" s="11" t="s">
        <v>377</v>
      </c>
      <c r="E62" s="11" t="s">
        <v>378</v>
      </c>
      <c r="F62" s="11" t="s">
        <v>296</v>
      </c>
      <c r="G62" s="12" t="s">
        <v>157</v>
      </c>
      <c r="H62" s="11"/>
      <c r="I62" s="11"/>
      <c r="J62" s="12" t="s">
        <v>159</v>
      </c>
      <c r="K62" s="13"/>
    </row>
    <row r="63" spans="1:11" ht="42" customHeight="1">
      <c r="A63" s="9" t="s">
        <v>379</v>
      </c>
      <c r="B63" s="10" t="s">
        <v>359</v>
      </c>
      <c r="C63" s="10" t="s">
        <v>380</v>
      </c>
      <c r="D63" s="11" t="s">
        <v>381</v>
      </c>
      <c r="E63" s="11" t="s">
        <v>378</v>
      </c>
      <c r="F63" s="11" t="s">
        <v>296</v>
      </c>
      <c r="G63" s="12" t="s">
        <v>157</v>
      </c>
      <c r="H63" s="11"/>
      <c r="I63" s="11"/>
      <c r="J63" s="12" t="s">
        <v>159</v>
      </c>
      <c r="K63" s="13"/>
    </row>
    <row r="64" spans="1:11" ht="42" customHeight="1">
      <c r="A64" s="14" t="s">
        <v>382</v>
      </c>
      <c r="B64" s="17" t="s">
        <v>359</v>
      </c>
      <c r="C64" s="17" t="s">
        <v>383</v>
      </c>
      <c r="D64" s="15" t="s">
        <v>384</v>
      </c>
      <c r="E64" s="15" t="s">
        <v>385</v>
      </c>
      <c r="F64" s="15" t="s">
        <v>296</v>
      </c>
      <c r="G64" s="18" t="s">
        <v>157</v>
      </c>
      <c r="H64" s="15"/>
      <c r="I64" s="15"/>
      <c r="J64" s="18" t="s">
        <v>159</v>
      </c>
      <c r="K64" s="16"/>
    </row>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K1"/>
    <mergeCell ref="A2:K2"/>
    <mergeCell ref="A3:K3"/>
  </mergeCells>
  <phoneticPr fontId="7"/>
  <conditionalFormatting sqref="G6:G64">
    <cfRule type="expression" dxfId="3" priority="1">
      <formula>G6="確認済み"</formula>
    </cfRule>
    <cfRule type="expression" dxfId="2" priority="2">
      <formula>G6="回答あり・根拠未確認"</formula>
    </cfRule>
    <cfRule type="expression" dxfId="1" priority="3">
      <formula>G6="一部確認"</formula>
    </cfRule>
    <cfRule type="expression" dxfId="0" priority="4">
      <formula>G6="未整備"</formula>
    </cfRule>
  </conditionalFormatting>
  <dataValidations count="2">
    <dataValidation type="list" allowBlank="1" sqref="J6:J64" xr:uid="{00000000-0002-0000-0100-000000000000}">
      <formula1>"現行,将来,現行・将来"</formula1>
    </dataValidation>
    <dataValidation type="list" allowBlank="1" sqref="G6:G64" xr:uid="{00000000-0002-0000-0100-000001000000}">
      <formula1>"未回答,確認済み,回答あり・根拠未確認,一部確認,未整備"</formula1>
    </dataValidation>
  </dataValidations>
  <hyperlinks>
    <hyperlink ref="I58" r:id="rId1" xr:uid="{41BE10FC-378E-4A7B-9DE0-583E62EB3530}"/>
    <hyperlink ref="H6" r:id="rId2" xr:uid="{3B5FFFB2-42A1-4E5E-8E26-5022A6522C54}"/>
    <hyperlink ref="H43" r:id="rId3" xr:uid="{675E1823-09E8-48CE-A134-C6152B233E99}"/>
    <hyperlink ref="H56" r:id="rId4" xr:uid="{3C46D05B-4EF0-4202-BB14-5E9D122AA36A}"/>
    <hyperlink ref="H59" r:id="rId5" xr:uid="{E6AFCE38-D6FA-4C86-A6AD-D30881E34DF2}"/>
    <hyperlink ref="H60" r:id="rId6" xr:uid="{884A200B-D5E5-45FC-B778-4E166F09EDF2}"/>
    <hyperlink ref="H47" r:id="rId7" xr:uid="{79B28A0B-9FF7-4F7B-9E87-7461C45B7ED3}"/>
  </hyperlinks>
  <pageMargins left="0.7" right="0.7" top="0.75" bottom="0.75" header="0" footer="0"/>
  <pageSetup orientation="landscape"/>
  <tableParts count="1">
    <tablePart r:id="rId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DB287-5F7D-410E-94F4-D1E05ECBD2C2}">
  <dimension ref="A1:I27"/>
  <sheetViews>
    <sheetView topLeftCell="A23" zoomScaleNormal="100" zoomScaleSheetLayoutView="100" workbookViewId="0">
      <selection activeCell="E14" sqref="E14"/>
    </sheetView>
  </sheetViews>
  <sheetFormatPr defaultRowHeight="13.15"/>
  <cols>
    <col min="1" max="1" width="6" customWidth="1"/>
    <col min="2" max="2" width="18" customWidth="1"/>
    <col min="3" max="3" width="25" customWidth="1"/>
    <col min="4" max="4" width="42" customWidth="1"/>
    <col min="5" max="5" width="43" customWidth="1"/>
    <col min="6" max="6" width="12" customWidth="1"/>
    <col min="7" max="7" width="38" customWidth="1"/>
    <col min="8" max="8" width="30" customWidth="1"/>
    <col min="9" max="9" width="34" customWidth="1"/>
  </cols>
  <sheetData>
    <row r="1" spans="1:9" ht="30" customHeight="1">
      <c r="A1" s="263" t="s">
        <v>386</v>
      </c>
      <c r="B1" s="263"/>
      <c r="C1" s="263"/>
      <c r="D1" s="263"/>
      <c r="E1" s="263"/>
      <c r="F1" s="263"/>
      <c r="G1" s="263"/>
      <c r="H1" s="263"/>
      <c r="I1" s="263"/>
    </row>
    <row r="2" spans="1:9" ht="27.95" customHeight="1">
      <c r="A2" s="264" t="s">
        <v>387</v>
      </c>
      <c r="B2" s="264"/>
      <c r="C2" s="264"/>
      <c r="D2" s="264"/>
      <c r="E2" s="264"/>
      <c r="F2" s="264"/>
      <c r="G2" s="264"/>
      <c r="H2" s="264"/>
      <c r="I2" s="264"/>
    </row>
    <row r="3" spans="1:9" ht="27.95" customHeight="1">
      <c r="A3" s="264"/>
      <c r="B3" s="264"/>
      <c r="C3" s="264"/>
      <c r="D3" s="264"/>
      <c r="E3" s="264"/>
      <c r="F3" s="264"/>
      <c r="G3" s="264"/>
      <c r="H3" s="264"/>
      <c r="I3" s="264"/>
    </row>
    <row r="5" spans="1:9">
      <c r="A5" s="40" t="s">
        <v>388</v>
      </c>
      <c r="B5" s="41">
        <v>46238</v>
      </c>
      <c r="D5" s="249" t="s">
        <v>389</v>
      </c>
      <c r="E5" s="249" t="s">
        <v>390</v>
      </c>
    </row>
    <row r="6" spans="1:9">
      <c r="A6" s="40" t="s">
        <v>391</v>
      </c>
      <c r="B6" s="42"/>
      <c r="D6" s="40" t="s">
        <v>392</v>
      </c>
      <c r="E6" s="43">
        <v>17</v>
      </c>
    </row>
    <row r="7" spans="1:9">
      <c r="A7" s="40" t="s">
        <v>393</v>
      </c>
      <c r="B7" s="42"/>
      <c r="D7" s="40" t="s">
        <v>394</v>
      </c>
      <c r="E7" s="43">
        <f>COUNTIF(F11:F27,"回答済み")</f>
        <v>0</v>
      </c>
    </row>
    <row r="8" spans="1:9">
      <c r="D8" s="40" t="s">
        <v>395</v>
      </c>
      <c r="E8" s="43">
        <f>COUNTIF(F11:F27,"未回答")+COUNTIF(F11:F27,"確認中")</f>
        <v>17</v>
      </c>
    </row>
    <row r="10" spans="1:9" ht="36" customHeight="1">
      <c r="A10" s="44" t="s">
        <v>396</v>
      </c>
      <c r="B10" s="44" t="s">
        <v>397</v>
      </c>
      <c r="C10" s="44" t="s">
        <v>398</v>
      </c>
      <c r="D10" s="44" t="s">
        <v>399</v>
      </c>
      <c r="E10" s="44" t="s">
        <v>400</v>
      </c>
      <c r="F10" s="44" t="s">
        <v>401</v>
      </c>
      <c r="G10" s="44" t="s">
        <v>402</v>
      </c>
      <c r="H10" s="44" t="s">
        <v>403</v>
      </c>
      <c r="I10" s="44" t="s">
        <v>404</v>
      </c>
    </row>
    <row r="11" spans="1:9" ht="86.1" customHeight="1">
      <c r="A11" s="45">
        <v>1</v>
      </c>
      <c r="B11" s="46" t="s">
        <v>405</v>
      </c>
      <c r="C11" s="46" t="s">
        <v>406</v>
      </c>
      <c r="D11" s="46" t="s">
        <v>407</v>
      </c>
      <c r="E11" s="46" t="s">
        <v>408</v>
      </c>
      <c r="F11" s="47" t="s">
        <v>157</v>
      </c>
      <c r="G11" s="47" t="s">
        <v>409</v>
      </c>
      <c r="H11" s="47"/>
      <c r="I11" s="46" t="s">
        <v>410</v>
      </c>
    </row>
    <row r="12" spans="1:9" ht="86.1" customHeight="1">
      <c r="A12" s="45">
        <v>2</v>
      </c>
      <c r="B12" s="46" t="s">
        <v>411</v>
      </c>
      <c r="C12" s="46" t="s">
        <v>412</v>
      </c>
      <c r="D12" s="46" t="s">
        <v>413</v>
      </c>
      <c r="E12" s="46" t="s">
        <v>414</v>
      </c>
      <c r="F12" s="47" t="s">
        <v>157</v>
      </c>
      <c r="G12" s="47" t="s">
        <v>415</v>
      </c>
      <c r="H12" s="47"/>
      <c r="I12" s="46" t="s">
        <v>416</v>
      </c>
    </row>
    <row r="13" spans="1:9" ht="86.1" customHeight="1">
      <c r="A13" s="45">
        <v>3</v>
      </c>
      <c r="B13" s="46" t="s">
        <v>174</v>
      </c>
      <c r="C13" s="46" t="s">
        <v>417</v>
      </c>
      <c r="D13" s="46" t="s">
        <v>418</v>
      </c>
      <c r="E13" s="46" t="s">
        <v>419</v>
      </c>
      <c r="F13" s="47" t="s">
        <v>157</v>
      </c>
      <c r="G13" s="47" t="s">
        <v>420</v>
      </c>
      <c r="H13" s="47"/>
      <c r="I13" s="46" t="s">
        <v>421</v>
      </c>
    </row>
    <row r="14" spans="1:9" ht="86.1" customHeight="1">
      <c r="A14" s="45">
        <v>4</v>
      </c>
      <c r="B14" s="46" t="s">
        <v>422</v>
      </c>
      <c r="C14" s="46" t="s">
        <v>423</v>
      </c>
      <c r="D14" s="46" t="s">
        <v>424</v>
      </c>
      <c r="E14" s="46" t="s">
        <v>425</v>
      </c>
      <c r="F14" s="47" t="s">
        <v>157</v>
      </c>
      <c r="G14" s="47" t="s">
        <v>426</v>
      </c>
      <c r="H14" s="47"/>
      <c r="I14" s="46" t="s">
        <v>427</v>
      </c>
    </row>
    <row r="15" spans="1:9" ht="86.1" customHeight="1">
      <c r="A15" s="45">
        <v>5</v>
      </c>
      <c r="B15" s="46" t="s">
        <v>428</v>
      </c>
      <c r="C15" s="46" t="s">
        <v>429</v>
      </c>
      <c r="D15" s="46" t="s">
        <v>430</v>
      </c>
      <c r="E15" s="46" t="s">
        <v>431</v>
      </c>
      <c r="F15" s="47" t="s">
        <v>157</v>
      </c>
      <c r="G15" s="47"/>
      <c r="H15" s="47"/>
      <c r="I15" s="46" t="s">
        <v>432</v>
      </c>
    </row>
    <row r="16" spans="1:9" ht="86.1" customHeight="1">
      <c r="A16" s="45">
        <v>6</v>
      </c>
      <c r="B16" s="46" t="s">
        <v>428</v>
      </c>
      <c r="C16" s="46" t="s">
        <v>429</v>
      </c>
      <c r="D16" s="46" t="s">
        <v>433</v>
      </c>
      <c r="E16" s="46" t="s">
        <v>434</v>
      </c>
      <c r="F16" s="47" t="s">
        <v>157</v>
      </c>
      <c r="G16" s="47"/>
      <c r="H16" s="47"/>
      <c r="I16" s="46" t="s">
        <v>435</v>
      </c>
    </row>
    <row r="17" spans="1:9" ht="86.1" customHeight="1">
      <c r="A17" s="45">
        <v>7</v>
      </c>
      <c r="B17" s="46" t="s">
        <v>436</v>
      </c>
      <c r="C17" s="46" t="s">
        <v>437</v>
      </c>
      <c r="D17" s="46" t="s">
        <v>438</v>
      </c>
      <c r="E17" s="46" t="s">
        <v>439</v>
      </c>
      <c r="F17" s="47" t="s">
        <v>157</v>
      </c>
      <c r="G17" s="47"/>
      <c r="H17" s="47"/>
      <c r="I17" s="46" t="s">
        <v>440</v>
      </c>
    </row>
    <row r="18" spans="1:9" ht="86.1" customHeight="1">
      <c r="A18" s="45">
        <v>8</v>
      </c>
      <c r="B18" s="46" t="s">
        <v>441</v>
      </c>
      <c r="C18" s="46" t="s">
        <v>442</v>
      </c>
      <c r="D18" s="46" t="s">
        <v>443</v>
      </c>
      <c r="E18" s="46" t="s">
        <v>444</v>
      </c>
      <c r="F18" s="47" t="s">
        <v>157</v>
      </c>
      <c r="G18" s="47"/>
      <c r="H18" s="47"/>
      <c r="I18" s="46" t="s">
        <v>445</v>
      </c>
    </row>
    <row r="19" spans="1:9" ht="86.1" customHeight="1">
      <c r="A19" s="45">
        <v>9</v>
      </c>
      <c r="B19" s="46" t="s">
        <v>446</v>
      </c>
      <c r="C19" s="46" t="s">
        <v>447</v>
      </c>
      <c r="D19" s="46" t="s">
        <v>448</v>
      </c>
      <c r="E19" s="46" t="s">
        <v>449</v>
      </c>
      <c r="F19" s="47" t="s">
        <v>157</v>
      </c>
      <c r="G19" s="47" t="s">
        <v>450</v>
      </c>
      <c r="H19" s="47"/>
      <c r="I19" s="46" t="s">
        <v>451</v>
      </c>
    </row>
    <row r="20" spans="1:9" ht="86.1" customHeight="1">
      <c r="A20" s="45">
        <v>10</v>
      </c>
      <c r="B20" s="46" t="s">
        <v>452</v>
      </c>
      <c r="C20" s="46" t="s">
        <v>453</v>
      </c>
      <c r="D20" s="46" t="s">
        <v>454</v>
      </c>
      <c r="E20" s="46" t="s">
        <v>455</v>
      </c>
      <c r="F20" s="47" t="s">
        <v>157</v>
      </c>
      <c r="G20" s="47" t="s">
        <v>450</v>
      </c>
      <c r="H20" s="47"/>
      <c r="I20" s="46" t="s">
        <v>456</v>
      </c>
    </row>
    <row r="21" spans="1:9" ht="86.1" customHeight="1">
      <c r="A21" s="45">
        <v>11</v>
      </c>
      <c r="B21" s="46" t="s">
        <v>457</v>
      </c>
      <c r="C21" s="46" t="s">
        <v>458</v>
      </c>
      <c r="D21" s="46" t="s">
        <v>459</v>
      </c>
      <c r="E21" s="46" t="s">
        <v>460</v>
      </c>
      <c r="F21" s="47" t="s">
        <v>157</v>
      </c>
      <c r="G21" s="47"/>
      <c r="H21" s="47"/>
      <c r="I21" s="46" t="s">
        <v>461</v>
      </c>
    </row>
    <row r="22" spans="1:9" ht="86.1" customHeight="1">
      <c r="A22" s="45">
        <v>12</v>
      </c>
      <c r="B22" s="46" t="s">
        <v>462</v>
      </c>
      <c r="C22" s="46" t="s">
        <v>463</v>
      </c>
      <c r="D22" s="46" t="s">
        <v>464</v>
      </c>
      <c r="E22" s="46" t="s">
        <v>465</v>
      </c>
      <c r="F22" s="47" t="s">
        <v>157</v>
      </c>
      <c r="G22" s="47" t="s">
        <v>466</v>
      </c>
      <c r="H22" s="47"/>
      <c r="I22" s="46" t="s">
        <v>467</v>
      </c>
    </row>
    <row r="23" spans="1:9" ht="86.1" customHeight="1">
      <c r="A23" s="45">
        <v>13</v>
      </c>
      <c r="B23" s="46" t="s">
        <v>30</v>
      </c>
      <c r="C23" s="46" t="s">
        <v>468</v>
      </c>
      <c r="D23" s="46" t="s">
        <v>469</v>
      </c>
      <c r="E23" s="46" t="s">
        <v>470</v>
      </c>
      <c r="F23" s="47" t="s">
        <v>157</v>
      </c>
      <c r="G23" s="47" t="s">
        <v>471</v>
      </c>
      <c r="H23" s="47"/>
      <c r="I23" s="46" t="s">
        <v>472</v>
      </c>
    </row>
    <row r="24" spans="1:9" ht="86.1" customHeight="1">
      <c r="A24" s="45">
        <v>14</v>
      </c>
      <c r="B24" s="46" t="s">
        <v>473</v>
      </c>
      <c r="C24" s="46" t="s">
        <v>474</v>
      </c>
      <c r="D24" s="46" t="s">
        <v>475</v>
      </c>
      <c r="E24" s="46" t="s">
        <v>476</v>
      </c>
      <c r="F24" s="47" t="s">
        <v>157</v>
      </c>
      <c r="G24" s="47" t="s">
        <v>471</v>
      </c>
      <c r="H24" s="47"/>
      <c r="I24" s="46" t="s">
        <v>477</v>
      </c>
    </row>
    <row r="25" spans="1:9" ht="86.1" customHeight="1">
      <c r="A25" s="45">
        <v>15</v>
      </c>
      <c r="B25" s="46" t="s">
        <v>478</v>
      </c>
      <c r="C25" s="46" t="s">
        <v>479</v>
      </c>
      <c r="D25" s="46" t="s">
        <v>480</v>
      </c>
      <c r="E25" s="46" t="s">
        <v>481</v>
      </c>
      <c r="F25" s="47" t="s">
        <v>157</v>
      </c>
      <c r="G25" s="47" t="s">
        <v>482</v>
      </c>
      <c r="H25" s="47"/>
      <c r="I25" s="46" t="s">
        <v>483</v>
      </c>
    </row>
    <row r="26" spans="1:9" ht="86.1" customHeight="1">
      <c r="A26" s="45">
        <v>16</v>
      </c>
      <c r="B26" s="46" t="s">
        <v>355</v>
      </c>
      <c r="C26" s="46" t="s">
        <v>484</v>
      </c>
      <c r="D26" s="46" t="s">
        <v>485</v>
      </c>
      <c r="E26" s="46" t="s">
        <v>486</v>
      </c>
      <c r="F26" s="47" t="s">
        <v>157</v>
      </c>
      <c r="G26" s="47" t="s">
        <v>471</v>
      </c>
      <c r="H26" s="47"/>
      <c r="I26" s="46" t="s">
        <v>487</v>
      </c>
    </row>
    <row r="27" spans="1:9" ht="86.1" customHeight="1">
      <c r="A27" s="45">
        <v>17</v>
      </c>
      <c r="B27" s="46" t="s">
        <v>345</v>
      </c>
      <c r="C27" s="46" t="s">
        <v>488</v>
      </c>
      <c r="D27" s="46" t="s">
        <v>489</v>
      </c>
      <c r="E27" s="46" t="s">
        <v>490</v>
      </c>
      <c r="F27" s="47" t="s">
        <v>157</v>
      </c>
      <c r="G27" s="47" t="s">
        <v>471</v>
      </c>
      <c r="H27" s="47"/>
      <c r="I27" s="46" t="s">
        <v>491</v>
      </c>
    </row>
  </sheetData>
  <mergeCells count="2">
    <mergeCell ref="A1:I1"/>
    <mergeCell ref="A2:I3"/>
  </mergeCells>
  <phoneticPr fontId="7"/>
  <dataValidations count="1">
    <dataValidation type="list" sqref="F11:F27" xr:uid="{61C762EC-7314-4D23-81F1-9F2DBB752324}">
      <formula1>"未回答,確認中,回答済み,該当なし"</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E4D7A-6EAD-40FF-ABD0-509FD5A90FB9}">
  <dimension ref="B3:F22"/>
  <sheetViews>
    <sheetView workbookViewId="0">
      <selection activeCell="F17" sqref="F17"/>
    </sheetView>
  </sheetViews>
  <sheetFormatPr defaultColWidth="9.125" defaultRowHeight="18"/>
  <cols>
    <col min="1" max="1" width="9.125" style="20"/>
    <col min="2" max="2" width="10.875" style="20" bestFit="1" customWidth="1"/>
    <col min="3" max="3" width="8.25" style="20" bestFit="1" customWidth="1"/>
    <col min="4" max="4" width="6.125" style="20" bestFit="1" customWidth="1"/>
    <col min="5" max="5" width="34.875" style="20" customWidth="1"/>
    <col min="6" max="6" width="73.125" style="20" customWidth="1"/>
    <col min="7" max="16384" width="9.125" style="20"/>
  </cols>
  <sheetData>
    <row r="3" spans="2:6" ht="22.15">
      <c r="B3" s="19"/>
    </row>
    <row r="4" spans="2:6" ht="17.649999999999999" customHeight="1">
      <c r="B4" s="35" t="s">
        <v>492</v>
      </c>
      <c r="C4" s="33"/>
      <c r="D4" s="33"/>
      <c r="E4" s="34"/>
      <c r="F4" s="31" t="s">
        <v>493</v>
      </c>
    </row>
    <row r="5" spans="2:6" ht="20.45" thickBot="1">
      <c r="B5" s="21" t="s">
        <v>494</v>
      </c>
      <c r="C5" s="21" t="s">
        <v>495</v>
      </c>
      <c r="D5" s="280" t="s">
        <v>496</v>
      </c>
      <c r="E5" s="281"/>
      <c r="F5" s="32"/>
    </row>
    <row r="6" spans="2:6" ht="19.899999999999999">
      <c r="B6" s="282" t="s">
        <v>497</v>
      </c>
      <c r="C6" s="285" t="s">
        <v>498</v>
      </c>
      <c r="D6" s="285" t="s">
        <v>499</v>
      </c>
      <c r="E6" s="286" t="s">
        <v>500</v>
      </c>
      <c r="F6" s="22" t="s">
        <v>501</v>
      </c>
    </row>
    <row r="7" spans="2:6" ht="19.899999999999999">
      <c r="B7" s="283"/>
      <c r="C7" s="269"/>
      <c r="D7" s="269"/>
      <c r="E7" s="279"/>
      <c r="F7" s="24" t="s">
        <v>502</v>
      </c>
    </row>
    <row r="8" spans="2:6" ht="19.899999999999999">
      <c r="B8" s="283"/>
      <c r="C8" s="269"/>
      <c r="D8" s="269"/>
      <c r="E8" s="279"/>
      <c r="F8" s="24" t="s">
        <v>503</v>
      </c>
    </row>
    <row r="9" spans="2:6" ht="19.899999999999999">
      <c r="B9" s="283"/>
      <c r="C9" s="269"/>
      <c r="D9" s="269"/>
      <c r="E9" s="279"/>
      <c r="F9" s="24" t="s">
        <v>504</v>
      </c>
    </row>
    <row r="10" spans="2:6">
      <c r="B10" s="283"/>
      <c r="C10" s="269"/>
      <c r="D10" s="274" t="s">
        <v>505</v>
      </c>
      <c r="E10" s="275" t="s">
        <v>506</v>
      </c>
      <c r="F10" s="26"/>
    </row>
    <row r="11" spans="2:6">
      <c r="B11" s="284"/>
      <c r="C11" s="270"/>
      <c r="D11" s="270"/>
      <c r="E11" s="276"/>
      <c r="F11" s="27"/>
    </row>
    <row r="12" spans="2:6" ht="19.899999999999999">
      <c r="B12" s="277" t="s">
        <v>507</v>
      </c>
      <c r="C12" s="268" t="s">
        <v>508</v>
      </c>
      <c r="D12" s="268" t="s">
        <v>499</v>
      </c>
      <c r="E12" s="272" t="s">
        <v>509</v>
      </c>
      <c r="F12" s="28" t="s">
        <v>501</v>
      </c>
    </row>
    <row r="13" spans="2:6" ht="19.899999999999999">
      <c r="B13" s="278"/>
      <c r="C13" s="269"/>
      <c r="D13" s="269"/>
      <c r="E13" s="279"/>
      <c r="F13" s="24" t="s">
        <v>510</v>
      </c>
    </row>
    <row r="14" spans="2:6" ht="19.899999999999999">
      <c r="B14" s="278"/>
      <c r="C14" s="269"/>
      <c r="D14" s="269"/>
      <c r="E14" s="279"/>
      <c r="F14" s="24" t="s">
        <v>503</v>
      </c>
    </row>
    <row r="15" spans="2:6" ht="19.899999999999999">
      <c r="B15" s="278"/>
      <c r="C15" s="269"/>
      <c r="D15" s="269"/>
      <c r="E15" s="279"/>
      <c r="F15" s="24" t="s">
        <v>511</v>
      </c>
    </row>
    <row r="16" spans="2:6" ht="19.899999999999999">
      <c r="B16" s="278"/>
      <c r="C16" s="269"/>
      <c r="D16" s="274" t="s">
        <v>505</v>
      </c>
      <c r="E16" s="25" t="s">
        <v>512</v>
      </c>
      <c r="F16" s="26"/>
    </row>
    <row r="17" spans="2:6" ht="19.899999999999999">
      <c r="B17" s="278"/>
      <c r="C17" s="269"/>
      <c r="D17" s="269"/>
      <c r="E17" s="23" t="s">
        <v>513</v>
      </c>
      <c r="F17" s="26"/>
    </row>
    <row r="18" spans="2:6" ht="19.899999999999999">
      <c r="B18" s="278"/>
      <c r="C18" s="269"/>
      <c r="D18" s="269"/>
      <c r="E18" s="23" t="s">
        <v>514</v>
      </c>
      <c r="F18" s="26"/>
    </row>
    <row r="19" spans="2:6" ht="19.899999999999999">
      <c r="B19" s="265" t="s">
        <v>515</v>
      </c>
      <c r="C19" s="268" t="s">
        <v>516</v>
      </c>
      <c r="D19" s="268" t="s">
        <v>499</v>
      </c>
      <c r="E19" s="272" t="s">
        <v>517</v>
      </c>
      <c r="F19" s="28" t="s">
        <v>518</v>
      </c>
    </row>
    <row r="20" spans="2:6" ht="39.6">
      <c r="B20" s="266"/>
      <c r="C20" s="269"/>
      <c r="D20" s="271"/>
      <c r="E20" s="273"/>
      <c r="F20" s="24" t="s">
        <v>519</v>
      </c>
    </row>
    <row r="21" spans="2:6">
      <c r="B21" s="266"/>
      <c r="C21" s="269"/>
      <c r="D21" s="274" t="s">
        <v>505</v>
      </c>
      <c r="E21" s="275" t="s">
        <v>520</v>
      </c>
      <c r="F21" s="29"/>
    </row>
    <row r="22" spans="2:6">
      <c r="B22" s="267"/>
      <c r="C22" s="270"/>
      <c r="D22" s="270"/>
      <c r="E22" s="276"/>
      <c r="F22" s="30"/>
    </row>
  </sheetData>
  <mergeCells count="18">
    <mergeCell ref="D5:E5"/>
    <mergeCell ref="B6:B11"/>
    <mergeCell ref="C6:C11"/>
    <mergeCell ref="D6:D9"/>
    <mergeCell ref="E6:E9"/>
    <mergeCell ref="D10:D11"/>
    <mergeCell ref="E10:E11"/>
    <mergeCell ref="B12:B18"/>
    <mergeCell ref="C12:C18"/>
    <mergeCell ref="D12:D15"/>
    <mergeCell ref="E12:E15"/>
    <mergeCell ref="D16:D18"/>
    <mergeCell ref="B19:B22"/>
    <mergeCell ref="C19:C22"/>
    <mergeCell ref="D19:D20"/>
    <mergeCell ref="E19:E20"/>
    <mergeCell ref="D21:D22"/>
    <mergeCell ref="E21:E22"/>
  </mergeCells>
  <phoneticPr fontId="7"/>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AE3A1-9CFD-4915-A2E6-7E32366DA209}">
  <sheetPr>
    <tabColor rgb="FFFFC000"/>
  </sheetPr>
  <dimension ref="A1:L45"/>
  <sheetViews>
    <sheetView topLeftCell="D1" zoomScaleNormal="100" zoomScaleSheetLayoutView="100" workbookViewId="0">
      <selection activeCell="H11" sqref="H11"/>
    </sheetView>
  </sheetViews>
  <sheetFormatPr defaultRowHeight="13.15"/>
  <cols>
    <col min="1" max="1" width="5" customWidth="1"/>
    <col min="2" max="2" width="9" customWidth="1"/>
    <col min="3" max="3" width="16" customWidth="1"/>
    <col min="4" max="4" width="20" customWidth="1"/>
    <col min="5" max="5" width="42" customWidth="1"/>
    <col min="6" max="6" width="38" customWidth="1"/>
    <col min="7" max="7" width="26" customWidth="1"/>
    <col min="8" max="8" width="36" customWidth="1"/>
    <col min="9" max="9" width="18" customWidth="1"/>
    <col min="10" max="10" width="30" customWidth="1"/>
    <col min="11" max="11" width="12" customWidth="1"/>
    <col min="12" max="12" width="24" customWidth="1"/>
  </cols>
  <sheetData>
    <row r="1" spans="1:12" ht="32.1" customHeight="1">
      <c r="A1" s="289" t="s">
        <v>521</v>
      </c>
      <c r="B1" s="289"/>
      <c r="C1" s="289"/>
      <c r="D1" s="289"/>
      <c r="E1" s="289"/>
      <c r="F1" s="289"/>
      <c r="G1" s="289"/>
      <c r="H1" s="289"/>
      <c r="I1" s="289"/>
      <c r="J1" s="289"/>
      <c r="K1" s="289"/>
      <c r="L1" s="289"/>
    </row>
    <row r="2" spans="1:12" ht="33.950000000000003" customHeight="1">
      <c r="A2" s="290" t="s">
        <v>522</v>
      </c>
      <c r="B2" s="290"/>
      <c r="C2" s="290"/>
      <c r="D2" s="290"/>
      <c r="E2" s="290"/>
      <c r="F2" s="290"/>
      <c r="G2" s="290"/>
      <c r="H2" s="290"/>
      <c r="I2" s="290"/>
      <c r="J2" s="290"/>
      <c r="K2" s="290"/>
      <c r="L2" s="290"/>
    </row>
    <row r="3" spans="1:12" ht="38.1" customHeight="1">
      <c r="A3" s="291" t="s">
        <v>523</v>
      </c>
      <c r="B3" s="291"/>
      <c r="C3" s="291"/>
      <c r="D3" s="291"/>
      <c r="E3" s="291"/>
      <c r="F3" s="291"/>
      <c r="G3" s="291"/>
      <c r="H3" s="291"/>
      <c r="I3" s="291"/>
      <c r="J3" s="291"/>
      <c r="K3" s="291"/>
      <c r="L3" s="291"/>
    </row>
    <row r="5" spans="1:12" ht="14.45">
      <c r="A5" s="292" t="s">
        <v>392</v>
      </c>
      <c r="B5" s="292"/>
      <c r="C5" s="166">
        <f>COUNTA(A11:A45)</f>
        <v>35</v>
      </c>
      <c r="D5" s="292" t="s">
        <v>394</v>
      </c>
      <c r="E5" s="292"/>
      <c r="F5" s="166">
        <f>COUNTIF(K11:K45,"回答済み")</f>
        <v>35</v>
      </c>
      <c r="G5" s="292" t="s">
        <v>157</v>
      </c>
      <c r="H5" s="292"/>
      <c r="I5" s="166">
        <f>COUNTIF(K11:K45,"未回答")</f>
        <v>0</v>
      </c>
      <c r="J5" s="292" t="s">
        <v>524</v>
      </c>
      <c r="K5" s="292"/>
      <c r="L5" s="167">
        <f>IF(C5=0,0,F5/C5)</f>
        <v>1</v>
      </c>
    </row>
    <row r="7" spans="1:12" ht="27.95" customHeight="1">
      <c r="A7" s="287" t="s">
        <v>525</v>
      </c>
      <c r="B7" s="287"/>
      <c r="C7" s="287"/>
      <c r="D7" s="287"/>
      <c r="E7" s="287"/>
      <c r="F7" s="287"/>
      <c r="G7" s="287"/>
      <c r="H7" s="287"/>
      <c r="I7" s="287"/>
      <c r="J7" s="287"/>
      <c r="K7" s="287"/>
      <c r="L7" s="287"/>
    </row>
    <row r="8" spans="1:12" ht="24" customHeight="1">
      <c r="A8" s="288" t="s">
        <v>526</v>
      </c>
      <c r="B8" s="288"/>
      <c r="C8" s="288"/>
      <c r="D8" s="288"/>
      <c r="E8" s="288"/>
      <c r="F8" s="288"/>
      <c r="G8" s="288"/>
      <c r="H8" s="288"/>
      <c r="I8" s="288"/>
      <c r="J8" s="288"/>
      <c r="K8" s="288"/>
      <c r="L8" s="288"/>
    </row>
    <row r="10" spans="1:12" ht="30" customHeight="1">
      <c r="A10" s="168" t="s">
        <v>396</v>
      </c>
      <c r="B10" s="169" t="s">
        <v>527</v>
      </c>
      <c r="C10" s="169" t="s">
        <v>397</v>
      </c>
      <c r="D10" s="169" t="s">
        <v>528</v>
      </c>
      <c r="E10" s="169" t="s">
        <v>529</v>
      </c>
      <c r="F10" s="169" t="s">
        <v>530</v>
      </c>
      <c r="G10" s="169" t="s">
        <v>531</v>
      </c>
      <c r="H10" s="169" t="s">
        <v>532</v>
      </c>
      <c r="I10" s="169" t="s">
        <v>533</v>
      </c>
      <c r="J10" s="169" t="s">
        <v>534</v>
      </c>
      <c r="K10" s="169" t="s">
        <v>401</v>
      </c>
      <c r="L10" s="170" t="s">
        <v>535</v>
      </c>
    </row>
    <row r="11" spans="1:12" ht="72" customHeight="1">
      <c r="A11" s="171">
        <v>1</v>
      </c>
      <c r="B11" s="172" t="s">
        <v>536</v>
      </c>
      <c r="C11" s="172" t="s">
        <v>537</v>
      </c>
      <c r="D11" s="172" t="s">
        <v>538</v>
      </c>
      <c r="E11" s="173" t="s">
        <v>539</v>
      </c>
      <c r="F11" s="173" t="s">
        <v>540</v>
      </c>
      <c r="G11" s="174" t="s">
        <v>541</v>
      </c>
      <c r="H11" s="174" t="s">
        <v>542</v>
      </c>
      <c r="I11" s="174"/>
      <c r="J11" s="174"/>
      <c r="K11" s="175" t="str">
        <f t="shared" ref="K11:K45" si="0">IF(G11="","未回答","回答済み")</f>
        <v>回答済み</v>
      </c>
      <c r="L11" s="176" t="s">
        <v>543</v>
      </c>
    </row>
    <row r="12" spans="1:12" ht="72" customHeight="1">
      <c r="A12" s="177">
        <v>2</v>
      </c>
      <c r="B12" s="178" t="s">
        <v>536</v>
      </c>
      <c r="C12" s="178" t="s">
        <v>537</v>
      </c>
      <c r="D12" s="178" t="s">
        <v>544</v>
      </c>
      <c r="E12" s="179" t="s">
        <v>545</v>
      </c>
      <c r="F12" s="179" t="s">
        <v>546</v>
      </c>
      <c r="G12" s="180" t="s">
        <v>547</v>
      </c>
      <c r="H12" s="180" t="s">
        <v>548</v>
      </c>
      <c r="I12" s="180" t="s">
        <v>168</v>
      </c>
      <c r="J12" s="180"/>
      <c r="K12" s="181" t="str">
        <f t="shared" si="0"/>
        <v>回答済み</v>
      </c>
      <c r="L12" s="182" t="s">
        <v>549</v>
      </c>
    </row>
    <row r="13" spans="1:12" ht="72" customHeight="1">
      <c r="A13" s="177">
        <v>3</v>
      </c>
      <c r="B13" s="178" t="s">
        <v>536</v>
      </c>
      <c r="C13" s="178" t="s">
        <v>537</v>
      </c>
      <c r="D13" s="178" t="s">
        <v>550</v>
      </c>
      <c r="E13" s="179" t="s">
        <v>551</v>
      </c>
      <c r="F13" s="179" t="s">
        <v>552</v>
      </c>
      <c r="G13" s="180" t="s">
        <v>553</v>
      </c>
      <c r="H13" s="180" t="s">
        <v>554</v>
      </c>
      <c r="I13" s="180" t="s">
        <v>168</v>
      </c>
      <c r="J13" s="180"/>
      <c r="K13" s="181" t="str">
        <f t="shared" si="0"/>
        <v>回答済み</v>
      </c>
      <c r="L13" s="182" t="s">
        <v>555</v>
      </c>
    </row>
    <row r="14" spans="1:12" ht="72" customHeight="1">
      <c r="A14" s="177">
        <v>4</v>
      </c>
      <c r="B14" s="178" t="s">
        <v>536</v>
      </c>
      <c r="C14" s="178" t="s">
        <v>556</v>
      </c>
      <c r="D14" s="178" t="s">
        <v>557</v>
      </c>
      <c r="E14" s="179" t="s">
        <v>558</v>
      </c>
      <c r="F14" s="179" t="s">
        <v>559</v>
      </c>
      <c r="G14" s="180" t="s">
        <v>560</v>
      </c>
      <c r="H14" s="180"/>
      <c r="I14" s="180" t="s">
        <v>164</v>
      </c>
      <c r="J14" s="180"/>
      <c r="K14" s="181" t="str">
        <f t="shared" si="0"/>
        <v>回答済み</v>
      </c>
      <c r="L14" s="182" t="s">
        <v>561</v>
      </c>
    </row>
    <row r="15" spans="1:12" ht="72" customHeight="1">
      <c r="A15" s="177">
        <v>5</v>
      </c>
      <c r="B15" s="178" t="s">
        <v>536</v>
      </c>
      <c r="C15" s="178" t="s">
        <v>556</v>
      </c>
      <c r="D15" s="178" t="s">
        <v>562</v>
      </c>
      <c r="E15" s="179" t="s">
        <v>563</v>
      </c>
      <c r="F15" s="179" t="s">
        <v>564</v>
      </c>
      <c r="G15" s="180" t="s">
        <v>560</v>
      </c>
      <c r="H15" s="180"/>
      <c r="I15" s="180" t="s">
        <v>164</v>
      </c>
      <c r="J15" s="180"/>
      <c r="K15" s="181" t="str">
        <f t="shared" si="0"/>
        <v>回答済み</v>
      </c>
      <c r="L15" s="182" t="s">
        <v>561</v>
      </c>
    </row>
    <row r="16" spans="1:12" ht="72" customHeight="1">
      <c r="A16" s="177">
        <v>6</v>
      </c>
      <c r="B16" s="178" t="s">
        <v>536</v>
      </c>
      <c r="C16" s="178" t="s">
        <v>556</v>
      </c>
      <c r="D16" s="178" t="s">
        <v>565</v>
      </c>
      <c r="E16" s="179" t="s">
        <v>566</v>
      </c>
      <c r="F16" s="179" t="s">
        <v>567</v>
      </c>
      <c r="G16" s="180" t="s">
        <v>553</v>
      </c>
      <c r="H16" s="180"/>
      <c r="I16" s="180" t="s">
        <v>164</v>
      </c>
      <c r="J16" s="180"/>
      <c r="K16" s="181" t="str">
        <f t="shared" si="0"/>
        <v>回答済み</v>
      </c>
      <c r="L16" s="182" t="s">
        <v>561</v>
      </c>
    </row>
    <row r="17" spans="1:12" ht="72" customHeight="1">
      <c r="A17" s="177">
        <v>7</v>
      </c>
      <c r="B17" s="178" t="s">
        <v>568</v>
      </c>
      <c r="C17" s="178" t="s">
        <v>556</v>
      </c>
      <c r="D17" s="178" t="s">
        <v>569</v>
      </c>
      <c r="E17" s="179" t="s">
        <v>570</v>
      </c>
      <c r="F17" s="179" t="s">
        <v>571</v>
      </c>
      <c r="G17" s="180" t="s">
        <v>572</v>
      </c>
      <c r="H17" s="180"/>
      <c r="I17" s="180" t="s">
        <v>164</v>
      </c>
      <c r="J17" s="180"/>
      <c r="K17" s="181" t="str">
        <f t="shared" si="0"/>
        <v>回答済み</v>
      </c>
      <c r="L17" s="182" t="s">
        <v>573</v>
      </c>
    </row>
    <row r="18" spans="1:12" ht="72" customHeight="1">
      <c r="A18" s="177">
        <v>8</v>
      </c>
      <c r="B18" s="178" t="s">
        <v>536</v>
      </c>
      <c r="C18" s="178" t="s">
        <v>556</v>
      </c>
      <c r="D18" s="178" t="s">
        <v>376</v>
      </c>
      <c r="E18" s="179" t="s">
        <v>574</v>
      </c>
      <c r="F18" s="179" t="s">
        <v>575</v>
      </c>
      <c r="G18" s="180" t="s">
        <v>576</v>
      </c>
      <c r="H18" s="180"/>
      <c r="I18" s="180" t="s">
        <v>164</v>
      </c>
      <c r="J18" s="180"/>
      <c r="K18" s="181" t="str">
        <f t="shared" si="0"/>
        <v>回答済み</v>
      </c>
      <c r="L18" s="182" t="s">
        <v>577</v>
      </c>
    </row>
    <row r="19" spans="1:12" ht="72" customHeight="1">
      <c r="A19" s="177">
        <v>9</v>
      </c>
      <c r="B19" s="178" t="s">
        <v>536</v>
      </c>
      <c r="C19" s="178" t="s">
        <v>556</v>
      </c>
      <c r="D19" s="178" t="s">
        <v>578</v>
      </c>
      <c r="E19" s="179" t="s">
        <v>579</v>
      </c>
      <c r="F19" s="179" t="s">
        <v>580</v>
      </c>
      <c r="G19" s="180" t="s">
        <v>581</v>
      </c>
      <c r="H19" s="180" t="s">
        <v>582</v>
      </c>
      <c r="I19" s="180" t="s">
        <v>164</v>
      </c>
      <c r="J19" s="180"/>
      <c r="K19" s="181" t="str">
        <f t="shared" si="0"/>
        <v>回答済み</v>
      </c>
      <c r="L19" s="182" t="s">
        <v>583</v>
      </c>
    </row>
    <row r="20" spans="1:12" ht="72" customHeight="1">
      <c r="A20" s="177">
        <v>10</v>
      </c>
      <c r="B20" s="178" t="s">
        <v>536</v>
      </c>
      <c r="C20" s="178" t="s">
        <v>556</v>
      </c>
      <c r="D20" s="178" t="s">
        <v>584</v>
      </c>
      <c r="E20" s="179" t="s">
        <v>585</v>
      </c>
      <c r="F20" s="179" t="s">
        <v>586</v>
      </c>
      <c r="G20" s="180" t="s">
        <v>587</v>
      </c>
      <c r="H20" s="180" t="s">
        <v>588</v>
      </c>
      <c r="I20" s="180" t="s">
        <v>168</v>
      </c>
      <c r="J20" s="180"/>
      <c r="K20" s="181" t="str">
        <f t="shared" si="0"/>
        <v>回答済み</v>
      </c>
      <c r="L20" s="182" t="s">
        <v>589</v>
      </c>
    </row>
    <row r="21" spans="1:12" ht="72" customHeight="1">
      <c r="A21" s="177">
        <v>11</v>
      </c>
      <c r="B21" s="178" t="s">
        <v>568</v>
      </c>
      <c r="C21" s="178" t="s">
        <v>174</v>
      </c>
      <c r="D21" s="178" t="s">
        <v>590</v>
      </c>
      <c r="E21" s="179" t="s">
        <v>591</v>
      </c>
      <c r="F21" s="179" t="s">
        <v>592</v>
      </c>
      <c r="G21" s="180" t="s">
        <v>593</v>
      </c>
      <c r="H21" s="180"/>
      <c r="I21" s="180" t="s">
        <v>164</v>
      </c>
      <c r="J21" s="180"/>
      <c r="K21" s="181" t="str">
        <f t="shared" si="0"/>
        <v>回答済み</v>
      </c>
      <c r="L21" s="182" t="s">
        <v>594</v>
      </c>
    </row>
    <row r="22" spans="1:12" ht="72" customHeight="1">
      <c r="A22" s="177">
        <v>12</v>
      </c>
      <c r="B22" s="178" t="s">
        <v>568</v>
      </c>
      <c r="C22" s="178" t="s">
        <v>174</v>
      </c>
      <c r="D22" s="178" t="s">
        <v>225</v>
      </c>
      <c r="E22" s="179" t="s">
        <v>595</v>
      </c>
      <c r="F22" s="179" t="s">
        <v>596</v>
      </c>
      <c r="G22" s="180" t="s">
        <v>597</v>
      </c>
      <c r="H22" s="180" t="s">
        <v>598</v>
      </c>
      <c r="I22" s="180" t="s">
        <v>164</v>
      </c>
      <c r="J22" s="180"/>
      <c r="K22" s="181" t="str">
        <f t="shared" si="0"/>
        <v>回答済み</v>
      </c>
      <c r="L22" s="182" t="s">
        <v>594</v>
      </c>
    </row>
    <row r="23" spans="1:12" ht="72" customHeight="1">
      <c r="A23" s="177">
        <v>13</v>
      </c>
      <c r="B23" s="178" t="s">
        <v>568</v>
      </c>
      <c r="C23" s="178" t="s">
        <v>174</v>
      </c>
      <c r="D23" s="178" t="s">
        <v>599</v>
      </c>
      <c r="E23" s="179" t="s">
        <v>600</v>
      </c>
      <c r="F23" s="179" t="s">
        <v>601</v>
      </c>
      <c r="G23" s="180" t="s">
        <v>597</v>
      </c>
      <c r="H23" s="180" t="s">
        <v>598</v>
      </c>
      <c r="I23" s="180" t="s">
        <v>164</v>
      </c>
      <c r="J23" s="180"/>
      <c r="K23" s="181" t="str">
        <f t="shared" si="0"/>
        <v>回答済み</v>
      </c>
      <c r="L23" s="182" t="s">
        <v>594</v>
      </c>
    </row>
    <row r="24" spans="1:12" ht="72" customHeight="1">
      <c r="A24" s="177">
        <v>14</v>
      </c>
      <c r="B24" s="178" t="s">
        <v>568</v>
      </c>
      <c r="C24" s="178" t="s">
        <v>174</v>
      </c>
      <c r="D24" s="178" t="s">
        <v>241</v>
      </c>
      <c r="E24" s="179" t="s">
        <v>602</v>
      </c>
      <c r="F24" s="179" t="s">
        <v>603</v>
      </c>
      <c r="G24" s="180" t="s">
        <v>553</v>
      </c>
      <c r="H24" s="180"/>
      <c r="I24" s="180" t="s">
        <v>164</v>
      </c>
      <c r="J24" s="180"/>
      <c r="K24" s="181" t="str">
        <f t="shared" si="0"/>
        <v>回答済み</v>
      </c>
      <c r="L24" s="182" t="s">
        <v>604</v>
      </c>
    </row>
    <row r="25" spans="1:12" ht="72" customHeight="1">
      <c r="A25" s="177">
        <v>15</v>
      </c>
      <c r="B25" s="178" t="s">
        <v>536</v>
      </c>
      <c r="C25" s="178" t="s">
        <v>605</v>
      </c>
      <c r="D25" s="178" t="s">
        <v>606</v>
      </c>
      <c r="E25" s="179" t="s">
        <v>607</v>
      </c>
      <c r="F25" s="179" t="s">
        <v>608</v>
      </c>
      <c r="G25" s="180" t="s">
        <v>609</v>
      </c>
      <c r="H25" s="180"/>
      <c r="I25" s="180" t="s">
        <v>164</v>
      </c>
      <c r="J25" s="180"/>
      <c r="K25" s="181" t="str">
        <f t="shared" si="0"/>
        <v>回答済み</v>
      </c>
      <c r="L25" s="182" t="s">
        <v>610</v>
      </c>
    </row>
    <row r="26" spans="1:12" ht="72" customHeight="1">
      <c r="A26" s="177">
        <v>16</v>
      </c>
      <c r="B26" s="178" t="s">
        <v>568</v>
      </c>
      <c r="C26" s="178" t="s">
        <v>605</v>
      </c>
      <c r="D26" s="178" t="s">
        <v>611</v>
      </c>
      <c r="E26" s="179" t="s">
        <v>612</v>
      </c>
      <c r="F26" s="179" t="s">
        <v>613</v>
      </c>
      <c r="G26" s="180" t="s">
        <v>609</v>
      </c>
      <c r="H26" s="180"/>
      <c r="I26" s="180" t="s">
        <v>164</v>
      </c>
      <c r="J26" s="180"/>
      <c r="K26" s="181" t="str">
        <f t="shared" si="0"/>
        <v>回答済み</v>
      </c>
      <c r="L26" s="182" t="s">
        <v>614</v>
      </c>
    </row>
    <row r="27" spans="1:12" ht="72" customHeight="1">
      <c r="A27" s="177">
        <v>17</v>
      </c>
      <c r="B27" s="178" t="s">
        <v>568</v>
      </c>
      <c r="C27" s="178" t="s">
        <v>605</v>
      </c>
      <c r="D27" s="178" t="s">
        <v>615</v>
      </c>
      <c r="E27" s="179" t="s">
        <v>616</v>
      </c>
      <c r="F27" s="179" t="s">
        <v>617</v>
      </c>
      <c r="G27" s="180" t="s">
        <v>609</v>
      </c>
      <c r="H27" s="180"/>
      <c r="I27" s="180" t="s">
        <v>164</v>
      </c>
      <c r="J27" s="180"/>
      <c r="K27" s="181" t="str">
        <f t="shared" si="0"/>
        <v>回答済み</v>
      </c>
      <c r="L27" s="182" t="s">
        <v>614</v>
      </c>
    </row>
    <row r="28" spans="1:12" ht="72" customHeight="1">
      <c r="A28" s="177">
        <v>18</v>
      </c>
      <c r="B28" s="178" t="s">
        <v>568</v>
      </c>
      <c r="C28" s="178" t="s">
        <v>605</v>
      </c>
      <c r="D28" s="178" t="s">
        <v>618</v>
      </c>
      <c r="E28" s="179" t="s">
        <v>619</v>
      </c>
      <c r="F28" s="179" t="s">
        <v>620</v>
      </c>
      <c r="G28" s="180" t="s">
        <v>609</v>
      </c>
      <c r="H28" s="180"/>
      <c r="I28" s="180" t="s">
        <v>164</v>
      </c>
      <c r="J28" s="180"/>
      <c r="K28" s="181" t="str">
        <f t="shared" si="0"/>
        <v>回答済み</v>
      </c>
      <c r="L28" s="182" t="s">
        <v>621</v>
      </c>
    </row>
    <row r="29" spans="1:12" ht="72" customHeight="1">
      <c r="A29" s="177">
        <v>19</v>
      </c>
      <c r="B29" s="178" t="s">
        <v>568</v>
      </c>
      <c r="C29" s="178" t="s">
        <v>605</v>
      </c>
      <c r="D29" s="178" t="s">
        <v>622</v>
      </c>
      <c r="E29" s="179" t="s">
        <v>623</v>
      </c>
      <c r="F29" s="179" t="s">
        <v>624</v>
      </c>
      <c r="G29" s="180" t="s">
        <v>609</v>
      </c>
      <c r="H29" s="180"/>
      <c r="I29" s="180" t="s">
        <v>164</v>
      </c>
      <c r="J29" s="180"/>
      <c r="K29" s="181" t="str">
        <f t="shared" si="0"/>
        <v>回答済み</v>
      </c>
      <c r="L29" s="182" t="s">
        <v>614</v>
      </c>
    </row>
    <row r="30" spans="1:12" ht="72" customHeight="1">
      <c r="A30" s="177">
        <v>20</v>
      </c>
      <c r="B30" s="178" t="s">
        <v>568</v>
      </c>
      <c r="C30" s="178" t="s">
        <v>605</v>
      </c>
      <c r="D30" s="178" t="s">
        <v>625</v>
      </c>
      <c r="E30" s="179" t="s">
        <v>626</v>
      </c>
      <c r="F30" s="179" t="s">
        <v>627</v>
      </c>
      <c r="G30" s="180" t="s">
        <v>609</v>
      </c>
      <c r="H30" s="180"/>
      <c r="I30" s="180" t="s">
        <v>164</v>
      </c>
      <c r="J30" s="180"/>
      <c r="K30" s="181" t="str">
        <f t="shared" si="0"/>
        <v>回答済み</v>
      </c>
      <c r="L30" s="182" t="s">
        <v>628</v>
      </c>
    </row>
    <row r="31" spans="1:12" ht="72" customHeight="1">
      <c r="A31" s="177">
        <v>21</v>
      </c>
      <c r="B31" s="178" t="s">
        <v>536</v>
      </c>
      <c r="C31" s="178" t="s">
        <v>321</v>
      </c>
      <c r="D31" s="178" t="s">
        <v>629</v>
      </c>
      <c r="E31" s="179" t="s">
        <v>630</v>
      </c>
      <c r="F31" s="179" t="s">
        <v>631</v>
      </c>
      <c r="G31" s="180" t="s">
        <v>632</v>
      </c>
      <c r="H31" s="180"/>
      <c r="I31" s="180" t="s">
        <v>164</v>
      </c>
      <c r="J31" s="180"/>
      <c r="K31" s="181" t="str">
        <f t="shared" si="0"/>
        <v>回答済み</v>
      </c>
      <c r="L31" s="182" t="s">
        <v>633</v>
      </c>
    </row>
    <row r="32" spans="1:12" ht="72" customHeight="1">
      <c r="A32" s="177">
        <v>22</v>
      </c>
      <c r="B32" s="178" t="s">
        <v>568</v>
      </c>
      <c r="C32" s="178" t="s">
        <v>321</v>
      </c>
      <c r="D32" s="178" t="s">
        <v>634</v>
      </c>
      <c r="E32" s="179" t="s">
        <v>635</v>
      </c>
      <c r="F32" s="179" t="s">
        <v>636</v>
      </c>
      <c r="G32" s="180" t="s">
        <v>637</v>
      </c>
      <c r="H32" s="180"/>
      <c r="I32" s="180" t="s">
        <v>164</v>
      </c>
      <c r="J32" s="180"/>
      <c r="K32" s="181" t="str">
        <f t="shared" si="0"/>
        <v>回答済み</v>
      </c>
      <c r="L32" s="182" t="s">
        <v>638</v>
      </c>
    </row>
    <row r="33" spans="1:12" ht="72" customHeight="1">
      <c r="A33" s="177">
        <v>23</v>
      </c>
      <c r="B33" s="178" t="s">
        <v>568</v>
      </c>
      <c r="C33" s="178" t="s">
        <v>321</v>
      </c>
      <c r="D33" s="178" t="s">
        <v>639</v>
      </c>
      <c r="E33" s="179" t="s">
        <v>640</v>
      </c>
      <c r="F33" s="179" t="s">
        <v>641</v>
      </c>
      <c r="G33" s="180" t="s">
        <v>642</v>
      </c>
      <c r="H33" s="180"/>
      <c r="I33" s="180" t="s">
        <v>164</v>
      </c>
      <c r="J33" s="180"/>
      <c r="K33" s="181" t="str">
        <f t="shared" si="0"/>
        <v>回答済み</v>
      </c>
      <c r="L33" s="182" t="s">
        <v>638</v>
      </c>
    </row>
    <row r="34" spans="1:12" ht="72" customHeight="1">
      <c r="A34" s="177">
        <v>24</v>
      </c>
      <c r="B34" s="178" t="s">
        <v>568</v>
      </c>
      <c r="C34" s="178" t="s">
        <v>321</v>
      </c>
      <c r="D34" s="178" t="s">
        <v>643</v>
      </c>
      <c r="E34" s="179" t="s">
        <v>644</v>
      </c>
      <c r="F34" s="179" t="s">
        <v>645</v>
      </c>
      <c r="G34" s="180" t="s">
        <v>646</v>
      </c>
      <c r="H34" s="180"/>
      <c r="I34" s="180" t="s">
        <v>164</v>
      </c>
      <c r="J34" s="180"/>
      <c r="K34" s="181" t="str">
        <f t="shared" si="0"/>
        <v>回答済み</v>
      </c>
      <c r="L34" s="182" t="s">
        <v>647</v>
      </c>
    </row>
    <row r="35" spans="1:12" ht="72" customHeight="1">
      <c r="A35" s="177">
        <v>25</v>
      </c>
      <c r="B35" s="178" t="s">
        <v>536</v>
      </c>
      <c r="C35" s="178" t="s">
        <v>321</v>
      </c>
      <c r="D35" s="178" t="s">
        <v>648</v>
      </c>
      <c r="E35" s="179" t="s">
        <v>649</v>
      </c>
      <c r="F35" s="179" t="s">
        <v>650</v>
      </c>
      <c r="G35" s="180" t="s">
        <v>651</v>
      </c>
      <c r="H35" s="180"/>
      <c r="I35" s="180" t="s">
        <v>164</v>
      </c>
      <c r="J35" s="180"/>
      <c r="K35" s="181" t="str">
        <f t="shared" si="0"/>
        <v>回答済み</v>
      </c>
      <c r="L35" s="182" t="s">
        <v>652</v>
      </c>
    </row>
    <row r="36" spans="1:12" ht="72" customHeight="1">
      <c r="A36" s="177">
        <v>26</v>
      </c>
      <c r="B36" s="178" t="s">
        <v>568</v>
      </c>
      <c r="C36" s="178" t="s">
        <v>355</v>
      </c>
      <c r="D36" s="178" t="s">
        <v>634</v>
      </c>
      <c r="E36" s="179" t="s">
        <v>653</v>
      </c>
      <c r="F36" s="179" t="s">
        <v>654</v>
      </c>
      <c r="G36" s="180" t="s">
        <v>655</v>
      </c>
      <c r="H36" s="180"/>
      <c r="I36" s="180" t="s">
        <v>164</v>
      </c>
      <c r="J36" s="180"/>
      <c r="K36" s="181" t="str">
        <f t="shared" si="0"/>
        <v>回答済み</v>
      </c>
      <c r="L36" s="182" t="s">
        <v>656</v>
      </c>
    </row>
    <row r="37" spans="1:12" ht="72" customHeight="1">
      <c r="A37" s="177">
        <v>27</v>
      </c>
      <c r="B37" s="178" t="s">
        <v>568</v>
      </c>
      <c r="C37" s="178" t="s">
        <v>355</v>
      </c>
      <c r="D37" s="178" t="s">
        <v>639</v>
      </c>
      <c r="E37" s="179" t="s">
        <v>657</v>
      </c>
      <c r="F37" s="179" t="s">
        <v>658</v>
      </c>
      <c r="G37" s="180" t="s">
        <v>659</v>
      </c>
      <c r="H37" s="180"/>
      <c r="I37" s="180" t="s">
        <v>164</v>
      </c>
      <c r="J37" s="180"/>
      <c r="K37" s="181" t="str">
        <f t="shared" si="0"/>
        <v>回答済み</v>
      </c>
      <c r="L37" s="182" t="s">
        <v>660</v>
      </c>
    </row>
    <row r="38" spans="1:12" ht="72" customHeight="1">
      <c r="A38" s="177">
        <v>28</v>
      </c>
      <c r="B38" s="178" t="s">
        <v>568</v>
      </c>
      <c r="C38" s="178" t="s">
        <v>355</v>
      </c>
      <c r="D38" s="178" t="s">
        <v>643</v>
      </c>
      <c r="E38" s="179" t="s">
        <v>661</v>
      </c>
      <c r="F38" s="179" t="s">
        <v>662</v>
      </c>
      <c r="G38" s="180" t="s">
        <v>663</v>
      </c>
      <c r="H38" s="180"/>
      <c r="I38" s="180" t="s">
        <v>164</v>
      </c>
      <c r="J38" s="180"/>
      <c r="K38" s="181" t="str">
        <f t="shared" si="0"/>
        <v>回答済み</v>
      </c>
      <c r="L38" s="182" t="s">
        <v>664</v>
      </c>
    </row>
    <row r="39" spans="1:12" ht="72" customHeight="1">
      <c r="A39" s="177">
        <v>29</v>
      </c>
      <c r="B39" s="178" t="s">
        <v>568</v>
      </c>
      <c r="C39" s="178" t="s">
        <v>355</v>
      </c>
      <c r="D39" s="178" t="s">
        <v>665</v>
      </c>
      <c r="E39" s="179" t="s">
        <v>666</v>
      </c>
      <c r="F39" s="179" t="s">
        <v>667</v>
      </c>
      <c r="G39" s="180" t="s">
        <v>609</v>
      </c>
      <c r="H39" s="180"/>
      <c r="I39" s="180" t="s">
        <v>164</v>
      </c>
      <c r="J39" s="180"/>
      <c r="K39" s="181" t="str">
        <f t="shared" si="0"/>
        <v>回答済み</v>
      </c>
      <c r="L39" s="182" t="s">
        <v>668</v>
      </c>
    </row>
    <row r="40" spans="1:12" ht="72" customHeight="1">
      <c r="A40" s="177">
        <v>30</v>
      </c>
      <c r="B40" s="178" t="s">
        <v>568</v>
      </c>
      <c r="C40" s="178" t="s">
        <v>355</v>
      </c>
      <c r="D40" s="178" t="s">
        <v>669</v>
      </c>
      <c r="E40" s="179" t="s">
        <v>670</v>
      </c>
      <c r="F40" s="179" t="s">
        <v>671</v>
      </c>
      <c r="G40" s="180" t="s">
        <v>553</v>
      </c>
      <c r="H40" s="180"/>
      <c r="I40" s="180" t="s">
        <v>164</v>
      </c>
      <c r="J40" s="180"/>
      <c r="K40" s="181" t="str">
        <f t="shared" si="0"/>
        <v>回答済み</v>
      </c>
      <c r="L40" s="182" t="s">
        <v>672</v>
      </c>
    </row>
    <row r="41" spans="1:12" ht="72" customHeight="1">
      <c r="A41" s="177">
        <v>31</v>
      </c>
      <c r="B41" s="178" t="s">
        <v>568</v>
      </c>
      <c r="C41" s="178" t="s">
        <v>673</v>
      </c>
      <c r="D41" s="178" t="s">
        <v>674</v>
      </c>
      <c r="E41" s="179" t="s">
        <v>675</v>
      </c>
      <c r="F41" s="179" t="s">
        <v>676</v>
      </c>
      <c r="G41" s="180" t="s">
        <v>677</v>
      </c>
      <c r="H41" s="180"/>
      <c r="I41" s="180" t="s">
        <v>164</v>
      </c>
      <c r="J41" s="180"/>
      <c r="K41" s="181" t="str">
        <f t="shared" si="0"/>
        <v>回答済み</v>
      </c>
      <c r="L41" s="182" t="s">
        <v>678</v>
      </c>
    </row>
    <row r="42" spans="1:12" ht="72" customHeight="1">
      <c r="A42" s="177">
        <v>32</v>
      </c>
      <c r="B42" s="178" t="s">
        <v>679</v>
      </c>
      <c r="C42" s="178" t="s">
        <v>673</v>
      </c>
      <c r="D42" s="178" t="s">
        <v>680</v>
      </c>
      <c r="E42" s="179" t="s">
        <v>681</v>
      </c>
      <c r="F42" s="179" t="s">
        <v>682</v>
      </c>
      <c r="G42" s="180" t="s">
        <v>609</v>
      </c>
      <c r="H42" s="180" t="s">
        <v>683</v>
      </c>
      <c r="I42" s="180" t="s">
        <v>164</v>
      </c>
      <c r="J42" s="180"/>
      <c r="K42" s="181" t="str">
        <f t="shared" si="0"/>
        <v>回答済み</v>
      </c>
      <c r="L42" s="182" t="s">
        <v>684</v>
      </c>
    </row>
    <row r="43" spans="1:12" ht="72" customHeight="1">
      <c r="A43" s="177">
        <v>33</v>
      </c>
      <c r="B43" s="178" t="s">
        <v>536</v>
      </c>
      <c r="C43" s="178" t="s">
        <v>345</v>
      </c>
      <c r="D43" s="178" t="s">
        <v>685</v>
      </c>
      <c r="E43" s="179" t="s">
        <v>686</v>
      </c>
      <c r="F43" s="179" t="s">
        <v>687</v>
      </c>
      <c r="G43" s="180" t="s">
        <v>688</v>
      </c>
      <c r="H43" s="180"/>
      <c r="I43" s="180" t="s">
        <v>164</v>
      </c>
      <c r="J43" s="180"/>
      <c r="K43" s="181" t="str">
        <f t="shared" si="0"/>
        <v>回答済み</v>
      </c>
      <c r="L43" s="182" t="s">
        <v>689</v>
      </c>
    </row>
    <row r="44" spans="1:12" ht="72" customHeight="1">
      <c r="A44" s="177">
        <v>34</v>
      </c>
      <c r="B44" s="178" t="s">
        <v>536</v>
      </c>
      <c r="C44" s="178" t="s">
        <v>345</v>
      </c>
      <c r="D44" s="178" t="s">
        <v>690</v>
      </c>
      <c r="E44" s="179" t="s">
        <v>691</v>
      </c>
      <c r="F44" s="179" t="s">
        <v>692</v>
      </c>
      <c r="G44" s="180" t="s">
        <v>609</v>
      </c>
      <c r="H44" s="180"/>
      <c r="I44" s="180" t="s">
        <v>164</v>
      </c>
      <c r="J44" s="180"/>
      <c r="K44" s="181" t="str">
        <f t="shared" si="0"/>
        <v>回答済み</v>
      </c>
      <c r="L44" s="182" t="s">
        <v>689</v>
      </c>
    </row>
    <row r="45" spans="1:12" ht="72" customHeight="1">
      <c r="A45" s="183">
        <v>35</v>
      </c>
      <c r="B45" s="184" t="s">
        <v>568</v>
      </c>
      <c r="C45" s="184" t="s">
        <v>345</v>
      </c>
      <c r="D45" s="184" t="s">
        <v>693</v>
      </c>
      <c r="E45" s="185" t="s">
        <v>694</v>
      </c>
      <c r="F45" s="185" t="s">
        <v>695</v>
      </c>
      <c r="G45" s="186" t="s">
        <v>696</v>
      </c>
      <c r="H45" s="186"/>
      <c r="I45" s="186" t="s">
        <v>164</v>
      </c>
      <c r="J45" s="186"/>
      <c r="K45" s="187" t="str">
        <f t="shared" si="0"/>
        <v>回答済み</v>
      </c>
      <c r="L45" s="188" t="s">
        <v>697</v>
      </c>
    </row>
  </sheetData>
  <mergeCells count="9">
    <mergeCell ref="A7:L7"/>
    <mergeCell ref="A8:L8"/>
    <mergeCell ref="A1:L1"/>
    <mergeCell ref="A2:L2"/>
    <mergeCell ref="A3:L3"/>
    <mergeCell ref="A5:B5"/>
    <mergeCell ref="D5:E5"/>
    <mergeCell ref="G5:H5"/>
    <mergeCell ref="J5:K5"/>
  </mergeCells>
  <phoneticPr fontId="7"/>
  <dataValidations count="31">
    <dataValidation type="list" sqref="G11" xr:uid="{AFF3B24F-BE75-4A70-925A-8C167DFFB47E}">
      <formula1>"元Excel記載値と変更なし,一部変更あり,全面的に変更あり,現行設定を確認できない,対象外"</formula1>
    </dataValidation>
    <dataValidation type="list" sqref="G12" xr:uid="{CDFA55AE-4EDE-4B2A-9446-97011A2C9B46}">
      <formula1>"通知除外あり,通知除外なし,現在は抑止設定なし,確認できない,未決定"</formula1>
    </dataValidation>
    <dataValidation type="list" sqref="G13" xr:uid="{471D606B-D970-405E-87E8-376C5BAA3169}">
      <formula1>"U-SLIMアプリ担当,基盤チーム,インフラ担当,保守チーム,事象ごとに異なる,未決定,その他"</formula1>
    </dataValidation>
    <dataValidation type="list" sqref="G14:G16" xr:uid="{A4CFE88A-6186-4ED4-8A86-3728EBEE75D6}">
      <formula1>"保守チーム,基盤チーム,U-SLIMアプリ担当,保守＋基盤,複数チーム共同,未決定,その他"</formula1>
    </dataValidation>
    <dataValidation type="list" sqref="G17" xr:uid="{A59B8B2A-7BFE-4454-AFA2-E6753306E0D8}">
      <formula1>"基盤側のみで監視,U-SLIM側でも監視,基盤とU-SLIMの両方で監視,外部監視に集約,現状運用を継続,未決定"</formula1>
    </dataValidation>
    <dataValidation type="list" sqref="G18" xr:uid="{73E29E2E-22AB-407F-871B-ADF1D9163F56}">
      <formula1>"新規に標準手順書を作成,既存事例を標準手順化,ケース別手順を複数作成,現状の個別判断を継続,対象外,未決定"</formula1>
    </dataValidation>
    <dataValidation type="list" sqref="G19" xr:uid="{E1C29771-A0B7-44FA-9D63-8909ADB5C7A3}">
      <formula1>"必ず実施する,影響がある事象のみ実施,基盤側のみ実施,U-SLIM側のみ実施,実施不要,未決定"</formula1>
    </dataValidation>
    <dataValidation type="list" sqref="G20" xr:uid="{94D8DA0E-6FCB-44F5-86FA-53FB5BDA6278}">
      <formula1>"全対象でUpsert・一意キー確認済み,一部処理のみUpsert,Upsertだが一意キー未確認,Upsert以外の処理あり,実装状況を確認できない,未決定"</formula1>
    </dataValidation>
    <dataValidation type="list" sqref="G21" xr:uid="{AF339F09-EAB9-4854-81AF-269FE429B87F}">
      <formula1>"U-SLIMアプリ担当,基盤チーム,インフラ担当,保守チーム,監視窓口に集約,事象ごとに異なる,未決定"</formula1>
    </dataValidation>
    <dataValidation type="list" sqref="G22:G23" xr:uid="{24215B8D-18D0-4694-A04D-714A5F0B225D}">
      <formula1>"U-SLIMアプリ担当,基盤チーム,インフラ担当,保守チーム,事象ごとに異なる,共同責任,未決定"</formula1>
    </dataValidation>
    <dataValidation type="list" sqref="G24" xr:uid="{85910EE8-E69E-4871-B58D-87CB22D4834C}">
      <formula1>"U-SLIMアプリ担当,基盤チーム,インフラ担当,保守チーム,事象ごとに異なる,共同確認,未決定"</formula1>
    </dataValidation>
    <dataValidation type="list" sqref="G25" xr:uid="{B4C5478C-655C-4391-B132-EA550F011107}">
      <formula1>"PM,PO,U-SLIM運用責任者,障害対応リーダー,顧客側責任者,事象ごとに異なる,未決定,その他"</formula1>
    </dataValidation>
    <dataValidation type="list" sqref="G26" xr:uid="{165C6C4C-44CC-44E0-A73C-549105944130}">
      <formula1>"PM,PO,PM＋PO,技術責任者,顧客側責任者,承認不要,事象ごとに異なる,未決定,その他"</formula1>
    </dataValidation>
    <dataValidation type="list" sqref="G27:G28" xr:uid="{F7CB4C11-624B-4EDD-B594-51D8AD3EF37F}">
      <formula1>"PM,PO,PM＋PO,技術責任者,顧客側責任者,事象ごとに異なる,未決定,その他"</formula1>
    </dataValidation>
    <dataValidation type="list" sqref="G29" xr:uid="{F6B85DD8-1182-4B75-8653-68169748AC46}">
      <formula1>"PM,PO,PM＋PO,技術責任者,顧客側責任者,既存リリースフローに従う,事象ごとに異なる,未決定,その他"</formula1>
    </dataValidation>
    <dataValidation type="list" sqref="G30" xr:uid="{53A5AFE7-8D0B-4578-8B59-CEBC1733544B}">
      <formula1>"PM,PO,PM＋PO,技術責任者,顧客側責任者,第三者確認者,事象ごとに異なる,未決定,その他"</formula1>
    </dataValidation>
    <dataValidation type="list" sqref="G31" xr:uid="{6FF015B0-0A64-4459-987B-3B69C7784695}">
      <formula1>"高・中・低をそのまま正式採用,高・中・低を修正して採用,Level1～4へ統合,長期休暇用と通常運用を分離,別のレベル体系を新設,未決定"</formula1>
    </dataValidation>
    <dataValidation type="list" sqref="G32" xr:uid="{A167F4CB-3427-4CB4-A235-24BFE4061090}">
      <formula1>"Level1（極小）,Level2（小）,Level3（大）,Level4（極大）,Level1～4とは別管理,未決定"</formula1>
    </dataValidation>
    <dataValidation type="list" sqref="G33" xr:uid="{0171CF69-1835-4797-B398-2308E7586D90}">
      <formula1>"Level1（極小）,Level2（小）,Level3（大）,Level4（極大）,重要機能かどうかで変える,Level1～4とは別管理,未決定"</formula1>
    </dataValidation>
    <dataValidation type="list" sqref="G34" xr:uid="{65564BFF-6FD6-43AF-A244-F9D864DE06E9}">
      <formula1>"Level1（極小）,Level2（小）,Level3（大）,Level4（極大）,遅延時間・影響範囲で変える,Level1～4とは別管理,未決定"</formula1>
    </dataValidation>
    <dataValidation type="list" sqref="G35" xr:uid="{D3A87783-4C4A-46A8-8937-6318FE69557F}">
      <formula1>"Level1（極小）,Level2（小）,Level3（大）,Level4（極大）,セキュリティ事象として別管理,障害＋セキュリティの両方で管理,未決定"</formula1>
    </dataValidation>
    <dataValidation type="list" sqref="G36" xr:uid="{38805650-5FA7-4197-98D9-0237E6869F7B}">
      <formula1>"検知後すぐ,30分以内,1時間以内,3時間以内,24時間未解消時,個別判断,告知しない,未決定"</formula1>
    </dataValidation>
    <dataValidation type="list" sqref="G37" xr:uid="{9CC270F1-9BB9-4D2A-B10C-65433973CEA2}">
      <formula1>"検知後すぐ,30分以内,1時間以内,3時間以内,24時間未解消時,影響機能により判断,告知しない,未決定"</formula1>
    </dataValidation>
    <dataValidation type="list" sqref="G38" xr:uid="{931B9156-BF4D-4647-8A7E-6EC18757444F}">
      <formula1>"24時間ルールをそのまま使用,時間を短縮して使用,影響範囲で時間を変える,即時告知する,原則告知しない,未決定"</formula1>
    </dataValidation>
    <dataValidation type="list" sqref="G39" xr:uid="{A56FA880-6A8B-4BE3-9DE7-D45FB83D8117}">
      <formula1>"PM,PO,PM＋PO,U-SLIM運用責任者,顧客側責任者,承認不要,事象ごとに異なる,未決定,その他"</formula1>
    </dataValidation>
    <dataValidation type="list" sqref="G40" xr:uid="{14FC008B-B1B1-423E-A5B1-4AAE2BBEB2FD}">
      <formula1>"U-SLIMアプリ担当,PM,PO,運用窓口,顧客側担当,事象ごとに異なる,未決定,その他"</formula1>
    </dataValidation>
    <dataValidation type="list" sqref="G41" xr:uid="{6153D404-7776-47FA-BEAE-D193CF86D609}">
      <formula1>"機能が利用可能になれば完了,機能＋監視正常で完了,機能＋データ正常性確認で完了,機能＋監視＋データ正常性確認で完了,事象ごとに異なる,未決定"</formula1>
    </dataValidation>
    <dataValidation type="list" sqref="G42" xr:uid="{AEBDA569-7582-461A-AA9B-81359A7942FF}">
      <formula1>"PM,PO,PM＋PO,PM＋PO＋関係チーム,顧客側責任者を含む,事象ごとに異なる,未決定"</formula1>
    </dataValidation>
    <dataValidation type="list" sqref="G43" xr:uid="{AAF022BF-1261-44B8-B207-6DA298627988}">
      <formula1>"通常障害と同じフローで管理,セキュリティインシデントとして別管理,通常障害＋セキュリティの両方で管理,事象ごとに判断,未決定"</formula1>
    </dataValidation>
    <dataValidation type="list" sqref="G44" xr:uid="{0D3348C4-9804-498A-B8A9-9037ADE37A83}">
      <formula1>"PM,PO,U-SLIM運用責任者,セキュリティ窓口,顧客側責任者,PM＋PO,事象ごとに異なる,未決定,その他"</formula1>
    </dataValidation>
    <dataValidation type="list" sqref="G45" xr:uid="{B238E5DC-FDDE-451E-8F9F-7209365C3216}">
      <formula1>"必ず保全する,重大度に応じて保全する,セキュリティ事象のみ保全する,既存の別ルールに従う,保全不要,未決定"</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D23F1E4B07BBC341A8F6905F09A2526F" ma:contentTypeVersion="17" ma:contentTypeDescription="新しいドキュメントを作成します。" ma:contentTypeScope="" ma:versionID="1437aaece15ac943c27d84c7bd287707">
  <xsd:schema xmlns:xsd="http://www.w3.org/2001/XMLSchema" xmlns:xs="http://www.w3.org/2001/XMLSchema" xmlns:p="http://schemas.microsoft.com/office/2006/metadata/properties" xmlns:ns2="879ce5c7-7ac0-470a-8fb0-80b8dfe33f1c" xmlns:ns3="00dc9add-bb5d-4974-938e-6de906df2254" targetNamespace="http://schemas.microsoft.com/office/2006/metadata/properties" ma:root="true" ma:fieldsID="a41d73b5ccc80413fe00e27c354e6c45" ns2:_="" ns3:_="">
    <xsd:import namespace="879ce5c7-7ac0-470a-8fb0-80b8dfe33f1c"/>
    <xsd:import namespace="00dc9add-bb5d-4974-938e-6de906df225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CONTENTS" minOccurs="0"/>
                <xsd:element ref="ns2:_x8cc7__x6599__x8aac__x660e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9ce5c7-7ac0-470a-8fb0-80b8dfe33f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画像タグ" ma:readOnly="false" ma:fieldId="{5cf76f15-5ced-4ddc-b409-7134ff3c332f}" ma:taxonomyMulti="true" ma:sspId="def91d17-8bee-472f-b8e3-30905430c63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CONTENTS" ma:index="22" nillable="true" ma:displayName="CONTENTS" ma:format="Dropdown" ma:internalName="CONTENTS">
      <xsd:simpleType>
        <xsd:restriction base="dms:Text">
          <xsd:maxLength value="255"/>
        </xsd:restriction>
      </xsd:simpleType>
    </xsd:element>
    <xsd:element name="_x8cc7__x6599__x8aac__x660e_" ma:index="23" nillable="true" ma:displayName="資料説明" ma:format="Dropdown" ma:internalName="_x8cc7__x6599__x8aac__x660e_">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0dc9add-bb5d-4974-938e-6de906df2254" elementFormDefault="qualified">
    <xsd:import namespace="http://schemas.microsoft.com/office/2006/documentManagement/types"/>
    <xsd:import namespace="http://schemas.microsoft.com/office/infopath/2007/PartnerControls"/>
    <xsd:element name="SharedWithUsers" ma:index="12"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共有相手の詳細情報" ma:internalName="SharedWithDetails" ma:readOnly="true">
      <xsd:simpleType>
        <xsd:restriction base="dms:Note">
          <xsd:maxLength value="255"/>
        </xsd:restriction>
      </xsd:simpleType>
    </xsd:element>
    <xsd:element name="TaxCatchAll" ma:index="20" nillable="true" ma:displayName="Taxonomy Catch All Column" ma:hidden="true" ma:list="{f5f91764-4324-4dd1-9de8-4bb0ffe7790b}" ma:internalName="TaxCatchAll" ma:showField="CatchAllData" ma:web="00dc9add-bb5d-4974-938e-6de906df225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79ce5c7-7ac0-470a-8fb0-80b8dfe33f1c">
      <Terms xmlns="http://schemas.microsoft.com/office/infopath/2007/PartnerControls"/>
    </lcf76f155ced4ddcb4097134ff3c332f>
    <TaxCatchAll xmlns="00dc9add-bb5d-4974-938e-6de906df2254" xsi:nil="true"/>
    <CONTENTS xmlns="879ce5c7-7ac0-470a-8fb0-80b8dfe33f1c" xsi:nil="true"/>
    <_x8cc7__x6599__x8aac__x660e_ xmlns="879ce5c7-7ac0-470a-8fb0-80b8dfe33f1c"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253EF6-699E-493E-8533-067875BB9A6D}"/>
</file>

<file path=customXml/itemProps2.xml><?xml version="1.0" encoding="utf-8"?>
<ds:datastoreItem xmlns:ds="http://schemas.openxmlformats.org/officeDocument/2006/customXml" ds:itemID="{8D358108-C7AB-43CA-B06A-AAD22CDA1C0B}"/>
</file>

<file path=customXml/itemProps3.xml><?xml version="1.0" encoding="utf-8"?>
<ds:datastoreItem xmlns:ds="http://schemas.openxmlformats.org/officeDocument/2006/customXml" ds:itemID="{14E00864-B7A1-48FA-B031-CABF167357A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2026-07-30T02:36:31Z</dcterms:created>
  <dcterms:modified xsi:type="dcterms:W3CDTF">2026-08-25T14:14:58Z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0x010100D23F1E4B07BBC341A8F6905F09A2526F</vt:lpwstr>
  </property>
  <property fmtid="{D5CDD505-2E9C-101B-9397-08002B2CF9AE}" pid="3" name="MediaServiceImageTags">
    <vt:lpwstr/>
  </property>
</Properties>
</file>