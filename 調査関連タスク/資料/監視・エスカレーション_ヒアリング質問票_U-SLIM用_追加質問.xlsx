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 showInkAnnotation="0" autoCompressPictures="0"/>
  <xr:revisionPtr revIDLastSave="0" documentId="8_{960DEFD2-1FE9-4FF5-8376-66EDD881147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U-SLIM_追加確認回答表" sheetId="1" r:id="rId1"/>
    <sheet name="障害レベル対応表" sheetId="2" r:id="rId2"/>
    <sheet name="確認済み事項" sheetId="3" r:id="rId3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E7" i="1"/>
</calcChain>
</file>

<file path=xl/sharedStrings.xml><?xml version="1.0" encoding="utf-8"?>
<sst xmlns="http://schemas.openxmlformats.org/spreadsheetml/2006/main" count="233" uniqueCount="196">
  <si>
    <t>U-SLIM　号口運用設計 最低限追加確認回答表</t>
  </si>
  <si>
    <t>目的：U-SLIM質問票と3つの根拠資料を突き合わせた結果、元の「号口運用設計」Excelへ反映するために追加確認が必要な項目だけを整理しています。
黄色のセルへご記入ください。既存資料に記載がある場合は、回答を作り直さず、資料名・保存場所・URLをご記載ください。</t>
  </si>
  <si>
    <t>作成日</t>
  </si>
  <si>
    <t>進捗指標</t>
  </si>
  <si>
    <t>件数</t>
  </si>
  <si>
    <t>回答取りまとめ者</t>
  </si>
  <si>
    <t>総質問数</t>
  </si>
  <si>
    <t>全体備考</t>
  </si>
  <si>
    <t>回答済み</t>
  </si>
  <si>
    <t>未回答・確認中</t>
  </si>
  <si>
    <t>No.</t>
  </si>
  <si>
    <t>確認分類</t>
  </si>
  <si>
    <t>回答者候補</t>
  </si>
  <si>
    <t>資料から確認できた現在の認識</t>
  </si>
  <si>
    <t>追加確認する内容</t>
  </si>
  <si>
    <t>回答状況</t>
  </si>
  <si>
    <t>回答・正式内容</t>
  </si>
  <si>
    <t>根拠資料・保存場所・URL</t>
  </si>
  <si>
    <t>元Excel反映時の注意</t>
  </si>
  <si>
    <t>資料の適用範囲</t>
  </si>
  <si>
    <t>U-SLIM運用責任者／PM</t>
  </si>
  <si>
    <t>「U-SLIM 死活監視対応手順」は2026年GW向けの資料。高・中・低の基準、動作確認、PM→POの流れが記載されている。</t>
  </si>
  <si>
    <t>担当者名・日付を除く運用ルールは、現在の通常運用でも有効ですか。変更がある場合は、変更箇所を記載してください。</t>
  </si>
  <si>
    <t>未回答</t>
  </si>
  <si>
    <t>通常運用時に同様のルールに従うというルールは存在していません。
そのため、長期休暇の度に死活監視のルールをメンテしています。</t>
  </si>
  <si>
    <t>通常時に有効か確認できるまで、GW時点の根拠として注記する。</t>
  </si>
  <si>
    <t>監視対象</t>
  </si>
  <si>
    <t>周さん／木村さん／基盤担当</t>
  </si>
  <si>
    <t>質問票ではAzure App Service、NiFi、Power BI以外は「ないと思う」と回答。一方、休日対応資料にはOCI、Azure NW、OGG、NEO・ai21連携が記載されている。</t>
  </si>
  <si>
    <t>U-SLIMの号口運用設計に含める正式な監視対象を選定してください。対象外のものは、どのチームの管理かも記載してください。</t>
  </si>
  <si>
    <t>U-SLIMチームの担当は「Azure App Service、NiFi、Power BI」としたい。
それ以外はデータ基盤・インフラチーム等適切なチームへお願いしたい。</t>
  </si>
  <si>
    <t>アプリ行と基盤・インフラ行の二重計上を避ける。</t>
  </si>
  <si>
    <t>責任分界</t>
  </si>
  <si>
    <t>U-SLIM運用責任者／アプリ・基盤・インフラ各担当</t>
  </si>
  <si>
    <t>休日資料では監視窓口と技術対応者が分離されているが、通常時のアプリ・データ基盤・インフラ間の正式な責任境界は明文化されていない。</t>
  </si>
  <si>
    <t>アプリ、データ基盤、インフラの各担当について、検知・一次調査・復旧・復旧確認の責任範囲を記載してください。</t>
  </si>
  <si>
    <t>明確に決まっていないので、相談の上決めるようにしたい。</t>
  </si>
  <si>
    <t>担当領域別に現行の責任分界を記載する。</t>
  </si>
  <si>
    <t>最終責任者</t>
  </si>
  <si>
    <t>現在のPM／U-SLIM運用責任者</t>
  </si>
  <si>
    <t>休日資料にはPM・POが記載されているが、通常時の障害対応の最終責任者は質問票で「明確な決まりなし」と回答されている。</t>
  </si>
  <si>
    <t>現在の通常運用における障害対応の最終責任者を、氏名または役割で記載してください。未決定の場合は「未決定」と記載してください。</t>
  </si>
  <si>
    <t>未決定</t>
  </si>
  <si>
    <t>休日当番や技術担当者を最終責任者として扱わない。</t>
  </si>
  <si>
    <t>Azure／WebAppアラート</t>
  </si>
  <si>
    <t>曾さん／鄭さん／WebApp監視設定担当</t>
  </si>
  <si>
    <t>App Serviceのヘルスチェックは有効。Teamsの「13_WebAppアラート共有」を使用している。元Excelにある監視条件が現行かは未確認。</t>
  </si>
  <si>
    <t>現在有効なアラート名、監視条件・閾値、通知先を記載してください。元Excelの記載が正しい場合は「変更なし」と記載してください。</t>
  </si>
  <si>
    <t>現在有効な設定だけを反映する。</t>
  </si>
  <si>
    <t>質問票では「送信しないエラーあり」と回答されているが、対象エラーは未確認。</t>
  </si>
  <si>
    <t>Teamsへ通知しない、または抑止しているエラーの条件・理由・確認方法を記載してください。</t>
  </si>
  <si>
    <t>通知除外条件を監視漏れと誤認しないよう記載する。</t>
  </si>
  <si>
    <t>Azure／WebApp初動</t>
  </si>
  <si>
    <t>WebApp障害対応担当</t>
  </si>
  <si>
    <t>基盤チームがPM・障害対応者へ通知し、障害対応者が原因調査する。死活監視資料にはログイン・画面・主要機能・データ・性能の確認観点がある。</t>
  </si>
  <si>
    <t>アラート発生後に最初に確認するログ・画面・項目と、その確認担当者を記載してください。</t>
  </si>
  <si>
    <t>監視窓口と技術調査担当を分けて記載する。</t>
  </si>
  <si>
    <t>NiFi一次対応</t>
  </si>
  <si>
    <t>周さん／NiFi保守・基盤担当</t>
  </si>
  <si>
    <t>NiFi停止は保守チーム、データ元未連携は保守・基盤チーム、U-SLIM側の現行確認担当は周さんと回答されている。</t>
  </si>
  <si>
    <t>事象別に、最初に確認するチーム・担当者を確定してください。対象例：NiFi停止、元データ未連携、U-SLIM独自処理失敗。</t>
  </si>
  <si>
    <t>事象別に一次対応者を分ける。</t>
  </si>
  <si>
    <t>NiFi復旧</t>
  </si>
  <si>
    <t>NiFi保守・基盤担当／周さん</t>
  </si>
  <si>
    <t>標準の再実行手順書はない。障害管理表には、前バージョンへの切り戻しと再修正を行った事例が1件ある。</t>
  </si>
  <si>
    <t>再実行・切り戻し・再リリースを行う担当者、承認者、基本手順、参照資料を記載してください。</t>
  </si>
  <si>
    <t>手順書が存在しない為、手順書作成が必要</t>
  </si>
  <si>
    <t>個別事例を標準手順として扱わない。</t>
  </si>
  <si>
    <t>NiFi復旧確認</t>
  </si>
  <si>
    <t>周さん／業務アプリ担当／基盤担当</t>
  </si>
  <si>
    <t>質問票ではUpsertのため再実行後のデータ確認は不要と回答されているが、一意キーや確認証跡は記載されていない。</t>
  </si>
  <si>
    <t>復旧後に確認する内容を記載してください。例：処理成功、件数、最新時刻、欠損、重複、画面表示。確認担当者も記載してください。</t>
  </si>
  <si>
    <t>復旧とデータ正常性確認を分けて記載する。</t>
  </si>
  <si>
    <t>NiFi重複防止</t>
  </si>
  <si>
    <t>NiFi実装担当／基盤担当</t>
  </si>
  <si>
    <t>アプリチーム実装のNiFiは基本的に「upsert into」と回答されているが、全処理が対象か、一意キーは何か不明。</t>
  </si>
  <si>
    <t>Upsert対象の処理範囲、一意キー、再実行時に重複しない根拠、例外となる処理の有無を記載してください。</t>
  </si>
  <si>
    <t>確認根拠がない場合は「要確認」とする。</t>
  </si>
  <si>
    <t>PM・PO・リーダー</t>
  </si>
  <si>
    <t>現在のPM／PO／U-SLIM運用責任者</t>
  </si>
  <si>
    <t>2026年GW資料にはPM・POの氏名があるが、現在も同じ体制かは不明。</t>
  </si>
  <si>
    <t>現在のPM、PO、リーダーを氏名または役割で記載し、それぞれの担当範囲を記載してください。</t>
  </si>
  <si>
    <t>PM佐藤
PO新庄
担当: 不明確</t>
  </si>
  <si>
    <t>GW限定の担当者を最新体制として固定しない。</t>
  </si>
  <si>
    <t>承認者</t>
  </si>
  <si>
    <t>現在のPM／PO</t>
  </si>
  <si>
    <t>高・中レベルでリリースする場合はPO承認が必要。一方、暫定対応、恒久対応、クローズの承認者は未整備。</t>
  </si>
  <si>
    <t>暫定対応、恒久対応、緊急リリース、通常リリース、障害クローズの承認者をそれぞれ記載してください。</t>
  </si>
  <si>
    <t>明確にしたうえでルール化・メンテナンスが必要</t>
  </si>
  <si>
    <t>承認対象ごとに分けて反映する。</t>
  </si>
  <si>
    <t>完了報告・クローズ</t>
  </si>
  <si>
    <t>PM／障害対応責任者</t>
  </si>
  <si>
    <t>高・中の対応中レポート頻度はあるが、復旧完了報告者、報告先、クローズ条件は資料にない。障害管理表の確認者・確認完了日も実データでは未記入。</t>
  </si>
  <si>
    <t>復旧完了の判断条件、完了報告者・報告先、確認者、管理表を完了にする条件を記載してください。</t>
  </si>
  <si>
    <t>対応完了と第三者確認完了を区別する。</t>
  </si>
  <si>
    <t>サービス提供時間</t>
  </si>
  <si>
    <t>U-SLIM運用責任者／PO</t>
  </si>
  <si>
    <t>質問票では20:00～翌8:00をメンテナンスタイムと回答。死活監視資料では提供時間外障害の24時間計算を9:00開始としている。</t>
  </si>
  <si>
    <t>現在の正式なU-SLIM提供時間を記載してください。通常日・休日で異なる場合は分けて記載してください。</t>
  </si>
  <si>
    <t>稼働時間 毎日: 8:00 ~ 20:00
20:00~ メンテナンスタイムとなる</t>
  </si>
  <si>
    <t>8:00と9:00の不整合を解消してから反映する。</t>
  </si>
  <si>
    <t>利用者告知</t>
  </si>
  <si>
    <t>PM／PO／U-SLIM運用責任者</t>
  </si>
  <si>
    <t>低レベル・OGG連携遅延は24時間未解消時にお知らせ掲載。高・中の利用者告知条件は資料に明記されていない。</t>
  </si>
  <si>
    <t>高・中・低それぞれについて、告知開始条件、承認者、掲載担当者、復旧後の更新・終了方法を記載してください。</t>
  </si>
  <si>
    <t>24時間ルールを全レベルへ一律適用しない。</t>
  </si>
  <si>
    <t>誤データ・情報漏えい</t>
  </si>
  <si>
    <t>PM／PO／U-SLIM運用責任者／セキュリティ窓口</t>
  </si>
  <si>
    <t>誤データ、他販社データ表示、権限漏れ、情報漏えいを通常の機能障害と分ける正式ルールは確認できていない。</t>
  </si>
  <si>
    <t>各事象の重大度、一次連絡先、TMCへの連絡条件、利用者告知、証跡保全の方法を記載してください。</t>
  </si>
  <si>
    <t>サービス停止とは別のセキュリティ事象として整理する。</t>
  </si>
  <si>
    <t>U-SLIM障害レベルと元Excelレベル1～4の対応確認</t>
  </si>
  <si>
    <t>U-SLIMの資料では「高・中・低」の3段階ですが、元の号口運用設計Excelはレベル1（極小）～レベル4（極大）の4段階です。
黄色のセルへ正式な対応関係を記載してください。無理に4段階へ変換せず、使用しないレベルは「使用しない」と記載できます。</t>
  </si>
  <si>
    <t>元Excel区分</t>
  </si>
  <si>
    <t>現在のU-SLIMレベル</t>
  </si>
  <si>
    <t>資料で確認できたサービス状態</t>
  </si>
  <si>
    <t>正式な判断基準</t>
  </si>
  <si>
    <t>対応開始</t>
  </si>
  <si>
    <t>報告頻度</t>
  </si>
  <si>
    <t>エスカレーション先</t>
  </si>
  <si>
    <t>承認者・承認内容</t>
  </si>
  <si>
    <t>利用者告知・補足</t>
  </si>
  <si>
    <t>レベル1（極小）</t>
  </si>
  <si>
    <t>U-SLIM資料には対応する区分なし</t>
  </si>
  <si>
    <t>レベル2（小）</t>
  </si>
  <si>
    <t>候補：低（遅延・不安定だが利用可能）※未確定</t>
  </si>
  <si>
    <t>レベル3（大）</t>
  </si>
  <si>
    <t>候補：中（一部機能のみ利用不可）※未確定</t>
  </si>
  <si>
    <t>レベル4（極大）</t>
  </si>
  <si>
    <t>候補：高（U-SLIMが利用不可）※未確定</t>
  </si>
  <si>
    <t>資料で確認済みのU-SLIM基準</t>
  </si>
  <si>
    <t>U-SLIMレベル</t>
  </si>
  <si>
    <t>停止状況</t>
  </si>
  <si>
    <t>サービス状態</t>
  </si>
  <si>
    <t>承認</t>
  </si>
  <si>
    <t>根拠資料</t>
  </si>
  <si>
    <t>高</t>
  </si>
  <si>
    <t>完全停止</t>
  </si>
  <si>
    <t>U-SLIMが利用できない</t>
  </si>
  <si>
    <t>即時対応</t>
  </si>
  <si>
    <t>1時間おき</t>
  </si>
  <si>
    <t>PO承認後に緊急リリース</t>
  </si>
  <si>
    <t>明確な即時告知条件は資料にない</t>
  </si>
  <si>
    <t>U-SLIM 死活監視対応手順</t>
  </si>
  <si>
    <t>中</t>
  </si>
  <si>
    <t>部分停止</t>
  </si>
  <si>
    <t>一部機能のみ利用不可</t>
  </si>
  <si>
    <t>3時間おき</t>
  </si>
  <si>
    <t>PO承認後にリリース</t>
  </si>
  <si>
    <t>低</t>
  </si>
  <si>
    <t>機能低下</t>
  </si>
  <si>
    <t>遅延・不安定だが利用可能</t>
  </si>
  <si>
    <t>経過観察</t>
  </si>
  <si>
    <t>明記なし</t>
  </si>
  <si>
    <t>24時間未解消時にお知らせ掲載</t>
  </si>
  <si>
    <t>追加質問の対象外とする確認済み事項</t>
  </si>
  <si>
    <t>以下は質問票と根拠資料で確認できているため、原則として再回答は不要です。内容が現在と異なる場合のみ、追加確認回答表で修正してください。</t>
  </si>
  <si>
    <t>確認済み事項</t>
  </si>
  <si>
    <t>確認結果</t>
  </si>
  <si>
    <t>適用上の注意</t>
  </si>
  <si>
    <t>元Excelへの扱い</t>
  </si>
  <si>
    <t>休日監視体制</t>
  </si>
  <si>
    <t>アラート監視窓口と技術対応者が分離され、共通Teamsチャネルで対応依頼・状況報告を行う。</t>
  </si>
  <si>
    <t>休日対応エスカレーションフロー.pptx</t>
  </si>
  <si>
    <t>担当者名は休暇期間ごとに変わる。</t>
  </si>
  <si>
    <t>体制の考え方を反映</t>
  </si>
  <si>
    <t>長期連休</t>
  </si>
  <si>
    <t>土曜日を含む連続4日以上の休日では、日別輪番表を作成する。</t>
  </si>
  <si>
    <t>通常休日と長期連休を区別する。</t>
  </si>
  <si>
    <t>休日運用へ反映</t>
  </si>
  <si>
    <t>動作確認</t>
  </si>
  <si>
    <t>ログイン、全画面、主要機能、帳票・データ表示、著しい性能低下を確認する観点がある。</t>
  </si>
  <si>
    <t>U-SLIM 死活監視対応手順.pptx</t>
  </si>
  <si>
    <t>2026年GW向け。通常時の適用可否を別途確認。</t>
  </si>
  <si>
    <t>監視項目へ反映</t>
  </si>
  <si>
    <t>障害レベル</t>
  </si>
  <si>
    <t>高・中・低の3段階。高・中は即時対応、高は1時間、中は3時間おきに報告する。</t>
  </si>
  <si>
    <t>U-SLIM 死活監視対応手順.pptx／U-44補足</t>
  </si>
  <si>
    <t>元Excelは4段階のため対応確認が必要。</t>
  </si>
  <si>
    <t>レベル対応表で確定</t>
  </si>
  <si>
    <t>リリース承認</t>
  </si>
  <si>
    <t>高・中レベルでリリースを行う場合はPO承認を得る。</t>
  </si>
  <si>
    <t>暫定・恒久・クローズの承認とは区別する。</t>
  </si>
  <si>
    <t>承認欄へ注意付き反映</t>
  </si>
  <si>
    <t>OGG障害または低レベルの事象が24時間未解消の場合、お知らせ掲載の手順がある。</t>
  </si>
  <si>
    <t>高・中の告知条件は未確認。</t>
  </si>
  <si>
    <t>告知条件へ一部反映</t>
  </si>
  <si>
    <t>障害記録</t>
  </si>
  <si>
    <t>2026年7月15日から障害・不良管理表を使用し、原因・対策・重要度・担当者等を記録している。</t>
  </si>
  <si>
    <t>本番-障害・不良管理表.xlsx</t>
  </si>
  <si>
    <t>登録ルール・クローズ条件は未整備。</t>
  </si>
  <si>
    <t>事後対応へ反映</t>
  </si>
  <si>
    <t>NiFi事例</t>
  </si>
  <si>
    <t>NiFi操作不能時に前バージョンへ切り戻し、再修正した事例がある。</t>
  </si>
  <si>
    <t>個別事例であり標準復旧手順ではない。</t>
  </si>
  <si>
    <t>事例としてのみ記載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</si>
</sst>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8">
    <font>
      <sz val="11"/>
      <name val="Carlito"/>
    </font>
    <font>
      <b/>
      <sz val="16"/>
      <color rgb="FFFFFFFF"/>
      <name val="Carlito"/>
    </font>
    <font>
      <sz val="10"/>
      <name val="Carlito"/>
    </font>
    <font>
      <b/>
      <sz val="11"/>
      <name val="Carlito"/>
    </font>
    <font>
      <b/>
      <sz val="11"/>
      <color rgb="FFFFFFFF"/>
      <name val="Carlito"/>
    </font>
    <font>
      <b/>
      <sz val="9"/>
      <color rgb="FFFFFFFF"/>
      <name val="Yu Gothic UI"/>
    </font>
    <font>
      <sz val="9"/>
      <name val="Yu Gothic UI"/>
    </font>
    <font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AF2F8"/>
      </patternFill>
    </fill>
    <fill>
      <patternFill patternType="solid">
        <fgColor rgb="FFF3F4F6"/>
      </patternFill>
    </fill>
    <fill>
      <patternFill patternType="solid">
        <fgColor rgb="FFFFF2CC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16">
    <xf numFmtId="0" fontId="0" fillId="0" borderId="0" xfId="0"/>
    <xf numFmtId="0" fontId="3" fillId="4" borderId="0" xfId="1" applyFont="1" applyFill="1"/>
    <xf numFmtId="0" fontId="0" fillId="5" borderId="0" xfId="1" applyFont="1" applyFill="1" applyAlignment="1">
      <alignment vertical="top" wrapText="1"/>
    </xf>
    <xf numFmtId="176" fontId="0" fillId="5" borderId="0" xfId="1" applyNumberFormat="1" applyFont="1" applyFill="1" applyAlignment="1">
      <alignment vertical="top" wrapText="1"/>
    </xf>
    <xf numFmtId="0" fontId="4" fillId="2" borderId="0" xfId="1" applyFont="1" applyFill="1" applyAlignment="1">
      <alignment horizontal="center" vertical="center" wrapText="1"/>
    </xf>
    <xf numFmtId="0" fontId="0" fillId="0" borderId="0" xfId="1" applyFont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6" fillId="0" borderId="0" xfId="1" applyFont="1" applyAlignment="1">
      <alignment vertical="top" wrapText="1"/>
    </xf>
    <xf numFmtId="0" fontId="6" fillId="5" borderId="0" xfId="1" applyFont="1" applyFill="1" applyAlignment="1">
      <alignment vertical="top" wrapText="1"/>
    </xf>
    <xf numFmtId="0" fontId="6" fillId="0" borderId="0" xfId="1" applyFont="1" applyAlignment="1">
      <alignment horizontal="center" vertical="top" wrapText="1"/>
    </xf>
    <xf numFmtId="0" fontId="6" fillId="0" borderId="0" xfId="1" applyFont="1"/>
    <xf numFmtId="0" fontId="1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vertical="center" wrapText="1"/>
    </xf>
    <xf numFmtId="0" fontId="5" fillId="2" borderId="0" xfId="1" applyFont="1" applyFill="1" applyAlignment="1">
      <alignment horizontal="center" vertical="center"/>
    </xf>
    <xf numFmtId="0" fontId="6" fillId="3" borderId="0" xfId="1" applyFont="1" applyFill="1" applyAlignment="1">
      <alignment vertical="center" wrapText="1"/>
    </xf>
    <xf numFmtId="0" fontId="5" fillId="6" borderId="0" xfId="1" applyFont="1" applyFill="1" applyAlignment="1">
      <alignment horizontal="left" vertical="center"/>
    </xf>
  </cellXfs>
  <cellStyles count="2">
    <cellStyle name="Normal" xfId="1" xr:uid="{00000000-0005-0000-0000-000000000000}"/>
    <cellStyle name="標準" xfId="0" builtinId="0"/>
  </cellStyles>
  <dxfs count="3">
    <dxf>
      <fill>
        <patternFill patternType="solid">
          <bgColor rgb="FFFCE4D6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topLeftCell="A17" zoomScaleNormal="100" zoomScaleSheetLayoutView="100" workbookViewId="0">
      <selection activeCell="G27" sqref="G27"/>
    </sheetView>
  </sheetViews>
  <sheetFormatPr defaultRowHeight="15"/>
  <cols>
    <col min="1" max="1" width="6" customWidth="1"/>
    <col min="2" max="2" width="18" customWidth="1"/>
    <col min="3" max="3" width="25" customWidth="1"/>
    <col min="4" max="4" width="42" customWidth="1"/>
    <col min="5" max="5" width="43" customWidth="1"/>
    <col min="6" max="6" width="12" customWidth="1"/>
    <col min="7" max="7" width="38" customWidth="1"/>
    <col min="8" max="8" width="30" customWidth="1"/>
    <col min="9" max="9" width="34" customWidth="1"/>
  </cols>
  <sheetData>
    <row r="1" spans="1:9" ht="30" customHeight="1">
      <c r="A1" s="11" t="s">
        <v>0</v>
      </c>
      <c r="B1" s="11"/>
      <c r="C1" s="11"/>
      <c r="D1" s="11"/>
      <c r="E1" s="11"/>
      <c r="F1" s="11"/>
      <c r="G1" s="11"/>
      <c r="H1" s="11"/>
      <c r="I1" s="11"/>
    </row>
    <row r="2" spans="1:9" ht="27.95" customHeight="1">
      <c r="A2" s="12" t="s">
        <v>1</v>
      </c>
      <c r="B2" s="12"/>
      <c r="C2" s="12"/>
      <c r="D2" s="12"/>
      <c r="E2" s="12"/>
      <c r="F2" s="12"/>
      <c r="G2" s="12"/>
      <c r="H2" s="12"/>
      <c r="I2" s="12"/>
    </row>
    <row r="3" spans="1:9" ht="27.95" customHeight="1">
      <c r="A3" s="12"/>
      <c r="B3" s="12"/>
      <c r="C3" s="12"/>
      <c r="D3" s="12"/>
      <c r="E3" s="12"/>
      <c r="F3" s="12"/>
      <c r="G3" s="12"/>
      <c r="H3" s="12"/>
      <c r="I3" s="12"/>
    </row>
    <row r="5" spans="1:9">
      <c r="A5" s="1" t="s">
        <v>2</v>
      </c>
      <c r="B5" s="3">
        <v>46238</v>
      </c>
      <c r="D5" s="4" t="s">
        <v>3</v>
      </c>
      <c r="E5" s="4" t="s">
        <v>4</v>
      </c>
    </row>
    <row r="6" spans="1:9">
      <c r="A6" s="1" t="s">
        <v>5</v>
      </c>
      <c r="B6" s="2"/>
      <c r="D6" s="1" t="s">
        <v>6</v>
      </c>
      <c r="E6" s="5">
        <v>17</v>
      </c>
    </row>
    <row r="7" spans="1:9">
      <c r="A7" s="1" t="s">
        <v>7</v>
      </c>
      <c r="B7" s="2"/>
      <c r="D7" s="1" t="s">
        <v>8</v>
      </c>
      <c r="E7" s="5">
        <f>COUNTIF(F11:F27,"回答済み")</f>
        <v>0</v>
      </c>
    </row>
    <row r="8" spans="1:9">
      <c r="D8" s="1" t="s">
        <v>9</v>
      </c>
      <c r="E8" s="5">
        <f>COUNTIF(F11:F27,"未回答")+COUNTIF(F11:F27,"確認中")</f>
        <v>17</v>
      </c>
    </row>
    <row r="10" spans="1:9" ht="36" customHeight="1">
      <c r="A10" s="6" t="s">
        <v>10</v>
      </c>
      <c r="B10" s="6" t="s">
        <v>11</v>
      </c>
      <c r="C10" s="6" t="s">
        <v>12</v>
      </c>
      <c r="D10" s="6" t="s">
        <v>13</v>
      </c>
      <c r="E10" s="6" t="s">
        <v>14</v>
      </c>
      <c r="F10" s="6" t="s">
        <v>15</v>
      </c>
      <c r="G10" s="6" t="s">
        <v>16</v>
      </c>
      <c r="H10" s="6" t="s">
        <v>17</v>
      </c>
      <c r="I10" s="6" t="s">
        <v>18</v>
      </c>
    </row>
    <row r="11" spans="1:9" ht="86.1" customHeight="1">
      <c r="A11" s="9">
        <v>1</v>
      </c>
      <c r="B11" s="7" t="s">
        <v>19</v>
      </c>
      <c r="C11" s="7" t="s">
        <v>20</v>
      </c>
      <c r="D11" s="7" t="s">
        <v>21</v>
      </c>
      <c r="E11" s="7" t="s">
        <v>22</v>
      </c>
      <c r="F11" s="8" t="s">
        <v>23</v>
      </c>
      <c r="G11" s="8" t="s">
        <v>24</v>
      </c>
      <c r="H11" s="8"/>
      <c r="I11" s="7" t="s">
        <v>25</v>
      </c>
    </row>
    <row r="12" spans="1:9" ht="86.1" customHeight="1">
      <c r="A12" s="9">
        <v>2</v>
      </c>
      <c r="B12" s="7" t="s">
        <v>26</v>
      </c>
      <c r="C12" s="7" t="s">
        <v>27</v>
      </c>
      <c r="D12" s="7" t="s">
        <v>28</v>
      </c>
      <c r="E12" s="7" t="s">
        <v>29</v>
      </c>
      <c r="F12" s="8" t="s">
        <v>23</v>
      </c>
      <c r="G12" s="8" t="s">
        <v>30</v>
      </c>
      <c r="H12" s="8"/>
      <c r="I12" s="7" t="s">
        <v>31</v>
      </c>
    </row>
    <row r="13" spans="1:9" ht="86.1" customHeight="1">
      <c r="A13" s="9">
        <v>3</v>
      </c>
      <c r="B13" s="7" t="s">
        <v>32</v>
      </c>
      <c r="C13" s="7" t="s">
        <v>33</v>
      </c>
      <c r="D13" s="7" t="s">
        <v>34</v>
      </c>
      <c r="E13" s="7" t="s">
        <v>35</v>
      </c>
      <c r="F13" s="8" t="s">
        <v>23</v>
      </c>
      <c r="G13" s="8" t="s">
        <v>36</v>
      </c>
      <c r="H13" s="8"/>
      <c r="I13" s="7" t="s">
        <v>37</v>
      </c>
    </row>
    <row r="14" spans="1:9" ht="86.1" customHeight="1">
      <c r="A14" s="9">
        <v>4</v>
      </c>
      <c r="B14" s="7" t="s">
        <v>38</v>
      </c>
      <c r="C14" s="7" t="s">
        <v>39</v>
      </c>
      <c r="D14" s="7" t="s">
        <v>40</v>
      </c>
      <c r="E14" s="7" t="s">
        <v>41</v>
      </c>
      <c r="F14" s="8" t="s">
        <v>23</v>
      </c>
      <c r="G14" s="8" t="s">
        <v>42</v>
      </c>
      <c r="H14" s="8"/>
      <c r="I14" s="7" t="s">
        <v>43</v>
      </c>
    </row>
    <row r="15" spans="1:9" ht="86.1" customHeight="1">
      <c r="A15" s="9">
        <v>5</v>
      </c>
      <c r="B15" s="7" t="s">
        <v>44</v>
      </c>
      <c r="C15" s="7" t="s">
        <v>45</v>
      </c>
      <c r="D15" s="7" t="s">
        <v>46</v>
      </c>
      <c r="E15" s="7" t="s">
        <v>47</v>
      </c>
      <c r="F15" s="8" t="s">
        <v>23</v>
      </c>
      <c r="G15" s="8"/>
      <c r="H15" s="8"/>
      <c r="I15" s="7" t="s">
        <v>48</v>
      </c>
    </row>
    <row r="16" spans="1:9" ht="86.1" customHeight="1">
      <c r="A16" s="9">
        <v>6</v>
      </c>
      <c r="B16" s="7" t="s">
        <v>44</v>
      </c>
      <c r="C16" s="7" t="s">
        <v>45</v>
      </c>
      <c r="D16" s="7" t="s">
        <v>49</v>
      </c>
      <c r="E16" s="7" t="s">
        <v>50</v>
      </c>
      <c r="F16" s="8" t="s">
        <v>23</v>
      </c>
      <c r="G16" s="8"/>
      <c r="H16" s="8"/>
      <c r="I16" s="7" t="s">
        <v>51</v>
      </c>
    </row>
    <row r="17" spans="1:9" ht="86.1" customHeight="1">
      <c r="A17" s="9">
        <v>7</v>
      </c>
      <c r="B17" s="7" t="s">
        <v>52</v>
      </c>
      <c r="C17" s="7" t="s">
        <v>53</v>
      </c>
      <c r="D17" s="7" t="s">
        <v>54</v>
      </c>
      <c r="E17" s="7" t="s">
        <v>55</v>
      </c>
      <c r="F17" s="8" t="s">
        <v>23</v>
      </c>
      <c r="G17" s="8"/>
      <c r="H17" s="8"/>
      <c r="I17" s="7" t="s">
        <v>56</v>
      </c>
    </row>
    <row r="18" spans="1:9" ht="86.1" customHeight="1">
      <c r="A18" s="9">
        <v>8</v>
      </c>
      <c r="B18" s="7" t="s">
        <v>57</v>
      </c>
      <c r="C18" s="7" t="s">
        <v>58</v>
      </c>
      <c r="D18" s="7" t="s">
        <v>59</v>
      </c>
      <c r="E18" s="7" t="s">
        <v>60</v>
      </c>
      <c r="F18" s="8" t="s">
        <v>23</v>
      </c>
      <c r="G18" s="8"/>
      <c r="H18" s="8"/>
      <c r="I18" s="7" t="s">
        <v>61</v>
      </c>
    </row>
    <row r="19" spans="1:9" ht="86.1" customHeight="1">
      <c r="A19" s="9">
        <v>9</v>
      </c>
      <c r="B19" s="7" t="s">
        <v>62</v>
      </c>
      <c r="C19" s="7" t="s">
        <v>63</v>
      </c>
      <c r="D19" s="7" t="s">
        <v>64</v>
      </c>
      <c r="E19" s="7" t="s">
        <v>65</v>
      </c>
      <c r="F19" s="8" t="s">
        <v>23</v>
      </c>
      <c r="G19" s="8" t="s">
        <v>66</v>
      </c>
      <c r="H19" s="8"/>
      <c r="I19" s="7" t="s">
        <v>67</v>
      </c>
    </row>
    <row r="20" spans="1:9" ht="86.1" customHeight="1">
      <c r="A20" s="9">
        <v>10</v>
      </c>
      <c r="B20" s="7" t="s">
        <v>68</v>
      </c>
      <c r="C20" s="7" t="s">
        <v>69</v>
      </c>
      <c r="D20" s="7" t="s">
        <v>70</v>
      </c>
      <c r="E20" s="7" t="s">
        <v>71</v>
      </c>
      <c r="F20" s="8" t="s">
        <v>23</v>
      </c>
      <c r="G20" s="8" t="s">
        <v>66</v>
      </c>
      <c r="H20" s="8"/>
      <c r="I20" s="7" t="s">
        <v>72</v>
      </c>
    </row>
    <row r="21" spans="1:9" ht="86.1" customHeight="1">
      <c r="A21" s="9">
        <v>11</v>
      </c>
      <c r="B21" s="7" t="s">
        <v>73</v>
      </c>
      <c r="C21" s="7" t="s">
        <v>74</v>
      </c>
      <c r="D21" s="7" t="s">
        <v>75</v>
      </c>
      <c r="E21" s="7" t="s">
        <v>76</v>
      </c>
      <c r="F21" s="8" t="s">
        <v>23</v>
      </c>
      <c r="G21" s="8"/>
      <c r="H21" s="8"/>
      <c r="I21" s="7" t="s">
        <v>77</v>
      </c>
    </row>
    <row r="22" spans="1:9" ht="86.1" customHeight="1">
      <c r="A22" s="9">
        <v>12</v>
      </c>
      <c r="B22" s="7" t="s">
        <v>78</v>
      </c>
      <c r="C22" s="7" t="s">
        <v>79</v>
      </c>
      <c r="D22" s="7" t="s">
        <v>80</v>
      </c>
      <c r="E22" s="7" t="s">
        <v>81</v>
      </c>
      <c r="F22" s="8" t="s">
        <v>23</v>
      </c>
      <c r="G22" s="8" t="s">
        <v>82</v>
      </c>
      <c r="H22" s="8"/>
      <c r="I22" s="7" t="s">
        <v>83</v>
      </c>
    </row>
    <row r="23" spans="1:9" ht="86.1" customHeight="1">
      <c r="A23" s="9">
        <v>13</v>
      </c>
      <c r="B23" s="7" t="s">
        <v>84</v>
      </c>
      <c r="C23" s="7" t="s">
        <v>85</v>
      </c>
      <c r="D23" s="7" t="s">
        <v>86</v>
      </c>
      <c r="E23" s="7" t="s">
        <v>87</v>
      </c>
      <c r="F23" s="8" t="s">
        <v>23</v>
      </c>
      <c r="G23" s="8" t="s">
        <v>88</v>
      </c>
      <c r="H23" s="8"/>
      <c r="I23" s="7" t="s">
        <v>89</v>
      </c>
    </row>
    <row r="24" spans="1:9" ht="86.1" customHeight="1">
      <c r="A24" s="9">
        <v>14</v>
      </c>
      <c r="B24" s="7" t="s">
        <v>90</v>
      </c>
      <c r="C24" s="7" t="s">
        <v>91</v>
      </c>
      <c r="D24" s="7" t="s">
        <v>92</v>
      </c>
      <c r="E24" s="7" t="s">
        <v>93</v>
      </c>
      <c r="F24" s="8" t="s">
        <v>23</v>
      </c>
      <c r="G24" s="8" t="s">
        <v>88</v>
      </c>
      <c r="H24" s="8"/>
      <c r="I24" s="7" t="s">
        <v>94</v>
      </c>
    </row>
    <row r="25" spans="1:9" ht="86.1" customHeight="1">
      <c r="A25" s="9">
        <v>15</v>
      </c>
      <c r="B25" s="7" t="s">
        <v>95</v>
      </c>
      <c r="C25" s="7" t="s">
        <v>96</v>
      </c>
      <c r="D25" s="7" t="s">
        <v>97</v>
      </c>
      <c r="E25" s="7" t="s">
        <v>98</v>
      </c>
      <c r="F25" s="8" t="s">
        <v>23</v>
      </c>
      <c r="G25" s="8" t="s">
        <v>99</v>
      </c>
      <c r="H25" s="8"/>
      <c r="I25" s="7" t="s">
        <v>100</v>
      </c>
    </row>
    <row r="26" spans="1:9" ht="86.1" customHeight="1">
      <c r="A26" s="9">
        <v>16</v>
      </c>
      <c r="B26" s="7" t="s">
        <v>101</v>
      </c>
      <c r="C26" s="7" t="s">
        <v>102</v>
      </c>
      <c r="D26" s="7" t="s">
        <v>103</v>
      </c>
      <c r="E26" s="7" t="s">
        <v>104</v>
      </c>
      <c r="F26" s="8" t="s">
        <v>23</v>
      </c>
      <c r="G26" s="8" t="s">
        <v>88</v>
      </c>
      <c r="H26" s="8"/>
      <c r="I26" s="7" t="s">
        <v>105</v>
      </c>
    </row>
    <row r="27" spans="1:9" ht="86.1" customHeight="1">
      <c r="A27" s="9">
        <v>17</v>
      </c>
      <c r="B27" s="7" t="s">
        <v>106</v>
      </c>
      <c r="C27" s="7" t="s">
        <v>107</v>
      </c>
      <c r="D27" s="7" t="s">
        <v>108</v>
      </c>
      <c r="E27" s="7" t="s">
        <v>109</v>
      </c>
      <c r="F27" s="8" t="s">
        <v>23</v>
      </c>
      <c r="G27" s="8" t="s">
        <v>88</v>
      </c>
      <c r="H27" s="8"/>
      <c r="I27" s="7" t="s">
        <v>110</v>
      </c>
    </row>
  </sheetData>
  <mergeCells count="2">
    <mergeCell ref="A1:I1"/>
    <mergeCell ref="A2:I3"/>
  </mergeCells>
  <conditionalFormatting sqref="F11:F27">
    <cfRule type="expression" dxfId="2" priority="1">
      <formula>F11="回答済み"</formula>
    </cfRule>
    <cfRule type="expression" dxfId="1" priority="2">
      <formula>F11="確認中"</formula>
    </cfRule>
    <cfRule type="expression" dxfId="0" priority="3">
      <formula>F11="未回答"</formula>
    </cfRule>
  </conditionalFormatting>
  <dataValidations count="1">
    <dataValidation type="list" sqref="F11:F27" xr:uid="{00000000-0002-0000-0000-000000000000}">
      <formula1>"未回答,確認中,回答済み,該当なし"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"/>
  <sheetViews>
    <sheetView topLeftCell="A7" zoomScaleNormal="100" zoomScaleSheetLayoutView="100" workbookViewId="0">
      <selection activeCell="D18" sqref="D18"/>
    </sheetView>
  </sheetViews>
  <sheetFormatPr defaultRowHeight="15"/>
  <cols>
    <col min="1" max="1" width="18" customWidth="1"/>
    <col min="2" max="2" width="20" customWidth="1"/>
    <col min="3" max="4" width="34" customWidth="1"/>
    <col min="5" max="6" width="18" customWidth="1"/>
    <col min="7" max="7" width="26" customWidth="1"/>
    <col min="8" max="8" width="28" customWidth="1"/>
    <col min="9" max="9" width="32" customWidth="1"/>
  </cols>
  <sheetData>
    <row r="1" spans="1:9" ht="30" customHeight="1">
      <c r="A1" s="13" t="s">
        <v>111</v>
      </c>
      <c r="B1" s="13"/>
      <c r="C1" s="13"/>
      <c r="D1" s="13"/>
      <c r="E1" s="13"/>
      <c r="F1" s="13"/>
      <c r="G1" s="13"/>
      <c r="H1" s="13"/>
      <c r="I1" s="13"/>
    </row>
    <row r="2" spans="1:9">
      <c r="A2" s="14" t="s">
        <v>112</v>
      </c>
      <c r="B2" s="14"/>
      <c r="C2" s="14"/>
      <c r="D2" s="14"/>
      <c r="E2" s="14"/>
      <c r="F2" s="14"/>
      <c r="G2" s="14"/>
      <c r="H2" s="14"/>
      <c r="I2" s="14"/>
    </row>
    <row r="3" spans="1:9">
      <c r="A3" s="14"/>
      <c r="B3" s="14"/>
      <c r="C3" s="14"/>
      <c r="D3" s="14"/>
      <c r="E3" s="14"/>
      <c r="F3" s="14"/>
      <c r="G3" s="14"/>
      <c r="H3" s="14"/>
      <c r="I3" s="14"/>
    </row>
    <row r="4" spans="1:9">
      <c r="A4" s="10"/>
      <c r="B4" s="10"/>
      <c r="C4" s="10"/>
      <c r="D4" s="10"/>
      <c r="E4" s="10"/>
      <c r="F4" s="10"/>
      <c r="G4" s="10"/>
      <c r="H4" s="10"/>
      <c r="I4" s="10"/>
    </row>
    <row r="5" spans="1:9">
      <c r="A5" s="6" t="s">
        <v>113</v>
      </c>
      <c r="B5" s="6" t="s">
        <v>114</v>
      </c>
      <c r="C5" s="6" t="s">
        <v>115</v>
      </c>
      <c r="D5" s="6" t="s">
        <v>116</v>
      </c>
      <c r="E5" s="6" t="s">
        <v>117</v>
      </c>
      <c r="F5" s="6" t="s">
        <v>118</v>
      </c>
      <c r="G5" s="6" t="s">
        <v>119</v>
      </c>
      <c r="H5" s="6" t="s">
        <v>120</v>
      </c>
      <c r="I5" s="6" t="s">
        <v>121</v>
      </c>
    </row>
    <row r="6" spans="1:9" ht="72" customHeight="1">
      <c r="A6" s="7" t="s">
        <v>122</v>
      </c>
      <c r="B6" s="8"/>
      <c r="C6" s="7" t="s">
        <v>123</v>
      </c>
      <c r="D6" s="8"/>
      <c r="E6" s="8"/>
      <c r="F6" s="8"/>
      <c r="G6" s="8"/>
      <c r="H6" s="8"/>
      <c r="I6" s="8"/>
    </row>
    <row r="7" spans="1:9" ht="72" customHeight="1">
      <c r="A7" s="7" t="s">
        <v>124</v>
      </c>
      <c r="B7" s="8"/>
      <c r="C7" s="7" t="s">
        <v>125</v>
      </c>
      <c r="D7" s="8"/>
      <c r="E7" s="8"/>
      <c r="F7" s="8"/>
      <c r="G7" s="8"/>
      <c r="H7" s="8"/>
      <c r="I7" s="8"/>
    </row>
    <row r="8" spans="1:9" ht="72" customHeight="1">
      <c r="A8" s="7" t="s">
        <v>126</v>
      </c>
      <c r="B8" s="8"/>
      <c r="C8" s="7" t="s">
        <v>127</v>
      </c>
      <c r="D8" s="8"/>
      <c r="E8" s="8"/>
      <c r="F8" s="8"/>
      <c r="G8" s="8"/>
      <c r="H8" s="8"/>
      <c r="I8" s="8"/>
    </row>
    <row r="9" spans="1:9" ht="72" customHeight="1">
      <c r="A9" s="7" t="s">
        <v>128</v>
      </c>
      <c r="B9" s="8"/>
      <c r="C9" s="7" t="s">
        <v>129</v>
      </c>
      <c r="D9" s="8"/>
      <c r="E9" s="8"/>
      <c r="F9" s="8"/>
      <c r="G9" s="8"/>
      <c r="H9" s="8"/>
      <c r="I9" s="8"/>
    </row>
    <row r="10" spans="1:9">
      <c r="A10" s="10"/>
      <c r="B10" s="10"/>
      <c r="C10" s="10"/>
      <c r="D10" s="10"/>
      <c r="E10" s="10"/>
      <c r="F10" s="10"/>
      <c r="G10" s="10"/>
      <c r="H10" s="10"/>
      <c r="I10" s="10"/>
    </row>
    <row r="11" spans="1:9">
      <c r="A11" s="15" t="s">
        <v>130</v>
      </c>
      <c r="B11" s="15"/>
      <c r="C11" s="15"/>
      <c r="D11" s="15"/>
      <c r="E11" s="15"/>
      <c r="F11" s="15"/>
      <c r="G11" s="15"/>
      <c r="H11" s="15"/>
      <c r="I11" s="15"/>
    </row>
    <row r="12" spans="1:9">
      <c r="A12" s="6" t="s">
        <v>131</v>
      </c>
      <c r="B12" s="6" t="s">
        <v>132</v>
      </c>
      <c r="C12" s="6" t="s">
        <v>133</v>
      </c>
      <c r="D12" s="6" t="s">
        <v>117</v>
      </c>
      <c r="E12" s="6" t="s">
        <v>118</v>
      </c>
      <c r="F12" s="6" t="s">
        <v>134</v>
      </c>
      <c r="G12" s="6" t="s">
        <v>101</v>
      </c>
      <c r="H12" s="6" t="s">
        <v>135</v>
      </c>
      <c r="I12" s="6"/>
    </row>
    <row r="13" spans="1:9" ht="51.95" customHeight="1">
      <c r="A13" s="7" t="s">
        <v>136</v>
      </c>
      <c r="B13" s="7" t="s">
        <v>137</v>
      </c>
      <c r="C13" s="7" t="s">
        <v>138</v>
      </c>
      <c r="D13" s="7" t="s">
        <v>139</v>
      </c>
      <c r="E13" s="7" t="s">
        <v>140</v>
      </c>
      <c r="F13" s="7" t="s">
        <v>141</v>
      </c>
      <c r="G13" s="7" t="s">
        <v>142</v>
      </c>
      <c r="H13" s="7" t="s">
        <v>143</v>
      </c>
      <c r="I13" s="7"/>
    </row>
    <row r="14" spans="1:9" ht="51.95" customHeight="1">
      <c r="A14" s="7" t="s">
        <v>144</v>
      </c>
      <c r="B14" s="7" t="s">
        <v>145</v>
      </c>
      <c r="C14" s="7" t="s">
        <v>146</v>
      </c>
      <c r="D14" s="7" t="s">
        <v>139</v>
      </c>
      <c r="E14" s="7" t="s">
        <v>147</v>
      </c>
      <c r="F14" s="7" t="s">
        <v>148</v>
      </c>
      <c r="G14" s="7" t="s">
        <v>142</v>
      </c>
      <c r="H14" s="7" t="s">
        <v>143</v>
      </c>
      <c r="I14" s="7"/>
    </row>
    <row r="15" spans="1:9" ht="51.95" customHeight="1">
      <c r="A15" s="7" t="s">
        <v>149</v>
      </c>
      <c r="B15" s="7" t="s">
        <v>150</v>
      </c>
      <c r="C15" s="7" t="s">
        <v>151</v>
      </c>
      <c r="D15" s="7" t="s">
        <v>152</v>
      </c>
      <c r="E15" s="7" t="s">
        <v>153</v>
      </c>
      <c r="F15" s="7" t="s">
        <v>153</v>
      </c>
      <c r="G15" s="7" t="s">
        <v>154</v>
      </c>
      <c r="H15" s="7" t="s">
        <v>143</v>
      </c>
      <c r="I15" s="7"/>
    </row>
  </sheetData>
  <mergeCells count="3">
    <mergeCell ref="A1:I1"/>
    <mergeCell ref="A2:I3"/>
    <mergeCell ref="A11:I11"/>
  </mergeCells>
  <dataValidations count="1">
    <dataValidation type="list" sqref="B6:B9" xr:uid="{00000000-0002-0000-0100-000000000000}">
      <formula1>"使用しない,低,中,高,その他"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zoomScaleNormal="100" zoomScaleSheetLayoutView="100" workbookViewId="0">
      <selection activeCell="C11" sqref="C11"/>
    </sheetView>
  </sheetViews>
  <sheetFormatPr defaultRowHeight="15"/>
  <cols>
    <col min="1" max="1" width="6" customWidth="1"/>
    <col min="2" max="2" width="22" customWidth="1"/>
    <col min="3" max="3" width="45" customWidth="1"/>
    <col min="4" max="4" width="34" customWidth="1"/>
    <col min="5" max="5" width="36" customWidth="1"/>
    <col min="6" max="6" width="28" customWidth="1"/>
  </cols>
  <sheetData>
    <row r="1" spans="1:6">
      <c r="A1" s="13" t="s">
        <v>155</v>
      </c>
      <c r="B1" s="13"/>
      <c r="C1" s="13"/>
      <c r="D1" s="13"/>
      <c r="E1" s="13"/>
      <c r="F1" s="13"/>
    </row>
    <row r="2" spans="1:6">
      <c r="A2" s="14" t="s">
        <v>156</v>
      </c>
      <c r="B2" s="14"/>
      <c r="C2" s="14"/>
      <c r="D2" s="14"/>
      <c r="E2" s="14"/>
      <c r="F2" s="14"/>
    </row>
    <row r="3" spans="1:6">
      <c r="A3" s="14"/>
      <c r="B3" s="14"/>
      <c r="C3" s="14"/>
      <c r="D3" s="14"/>
      <c r="E3" s="14"/>
      <c r="F3" s="14"/>
    </row>
    <row r="4" spans="1:6">
      <c r="A4" s="10"/>
      <c r="B4" s="10"/>
      <c r="C4" s="10"/>
      <c r="D4" s="10"/>
      <c r="E4" s="10"/>
      <c r="F4" s="10"/>
    </row>
    <row r="5" spans="1:6">
      <c r="A5" s="6" t="s">
        <v>10</v>
      </c>
      <c r="B5" s="6" t="s">
        <v>157</v>
      </c>
      <c r="C5" s="6" t="s">
        <v>158</v>
      </c>
      <c r="D5" s="6" t="s">
        <v>135</v>
      </c>
      <c r="E5" s="6" t="s">
        <v>159</v>
      </c>
      <c r="F5" s="6" t="s">
        <v>160</v>
      </c>
    </row>
    <row r="6" spans="1:6" ht="54" customHeight="1">
      <c r="A6" s="7">
        <v>1</v>
      </c>
      <c r="B6" s="7" t="s">
        <v>161</v>
      </c>
      <c r="C6" s="7" t="s">
        <v>162</v>
      </c>
      <c r="D6" s="7" t="s">
        <v>163</v>
      </c>
      <c r="E6" s="7" t="s">
        <v>164</v>
      </c>
      <c r="F6" s="7" t="s">
        <v>165</v>
      </c>
    </row>
    <row r="7" spans="1:6" ht="54" customHeight="1">
      <c r="A7" s="7">
        <v>2</v>
      </c>
      <c r="B7" s="7" t="s">
        <v>166</v>
      </c>
      <c r="C7" s="7" t="s">
        <v>167</v>
      </c>
      <c r="D7" s="7" t="s">
        <v>163</v>
      </c>
      <c r="E7" s="7" t="s">
        <v>168</v>
      </c>
      <c r="F7" s="7" t="s">
        <v>169</v>
      </c>
    </row>
    <row r="8" spans="1:6" ht="54" customHeight="1">
      <c r="A8" s="7">
        <v>3</v>
      </c>
      <c r="B8" s="7" t="s">
        <v>170</v>
      </c>
      <c r="C8" s="7" t="s">
        <v>171</v>
      </c>
      <c r="D8" s="7" t="s">
        <v>172</v>
      </c>
      <c r="E8" s="7" t="s">
        <v>173</v>
      </c>
      <c r="F8" s="7" t="s">
        <v>174</v>
      </c>
    </row>
    <row r="9" spans="1:6" ht="54" customHeight="1">
      <c r="A9" s="7">
        <v>4</v>
      </c>
      <c r="B9" s="7" t="s">
        <v>175</v>
      </c>
      <c r="C9" s="7" t="s">
        <v>176</v>
      </c>
      <c r="D9" s="7" t="s">
        <v>177</v>
      </c>
      <c r="E9" s="7" t="s">
        <v>178</v>
      </c>
      <c r="F9" s="7" t="s">
        <v>179</v>
      </c>
    </row>
    <row r="10" spans="1:6" ht="54" customHeight="1">
      <c r="A10" s="7">
        <v>5</v>
      </c>
      <c r="B10" s="7" t="s">
        <v>180</v>
      </c>
      <c r="C10" s="7" t="s">
        <v>181</v>
      </c>
      <c r="D10" s="7" t="s">
        <v>172</v>
      </c>
      <c r="E10" s="7" t="s">
        <v>182</v>
      </c>
      <c r="F10" s="7" t="s">
        <v>183</v>
      </c>
    </row>
    <row r="11" spans="1:6" ht="54" customHeight="1">
      <c r="A11" s="7">
        <v>6</v>
      </c>
      <c r="B11" s="7" t="s">
        <v>101</v>
      </c>
      <c r="C11" s="7" t="s">
        <v>184</v>
      </c>
      <c r="D11" s="7" t="s">
        <v>172</v>
      </c>
      <c r="E11" s="7" t="s">
        <v>185</v>
      </c>
      <c r="F11" s="7" t="s">
        <v>186</v>
      </c>
    </row>
    <row r="12" spans="1:6" ht="54" customHeight="1">
      <c r="A12" s="7">
        <v>7</v>
      </c>
      <c r="B12" s="7" t="s">
        <v>187</v>
      </c>
      <c r="C12" s="7" t="s">
        <v>188</v>
      </c>
      <c r="D12" s="7" t="s">
        <v>189</v>
      </c>
      <c r="E12" s="7" t="s">
        <v>190</v>
      </c>
      <c r="F12" s="7" t="s">
        <v>191</v>
      </c>
    </row>
    <row r="13" spans="1:6" ht="54" customHeight="1">
      <c r="A13" s="7">
        <v>8</v>
      </c>
      <c r="B13" s="7" t="s">
        <v>192</v>
      </c>
      <c r="C13" s="7" t="s">
        <v>193</v>
      </c>
      <c r="D13" s="7" t="s">
        <v>189</v>
      </c>
      <c r="E13" s="7" t="s">
        <v>194</v>
      </c>
      <c r="F13" s="7" t="s">
        <v>195</v>
      </c>
    </row>
  </sheetData>
  <mergeCells count="2">
    <mergeCell ref="A1:F1"/>
    <mergeCell ref="A2:F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79ce5c7-7ac0-470a-8fb0-80b8dfe33f1c">
      <Terms xmlns="http://schemas.microsoft.com/office/infopath/2007/PartnerControls"/>
    </lcf76f155ced4ddcb4097134ff3c332f>
    <TaxCatchAll xmlns="00dc9add-bb5d-4974-938e-6de906df2254" xsi:nil="true"/>
    <CONTENTS xmlns="879ce5c7-7ac0-470a-8fb0-80b8dfe33f1c" xsi:nil="true"/>
    <_x8cc7__x6599__x8aac__x660e_ xmlns="879ce5c7-7ac0-470a-8fb0-80b8dfe33f1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23F1E4B07BBC341A8F6905F09A2526F" ma:contentTypeVersion="17" ma:contentTypeDescription="新しいドキュメントを作成します。" ma:contentTypeScope="" ma:versionID="1437aaece15ac943c27d84c7bd287707">
  <xsd:schema xmlns:xsd="http://www.w3.org/2001/XMLSchema" xmlns:xs="http://www.w3.org/2001/XMLSchema" xmlns:p="http://schemas.microsoft.com/office/2006/metadata/properties" xmlns:ns2="879ce5c7-7ac0-470a-8fb0-80b8dfe33f1c" xmlns:ns3="00dc9add-bb5d-4974-938e-6de906df2254" targetNamespace="http://schemas.microsoft.com/office/2006/metadata/properties" ma:root="true" ma:fieldsID="a41d73b5ccc80413fe00e27c354e6c45" ns2:_="" ns3:_="">
    <xsd:import namespace="879ce5c7-7ac0-470a-8fb0-80b8dfe33f1c"/>
    <xsd:import namespace="00dc9add-bb5d-4974-938e-6de906df22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CONTENTS" minOccurs="0"/>
                <xsd:element ref="ns2:_x8cc7__x6599__x8aac__x660e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9ce5c7-7ac0-470a-8fb0-80b8dfe33f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def91d17-8bee-472f-b8e3-30905430c6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CONTENTS" ma:index="22" nillable="true" ma:displayName="CONTENTS" ma:format="Dropdown" ma:internalName="CONTENTS">
      <xsd:simpleType>
        <xsd:restriction base="dms:Text">
          <xsd:maxLength value="255"/>
        </xsd:restriction>
      </xsd:simpleType>
    </xsd:element>
    <xsd:element name="_x8cc7__x6599__x8aac__x660e_" ma:index="23" nillable="true" ma:displayName="資料説明" ma:format="Dropdown" ma:internalName="_x8cc7__x6599__x8aac__x660e_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dc9add-bb5d-4974-938e-6de906df225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5f91764-4324-4dd1-9de8-4bb0ffe7790b}" ma:internalName="TaxCatchAll" ma:showField="CatchAllData" ma:web="00dc9add-bb5d-4974-938e-6de906df22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C4A672-5423-4B0A-B4FE-E3DF0C646C4E}"/>
</file>

<file path=customXml/itemProps2.xml><?xml version="1.0" encoding="utf-8"?>
<ds:datastoreItem xmlns:ds="http://schemas.openxmlformats.org/officeDocument/2006/customXml" ds:itemID="{F8771212-1889-4360-A100-FBE38030F113}"/>
</file>

<file path=customXml/itemProps3.xml><?xml version="1.0" encoding="utf-8"?>
<ds:datastoreItem xmlns:ds="http://schemas.openxmlformats.org/officeDocument/2006/customXml" ds:itemID="{ADCC48D5-A392-4137-B683-6D54F05B90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2026-08-04T02:08:21Z</dcterms:created>
  <dcterms:modified xsi:type="dcterms:W3CDTF">2026-08-20T04:00:53Z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0x010100D23F1E4B07BBC341A8F6905F09A2526F</vt:lpwstr>
  </property>
  <property fmtid="{D5CDD505-2E9C-101B-9397-08002B2CF9AE}" pid="3" name="MediaServiceImageTags">
    <vt:lpwstr/>
  </property>
</Properties>
</file>