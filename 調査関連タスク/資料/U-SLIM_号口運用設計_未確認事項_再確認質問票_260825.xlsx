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ea7b4e2288243f0" /></Relationships>
</file>

<file path=xl/workbook.xml><?xml version="1.0" encoding="utf-8"?>
<x:workbook xmlns:x="http://schemas.openxmlformats.org/spreadsheetml/2006/main">
  <x:sheets>
    <x:sheet xmlns:r="http://schemas.openxmlformats.org/officeDocument/2006/relationships" name="回答用質問票" sheetId="1" r:id="R164cb42897124470"/>
    <x:sheet xmlns:r="http://schemas.openxmlformats.org/officeDocument/2006/relationships" name="回答ガイド" sheetId="2" r:id="Rc0e95cf75ffe4357"/>
    <x:sheet xmlns:r="http://schemas.openxmlformats.org/officeDocument/2006/relationships" name="選択肢マスタ" sheetId="3" r:id="R84509a397d5d413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16"/>
      <x:color rgb="FFFFFFFF"/>
      <x:name val="Carlito"/>
    </x:font>
    <x:font>
      <x:sz val="10"/>
      <x:color rgb="FF595959"/>
      <x:name val="Carlito"/>
    </x:font>
    <x:font>
      <x:b/>
      <x:sz val="11"/>
      <x:color rgb="FFFFFFFF"/>
      <x:name val="Carlito"/>
    </x:font>
    <x:font>
      <x:b/>
      <x:sz val="12"/>
      <x:color rgb="FF1F4E78"/>
      <x:name val="Carlito"/>
    </x:font>
    <x:font>
      <x:i/>
      <x:sz val="9"/>
      <x:color rgb="FF595959"/>
      <x:name val="Carlito"/>
    </x:font>
    <x:font>
      <x:b/>
      <x:sz val="10"/>
      <x:color rgb="FFFFFFFF"/>
      <x:name val="Carlito"/>
    </x:font>
    <x:font>
      <x:sz val="9"/>
      <x:name val="Carlito"/>
    </x:font>
    <x:font>
      <x:b/>
      <x:sz val="11"/>
      <x:name val="Carlito"/>
    </x:font>
    <x:font>
      <x:b/>
      <x:sz val="15"/>
      <x:color rgb="FFFFFFFF"/>
      <x:name val="Carlito"/>
    </x:font>
    <x:font>
      <x:sz val="9"/>
      <x:color rgb="FF595959"/>
      <x:name val="Carlito"/>
    </x:font>
    <x:font>
      <x:b/>
      <x:sz val="9"/>
      <x:color rgb="FF9C0006"/>
      <x:name val="Carlito"/>
    </x:font>
  </x:fonts>
  <x:fills count="9">
    <x:fill>
      <x:patternFill patternType="none"/>
    </x:fill>
    <x:fill>
      <x:patternFill patternType="gray125"/>
    </x:fill>
    <x:fill>
      <x:patternFill patternType="solid">
        <x:fgColor rgb="FF1F4E78"/>
      </x:patternFill>
    </x:fill>
    <x:fill>
      <x:patternFill patternType="solid">
        <x:fgColor rgb="FFEAF3F8"/>
      </x:patternFill>
    </x:fill>
    <x:fill>
      <x:patternFill patternType="solid">
        <x:fgColor rgb="FFFFF9E6"/>
      </x:patternFill>
    </x:fill>
    <x:fill>
      <x:patternFill patternType="solid">
        <x:fgColor rgb="FFFFFFFF"/>
      </x:patternFill>
    </x:fill>
    <x:fill>
      <x:patternFill patternType="solid">
        <x:fgColor rgb="FFE7E6E6"/>
      </x:patternFill>
    </x:fill>
    <x:fill>
      <x:patternFill patternType="solid">
        <x:fgColor rgb="FFFFF2CC"/>
      </x:patternFill>
    </x:fill>
    <x:fill>
      <x:patternFill patternType="solid">
        <x:fgColor rgb="FFF4CCCC"/>
      </x:patternFill>
    </x:fill>
  </x:fills>
  <x:borders count="26">
    <x:border/>
    <x:border/>
    <x:border>
      <x:left style="thin">
        <x:color rgb="FFB7C9D6"/>
      </x:left>
      <x:right style="thin">
        <x:color rgb="FFB7C9D6"/>
      </x:right>
      <x:top style="thin">
        <x:color rgb="FFB7C9D6"/>
      </x:top>
      <x:bottom style="thin">
        <x:color rgb="FFB7C9D6"/>
      </x:bottom>
    </x:border>
    <x:border>
      <x:left style="thin">
        <x:color rgb="FFB7C9D6"/>
      </x:left>
      <x:right style="thin">
        <x:color rgb="FFB7C9D6"/>
      </x:right>
      <x:top style="thin">
        <x:color rgb="FFB7C9D6"/>
      </x:top>
      <x:bottom style="thin">
        <x:color rgb="FFB7C9D6"/>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FFFFFF"/>
      </x:left>
      <x:top style="thin">
        <x:color rgb="FFFFFFFF"/>
      </x:top>
      <x:bottom style="thin">
        <x:color rgb="FFFFFFFF"/>
      </x:bottom>
    </x:border>
    <x:border>
      <x:top style="thin">
        <x:color rgb="FFFFFFFF"/>
      </x:top>
      <x:bottom style="thin">
        <x:color rgb="FFFFFFFF"/>
      </x:bottom>
    </x:border>
    <x:border>
      <x:right style="thin">
        <x:color rgb="FFFFFFFF"/>
      </x:right>
      <x:top style="thin">
        <x:color rgb="FFFFFFFF"/>
      </x:top>
      <x:bottom style="thin">
        <x:color rgb="FFFFFFFF"/>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x:cellStyleXfs>
  <x:cellXfs count="2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vertical="center" wrapText="1"/>
    </x:xf>
    <x:xf numFmtId="200" fontId="0" fillId="0" borderId="0" xfId="0" applyNumberFormat="1" applyFont="1" applyFill="1" applyBorder="1"/>
    <x:xf numFmtId="200" fontId="0" fillId="0" borderId="1"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2" xfId="0" applyNumberFormat="1" applyFont="1" applyFill="1" applyBorder="1"/>
    <x:xf numFmtId="0" fontId="4" fillId="5" borderId="2" xfId="0" applyNumberFormat="1" applyFont="1" applyFill="1" applyBorder="1" applyAlignment="1">
      <x:alignment horizontal="center"/>
    </x:xf>
    <x:xf numFmtId="0" fontId="4" fillId="5" borderId="2"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3" xfId="0" applyNumberFormat="1" applyFont="1" applyFill="1" applyBorder="1"/>
    <x:xf numFmtId="0" fontId="4" fillId="5" borderId="3" xfId="0" applyNumberFormat="1" applyFont="1" applyFill="1" applyBorder="1" applyAlignment="1">
      <x:alignment horizontal="center"/>
    </x:xf>
    <x:xf numFmtId="0" fontId="4" fillId="5" borderId="3" xfId="0" applyNumberFormat="1" applyFont="1" applyFill="1" applyBorder="1" applyAlignment="1">
      <x:alignment horizontal="center" vertical="center"/>
    </x:xf>
    <x:xf numFmtId="200" fontId="0" fillId="5" borderId="0" xfId="0" applyNumberFormat="1" applyFont="1" applyFill="1" applyBorder="1"/>
    <x:xf numFmtId="200" fontId="4" fillId="5" borderId="0" xfId="0" applyNumberFormat="1" applyFont="1" applyFill="1" applyBorder="1"/>
    <x:xf numFmtId="200" fontId="4" fillId="5" borderId="2" xfId="0" applyNumberFormat="1" applyFont="1" applyFill="1" applyBorder="1"/>
    <x:xf numFmtId="200" fontId="4" fillId="5" borderId="2" xfId="0" applyNumberFormat="1" applyFont="1" applyFill="1" applyBorder="1" applyAlignment="1">
      <x:alignment horizontal="center"/>
    </x:xf>
    <x:xf numFmtId="200" fontId="4" fillId="5" borderId="2" xfId="0" applyNumberFormat="1" applyFont="1" applyFill="1" applyBorder="1" applyAlignment="1">
      <x:alignment horizontal="center" vertical="center"/>
    </x:xf>
    <x:xf numFmtId="200" fontId="0" fillId="5" borderId="1" xfId="0" applyNumberFormat="1" applyFont="1" applyFill="1" applyBorder="1"/>
    <x:xf numFmtId="200" fontId="4" fillId="5" borderId="1" xfId="0" applyNumberFormat="1" applyFont="1" applyFill="1" applyBorder="1"/>
    <x:xf numFmtId="200" fontId="4" fillId="5" borderId="3" xfId="0" applyNumberFormat="1" applyFont="1" applyFill="1" applyBorder="1"/>
    <x:xf numFmtId="200" fontId="4" fillId="5" borderId="3" xfId="0" applyNumberFormat="1" applyFont="1" applyFill="1" applyBorder="1" applyAlignment="1">
      <x:alignment horizontal="center"/>
    </x:xf>
    <x:xf numFmtId="200" fontId="4" fillId="5" borderId="3"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6" fillId="2" borderId="0" xfId="0" applyNumberFormat="1" applyFont="1" applyFill="1" applyBorder="1"/>
    <x:xf numFmtId="0" fontId="6" fillId="2" borderId="4" xfId="0" applyNumberFormat="1" applyFont="1" applyFill="1" applyBorder="1"/>
    <x:xf numFmtId="0" fontId="6" fillId="2" borderId="5" xfId="0" applyNumberFormat="1" applyFont="1" applyFill="1" applyBorder="1"/>
    <x:xf numFmtId="0" fontId="6" fillId="2" borderId="6" xfId="0" applyNumberFormat="1" applyFont="1" applyFill="1" applyBorder="1"/>
    <x:xf numFmtId="0" fontId="6" fillId="2" borderId="4" xfId="0" applyNumberFormat="1" applyFont="1" applyFill="1" applyBorder="1" applyAlignment="1">
      <x:alignment wrapText="1"/>
    </x:xf>
    <x:xf numFmtId="0" fontId="6" fillId="2" borderId="5" xfId="0" applyNumberFormat="1" applyFont="1" applyFill="1" applyBorder="1" applyAlignment="1">
      <x:alignment wrapText="1"/>
    </x:xf>
    <x:xf numFmtId="0" fontId="6" fillId="2" borderId="6" xfId="0" applyNumberFormat="1" applyFont="1" applyFill="1" applyBorder="1" applyAlignment="1">
      <x:alignment wrapText="1"/>
    </x:xf>
    <x:xf numFmtId="0" fontId="6" fillId="2" borderId="4" xfId="0" applyNumberFormat="1" applyFont="1" applyFill="1" applyBorder="1" applyAlignment="1">
      <x:alignment horizontal="center" wrapText="1"/>
    </x:xf>
    <x:xf numFmtId="0" fontId="6" fillId="2" borderId="5" xfId="0" applyNumberFormat="1" applyFont="1" applyFill="1" applyBorder="1" applyAlignment="1">
      <x:alignment horizontal="center" wrapText="1"/>
    </x:xf>
    <x:xf numFmtId="0" fontId="6" fillId="2" borderId="6" xfId="0" applyNumberFormat="1" applyFont="1" applyFill="1" applyBorder="1" applyAlignment="1">
      <x:alignment horizontal="center" wrapText="1"/>
    </x:xf>
    <x:xf numFmtId="0" fontId="6" fillId="2" borderId="4" xfId="0" applyNumberFormat="1" applyFont="1" applyFill="1" applyBorder="1" applyAlignment="1">
      <x:alignment horizontal="center" vertical="center" wrapText="1"/>
    </x:xf>
    <x:xf numFmtId="0" fontId="6" fillId="2" borderId="5" xfId="0" applyNumberFormat="1" applyFont="1" applyFill="1" applyBorder="1" applyAlignment="1">
      <x:alignment horizontal="center" vertical="center" wrapText="1"/>
    </x:xf>
    <x:xf numFmtId="0" fontId="6" fillId="2" borderId="6" xfId="0" applyNumberFormat="1" applyFont="1" applyFill="1" applyBorder="1" applyAlignment="1">
      <x:alignment horizontal="center" vertical="center" wrapText="1"/>
    </x:xf>
    <x:xf numFmtId="0" fontId="6" fillId="2" borderId="1" xfId="0" applyNumberFormat="1" applyFont="1" applyFill="1" applyBorder="1"/>
    <x:xf numFmtId="0" fontId="6" fillId="2" borderId="7" xfId="0" applyNumberFormat="1" applyFont="1" applyFill="1" applyBorder="1"/>
    <x:xf numFmtId="0" fontId="6" fillId="2" borderId="8" xfId="0" applyNumberFormat="1" applyFont="1" applyFill="1" applyBorder="1"/>
    <x:xf numFmtId="0" fontId="6" fillId="2" borderId="9" xfId="0" applyNumberFormat="1" applyFont="1" applyFill="1" applyBorder="1"/>
    <x:xf numFmtId="0" fontId="6" fillId="2" borderId="7" xfId="0" applyNumberFormat="1" applyFont="1" applyFill="1" applyBorder="1" applyAlignment="1">
      <x:alignment wrapText="1"/>
    </x:xf>
    <x:xf numFmtId="0" fontId="6" fillId="2" borderId="8" xfId="0" applyNumberFormat="1" applyFont="1" applyFill="1" applyBorder="1" applyAlignment="1">
      <x:alignment wrapText="1"/>
    </x:xf>
    <x:xf numFmtId="0" fontId="6" fillId="2" borderId="9" xfId="0" applyNumberFormat="1" applyFont="1" applyFill="1" applyBorder="1" applyAlignment="1">
      <x:alignment wrapText="1"/>
    </x:xf>
    <x:xf numFmtId="0" fontId="6" fillId="2" borderId="7" xfId="0" applyNumberFormat="1" applyFont="1" applyFill="1" applyBorder="1" applyAlignment="1">
      <x:alignment horizontal="center" wrapText="1"/>
    </x:xf>
    <x:xf numFmtId="0" fontId="6" fillId="2" borderId="8" xfId="0" applyNumberFormat="1" applyFont="1" applyFill="1" applyBorder="1" applyAlignment="1">
      <x:alignment horizontal="center" wrapText="1"/>
    </x:xf>
    <x:xf numFmtId="0" fontId="6" fillId="2" borderId="9" xfId="0" applyNumberFormat="1" applyFont="1" applyFill="1" applyBorder="1" applyAlignment="1">
      <x:alignment horizontal="center" wrapText="1"/>
    </x:xf>
    <x:xf numFmtId="0" fontId="6" fillId="2" borderId="7" xfId="0" applyNumberFormat="1" applyFont="1" applyFill="1" applyBorder="1" applyAlignment="1">
      <x:alignment horizontal="center" vertical="center" wrapText="1"/>
    </x:xf>
    <x:xf numFmtId="0" fontId="6" fillId="2" borderId="8" xfId="0" applyNumberFormat="1" applyFont="1" applyFill="1" applyBorder="1" applyAlignment="1">
      <x:alignment horizontal="center" vertical="center" wrapText="1"/>
    </x:xf>
    <x:xf numFmtId="0" fontId="6" fillId="2" borderId="9" xfId="0" applyNumberFormat="1" applyFont="1" applyFill="1" applyBorder="1" applyAlignment="1">
      <x:alignment horizontal="center" vertical="center" wrapText="1"/>
    </x:xf>
    <x:xf numFmtId="0" fontId="7" fillId="0" borderId="0" xfId="0" applyNumberFormat="1" applyFont="1" applyFill="1" applyBorder="1"/>
    <x:xf numFmtId="0" fontId="7" fillId="0" borderId="10"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14" xfId="0" applyNumberFormat="1" applyFont="1" applyFill="1" applyBorder="1"/>
    <x:xf numFmtId="0" fontId="7" fillId="0" borderId="15" xfId="0" applyNumberFormat="1" applyFont="1" applyFill="1" applyBorder="1"/>
    <x:xf numFmtId="0" fontId="7" fillId="0" borderId="16" xfId="0" applyNumberFormat="1" applyFont="1" applyFill="1" applyBorder="1"/>
    <x:xf numFmtId="0" fontId="7" fillId="0" borderId="17" xfId="0" applyNumberFormat="1" applyFont="1" applyFill="1" applyBorder="1"/>
    <x:xf numFmtId="0" fontId="7" fillId="0" borderId="10"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4" xfId="0" applyNumberFormat="1" applyFont="1" applyFill="1" applyBorder="1" applyAlignment="1">
      <x:alignment wrapText="1"/>
    </x:xf>
    <x:xf numFmtId="0" fontId="7" fillId="0" borderId="15" xfId="0" applyNumberFormat="1" applyFont="1" applyFill="1" applyBorder="1" applyAlignment="1">
      <x:alignment wrapText="1"/>
    </x:xf>
    <x:xf numFmtId="0" fontId="7" fillId="0" borderId="16" xfId="0" applyNumberFormat="1" applyFont="1" applyFill="1" applyBorder="1" applyAlignment="1">
      <x:alignment wrapText="1"/>
    </x:xf>
    <x:xf numFmtId="0" fontId="7" fillId="0" borderId="17" xfId="0" applyNumberFormat="1" applyFont="1" applyFill="1" applyBorder="1" applyAlignment="1">
      <x:alignment wrapText="1"/>
    </x:xf>
    <x:xf numFmtId="0" fontId="7" fillId="0" borderId="10"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4" xfId="0" applyNumberFormat="1" applyFont="1" applyFill="1" applyBorder="1" applyAlignment="1">
      <x:alignment vertical="top" wrapText="1"/>
    </x:xf>
    <x:xf numFmtId="0" fontId="7" fillId="0" borderId="15" xfId="0" applyNumberFormat="1" applyFont="1" applyFill="1" applyBorder="1" applyAlignment="1">
      <x:alignment vertical="top" wrapText="1"/>
    </x:xf>
    <x:xf numFmtId="0" fontId="7" fillId="0" borderId="16" xfId="0" applyNumberFormat="1" applyFont="1" applyFill="1" applyBorder="1" applyAlignment="1">
      <x:alignment vertical="top" wrapText="1"/>
    </x:xf>
    <x:xf numFmtId="0" fontId="7" fillId="0" borderId="17" xfId="0" applyNumberFormat="1" applyFont="1" applyFill="1" applyBorder="1" applyAlignment="1">
      <x:alignment vertical="top" wrapText="1"/>
    </x:xf>
    <x:xf numFmtId="0" fontId="7" fillId="0" borderId="1"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22" xfId="0" applyNumberFormat="1" applyFont="1" applyFill="1" applyBorder="1"/>
    <x:xf numFmtId="0" fontId="7" fillId="0" borderId="23" xfId="0" applyNumberFormat="1" applyFont="1" applyFill="1" applyBorder="1"/>
    <x:xf numFmtId="0" fontId="7" fillId="0" borderId="24" xfId="0" applyNumberFormat="1" applyFont="1" applyFill="1" applyBorder="1"/>
    <x:xf numFmtId="0" fontId="7" fillId="0" borderId="25" xfId="0" applyNumberFormat="1" applyFont="1" applyFill="1" applyBorder="1"/>
    <x:xf numFmtId="0" fontId="7" fillId="0" borderId="18"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2" xfId="0" applyNumberFormat="1" applyFont="1" applyFill="1" applyBorder="1" applyAlignment="1">
      <x:alignment wrapText="1"/>
    </x:xf>
    <x:xf numFmtId="0" fontId="7" fillId="0" borderId="23" xfId="0" applyNumberFormat="1" applyFont="1" applyFill="1" applyBorder="1" applyAlignment="1">
      <x:alignment wrapText="1"/>
    </x:xf>
    <x:xf numFmtId="0" fontId="7" fillId="0" borderId="24" xfId="0" applyNumberFormat="1" applyFont="1" applyFill="1" applyBorder="1" applyAlignment="1">
      <x:alignment wrapText="1"/>
    </x:xf>
    <x:xf numFmtId="0" fontId="7" fillId="0" borderId="25" xfId="0" applyNumberFormat="1" applyFont="1" applyFill="1" applyBorder="1" applyAlignment="1">
      <x:alignment wrapText="1"/>
    </x:xf>
    <x:xf numFmtId="0" fontId="7" fillId="0" borderId="18"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2" xfId="0" applyNumberFormat="1" applyFont="1" applyFill="1" applyBorder="1" applyAlignment="1">
      <x:alignment vertical="top" wrapText="1"/>
    </x:xf>
    <x:xf numFmtId="0" fontId="7" fillId="0" borderId="23" xfId="0" applyNumberFormat="1" applyFont="1" applyFill="1" applyBorder="1" applyAlignment="1">
      <x:alignment vertical="top" wrapText="1"/>
    </x:xf>
    <x:xf numFmtId="0" fontId="7" fillId="0" borderId="24" xfId="0" applyNumberFormat="1" applyFont="1" applyFill="1" applyBorder="1" applyAlignment="1">
      <x:alignment vertical="top" wrapText="1"/>
    </x:xf>
    <x:xf numFmtId="0" fontId="7" fillId="0" borderId="25" xfId="0" applyNumberFormat="1" applyFont="1" applyFill="1" applyBorder="1" applyAlignment="1">
      <x:alignment vertical="top" wrapText="1"/>
    </x:xf>
    <x:xf numFmtId="0" fontId="7" fillId="3" borderId="11"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7" fillId="3" borderId="16" xfId="0" applyNumberFormat="1" applyFont="1" applyFill="1" applyBorder="1" applyAlignment="1">
      <x:alignment vertical="top" wrapText="1"/>
    </x:xf>
    <x:xf numFmtId="0" fontId="7" fillId="3" borderId="19"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7" borderId="11"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16" xfId="0" applyNumberFormat="1" applyFont="1" applyFill="1" applyBorder="1" applyAlignment="1">
      <x:alignment vertical="top" wrapText="1"/>
    </x:xf>
    <x:xf numFmtId="0" fontId="7" fillId="7" borderId="19"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24" xfId="0" applyNumberFormat="1" applyFont="1" applyFill="1" applyBorder="1" applyAlignment="1">
      <x:alignment vertical="top" wrapText="1"/>
    </x:xf>
    <x:xf numFmtId="0" fontId="7" fillId="6" borderId="11"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16" xfId="0" applyNumberFormat="1" applyFont="1" applyFill="1" applyBorder="1" applyAlignment="1">
      <x:alignment vertical="top" wrapText="1"/>
    </x:xf>
    <x:xf numFmtId="0" fontId="7" fillId="6" borderId="19" xfId="0" applyNumberFormat="1" applyFont="1" applyFill="1" applyBorder="1" applyAlignment="1">
      <x:alignment vertical="top" wrapText="1"/>
    </x:xf>
    <x:xf numFmtId="0" fontId="7" fillId="6" borderId="1" xfId="0" applyNumberFormat="1" applyFont="1" applyFill="1" applyBorder="1" applyAlignment="1">
      <x:alignment vertical="top" wrapText="1"/>
    </x:xf>
    <x:xf numFmtId="0" fontId="7" fillId="6" borderId="24" xfId="0" applyNumberFormat="1" applyFont="1" applyFill="1" applyBorder="1" applyAlignment="1">
      <x:alignment vertical="top" wrapText="1"/>
    </x:xf>
    <x:xf numFmtId="0" fontId="7" fillId="4" borderId="12" xfId="0" applyNumberFormat="1" applyFont="1" applyFill="1" applyBorder="1" applyAlignment="1">
      <x:alignment vertical="top" wrapText="1"/>
    </x:xf>
    <x:xf numFmtId="0" fontId="7" fillId="4" borderId="14" xfId="0" applyNumberFormat="1" applyFont="1" applyFill="1" applyBorder="1" applyAlignment="1">
      <x:alignment vertical="top" wrapText="1"/>
    </x:xf>
    <x:xf numFmtId="0" fontId="7" fillId="4" borderId="17" xfId="0" applyNumberFormat="1" applyFont="1" applyFill="1" applyBorder="1" applyAlignment="1">
      <x:alignment vertical="top" wrapText="1"/>
    </x:xf>
    <x:xf numFmtId="0" fontId="7" fillId="4" borderId="20" xfId="0" applyNumberFormat="1" applyFont="1" applyFill="1" applyBorder="1" applyAlignment="1">
      <x:alignment vertical="top" wrapText="1"/>
    </x:xf>
    <x:xf numFmtId="0" fontId="7" fillId="4" borderId="22" xfId="0" applyNumberFormat="1" applyFont="1" applyFill="1" applyBorder="1" applyAlignment="1">
      <x:alignment vertical="top" wrapText="1"/>
    </x:xf>
    <x:xf numFmtId="0" fontId="7" fillId="4" borderId="25" xfId="0" applyNumberFormat="1" applyFont="1" applyFill="1" applyBorder="1" applyAlignment="1">
      <x:alignment vertical="top"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top" wrapText="1"/>
    </x:xf>
    <x:xf numFmtId="0" fontId="8" fillId="3" borderId="1" xfId="0" applyNumberFormat="1" applyFont="1" applyFill="1" applyBorder="1"/>
    <x:xf numFmtId="0" fontId="8" fillId="3" borderId="1" xfId="0" applyNumberFormat="1" applyFont="1" applyFill="1" applyBorder="1" applyAlignment="1">
      <x:alignment wrapText="1"/>
    </x:xf>
    <x:xf numFmtId="0" fontId="8" fillId="3"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2" borderId="10" xfId="0" applyNumberFormat="1" applyFont="1" applyFill="1" applyBorder="1" applyAlignment="1">
      <x:alignment horizontal="center"/>
    </x:xf>
    <x:xf numFmtId="0" fontId="3" fillId="2" borderId="11" xfId="0" applyNumberFormat="1" applyFont="1" applyFill="1" applyBorder="1" applyAlignment="1">
      <x:alignment horizontal="center"/>
    </x:xf>
    <x:xf numFmtId="0" fontId="3" fillId="2" borderId="12" xfId="0" applyNumberFormat="1" applyFont="1" applyFill="1" applyBorder="1" applyAlignment="1">
      <x:alignment horizontal="center"/>
    </x:xf>
    <x:xf numFmtId="0" fontId="8" fillId="3"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8" fillId="3"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3" fillId="2" borderId="18" xfId="0" applyNumberFormat="1" applyFont="1" applyFill="1" applyBorder="1" applyAlignment="1">
      <x:alignment horizontal="center"/>
    </x:xf>
    <x:xf numFmtId="0" fontId="3" fillId="2" borderId="19" xfId="0" applyNumberFormat="1" applyFont="1" applyFill="1" applyBorder="1" applyAlignment="1">
      <x:alignment horizontal="center"/>
    </x:xf>
    <x:xf numFmtId="0" fontId="3" fillId="2" borderId="20" xfId="0" applyNumberFormat="1" applyFont="1" applyFill="1" applyBorder="1" applyAlignment="1">
      <x:alignment horizontal="center"/>
    </x:xf>
    <x:xf numFmtId="0" fontId="8" fillId="3"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8" fillId="3"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0" fillId="0" borderId="1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8"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5" xfId="0" applyNumberFormat="1" applyFont="1" applyFill="1" applyBorder="1"/>
    <x:xf numFmtId="0" fontId="0" fillId="0" borderId="18"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8"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8" fillId="6" borderId="12" xfId="0" applyNumberFormat="1" applyFont="1" applyFill="1" applyBorder="1" applyAlignment="1">
      <x:alignment vertical="top" wrapText="1"/>
    </x:xf>
    <x:xf numFmtId="0" fontId="8" fillId="6" borderId="10" xfId="0" applyNumberFormat="1" applyFont="1" applyFill="1" applyBorder="1" applyAlignment="1">
      <x:alignment horizontal="center" vertical="top" wrapText="1"/>
    </x:xf>
    <x:xf numFmtId="0" fontId="8" fillId="6" borderId="12" xfId="0" applyNumberFormat="1" applyFont="1" applyFill="1" applyBorder="1" applyAlignment="1">
      <x:alignment horizontal="center" vertical="top" wrapText="1"/>
    </x:xf>
    <x:xf numFmtId="0" fontId="0" fillId="6" borderId="18"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20" xfId="0" applyNumberFormat="1" applyFont="1" applyFill="1" applyBorder="1" applyAlignment="1">
      <x:alignment vertical="top" wrapText="1"/>
    </x:xf>
    <x:xf numFmtId="0" fontId="8" fillId="6" borderId="18" xfId="0" applyNumberFormat="1" applyFont="1" applyFill="1" applyBorder="1" applyAlignment="1">
      <x:alignment horizontal="center" vertical="top" wrapText="1"/>
    </x:xf>
    <x:xf numFmtId="0" fontId="8" fillId="6" borderId="20" xfId="0" applyNumberFormat="1" applyFont="1" applyFill="1" applyBorder="1" applyAlignment="1">
      <x:alignment horizontal="center" vertical="top" wrapText="1"/>
    </x:xf>
    <x:xf numFmtId="0" fontId="0" fillId="3" borderId="13" xfId="0" applyNumberFormat="1" applyFont="1" applyFill="1" applyBorder="1" applyAlignment="1">
      <x:alignment vertical="top" wrapText="1"/>
    </x:xf>
    <x:xf numFmtId="0" fontId="0" fillId="3" borderId="15" xfId="0" applyNumberFormat="1" applyFont="1" applyFill="1" applyBorder="1" applyAlignment="1">
      <x:alignment vertical="top" wrapText="1"/>
    </x:xf>
    <x:xf numFmtId="0" fontId="0" fillId="3" borderId="21" xfId="0" applyNumberFormat="1" applyFont="1" applyFill="1" applyBorder="1" applyAlignment="1">
      <x:alignment vertical="top" wrapText="1"/>
    </x:xf>
    <x:xf numFmtId="0" fontId="0" fillId="3" borderId="23" xfId="0" applyNumberFormat="1" applyFont="1" applyFill="1" applyBorder="1" applyAlignment="1">
      <x:alignment vertical="top" wrapText="1"/>
    </x:xf>
    <x:xf numFmtId="0" fontId="9" fillId="2" borderId="0" xfId="0" applyNumberFormat="1" applyFont="1" applyFill="1" applyBorder="1"/>
    <x:xf numFmtId="0" fontId="9" fillId="2" borderId="0" xfId="0" applyNumberFormat="1" applyFont="1" applyFill="1" applyBorder="1" applyAlignment="1">
      <x:alignment horizontal="center"/>
    </x:xf>
    <x:xf numFmtId="0" fontId="9" fillId="2" borderId="1" xfId="0" applyNumberFormat="1" applyFont="1" applyFill="1" applyBorder="1"/>
    <x:xf numFmtId="0" fontId="9" fillId="2" borderId="1" xfId="0" applyNumberFormat="1" applyFont="1" applyFill="1" applyBorder="1" applyAlignment="1">
      <x:alignment horizontal="center"/>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0" fillId="0" borderId="11" xfId="0" applyNumberFormat="1" applyFont="1" applyFill="1" applyBorder="1"/>
    <x:xf numFmtId="0" fontId="0" fillId="0" borderId="0" xfId="0" applyNumberFormat="1" applyFont="1" applyFill="1" applyBorder="1"/>
    <x:xf numFmtId="0" fontId="0" fillId="0" borderId="16" xfId="0" applyNumberFormat="1" applyFont="1" applyFill="1" applyBorder="1"/>
    <x:xf numFmtId="0" fontId="0" fillId="0" borderId="11"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1" xfId="0" applyNumberFormat="1" applyFont="1" applyFill="1" applyBorder="1" applyAlignment="1">
      <x:alignment vertical="top" wrapText="1"/>
    </x:xf>
    <x:xf numFmtId="0" fontId="0" fillId="0" borderId="19" xfId="0" applyNumberFormat="1" applyFont="1" applyFill="1" applyBorder="1"/>
    <x:xf numFmtId="0" fontId="0" fillId="0" borderId="24" xfId="0" applyNumberFormat="1" applyFont="1" applyFill="1" applyBorder="1"/>
    <x:xf numFmtId="0" fontId="0" fillId="0" borderId="19"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19" xfId="0" applyNumberFormat="1" applyFont="1" applyFill="1" applyBorder="1" applyAlignment="1">
      <x:alignment vertical="top" wrapText="1"/>
    </x:xf>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1" xfId="0" applyNumberFormat="1" applyFont="1" applyFill="1" applyBorder="1"/>
    <x:xf numFmtId="0" fontId="10" fillId="4" borderId="1" xfId="0" applyNumberFormat="1" applyFont="1" applyFill="1" applyBorder="1" applyAlignment="1">
      <x:alignment wrapText="1"/>
    </x:xf>
    <x:xf numFmtId="0" fontId="0" fillId="8" borderId="0" xfId="0" applyNumberFormat="1" applyFont="1" applyFill="1" applyBorder="1"/>
    <x:xf numFmtId="0" fontId="11" fillId="8" borderId="0" xfId="0" applyNumberFormat="1" applyFont="1" applyFill="1" applyBorder="1"/>
    <x:xf numFmtId="0" fontId="11" fillId="8" borderId="0" xfId="0" applyNumberFormat="1" applyFont="1" applyFill="1" applyBorder="1" applyAlignment="1">
      <x:alignment wrapText="1"/>
    </x:xf>
    <x:xf numFmtId="0" fontId="11" fillId="8" borderId="0" xfId="0" applyNumberFormat="1" applyFont="1" applyFill="1" applyBorder="1" applyAlignment="1">
      <x:alignment vertical="center" wrapText="1"/>
    </x:xf>
  </x:cellXfs>
  <x:cellStyles count="1">
    <x:cellStyle name="Normal" xfId="0"/>
  </x:cellStyles>
  <x:dxfs count="5">
    <x:dxf>
      <x:font>
        <x:b/>
        <x:color rgb="FF9C0006"/>
      </x:font>
      <x:fill>
        <x:patternFill patternType="solid">
          <x:bgColor rgb="FFF4CCCC"/>
        </x:patternFill>
      </x:fill>
    </x:dxf>
    <x:dxf>
      <x:font>
        <x:b/>
        <x:color rgb="FF7F6000"/>
      </x:font>
      <x:fill>
        <x:patternFill patternType="solid">
          <x:bgColor rgb="FFFCE5CD"/>
        </x:patternFill>
      </x:fill>
    </x:dxf>
    <x:dxf>
      <x:font>
        <x:b/>
        <x:color rgb="FF7F6000"/>
      </x:font>
      <x:fill>
        <x:patternFill patternType="solid">
          <x:bgColor rgb="FFFFF2CC"/>
        </x:patternFill>
      </x:fill>
    </x:dxf>
    <x:dxf>
      <x:font>
        <x:b/>
        <x:color rgb="FF375623"/>
      </x:font>
      <x:fill>
        <x:patternFill patternType="solid">
          <x:bgColor rgb="FFE2F0D9"/>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28ee8613464e10" /><Relationship Type="http://schemas.openxmlformats.org/officeDocument/2006/relationships/theme" Target="/xl/theme/theme1.xml" Id="Rffdac8d65b4644ce" /><Relationship Type="http://schemas.openxmlformats.org/officeDocument/2006/relationships/sharedStrings" Target="/xl/sharedStrings.xml" Id="R85944fc7895948e0" /><Relationship Type="http://schemas.openxmlformats.org/officeDocument/2006/relationships/worksheet" Target="/xl/worksheets/sheet1.xml" Id="R164cb42897124470" /><Relationship Type="http://schemas.openxmlformats.org/officeDocument/2006/relationships/worksheet" Target="/xl/worksheets/sheet2.xml" Id="Rc0e95cf75ffe4357" /><Relationship Type="http://schemas.openxmlformats.org/officeDocument/2006/relationships/worksheet" Target="/xl/worksheets/sheet3.xml" Id="R84509a397d5d413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5" hidden="0" customWidth="1"/>
    <x:col min="2" max="2" width="9" hidden="0" customWidth="1"/>
    <x:col min="3" max="3" width="16" hidden="0" customWidth="1"/>
    <x:col min="4" max="4" width="20" hidden="0" customWidth="1"/>
    <x:col min="5" max="5" width="42" hidden="0" customWidth="1"/>
    <x:col min="6" max="6" width="38" hidden="0" customWidth="1"/>
    <x:col min="7" max="7" width="26" hidden="0" customWidth="1"/>
    <x:col min="8" max="8" width="36" hidden="0" customWidth="1"/>
    <x:col min="9" max="9" width="18" hidden="0" customWidth="1"/>
    <x:col min="10" max="10" width="30" hidden="0" customWidth="1"/>
    <x:col min="11" max="11" width="12" hidden="0" customWidth="1"/>
    <x:col min="12" max="12" width="24" hidden="0" customWidth="1"/>
  </x:cols>
  <x:sheetData>
    <x:row r="1" ht="32" customHeight="1">
      <x:c r="A1" s="5" t="str">
        <x:v>U-SLIM 号口運用設計　未確認事項 再確認質問票</x:v>
      </x:c>
      <x:c r="B1" s="5"/>
      <x:c r="C1" s="5"/>
      <x:c r="D1" s="5"/>
      <x:c r="E1" s="5"/>
      <x:c r="F1" s="5"/>
      <x:c r="G1" s="5"/>
      <x:c r="H1" s="5"/>
      <x:c r="I1" s="5"/>
      <x:c r="J1" s="5"/>
      <x:c r="K1" s="5"/>
      <x:c r="L1" s="5"/>
    </x:row>
    <x:row r="2" ht="34" customHeight="1">
      <x:c r="A2" s="13" t="str">
        <x:v>目的：これまでのU-SLIM質問票・追加確認回答・レベル別資料で確認できていない／未決定の事項を、選択式で確定しやすくするための質問票です。</x:v>
      </x:c>
      <x:c r="B2" s="13"/>
      <x:c r="C2" s="13"/>
      <x:c r="D2" s="13"/>
      <x:c r="E2" s="13"/>
      <x:c r="F2" s="13"/>
      <x:c r="G2" s="13"/>
      <x:c r="H2" s="13"/>
      <x:c r="I2" s="13"/>
      <x:c r="J2" s="13"/>
      <x:c r="K2" s="13"/>
      <x:c r="L2" s="13"/>
    </x:row>
    <x:row r="3" ht="38" customHeight="1">
      <x:c r="A3" s="21" t="str">
        <x:v>入力方法：黄色の「選択回答」をプルダウンから選択してください。詳細コメント・回答者・根拠資料は任意です。ただし「一部変更あり」「その他」「未決定」「確認できない」等を選んだ場合は補足記載を推奨します。</x:v>
      </x:c>
      <x:c r="B3" s="21"/>
      <x:c r="C3" s="21"/>
      <x:c r="D3" s="21"/>
      <x:c r="E3" s="21"/>
      <x:c r="F3" s="21"/>
      <x:c r="G3" s="21"/>
      <x:c r="H3" s="21"/>
      <x:c r="I3" s="21"/>
      <x:c r="J3" s="21"/>
      <x:c r="K3" s="21"/>
      <x:c r="L3" s="21"/>
    </x:row>
    <x:row r="5">
      <x:c r="A5" s="30" t="str">
        <x:v>総質問数</x:v>
      </x:c>
      <x:c r="B5" s="30"/>
      <x:c r="C5" s="38" t="n">
        <x:f>COUNTA(A11:A45)</x:f>
        <x:v>35</x:v>
      </x:c>
      <x:c r="D5" s="30" t="str">
        <x:v>回答済み</x:v>
      </x:c>
      <x:c r="E5" s="30"/>
      <x:c r="F5" s="38" t="n">
        <x:f>COUNTIF(K11:K45,"回答済み")</x:f>
        <x:v>0</x:v>
      </x:c>
      <x:c r="G5" s="30" t="str">
        <x:v>未回答</x:v>
      </x:c>
      <x:c r="H5" s="30"/>
      <x:c r="I5" s="38" t="n">
        <x:f>COUNTIF(K11:K45,"未回答")</x:f>
        <x:v>35</x:v>
      </x:c>
      <x:c r="J5" s="30" t="str">
        <x:v>回答率</x:v>
      </x:c>
      <x:c r="K5" s="30"/>
      <x:c r="L5" s="48" t="n">
        <x:f>IF(C5=0,0,F5/C5)</x:f>
        <x:v>0</x:v>
      </x:c>
    </x:row>
    <x:row r="7" ht="28" customHeight="1">
      <x:c r="A7" s="57" t="str">
        <x:v>※この質問票は「既に回答済みの内容を再質問する」ものではなく、号口運用設計を正式化するために残っている未確認・未決定事項に絞っています。</x:v>
      </x:c>
      <x:c r="B7" s="57"/>
      <x:c r="C7" s="57"/>
      <x:c r="D7" s="57"/>
      <x:c r="E7" s="57"/>
      <x:c r="F7" s="57"/>
      <x:c r="G7" s="57"/>
      <x:c r="H7" s="57"/>
      <x:c r="I7" s="57"/>
      <x:c r="J7" s="57"/>
      <x:c r="K7" s="57"/>
      <x:c r="L7" s="57"/>
    </x:row>
    <x:row r="8" ht="24" customHeight="1">
      <x:c r="A8" s="270" t="str">
        <x:v>推奨：まず「最優先」だけ回答すると、WebApp/NiFiの現行仕様・責任者・障害レベル・誤データ/情報漏えいの主要未確定事項を先に確定できます。</x:v>
      </x:c>
      <x:c r="B8" s="270"/>
      <x:c r="C8" s="270"/>
      <x:c r="D8" s="270"/>
      <x:c r="E8" s="270"/>
      <x:c r="F8" s="270"/>
      <x:c r="G8" s="270"/>
      <x:c r="H8" s="270"/>
      <x:c r="I8" s="270"/>
      <x:c r="J8" s="270"/>
      <x:c r="K8" s="270"/>
      <x:c r="L8" s="270"/>
    </x:row>
    <x:row r="10" ht="30" customHeight="1">
      <x:c r="A10" s="72" t="str">
        <x:v>No.</x:v>
      </x:c>
      <x:c r="B10" s="73" t="str">
        <x:v>重要度</x:v>
      </x:c>
      <x:c r="C10" s="73" t="str">
        <x:v>確認分類</x:v>
      </x:c>
      <x:c r="D10" s="73" t="str">
        <x:v>確認対象</x:v>
      </x:c>
      <x:c r="E10" s="73" t="str">
        <x:v>これまでに確認できていること</x:v>
      </x:c>
      <x:c r="F10" s="73" t="str">
        <x:v>今回確認したいこと</x:v>
      </x:c>
      <x:c r="G10" s="73" t="str">
        <x:v>選択回答</x:v>
      </x:c>
      <x:c r="H10" s="73" t="str">
        <x:v>任意コメント（詳細）</x:v>
      </x:c>
      <x:c r="I10" s="73" t="str">
        <x:v>回答者／役割（任意）</x:v>
      </x:c>
      <x:c r="J10" s="73" t="str">
        <x:v>根拠資料・URL（任意）</x:v>
      </x:c>
      <x:c r="K10" s="73" t="str">
        <x:v>回答状況</x:v>
      </x:c>
      <x:c r="L10" s="74" t="str">
        <x:v>元Excel反映先</x:v>
      </x:c>
    </x:row>
    <x:row r="11" ht="72" customHeight="1">
      <x:c r="A11" s="106" t="n">
        <x:v>1</x:v>
      </x:c>
      <x:c r="B11" s="107" t="str">
        <x:v>最優先</x:v>
      </x:c>
      <x:c r="C11" s="107" t="str">
        <x:v>Azure／WebApp</x:v>
      </x:c>
      <x:c r="D11" s="107" t="str">
        <x:v>現行アラート設定</x:v>
      </x:c>
      <x:c r="E11" s="142" t="str">
        <x:v>App Serviceのヘルスチェックは有効。Teams「13_WebAppアラート共有」は利用中。ただし元Excel記載のアラート名・条件・閾値が現在も有効かは未確認。</x:v>
      </x:c>
      <x:c r="F11" s="142" t="str">
        <x:v>現在有効なWebApp／App Serviceのアラート設定は、元Excel記載内容から変更がありますか。</x:v>
      </x:c>
      <x:c r="G11" s="148" t="str"/>
      <x:c r="H11" s="148" t="str"/>
      <x:c r="I11" s="148" t="str"/>
      <x:c r="J11" s="148" t="str"/>
      <x:c r="K11" s="154" t="str">
        <x:f>IF(G11="","未回答","回答済み")</x:f>
        <x:v>未回答</x:v>
      </x:c>
      <x:c r="L11" s="160" t="str">
        <x:v>61行：監視ツール／アラート条件</x:v>
      </x:c>
    </x:row>
    <x:row r="12" ht="72" customHeight="1">
      <x:c r="A12" s="109" t="n">
        <x:v>2</x:v>
      </x:c>
      <x:c r="B12" s="110" t="str">
        <x:v>最優先</x:v>
      </x:c>
      <x:c r="C12" s="110" t="str">
        <x:v>Azure／WebApp</x:v>
      </x:c>
      <x:c r="D12" s="110" t="str">
        <x:v>通知除外条件</x:v>
      </x:c>
      <x:c r="E12" s="143" t="str">
        <x:v>質問票では「送信しないエラーあり」と回答されているが、対象エラー・理由・確認方法は未確認。</x:v>
      </x:c>
      <x:c r="F12" s="143" t="str">
        <x:v>Teamsへ通知しない、または通知を抑止しているエラーはありますか。</x:v>
      </x:c>
      <x:c r="G12" s="149" t="str"/>
      <x:c r="H12" s="149" t="str"/>
      <x:c r="I12" s="149" t="str"/>
      <x:c r="J12" s="149" t="str"/>
      <x:c r="K12" s="155" t="str">
        <x:f>IF(G12="","未回答","回答済み")</x:f>
        <x:v>未回答</x:v>
      </x:c>
      <x:c r="L12" s="161" t="str">
        <x:v>61行：アラート条件／コメント</x:v>
      </x:c>
    </x:row>
    <x:row r="13" ht="72" customHeight="1">
      <x:c r="A13" s="109" t="n">
        <x:v>3</x:v>
      </x:c>
      <x:c r="B13" s="110" t="str">
        <x:v>最優先</x:v>
      </x:c>
      <x:c r="C13" s="110" t="str">
        <x:v>Azure／WebApp</x:v>
      </x:c>
      <x:c r="D13" s="110" t="str">
        <x:v>アラート後の初動</x:v>
      </x:c>
      <x:c r="E13" s="143" t="str">
        <x:v>基盤チームがPM・障害対応者へ通知し、障害対応者が原因調査する流れは確認済み。ただし最初に見るログ・画面・項目は未確認。</x:v>
      </x:c>
      <x:c r="F13" s="143" t="str">
        <x:v>WebAppアラート発生後、最初に技術確認する主体を選んでください。</x:v>
      </x:c>
      <x:c r="G13" s="149" t="str"/>
      <x:c r="H13" s="149" t="str"/>
      <x:c r="I13" s="149" t="str"/>
      <x:c r="J13" s="149" t="str"/>
      <x:c r="K13" s="155" t="str">
        <x:f>IF(G13="","未回答","回答済み")</x:f>
        <x:v>未回答</x:v>
      </x:c>
      <x:c r="L13" s="161" t="str">
        <x:v>61行：対応内容／一次対応者</x:v>
      </x:c>
    </x:row>
    <x:row r="14" ht="72" customHeight="1">
      <x:c r="A14" s="109" t="n">
        <x:v>4</x:v>
      </x:c>
      <x:c r="B14" s="110" t="str">
        <x:v>最優先</x:v>
      </x:c>
      <x:c r="C14" s="110" t="str">
        <x:v>NiFi／データ連携</x:v>
      </x:c>
      <x:c r="D14" s="110" t="str">
        <x:v>NiFi停止の一次対応</x:v>
      </x:c>
      <x:c r="E14" s="143" t="str">
        <x:v>既存回答ではNiFi停止は「保守チーム」が確認するとされているが、正式な事象別責任者としては未確定。</x:v>
      </x:c>
      <x:c r="F14" s="143" t="str">
        <x:v>NiFi自体が停止した場合、最初に確認・切り分けを行う主体を確定してください。</x:v>
      </x:c>
      <x:c r="G14" s="149" t="str"/>
      <x:c r="H14" s="149" t="str"/>
      <x:c r="I14" s="149" t="str"/>
      <x:c r="J14" s="149" t="str"/>
      <x:c r="K14" s="155" t="str">
        <x:f>IF(G14="","未回答","回答済み")</x:f>
        <x:v>未回答</x:v>
      </x:c>
      <x:c r="L14" s="161" t="str">
        <x:v>62行：一次対応者</x:v>
      </x:c>
    </x:row>
    <x:row r="15" ht="72" customHeight="1">
      <x:c r="A15" s="109" t="n">
        <x:v>5</x:v>
      </x:c>
      <x:c r="B15" s="110" t="str">
        <x:v>最優先</x:v>
      </x:c>
      <x:c r="C15" s="110" t="str">
        <x:v>NiFi／データ連携</x:v>
      </x:c>
      <x:c r="D15" s="110" t="str">
        <x:v>元データ未連携の一次対応</x:v>
      </x:c>
      <x:c r="E15" s="143" t="str">
        <x:v>既存回答では元データ未連携は「保守チーム・基盤チーム」が確認するとされている。</x:v>
      </x:c>
      <x:c r="F15" s="143" t="str">
        <x:v>元システムからデータが連携されていない場合、最初に確認・切り分けを行う主体を確定してください。</x:v>
      </x:c>
      <x:c r="G15" s="149" t="str"/>
      <x:c r="H15" s="149" t="str"/>
      <x:c r="I15" s="149" t="str"/>
      <x:c r="J15" s="149" t="str"/>
      <x:c r="K15" s="155" t="str">
        <x:f>IF(G15="","未回答","回答済み")</x:f>
        <x:v>未回答</x:v>
      </x:c>
      <x:c r="L15" s="161" t="str">
        <x:v>62行：一次対応者</x:v>
      </x:c>
    </x:row>
    <x:row r="16" ht="72" customHeight="1">
      <x:c r="A16" s="109" t="n">
        <x:v>6</x:v>
      </x:c>
      <x:c r="B16" s="110" t="str">
        <x:v>最優先</x:v>
      </x:c>
      <x:c r="C16" s="110" t="str">
        <x:v>NiFi／データ連携</x:v>
      </x:c>
      <x:c r="D16" s="110" t="str">
        <x:v>U-SLIM独自処理失敗の一次対応</x:v>
      </x:c>
      <x:c r="E16" s="143" t="str">
        <x:v>U-SLIM独自の蓄積処理が存在することは確認済み。ただし当該処理失敗時の事象別一次対応者は未確認。</x:v>
      </x:c>
      <x:c r="F16" s="143" t="str">
        <x:v>U-SLIM独自のNiFi蓄積処理が失敗した場合、最初に確認・切り分けを行う主体を確定してください。</x:v>
      </x:c>
      <x:c r="G16" s="149" t="str"/>
      <x:c r="H16" s="149" t="str"/>
      <x:c r="I16" s="149" t="str"/>
      <x:c r="J16" s="149" t="str"/>
      <x:c r="K16" s="155" t="str">
        <x:f>IF(G16="","未回答","回答済み")</x:f>
        <x:v>未回答</x:v>
      </x:c>
      <x:c r="L16" s="161" t="str">
        <x:v>62行：一次対応者</x:v>
      </x:c>
    </x:row>
    <x:row r="17" ht="72" customHeight="1">
      <x:c r="A17" s="109" t="n">
        <x:v>7</x:v>
      </x:c>
      <x:c r="B17" s="110" t="str">
        <x:v>高</x:v>
      </x:c>
      <x:c r="C17" s="110" t="str">
        <x:v>NiFi／データ連携</x:v>
      </x:c>
      <x:c r="D17" s="110" t="str">
        <x:v>停止・遅延の監視主体</x:v>
      </x:c>
      <x:c r="E17" s="143" t="str">
        <x:v>U-SLIMアプリ側には、データ連携停止・遅延を定常確認する方法がない。現状は基盤側の通知に依存。</x:v>
      </x:c>
      <x:c r="F17" s="143" t="str">
        <x:v>今後、NiFi／データ連携の停止・遅延をどこで監視する方針としますか。</x:v>
      </x:c>
      <x:c r="G17" s="149" t="str"/>
      <x:c r="H17" s="149" t="str"/>
      <x:c r="I17" s="149" t="str"/>
      <x:c r="J17" s="149" t="str"/>
      <x:c r="K17" s="155" t="str">
        <x:f>IF(G17="","未回答","回答済み")</x:f>
        <x:v>未回答</x:v>
      </x:c>
      <x:c r="L17" s="161" t="str">
        <x:v>62行：将来運用／監視ツール</x:v>
      </x:c>
    </x:row>
    <x:row r="18" ht="72" customHeight="1">
      <x:c r="A18" s="109" t="n">
        <x:v>8</x:v>
      </x:c>
      <x:c r="B18" s="110" t="str">
        <x:v>最優先</x:v>
      </x:c>
      <x:c r="C18" s="110" t="str">
        <x:v>NiFi／データ連携</x:v>
      </x:c>
      <x:c r="D18" s="110" t="str">
        <x:v>復旧手順</x:v>
      </x:c>
      <x:c r="E18" s="143" t="str">
        <x:v>標準の再実行・切り戻し手順書はなく、ケースにより手動対応する状態。</x:v>
      </x:c>
      <x:c r="F18" s="143" t="str">
        <x:v>NiFi障害時の再実行・切り戻し・再リリース手順を、今後どのように整備しますか。</x:v>
      </x:c>
      <x:c r="G18" s="149" t="str"/>
      <x:c r="H18" s="149" t="str"/>
      <x:c r="I18" s="149" t="str"/>
      <x:c r="J18" s="149" t="str"/>
      <x:c r="K18" s="155" t="str">
        <x:f>IF(G18="","未回答","回答済み")</x:f>
        <x:v>未回答</x:v>
      </x:c>
      <x:c r="L18" s="161" t="str">
        <x:v>62行：将来対応／運用手順書</x:v>
      </x:c>
    </x:row>
    <x:row r="19" ht="72" customHeight="1">
      <x:c r="A19" s="109" t="n">
        <x:v>9</x:v>
      </x:c>
      <x:c r="B19" s="110" t="str">
        <x:v>最優先</x:v>
      </x:c>
      <x:c r="C19" s="110" t="str">
        <x:v>NiFi／データ連携</x:v>
      </x:c>
      <x:c r="D19" s="110" t="str">
        <x:v>復旧後データ確認</x:v>
      </x:c>
      <x:c r="E19" s="143" t="str">
        <x:v>現状は「Upsertのため再実行後確認不要」という回答があるが、標準のデータ正常性確認手順はない。</x:v>
      </x:c>
      <x:c r="F19" s="143" t="str">
        <x:v>NiFi復旧後のデータ正常性確認をどの方針にしますか。</x:v>
      </x:c>
      <x:c r="G19" s="149" t="str"/>
      <x:c r="H19" s="149" t="str"/>
      <x:c r="I19" s="149" t="str"/>
      <x:c r="J19" s="149" t="str"/>
      <x:c r="K19" s="155" t="str">
        <x:f>IF(G19="","未回答","回答済み")</x:f>
        <x:v>未回答</x:v>
      </x:c>
      <x:c r="L19" s="161" t="str">
        <x:v>62行：復旧確認</x:v>
      </x:c>
    </x:row>
    <x:row r="20" ht="72" customHeight="1">
      <x:c r="A20" s="109" t="n">
        <x:v>10</x:v>
      </x:c>
      <x:c r="B20" s="110" t="str">
        <x:v>最優先</x:v>
      </x:c>
      <x:c r="C20" s="110" t="str">
        <x:v>NiFi／データ連携</x:v>
      </x:c>
      <x:c r="D20" s="110" t="str">
        <x:v>Upsert・重複防止</x:v>
      </x:c>
      <x:c r="E20" s="143" t="str">
        <x:v>アプリ実装NiFiは基本的にUpsertとの回答があるが、対象範囲・一意キー・例外処理は未確認。</x:v>
      </x:c>
      <x:c r="F20" s="143" t="str">
        <x:v>Upsertの対象範囲と一意キーの確認状況を選んでください。</x:v>
      </x:c>
      <x:c r="G20" s="149" t="str"/>
      <x:c r="H20" s="149" t="str"/>
      <x:c r="I20" s="149" t="str"/>
      <x:c r="J20" s="149" t="str"/>
      <x:c r="K20" s="155" t="str">
        <x:f>IF(G20="","未回答","回答済み")</x:f>
        <x:v>未回答</x:v>
      </x:c>
      <x:c r="L20" s="161" t="str">
        <x:v>62行：アラート条件／復旧確認／重複防止</x:v>
      </x:c>
    </x:row>
    <x:row r="21" ht="72" customHeight="1">
      <x:c r="A21" s="109" t="n">
        <x:v>11</x:v>
      </x:c>
      <x:c r="B21" s="110" t="str">
        <x:v>高</x:v>
      </x:c>
      <x:c r="C21" s="110" t="str">
        <x:v>責任分界</x:v>
      </x:c>
      <x:c r="D21" s="110" t="str">
        <x:v>異常検知</x:v>
      </x:c>
      <x:c r="E21" s="143" t="str">
        <x:v>アプリ・データ基盤・インフラ間の正式な責任境界は未決定。</x:v>
      </x:c>
      <x:c r="F21" s="143" t="str">
        <x:v>通常運用で「異常を最初に検知・受領する責任」を原則どこに置きますか。</x:v>
      </x:c>
      <x:c r="G21" s="149" t="str"/>
      <x:c r="H21" s="149" t="str"/>
      <x:c r="I21" s="149" t="str"/>
      <x:c r="J21" s="149" t="str"/>
      <x:c r="K21" s="155" t="str">
        <x:f>IF(G21="","未回答","回答済み")</x:f>
        <x:v>未回答</x:v>
      </x:c>
      <x:c r="L21" s="161" t="str">
        <x:v>61～62行：責任分界</x:v>
      </x:c>
    </x:row>
    <x:row r="22" ht="72" customHeight="1">
      <x:c r="A22" s="109" t="n">
        <x:v>12</x:v>
      </x:c>
      <x:c r="B22" s="110" t="str">
        <x:v>高</x:v>
      </x:c>
      <x:c r="C22" s="110" t="str">
        <x:v>責任分界</x:v>
      </x:c>
      <x:c r="D22" s="110" t="str">
        <x:v>一次調査</x:v>
      </x:c>
      <x:c r="E22" s="143" t="str">
        <x:v>原因調査は障害対応者が行う運用はあるが、チーム間の正式責任境界は未決定。</x:v>
      </x:c>
      <x:c r="F22" s="143" t="str">
        <x:v>通常運用で「一次調査・切り分けの責任」を原則どこに置きますか。</x:v>
      </x:c>
      <x:c r="G22" s="149" t="str"/>
      <x:c r="H22" s="149" t="str"/>
      <x:c r="I22" s="149" t="str"/>
      <x:c r="J22" s="149" t="str"/>
      <x:c r="K22" s="155" t="str">
        <x:f>IF(G22="","未回答","回答済み")</x:f>
        <x:v>未回答</x:v>
      </x:c>
      <x:c r="L22" s="161" t="str">
        <x:v>61～62行：責任分界</x:v>
      </x:c>
    </x:row>
    <x:row r="23" ht="72" customHeight="1">
      <x:c r="A23" s="109" t="n">
        <x:v>13</x:v>
      </x:c>
      <x:c r="B23" s="110" t="str">
        <x:v>高</x:v>
      </x:c>
      <x:c r="C23" s="110" t="str">
        <x:v>責任分界</x:v>
      </x:c>
      <x:c r="D23" s="110" t="str">
        <x:v>復旧作業</x:v>
      </x:c>
      <x:c r="E23" s="143" t="str">
        <x:v>復旧作業は事象に応じて各担当が行っているが、標準責任分界は未決定。</x:v>
      </x:c>
      <x:c r="F23" s="143" t="str">
        <x:v>通常運用で「復旧作業の実施責任」を原則どこに置きますか。</x:v>
      </x:c>
      <x:c r="G23" s="149" t="str"/>
      <x:c r="H23" s="149" t="str"/>
      <x:c r="I23" s="149" t="str"/>
      <x:c r="J23" s="149" t="str"/>
      <x:c r="K23" s="155" t="str">
        <x:f>IF(G23="","未回答","回答済み")</x:f>
        <x:v>未回答</x:v>
      </x:c>
      <x:c r="L23" s="161" t="str">
        <x:v>61～62行：責任分界</x:v>
      </x:c>
    </x:row>
    <x:row r="24" ht="72" customHeight="1">
      <x:c r="A24" s="109" t="n">
        <x:v>14</x:v>
      </x:c>
      <x:c r="B24" s="110" t="str">
        <x:v>高</x:v>
      </x:c>
      <x:c r="C24" s="110" t="str">
        <x:v>責任分界</x:v>
      </x:c>
      <x:c r="D24" s="110" t="str">
        <x:v>復旧確認</x:v>
      </x:c>
      <x:c r="E24" s="143" t="str">
        <x:v>App Serviceはリリース手順書参照の回答がある。NiFiは標準確認手順がない。全体の復旧確認責任は未決定。</x:v>
      </x:c>
      <x:c r="F24" s="143" t="str">
        <x:v>通常運用で「復旧後に正常性を確認する責任」を原則どこに置きますか。</x:v>
      </x:c>
      <x:c r="G24" s="149" t="str"/>
      <x:c r="H24" s="149" t="str"/>
      <x:c r="I24" s="149" t="str"/>
      <x:c r="J24" s="149" t="str"/>
      <x:c r="K24" s="155" t="str">
        <x:f>IF(G24="","未回答","回答済み")</x:f>
        <x:v>未回答</x:v>
      </x:c>
      <x:c r="L24" s="161" t="str">
        <x:v>61～62行：復旧確認／責任分界</x:v>
      </x:c>
    </x:row>
    <x:row r="25" ht="72" customHeight="1">
      <x:c r="A25" s="109" t="n">
        <x:v>15</x:v>
      </x:c>
      <x:c r="B25" s="110" t="str">
        <x:v>最優先</x:v>
      </x:c>
      <x:c r="C25" s="110" t="str">
        <x:v>責任・承認</x:v>
      </x:c>
      <x:c r="D25" s="110" t="str">
        <x:v>障害対応の最終責任者</x:v>
      </x:c>
      <x:c r="E25" s="143" t="str">
        <x:v>現在のPMは佐藤さん、POは新庄さんと回答されているが、通常運用の障害対応の最終責任者は「未決定」。</x:v>
      </x:c>
      <x:c r="F25" s="143" t="str">
        <x:v>通常運用の障害対応における最終責任者の役割を確定してください。</x:v>
      </x:c>
      <x:c r="G25" s="149" t="str"/>
      <x:c r="H25" s="149" t="str"/>
      <x:c r="I25" s="149" t="str"/>
      <x:c r="J25" s="149" t="str"/>
      <x:c r="K25" s="155" t="str">
        <x:f>IF(G25="","未回答","回答済み")</x:f>
        <x:v>未回答</x:v>
      </x:c>
      <x:c r="L25" s="161" t="str">
        <x:v>61～62行：顧客責任者／エスカレーション</x:v>
      </x:c>
    </x:row>
    <x:row r="26" ht="72" customHeight="1">
      <x:c r="A26" s="109" t="n">
        <x:v>16</x:v>
      </x:c>
      <x:c r="B26" s="110" t="str">
        <x:v>高</x:v>
      </x:c>
      <x:c r="C26" s="110" t="str">
        <x:v>責任・承認</x:v>
      </x:c>
      <x:c r="D26" s="110" t="str">
        <x:v>暫定対応の承認</x:v>
      </x:c>
      <x:c r="E26" s="143" t="str">
        <x:v>暫定対応の承認者は明確な決まりがない。</x:v>
      </x:c>
      <x:c r="F26" s="143" t="str">
        <x:v>暫定対応を実施する際の承認者を選んでください。</x:v>
      </x:c>
      <x:c r="G26" s="149" t="str"/>
      <x:c r="H26" s="149" t="str"/>
      <x:c r="I26" s="149" t="str"/>
      <x:c r="J26" s="149" t="str"/>
      <x:c r="K26" s="155" t="str">
        <x:f>IF(G26="","未回答","回答済み")</x:f>
        <x:v>未回答</x:v>
      </x:c>
      <x:c r="L26" s="161" t="str">
        <x:v>61～62行：承認</x:v>
      </x:c>
    </x:row>
    <x:row r="27" ht="72" customHeight="1">
      <x:c r="A27" s="109" t="n">
        <x:v>17</x:v>
      </x:c>
      <x:c r="B27" s="110" t="str">
        <x:v>高</x:v>
      </x:c>
      <x:c r="C27" s="110" t="str">
        <x:v>責任・承認</x:v>
      </x:c>
      <x:c r="D27" s="110" t="str">
        <x:v>恒久対応の承認</x:v>
      </x:c>
      <x:c r="E27" s="143" t="str">
        <x:v>恒久対応の承認者は明確な決まりがない。</x:v>
      </x:c>
      <x:c r="F27" s="143" t="str">
        <x:v>恒久対応方針を確定する際の承認者を選んでください。</x:v>
      </x:c>
      <x:c r="G27" s="149" t="str"/>
      <x:c r="H27" s="149" t="str"/>
      <x:c r="I27" s="149" t="str"/>
      <x:c r="J27" s="149" t="str"/>
      <x:c r="K27" s="155" t="str">
        <x:f>IF(G27="","未回答","回答済み")</x:f>
        <x:v>未回答</x:v>
      </x:c>
      <x:c r="L27" s="161" t="str">
        <x:v>61～62行：承認</x:v>
      </x:c>
    </x:row>
    <x:row r="28" ht="72" customHeight="1">
      <x:c r="A28" s="109" t="n">
        <x:v>18</x:v>
      </x:c>
      <x:c r="B28" s="110" t="str">
        <x:v>高</x:v>
      </x:c>
      <x:c r="C28" s="110" t="str">
        <x:v>責任・承認</x:v>
      </x:c>
      <x:c r="D28" s="110" t="str">
        <x:v>緊急リリースの承認</x:v>
      </x:c>
      <x:c r="E28" s="143" t="str">
        <x:v>高・中レベル資料ではPO承認後にリリースする記載があるが、通常運用の恒久ルールではない。</x:v>
      </x:c>
      <x:c r="F28" s="143" t="str">
        <x:v>通常運用で緊急リリースを行う際の承認者を選んでください。</x:v>
      </x:c>
      <x:c r="G28" s="149" t="str"/>
      <x:c r="H28" s="149" t="str"/>
      <x:c r="I28" s="149" t="str"/>
      <x:c r="J28" s="149" t="str"/>
      <x:c r="K28" s="155" t="str">
        <x:f>IF(G28="","未回答","回答済み")</x:f>
        <x:v>未回答</x:v>
      </x:c>
      <x:c r="L28" s="161" t="str">
        <x:v>61～62行：レベル別対応／承認</x:v>
      </x:c>
    </x:row>
    <x:row r="29" ht="72" customHeight="1">
      <x:c r="A29" s="109" t="n">
        <x:v>19</x:v>
      </x:c>
      <x:c r="B29" s="110" t="str">
        <x:v>高</x:v>
      </x:c>
      <x:c r="C29" s="110" t="str">
        <x:v>責任・承認</x:v>
      </x:c>
      <x:c r="D29" s="110" t="str">
        <x:v>通常リリースの承認</x:v>
      </x:c>
      <x:c r="E29" s="143" t="str">
        <x:v>通常リリース時の承認ルールは今回の根拠資料では確定していない。</x:v>
      </x:c>
      <x:c r="F29" s="143" t="str">
        <x:v>障害対応に伴う通常リリースの承認者を選んでください。</x:v>
      </x:c>
      <x:c r="G29" s="149" t="str"/>
      <x:c r="H29" s="149" t="str"/>
      <x:c r="I29" s="149" t="str"/>
      <x:c r="J29" s="149" t="str"/>
      <x:c r="K29" s="155" t="str">
        <x:f>IF(G29="","未回答","回答済み")</x:f>
        <x:v>未回答</x:v>
      </x:c>
      <x:c r="L29" s="161" t="str">
        <x:v>61～62行：承認</x:v>
      </x:c>
    </x:row>
    <x:row r="30" ht="72" customHeight="1">
      <x:c r="A30" s="109" t="n">
        <x:v>20</x:v>
      </x:c>
      <x:c r="B30" s="110" t="str">
        <x:v>高</x:v>
      </x:c>
      <x:c r="C30" s="110" t="str">
        <x:v>責任・承認</x:v>
      </x:c>
      <x:c r="D30" s="110" t="str">
        <x:v>障害クローズの承認</x:v>
      </x:c>
      <x:c r="E30" s="143" t="str">
        <x:v>復旧後のクローズ条件・クローズ承認者は未整備。</x:v>
      </x:c>
      <x:c r="F30" s="143" t="str">
        <x:v>障害チケット／管理表をクローズする際の承認者を選んでください。</x:v>
      </x:c>
      <x:c r="G30" s="149" t="str"/>
      <x:c r="H30" s="149" t="str"/>
      <x:c r="I30" s="149" t="str"/>
      <x:c r="J30" s="149" t="str"/>
      <x:c r="K30" s="155" t="str">
        <x:f>IF(G30="","未回答","回答済み")</x:f>
        <x:v>未回答</x:v>
      </x:c>
      <x:c r="L30" s="161" t="str">
        <x:v>61～62行：クローズ</x:v>
      </x:c>
    </x:row>
    <x:row r="31" ht="72" customHeight="1">
      <x:c r="A31" s="109" t="n">
        <x:v>21</x:v>
      </x:c>
      <x:c r="B31" s="110" t="str">
        <x:v>最優先</x:v>
      </x:c>
      <x:c r="C31" s="110" t="str">
        <x:v>障害レベル</x:v>
      </x:c>
      <x:c r="D31" s="110" t="str">
        <x:v>通常運用のレベル体系</x:v>
      </x:c>
      <x:c r="E31" s="143" t="str">
        <x:v>高・中・低は長期休暇向け資料に存在するが、通常運用で同じルールに従う恒久ルールは存在しない。</x:v>
      </x:c>
      <x:c r="F31" s="143" t="str">
        <x:v>通常運用の障害レベル体系を、今後どの方針にしますか。</x:v>
      </x:c>
      <x:c r="G31" s="149" t="str"/>
      <x:c r="H31" s="149" t="str"/>
      <x:c r="I31" s="149" t="str"/>
      <x:c r="J31" s="149" t="str"/>
      <x:c r="K31" s="155" t="str">
        <x:f>IF(G31="","未回答","回答済み")</x:f>
        <x:v>未回答</x:v>
      </x:c>
      <x:c r="L31" s="161" t="str">
        <x:v>61～62行：インシデントレベル</x:v>
      </x:c>
    </x:row>
    <x:row r="32" ht="72" customHeight="1">
      <x:c r="A32" s="109" t="n">
        <x:v>22</x:v>
      </x:c>
      <x:c r="B32" s="110" t="str">
        <x:v>高</x:v>
      </x:c>
      <x:c r="C32" s="110" t="str">
        <x:v>障害レベル</x:v>
      </x:c>
      <x:c r="D32" s="110" t="str">
        <x:v>サービス全体利用不可</x:v>
      </x:c>
      <x:c r="E32" s="143" t="str">
        <x:v>U-SLIM_レベル別では「完全停止＝高」。号口運用設計ではLevel4（極大）候補だが正式対応は未確定。</x:v>
      </x:c>
      <x:c r="F32" s="143" t="str">
        <x:v>通常運用でU-SLIM全体が利用できない場合、Level1～4でどの重大度としますか。</x:v>
      </x:c>
      <x:c r="G32" s="149" t="str"/>
      <x:c r="H32" s="149" t="str"/>
      <x:c r="I32" s="149" t="str"/>
      <x:c r="J32" s="149" t="str"/>
      <x:c r="K32" s="155" t="str">
        <x:f>IF(G32="","未回答","回答済み")</x:f>
        <x:v>未回答</x:v>
      </x:c>
      <x:c r="L32" s="161" t="str">
        <x:v>61～62行：Level1～4</x:v>
      </x:c>
    </x:row>
    <x:row r="33" ht="72" customHeight="1">
      <x:c r="A33" s="109" t="n">
        <x:v>23</x:v>
      </x:c>
      <x:c r="B33" s="110" t="str">
        <x:v>高</x:v>
      </x:c>
      <x:c r="C33" s="110" t="str">
        <x:v>障害レベル</x:v>
      </x:c>
      <x:c r="D33" s="110" t="str">
        <x:v>一部機能利用不可</x:v>
      </x:c>
      <x:c r="E33" s="143" t="str">
        <x:v>U-SLIM_レベル別では「部分停止＝中」。Level1～4との正式な対応関係は未確定。</x:v>
      </x:c>
      <x:c r="F33" s="143" t="str">
        <x:v>通常運用で一部機能のみ利用できない場合、Level1～4でどの重大度としますか。</x:v>
      </x:c>
      <x:c r="G33" s="149" t="str"/>
      <x:c r="H33" s="149" t="str"/>
      <x:c r="I33" s="149" t="str"/>
      <x:c r="J33" s="149" t="str"/>
      <x:c r="K33" s="155" t="str">
        <x:f>IF(G33="","未回答","回答済み")</x:f>
        <x:v>未回答</x:v>
      </x:c>
      <x:c r="L33" s="161" t="str">
        <x:v>61～62行：Level1～4</x:v>
      </x:c>
    </x:row>
    <x:row r="34" ht="72" customHeight="1">
      <x:c r="A34" s="109" t="n">
        <x:v>24</x:v>
      </x:c>
      <x:c r="B34" s="110" t="str">
        <x:v>高</x:v>
      </x:c>
      <x:c r="C34" s="110" t="str">
        <x:v>障害レベル</x:v>
      </x:c>
      <x:c r="D34" s="110" t="str">
        <x:v>データ連携遅延</x:v>
      </x:c>
      <x:c r="E34" s="143" t="str">
        <x:v>U-SLIM_レベル別では「機能低下＝低」の例として外部システムからのデータ連携遅延が記載されている。</x:v>
      </x:c>
      <x:c r="F34" s="143" t="str">
        <x:v>画面は利用できるがデータ更新が遅延している場合、Level1～4でどの重大度としますか。</x:v>
      </x:c>
      <x:c r="G34" s="149" t="str"/>
      <x:c r="H34" s="149" t="str"/>
      <x:c r="I34" s="149" t="str"/>
      <x:c r="J34" s="149" t="str"/>
      <x:c r="K34" s="155" t="str">
        <x:f>IF(G34="","未回答","回答済み")</x:f>
        <x:v>未回答</x:v>
      </x:c>
      <x:c r="L34" s="161" t="str">
        <x:v>62行：Level1～4</x:v>
      </x:c>
    </x:row>
    <x:row r="35" ht="72" customHeight="1">
      <x:c r="A35" s="109" t="n">
        <x:v>25</x:v>
      </x:c>
      <x:c r="B35" s="110" t="str">
        <x:v>最優先</x:v>
      </x:c>
      <x:c r="C35" s="110" t="str">
        <x:v>障害レベル</x:v>
      </x:c>
      <x:c r="D35" s="110" t="str">
        <x:v>誤データ・他販社データ表示</x:v>
      </x:c>
      <x:c r="E35" s="143" t="str">
        <x:v>誤データ、他販社データ表示、権限漏れ、情報漏えいを通常障害と分ける正式ルールは未整備。</x:v>
      </x:c>
      <x:c r="F35" s="143" t="str">
        <x:v>誤データまたは他販社データが表示された場合、どの扱いを原則としますか。</x:v>
      </x:c>
      <x:c r="G35" s="149" t="str"/>
      <x:c r="H35" s="149" t="str"/>
      <x:c r="I35" s="149" t="str"/>
      <x:c r="J35" s="149" t="str"/>
      <x:c r="K35" s="155" t="str">
        <x:f>IF(G35="","未回答","回答済み")</x:f>
        <x:v>未回答</x:v>
      </x:c>
      <x:c r="L35" s="161" t="str">
        <x:v>61～62行：インシデント／セキュリティ</x:v>
      </x:c>
    </x:row>
    <x:row r="36" ht="72" customHeight="1">
      <x:c r="A36" s="109" t="n">
        <x:v>26</x:v>
      </x:c>
      <x:c r="B36" s="110" t="str">
        <x:v>高</x:v>
      </x:c>
      <x:c r="C36" s="110" t="str">
        <x:v>利用者告知</x:v>
      </x:c>
      <x:c r="D36" s="110" t="str">
        <x:v>サービス全体利用不可</x:v>
      </x:c>
      <x:c r="E36" s="143" t="str">
        <x:v>高レベル資料には1時間おきの状況報告があるが、通常運用での利用者告知開始条件は未整備。</x:v>
      </x:c>
      <x:c r="F36" s="143" t="str">
        <x:v>U-SLIM全体が利用できない場合、利用者への初回告知をいつ行いますか。</x:v>
      </x:c>
      <x:c r="G36" s="149" t="str"/>
      <x:c r="H36" s="149" t="str"/>
      <x:c r="I36" s="149" t="str"/>
      <x:c r="J36" s="149" t="str"/>
      <x:c r="K36" s="155" t="str">
        <x:f>IF(G36="","未回答","回答済み")</x:f>
        <x:v>未回答</x:v>
      </x:c>
      <x:c r="L36" s="161" t="str">
        <x:v>61～62行：Level4相当／利用者告知</x:v>
      </x:c>
    </x:row>
    <x:row r="37" ht="72" customHeight="1">
      <x:c r="A37" s="109" t="n">
        <x:v>27</x:v>
      </x:c>
      <x:c r="B37" s="110" t="str">
        <x:v>高</x:v>
      </x:c>
      <x:c r="C37" s="110" t="str">
        <x:v>利用者告知</x:v>
      </x:c>
      <x:c r="D37" s="110" t="str">
        <x:v>一部機能利用不可</x:v>
      </x:c>
      <x:c r="E37" s="143" t="str">
        <x:v>中レベル資料には3時間おきの状況報告があるが、通常運用での利用者告知開始条件は未整備。</x:v>
      </x:c>
      <x:c r="F37" s="143" t="str">
        <x:v>一部機能のみ利用できない場合、利用者への初回告知をいつ行いますか。</x:v>
      </x:c>
      <x:c r="G37" s="149" t="str"/>
      <x:c r="H37" s="149" t="str"/>
      <x:c r="I37" s="149" t="str"/>
      <x:c r="J37" s="149" t="str"/>
      <x:c r="K37" s="155" t="str">
        <x:f>IF(G37="","未回答","回答済み")</x:f>
        <x:v>未回答</x:v>
      </x:c>
      <x:c r="L37" s="161" t="str">
        <x:v>61～62行：Level3相当／利用者告知</x:v>
      </x:c>
    </x:row>
    <x:row r="38" ht="72" customHeight="1">
      <x:c r="A38" s="109" t="n">
        <x:v>28</x:v>
      </x:c>
      <x:c r="B38" s="110" t="str">
        <x:v>高</x:v>
      </x:c>
      <x:c r="C38" s="110" t="str">
        <x:v>利用者告知</x:v>
      </x:c>
      <x:c r="D38" s="110" t="str">
        <x:v>データ連携遅延</x:v>
      </x:c>
      <x:c r="E38" s="143" t="str">
        <x:v>低レベル資料では、発生から24時間経過後も未解消の場合にお知らせ掲載とされている。</x:v>
      </x:c>
      <x:c r="F38" s="143" t="str">
        <x:v>データ連携遅延の場合、通常運用でも24時間ルールを使用しますか。</x:v>
      </x:c>
      <x:c r="G38" s="149" t="str"/>
      <x:c r="H38" s="149" t="str"/>
      <x:c r="I38" s="149" t="str"/>
      <x:c r="J38" s="149" t="str"/>
      <x:c r="K38" s="155" t="str">
        <x:f>IF(G38="","未回答","回答済み")</x:f>
        <x:v>未回答</x:v>
      </x:c>
      <x:c r="L38" s="161" t="str">
        <x:v>62行：Level1相当／利用者告知</x:v>
      </x:c>
    </x:row>
    <x:row r="39" ht="72" customHeight="1">
      <x:c r="A39" s="109" t="n">
        <x:v>29</x:v>
      </x:c>
      <x:c r="B39" s="110" t="str">
        <x:v>高</x:v>
      </x:c>
      <x:c r="C39" s="110" t="str">
        <x:v>利用者告知</x:v>
      </x:c>
      <x:c r="D39" s="110" t="str">
        <x:v>告知承認者</x:v>
      </x:c>
      <x:c r="E39" s="143" t="str">
        <x:v>告知の承認者は通常運用ルールとして未確定。</x:v>
      </x:c>
      <x:c r="F39" s="143" t="str">
        <x:v>利用者向け障害告知を掲載する際の承認者を選んでください。</x:v>
      </x:c>
      <x:c r="G39" s="149" t="str"/>
      <x:c r="H39" s="149" t="str"/>
      <x:c r="I39" s="149" t="str"/>
      <x:c r="J39" s="149" t="str"/>
      <x:c r="K39" s="155" t="str">
        <x:f>IF(G39="","未回答","回答済み")</x:f>
        <x:v>未回答</x:v>
      </x:c>
      <x:c r="L39" s="161" t="str">
        <x:v>61～62行：利用者告知／承認</x:v>
      </x:c>
    </x:row>
    <x:row r="40" ht="72" customHeight="1">
      <x:c r="A40" s="109" t="n">
        <x:v>30</x:v>
      </x:c>
      <x:c r="B40" s="110" t="str">
        <x:v>高</x:v>
      </x:c>
      <x:c r="C40" s="110" t="str">
        <x:v>利用者告知</x:v>
      </x:c>
      <x:c r="D40" s="110" t="str">
        <x:v>告知掲載担当</x:v>
      </x:c>
      <x:c r="E40" s="143" t="str">
        <x:v>掲載担当者および復旧後の更新・終了方法は未確定。</x:v>
      </x:c>
      <x:c r="F40" s="143" t="str">
        <x:v>利用者向け障害告知の掲載・更新・終了を行う主体を選んでください。</x:v>
      </x:c>
      <x:c r="G40" s="149" t="str"/>
      <x:c r="H40" s="149" t="str"/>
      <x:c r="I40" s="149" t="str"/>
      <x:c r="J40" s="149" t="str"/>
      <x:c r="K40" s="155" t="str">
        <x:f>IF(G40="","未回答","回答済み")</x:f>
        <x:v>未回答</x:v>
      </x:c>
      <x:c r="L40" s="161" t="str">
        <x:v>61～62行：利用者告知</x:v>
      </x:c>
    </x:row>
    <x:row r="41" ht="72" customHeight="1">
      <x:c r="A41" s="109" t="n">
        <x:v>31</x:v>
      </x:c>
      <x:c r="B41" s="110" t="str">
        <x:v>高</x:v>
      </x:c>
      <x:c r="C41" s="110" t="str">
        <x:v>完了・クローズ</x:v>
      </x:c>
      <x:c r="D41" s="110" t="str">
        <x:v>復旧完了条件</x:v>
      </x:c>
      <x:c r="E41" s="143" t="str">
        <x:v>復旧後の完了報告・クローズ条件は標準化されていない。NiFiはデータ正常性確認手順も未整備。</x:v>
      </x:c>
      <x:c r="F41" s="143" t="str">
        <x:v>障害を「復旧完了」と判定する最低条件を選んでください。</x:v>
      </x:c>
      <x:c r="G41" s="149" t="str"/>
      <x:c r="H41" s="149" t="str"/>
      <x:c r="I41" s="149" t="str"/>
      <x:c r="J41" s="149" t="str"/>
      <x:c r="K41" s="155" t="str">
        <x:f>IF(G41="","未回答","回答済み")</x:f>
        <x:v>未回答</x:v>
      </x:c>
      <x:c r="L41" s="161" t="str">
        <x:v>61～62行：復旧確認／クローズ</x:v>
      </x:c>
    </x:row>
    <x:row r="42" ht="72" customHeight="1">
      <x:c r="A42" s="109" t="n">
        <x:v>32</x:v>
      </x:c>
      <x:c r="B42" s="110" t="str">
        <x:v>中</x:v>
      </x:c>
      <x:c r="C42" s="110" t="str">
        <x:v>完了・クローズ</x:v>
      </x:c>
      <x:c r="D42" s="110" t="str">
        <x:v>復旧完了報告先</x:v>
      </x:c>
      <x:c r="E42" s="143" t="str">
        <x:v>復旧後の完了報告者・報告先は明確なルールがない。</x:v>
      </x:c>
      <x:c r="F42" s="143" t="str">
        <x:v>復旧完了時の標準報告先を選んでください。</x:v>
      </x:c>
      <x:c r="G42" s="149" t="str"/>
      <x:c r="H42" s="149" t="str"/>
      <x:c r="I42" s="149" t="str"/>
      <x:c r="J42" s="149" t="str"/>
      <x:c r="K42" s="155" t="str">
        <x:f>IF(G42="","未回答","回答済み")</x:f>
        <x:v>未回答</x:v>
      </x:c>
      <x:c r="L42" s="161" t="str">
        <x:v>61～62行：エスカレーション／完了報告</x:v>
      </x:c>
    </x:row>
    <x:row r="43" ht="72" customHeight="1">
      <x:c r="A43" s="109" t="n">
        <x:v>33</x:v>
      </x:c>
      <x:c r="B43" s="110" t="str">
        <x:v>最優先</x:v>
      </x:c>
      <x:c r="C43" s="110" t="str">
        <x:v>誤データ・情報漏えい</x:v>
      </x:c>
      <x:c r="D43" s="110" t="str">
        <x:v>事象の管理方法</x:v>
      </x:c>
      <x:c r="E43" s="143" t="str">
        <x:v>誤データ、他販社データ表示、権限漏れ、情報漏えいを通常の機能障害と分ける正式ルールは未整備。</x:v>
      </x:c>
      <x:c r="F43" s="143" t="str">
        <x:v>これらの事象を、通常の機能障害とどのように管理しますか。</x:v>
      </x:c>
      <x:c r="G43" s="149" t="str"/>
      <x:c r="H43" s="149" t="str"/>
      <x:c r="I43" s="149" t="str"/>
      <x:c r="J43" s="149" t="str"/>
      <x:c r="K43" s="155" t="str">
        <x:f>IF(G43="","未回答","回答済み")</x:f>
        <x:v>未回答</x:v>
      </x:c>
      <x:c r="L43" s="161" t="str">
        <x:v>61～62行：セキュリティエスカレーション</x:v>
      </x:c>
    </x:row>
    <x:row r="44" ht="72" customHeight="1">
      <x:c r="A44" s="109" t="n">
        <x:v>34</x:v>
      </x:c>
      <x:c r="B44" s="110" t="str">
        <x:v>最優先</x:v>
      </x:c>
      <x:c r="C44" s="110" t="str">
        <x:v>誤データ・情報漏えい</x:v>
      </x:c>
      <x:c r="D44" s="110" t="str">
        <x:v>一次エスカレーション</x:v>
      </x:c>
      <x:c r="E44" s="143" t="str">
        <x:v>誤データ・権限漏れ・情報漏えい時の一次連絡先、TMCへの連絡条件は未確定。</x:v>
      </x:c>
      <x:c r="F44" s="143" t="str">
        <x:v>誤データ・他販社データ表示・権限漏れ等を検知した場合、最初にエスカレーションする役割を選んでください。</x:v>
      </x:c>
      <x:c r="G44" s="149" t="str"/>
      <x:c r="H44" s="149" t="str"/>
      <x:c r="I44" s="149" t="str"/>
      <x:c r="J44" s="149" t="str"/>
      <x:c r="K44" s="155" t="str">
        <x:f>IF(G44="","未回答","回答済み")</x:f>
        <x:v>未回答</x:v>
      </x:c>
      <x:c r="L44" s="161" t="str">
        <x:v>61～62行：セキュリティエスカレーション</x:v>
      </x:c>
    </x:row>
    <x:row r="45" ht="72" customHeight="1">
      <x:c r="A45" s="112" t="n">
        <x:v>35</x:v>
      </x:c>
      <x:c r="B45" s="113" t="str">
        <x:v>高</x:v>
      </x:c>
      <x:c r="C45" s="113" t="str">
        <x:v>誤データ・情報漏えい</x:v>
      </x:c>
      <x:c r="D45" s="113" t="str">
        <x:v>証跡保全</x:v>
      </x:c>
      <x:c r="E45" s="144" t="str">
        <x:v>誤データ・権限漏れ・情報漏えい時のログや画面等の証跡保全ルールは未確認。</x:v>
      </x:c>
      <x:c r="F45" s="144" t="str">
        <x:v>該当事象の調査時に、ログ・画面キャプチャ・対象データ等の証跡保全をどう扱いますか。</x:v>
      </x:c>
      <x:c r="G45" s="150" t="str"/>
      <x:c r="H45" s="150" t="str"/>
      <x:c r="I45" s="150" t="str"/>
      <x:c r="J45" s="150" t="str"/>
      <x:c r="K45" s="156" t="str">
        <x:f>IF(G45="","未回答","回答済み")</x:f>
        <x:v>未回答</x:v>
      </x:c>
      <x:c r="L45" s="162" t="str">
        <x:v>61～62行：調査・証跡</x:v>
      </x:c>
    </x:row>
  </x:sheetData>
  <x:mergeCells>
    <x:mergeCell ref="A1:L1"/>
    <x:mergeCell ref="A2:L2"/>
    <x:mergeCell ref="A3:L3"/>
    <x:mergeCell ref="A5:B5"/>
    <x:mergeCell ref="D5:E5"/>
    <x:mergeCell ref="G5:H5"/>
    <x:mergeCell ref="J5:K5"/>
    <x:mergeCell ref="A7:L7"/>
    <x:mergeCell ref="A8:L8"/>
  </x:mergeCells>
  <x:conditionalFormatting sqref="B11:B45">
    <x:cfRule type="expression" dxfId="0" priority="1">
      <x:formula>B11="最優先"</x:formula>
    </x:cfRule>
    <x:cfRule type="expression" dxfId="1" priority="2">
      <x:formula>B11="高"</x:formula>
    </x:cfRule>
    <x:cfRule type="expression" dxfId="2" priority="3">
      <x:formula>B11="中"</x:formula>
    </x:cfRule>
  </x:conditionalFormatting>
  <x:conditionalFormatting sqref="K11:K45">
    <x:cfRule type="expression" dxfId="3" priority="4">
      <x:formula>K11="回答済み"</x:formula>
    </x:cfRule>
    <x:cfRule type="expression" dxfId="4" priority="5">
      <x:formula>K11="未回答"</x:formula>
    </x:cfRule>
  </x:conditionalFormatting>
  <x:dataValidations count="35">
    <x:dataValidation type="list" sqref="G11">
      <x:formula1>"元Excel記載値と変更なし,一部変更あり,全面的に変更あり,現行設定を確認できない,対象外"</x:formula1>
    </x:dataValidation>
    <x:dataValidation type="list" sqref="G12">
      <x:formula1>"通知除外あり,通知除外なし,現在は抑止設定なし,確認できない,未決定"</x:formula1>
    </x:dataValidation>
    <x:dataValidation type="list" sqref="G13">
      <x:formula1>"U-SLIMアプリ担当,基盤チーム,インフラ担当,保守チーム,事象ごとに異なる,未決定,その他"</x:formula1>
    </x:dataValidation>
    <x:dataValidation type="list" sqref="G14">
      <x:formula1>"保守チーム,基盤チーム,U-SLIMアプリ担当,保守＋基盤,複数チーム共同,未決定,その他"</x:formula1>
    </x:dataValidation>
    <x:dataValidation type="list" sqref="G15">
      <x:formula1>"保守チーム,基盤チーム,U-SLIMアプリ担当,保守＋基盤,複数チーム共同,未決定,その他"</x:formula1>
    </x:dataValidation>
    <x:dataValidation type="list" sqref="G16">
      <x:formula1>"保守チーム,基盤チーム,U-SLIMアプリ担当,保守＋基盤,複数チーム共同,未決定,その他"</x:formula1>
    </x:dataValidation>
    <x:dataValidation type="list" sqref="G17">
      <x:formula1>"基盤側のみで監視,U-SLIM側でも監視,基盤とU-SLIMの両方で監視,外部監視に集約,現状運用を継続,未決定"</x:formula1>
    </x:dataValidation>
    <x:dataValidation type="list" sqref="G18">
      <x:formula1>"新規に標準手順書を作成,既存事例を標準手順化,ケース別手順を複数作成,現状の個別判断を継続,対象外,未決定"</x:formula1>
    </x:dataValidation>
    <x:dataValidation type="list" sqref="G19">
      <x:formula1>"必ず実施する,影響がある事象のみ実施,基盤側のみ実施,U-SLIM側のみ実施,実施不要,未決定"</x:formula1>
    </x:dataValidation>
    <x:dataValidation type="list" sqref="G20">
      <x:formula1>"全対象でUpsert・一意キー確認済み,一部処理のみUpsert,Upsertだが一意キー未確認,Upsert以外の処理あり,実装状況を確認できない,未決定"</x:formula1>
    </x:dataValidation>
    <x:dataValidation type="list" sqref="G21">
      <x:formula1>"U-SLIMアプリ担当,基盤チーム,インフラ担当,保守チーム,監視窓口に集約,事象ごとに異なる,未決定"</x:formula1>
    </x:dataValidation>
    <x:dataValidation type="list" sqref="G22">
      <x:formula1>"U-SLIMアプリ担当,基盤チーム,インフラ担当,保守チーム,事象ごとに異なる,共同責任,未決定"</x:formula1>
    </x:dataValidation>
    <x:dataValidation type="list" sqref="G23">
      <x:formula1>"U-SLIMアプリ担当,基盤チーム,インフラ担当,保守チーム,事象ごとに異なる,共同責任,未決定"</x:formula1>
    </x:dataValidation>
    <x:dataValidation type="list" sqref="G24">
      <x:formula1>"U-SLIMアプリ担当,基盤チーム,インフラ担当,保守チーム,事象ごとに異なる,共同確認,未決定"</x:formula1>
    </x:dataValidation>
    <x:dataValidation type="list" sqref="G25">
      <x:formula1>"PM,PO,U-SLIM運用責任者,障害対応リーダー,顧客側責任者,事象ごとに異なる,未決定,その他"</x:formula1>
    </x:dataValidation>
    <x:dataValidation type="list" sqref="G26">
      <x:formula1>"PM,PO,PM＋PO,技術責任者,顧客側責任者,承認不要,事象ごとに異なる,未決定,その他"</x:formula1>
    </x:dataValidation>
    <x:dataValidation type="list" sqref="G27">
      <x:formula1>"PM,PO,PM＋PO,技術責任者,顧客側責任者,事象ごとに異なる,未決定,その他"</x:formula1>
    </x:dataValidation>
    <x:dataValidation type="list" sqref="G28">
      <x:formula1>"PM,PO,PM＋PO,技術責任者,顧客側責任者,事象ごとに異なる,未決定,その他"</x:formula1>
    </x:dataValidation>
    <x:dataValidation type="list" sqref="G29">
      <x:formula1>"PM,PO,PM＋PO,技術責任者,顧客側責任者,既存リリースフローに従う,事象ごとに異なる,未決定,その他"</x:formula1>
    </x:dataValidation>
    <x:dataValidation type="list" sqref="G30">
      <x:formula1>"PM,PO,PM＋PO,技術責任者,顧客側責任者,第三者確認者,事象ごとに異なる,未決定,その他"</x:formula1>
    </x:dataValidation>
    <x:dataValidation type="list" sqref="G31">
      <x:formula1>"高・中・低をそのまま正式採用,高・中・低を修正して採用,Level1～4へ統合,長期休暇用と通常運用を分離,別のレベル体系を新設,未決定"</x:formula1>
    </x:dataValidation>
    <x:dataValidation type="list" sqref="G32">
      <x:formula1>"Level1（極小）,Level2（小）,Level3（大）,Level4（極大）,Level1～4とは別管理,未決定"</x:formula1>
    </x:dataValidation>
    <x:dataValidation type="list" sqref="G33">
      <x:formula1>"Level1（極小）,Level2（小）,Level3（大）,Level4（極大）,重要機能かどうかで変える,Level1～4とは別管理,未決定"</x:formula1>
    </x:dataValidation>
    <x:dataValidation type="list" sqref="G34">
      <x:formula1>"Level1（極小）,Level2（小）,Level3（大）,Level4（極大）,遅延時間・影響範囲で変える,Level1～4とは別管理,未決定"</x:formula1>
    </x:dataValidation>
    <x:dataValidation type="list" sqref="G35">
      <x:formula1>"Level1（極小）,Level2（小）,Level3（大）,Level4（極大）,セキュリティ事象として別管理,障害＋セキュリティの両方で管理,未決定"</x:formula1>
    </x:dataValidation>
    <x:dataValidation type="list" sqref="G36">
      <x:formula1>"検知後すぐ,30分以内,1時間以内,3時間以内,24時間未解消時,個別判断,告知しない,未決定"</x:formula1>
    </x:dataValidation>
    <x:dataValidation type="list" sqref="G37">
      <x:formula1>"検知後すぐ,30分以内,1時間以内,3時間以内,24時間未解消時,影響機能により判断,告知しない,未決定"</x:formula1>
    </x:dataValidation>
    <x:dataValidation type="list" sqref="G38">
      <x:formula1>"24時間ルールをそのまま使用,時間を短縮して使用,影響範囲で時間を変える,即時告知する,原則告知しない,未決定"</x:formula1>
    </x:dataValidation>
    <x:dataValidation type="list" sqref="G39">
      <x:formula1>"PM,PO,PM＋PO,U-SLIM運用責任者,顧客側責任者,承認不要,事象ごとに異なる,未決定,その他"</x:formula1>
    </x:dataValidation>
    <x:dataValidation type="list" sqref="G40">
      <x:formula1>"U-SLIMアプリ担当,PM,PO,運用窓口,顧客側担当,事象ごとに異なる,未決定,その他"</x:formula1>
    </x:dataValidation>
    <x:dataValidation type="list" sqref="G41">
      <x:formula1>"機能が利用可能になれば完了,機能＋監視正常で完了,機能＋データ正常性確認で完了,機能＋監視＋データ正常性確認で完了,事象ごとに異なる,未決定"</x:formula1>
    </x:dataValidation>
    <x:dataValidation type="list" sqref="G42">
      <x:formula1>"PM,PO,PM＋PO,PM＋PO＋関係チーム,顧客側責任者を含む,事象ごとに異なる,未決定"</x:formula1>
    </x:dataValidation>
    <x:dataValidation type="list" sqref="G43">
      <x:formula1>"通常障害と同じフローで管理,セキュリティインシデントとして別管理,通常障害＋セキュリティの両方で管理,事象ごとに判断,未決定"</x:formula1>
    </x:dataValidation>
    <x:dataValidation type="list" sqref="G44">
      <x:formula1>"PM,PO,U-SLIM運用責任者,セキュリティ窓口,顧客側責任者,PM＋PO,事象ごとに異なる,未決定,その他"</x:formula1>
    </x:dataValidation>
    <x:dataValidation type="list" sqref="G45">
      <x:formula1>"必ず保全する,重大度に応じて保全する,セキュリティ事象のみ保全する,既存の別ルールに従う,保全不要,未決定"</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22" hidden="0" customWidth="1"/>
    <x:col min="2" max="2" width="70" hidden="0" customWidth="1"/>
    <x:col min="3" max="3" width="18" hidden="0" customWidth="1"/>
    <x:col min="4" max="4" width="18" hidden="0" customWidth="1"/>
    <x:col min="5" max="5" width="18" hidden="0" customWidth="1"/>
    <x:col min="6" max="6" width="18" hidden="0" customWidth="1"/>
  </x:cols>
  <x:sheetData>
    <x:row r="1" ht="32" customHeight="1">
      <x:c r="A1" s="5" t="str">
        <x:v>U-SLIM 再確認質問票　回答ガイド</x:v>
      </x:c>
      <x:c r="B1" s="5"/>
      <x:c r="C1" s="5"/>
      <x:c r="D1" s="5"/>
      <x:c r="E1" s="5"/>
      <x:c r="F1" s="5"/>
    </x:row>
    <x:row r="3">
      <x:c r="A3" s="176" t="str">
        <x:v>項目</x:v>
      </x:c>
      <x:c r="B3" s="177" t="str">
        <x:v>内容</x:v>
      </x:c>
      <x:c r="C3" s="177" t="str"/>
      <x:c r="D3" s="177" t="str"/>
      <x:c r="E3" s="177" t="str"/>
      <x:c r="F3" s="178" t="str"/>
    </x:row>
    <x:row r="4" ht="42" customHeight="1">
      <x:c r="A4" s="179" t="str">
        <x:v>目的</x:v>
      </x:c>
      <x:c r="B4" s="173" t="str">
        <x:v>「号口運用設計（監視・インシデント）」60～62行、U-SLIM質問票、U-SLIM_追加確認回答表、U-SLIM_レベル別を突合し、未確認・未決定事項だけを再確認する。</x:v>
      </x:c>
      <x:c r="C4" s="173" t="str"/>
      <x:c r="D4" s="173" t="str"/>
      <x:c r="E4" s="173" t="str"/>
      <x:c r="F4" s="180" t="str"/>
    </x:row>
    <x:row r="5" ht="42" customHeight="1">
      <x:c r="A5" s="179" t="str">
        <x:v>回答対象</x:v>
      </x:c>
      <x:c r="B5" s="173" t="str">
        <x:v>原則として、通常運用の正式ルールを決定できる担当者・PM・PO・監視設定担当・NiFi/基盤担当など。</x:v>
      </x:c>
      <x:c r="C5" s="173" t="str"/>
      <x:c r="D5" s="173" t="str"/>
      <x:c r="E5" s="173" t="str"/>
      <x:c r="F5" s="180" t="str"/>
    </x:row>
    <x:row r="6" ht="42" customHeight="1">
      <x:c r="A6" s="179" t="str">
        <x:v>入力セル</x:v>
      </x:c>
      <x:c r="B6" s="173" t="str">
        <x:v>「回答用質問票」の黄色セル。選択回答は必須。コメント、回答者／役割、根拠資料・URLは任意。</x:v>
      </x:c>
      <x:c r="C6" s="173" t="str"/>
      <x:c r="D6" s="173" t="str"/>
      <x:c r="E6" s="173" t="str"/>
      <x:c r="F6" s="180" t="str"/>
    </x:row>
    <x:row r="7" ht="42" customHeight="1">
      <x:c r="A7" s="179" t="str">
        <x:v>コメント記載を推奨する場合</x:v>
      </x:c>
      <x:c r="B7" s="173" t="str">
        <x:v>「一部変更あり」「全面的に変更あり」「その他」「未決定」「確認できない」等を選択した場合。閾値・担当者名・一意キー・例外条件など具体情報がある場合も記載推奨。</x:v>
      </x:c>
      <x:c r="C7" s="173" t="str"/>
      <x:c r="D7" s="173" t="str"/>
      <x:c r="E7" s="173" t="str"/>
      <x:c r="F7" s="180" t="str"/>
    </x:row>
    <x:row r="8" ht="42" customHeight="1">
      <x:c r="A8" s="179" t="str">
        <x:v>既存資料がある場合</x:v>
      </x:c>
      <x:c r="B8" s="173" t="str">
        <x:v>同じ内容を文章で作り直さず、「根拠資料・URL」に資料名・保存場所・URLを記載してよい。</x:v>
      </x:c>
      <x:c r="C8" s="173" t="str"/>
      <x:c r="D8" s="173" t="str"/>
      <x:c r="E8" s="173" t="str"/>
      <x:c r="F8" s="180" t="str"/>
    </x:row>
    <x:row r="9" ht="42" customHeight="1">
      <x:c r="A9" s="179" t="str">
        <x:v>回答状況</x:v>
      </x:c>
      <x:c r="B9" s="173" t="str">
        <x:v>選択回答を入れると自動で「回答済み」になる。選択回答が空欄の行は「未回答」。</x:v>
      </x:c>
      <x:c r="C9" s="173" t="str"/>
      <x:c r="D9" s="173" t="str"/>
      <x:c r="E9" s="173" t="str"/>
      <x:c r="F9" s="180" t="str"/>
    </x:row>
    <x:row r="10" ht="42" customHeight="1">
      <x:c r="A10" s="181" t="str">
        <x:v>重要度</x:v>
      </x:c>
      <x:c r="B10" s="182" t="str">
        <x:v>「最優先」は号口運用設計の確定に直接影響する項目。「高」は正式運用ルールの標準化に必要。「中」は完了報告等の管理品質向上に必要。</x:v>
      </x:c>
      <x:c r="C10" s="182" t="str"/>
      <x:c r="D10" s="182" t="str"/>
      <x:c r="E10" s="182" t="str"/>
      <x:c r="F10" s="183" t="str"/>
    </x:row>
    <x:row r="12">
      <x:c r="A12" s="193" t="str">
        <x:v>今回、原則として聞き直さない事項（既に確認できている内容）</x:v>
      </x:c>
      <x:c r="B12" s="193"/>
      <x:c r="C12" s="193"/>
      <x:c r="D12" s="193"/>
      <x:c r="E12" s="193"/>
      <x:c r="F12" s="193"/>
    </x:row>
    <x:row r="13">
      <x:c r="A13" s="232" t="str">
        <x:v>確認済み領域</x:v>
      </x:c>
      <x:c r="B13" s="233" t="str">
        <x:v>現在の確認内容</x:v>
      </x:c>
    </x:row>
    <x:row r="14" ht="38" customHeight="1">
      <x:c r="A14" s="179" t="str">
        <x:v>Power BI</x:v>
      </x:c>
      <x:c r="B14" s="180" t="str">
        <x:v>現在は検証用途。号口提供時の正式監視は別途整備が必要。</x:v>
      </x:c>
    </x:row>
    <x:row r="15" ht="38" customHeight="1">
      <x:c r="A15" s="179" t="str">
        <x:v>App Service</x:v>
      </x:c>
      <x:c r="B15" s="180" t="str">
        <x:v>ヘルスチェックは有効。Teams「13_WebAppアラート共有」は利用中。</x:v>
      </x:c>
    </x:row>
    <x:row r="16" ht="38" customHeight="1">
      <x:c r="A16" s="179" t="str">
        <x:v>NiFi</x:v>
      </x:c>
      <x:c r="B16" s="180" t="str">
        <x:v>NiFi停止は保守チーム、元データ未連携は保守・基盤チームが確認する現状回答あり。</x:v>
      </x:c>
    </x:row>
    <x:row r="17" ht="38" customHeight="1">
      <x:c r="A17" s="179" t="str">
        <x:v>サービス時間</x:v>
      </x:c>
      <x:c r="B17" s="180" t="str">
        <x:v>毎日8:00～20:00、20:00以降はメンテナンスタイムという追加回答あり。</x:v>
      </x:c>
    </x:row>
    <x:row r="18" ht="38" customHeight="1">
      <x:c r="A18" s="179" t="str">
        <x:v>PM／PO</x:v>
      </x:c>
      <x:c r="B18" s="180" t="str">
        <x:v>PM：佐藤、PO：新庄という追加回答あり。ただし最終責任者・担当範囲は未確定。</x:v>
      </x:c>
    </x:row>
    <x:row r="19" ht="38" customHeight="1">
      <x:c r="A19" s="181" t="str">
        <x:v>長期休暇ルール</x:v>
      </x:c>
      <x:c r="B19" s="183" t="str">
        <x:v>高・中・低の既存基準はあるが、通常運用で恒久適用するルールは存在しない。</x:v>
      </x:c>
    </x:row>
  </x:sheetData>
  <x:mergeCells>
    <x:mergeCell ref="A1:F1"/>
    <x:mergeCell ref="B4:F4"/>
    <x:mergeCell ref="B5:F5"/>
    <x:mergeCell ref="B6:F6"/>
    <x:mergeCell ref="B7:F7"/>
    <x:mergeCell ref="B8:F8"/>
    <x:mergeCell ref="B9:F9"/>
    <x:mergeCell ref="B10:F10"/>
    <x:mergeCell ref="A12:F12"/>
  </x:mergeCell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6" hidden="0" customWidth="1"/>
    <x:col min="3" max="3" width="34" hidden="0" customWidth="1"/>
    <x:col min="4" max="4" width="30" hidden="0" customWidth="1"/>
  </x:cols>
  <x:sheetData>
    <x:row r="1">
      <x:c r="A1" s="245" t="str">
        <x:v>選択肢マスタ（回答時の参照用）</x:v>
      </x:c>
      <x:c r="B1" s="245"/>
      <x:c r="C1" s="245"/>
      <x:c r="D1" s="245"/>
    </x:row>
    <x:row r="2">
      <x:c r="A2" s="264" t="str">
        <x:v>※回答用質問票のプルダウンと同じ内容です。選択肢の確認用として利用してください。</x:v>
      </x:c>
      <x:c r="B2" s="264"/>
      <x:c r="C2" s="264"/>
      <x:c r="D2" s="264"/>
    </x:row>
    <x:row r="3">
      <x:c r="A3" s="249" t="str">
        <x:v>分類</x:v>
      </x:c>
      <x:c r="B3" s="249" t="str">
        <x:v>確認対象</x:v>
      </x:c>
      <x:c r="C3" s="249" t="str">
        <x:v>選択肢</x:v>
      </x:c>
      <x:c r="D3" s="249" t="str">
        <x:v>補足</x:v>
      </x:c>
    </x:row>
    <x:row r="4">
      <x:c r="A4" s="208" t="str">
        <x:v>Azure／WebApp</x:v>
      </x:c>
      <x:c r="B4" s="257" t="str">
        <x:v>現行アラート設定</x:v>
      </x:c>
      <x:c r="C4" s="257" t="str">
        <x:v>元Excel記載値と変更なし</x:v>
      </x:c>
      <x:c r="D4" s="209" t="str"/>
    </x:row>
    <x:row r="5">
      <x:c r="A5" s="210" t="str">
        <x:v>Azure／WebApp</x:v>
      </x:c>
      <x:c r="B5" s="173" t="str">
        <x:v>現行アラート設定</x:v>
      </x:c>
      <x:c r="C5" s="173" t="str">
        <x:v>一部変更あり</x:v>
      </x:c>
      <x:c r="D5" s="180" t="str"/>
    </x:row>
    <x:row r="6">
      <x:c r="A6" s="210" t="str">
        <x:v>Azure／WebApp</x:v>
      </x:c>
      <x:c r="B6" s="173" t="str">
        <x:v>現行アラート設定</x:v>
      </x:c>
      <x:c r="C6" s="173" t="str">
        <x:v>全面的に変更あり</x:v>
      </x:c>
      <x:c r="D6" s="180" t="str"/>
    </x:row>
    <x:row r="7">
      <x:c r="A7" s="210" t="str">
        <x:v>Azure／WebApp</x:v>
      </x:c>
      <x:c r="B7" s="173" t="str">
        <x:v>現行アラート設定</x:v>
      </x:c>
      <x:c r="C7" s="173" t="str">
        <x:v>現行設定を確認できない</x:v>
      </x:c>
      <x:c r="D7" s="180" t="str"/>
    </x:row>
    <x:row r="8">
      <x:c r="A8" s="210" t="str">
        <x:v>Azure／WebApp</x:v>
      </x:c>
      <x:c r="B8" s="173" t="str">
        <x:v>現行アラート設定</x:v>
      </x:c>
      <x:c r="C8" s="173" t="str">
        <x:v>対象外</x:v>
      </x:c>
      <x:c r="D8" s="180" t="str"/>
    </x:row>
    <x:row r="9">
      <x:c r="A9" s="210" t="str">
        <x:v>Azure／WebApp</x:v>
      </x:c>
      <x:c r="B9" s="173" t="str">
        <x:v>通知除外条件</x:v>
      </x:c>
      <x:c r="C9" s="173" t="str">
        <x:v>通知除外あり</x:v>
      </x:c>
      <x:c r="D9" s="180" t="str"/>
    </x:row>
    <x:row r="10">
      <x:c r="A10" s="210" t="str">
        <x:v>Azure／WebApp</x:v>
      </x:c>
      <x:c r="B10" s="173" t="str">
        <x:v>通知除外条件</x:v>
      </x:c>
      <x:c r="C10" s="173" t="str">
        <x:v>通知除外なし</x:v>
      </x:c>
      <x:c r="D10" s="180" t="str"/>
    </x:row>
    <x:row r="11">
      <x:c r="A11" s="210" t="str">
        <x:v>Azure／WebApp</x:v>
      </x:c>
      <x:c r="B11" s="173" t="str">
        <x:v>通知除外条件</x:v>
      </x:c>
      <x:c r="C11" s="173" t="str">
        <x:v>現在は抑止設定なし</x:v>
      </x:c>
      <x:c r="D11" s="180" t="str"/>
    </x:row>
    <x:row r="12">
      <x:c r="A12" s="210" t="str">
        <x:v>Azure／WebApp</x:v>
      </x:c>
      <x:c r="B12" s="173" t="str">
        <x:v>通知除外条件</x:v>
      </x:c>
      <x:c r="C12" s="173" t="str">
        <x:v>確認できない</x:v>
      </x:c>
      <x:c r="D12" s="180" t="str"/>
    </x:row>
    <x:row r="13">
      <x:c r="A13" s="210" t="str">
        <x:v>Azure／WebApp</x:v>
      </x:c>
      <x:c r="B13" s="173" t="str">
        <x:v>通知除外条件</x:v>
      </x:c>
      <x:c r="C13" s="173" t="str">
        <x:v>未決定</x:v>
      </x:c>
      <x:c r="D13" s="180" t="str"/>
    </x:row>
    <x:row r="14">
      <x:c r="A14" s="210" t="str">
        <x:v>Azure／WebApp</x:v>
      </x:c>
      <x:c r="B14" s="173" t="str">
        <x:v>アラート後の初動</x:v>
      </x:c>
      <x:c r="C14" s="173" t="str">
        <x:v>U-SLIMアプリ担当</x:v>
      </x:c>
      <x:c r="D14" s="180" t="str"/>
    </x:row>
    <x:row r="15">
      <x:c r="A15" s="210" t="str">
        <x:v>Azure／WebApp</x:v>
      </x:c>
      <x:c r="B15" s="173" t="str">
        <x:v>アラート後の初動</x:v>
      </x:c>
      <x:c r="C15" s="173" t="str">
        <x:v>基盤チーム</x:v>
      </x:c>
      <x:c r="D15" s="180" t="str"/>
    </x:row>
    <x:row r="16">
      <x:c r="A16" s="210" t="str">
        <x:v>Azure／WebApp</x:v>
      </x:c>
      <x:c r="B16" s="173" t="str">
        <x:v>アラート後の初動</x:v>
      </x:c>
      <x:c r="C16" s="173" t="str">
        <x:v>インフラ担当</x:v>
      </x:c>
      <x:c r="D16" s="180" t="str"/>
    </x:row>
    <x:row r="17">
      <x:c r="A17" s="210" t="str">
        <x:v>Azure／WebApp</x:v>
      </x:c>
      <x:c r="B17" s="173" t="str">
        <x:v>アラート後の初動</x:v>
      </x:c>
      <x:c r="C17" s="173" t="str">
        <x:v>保守チーム</x:v>
      </x:c>
      <x:c r="D17" s="180" t="str"/>
    </x:row>
    <x:row r="18">
      <x:c r="A18" s="210" t="str">
        <x:v>Azure／WebApp</x:v>
      </x:c>
      <x:c r="B18" s="173" t="str">
        <x:v>アラート後の初動</x:v>
      </x:c>
      <x:c r="C18" s="173" t="str">
        <x:v>事象ごとに異なる</x:v>
      </x:c>
      <x:c r="D18" s="180" t="str"/>
    </x:row>
    <x:row r="19">
      <x:c r="A19" s="210" t="str">
        <x:v>Azure／WebApp</x:v>
      </x:c>
      <x:c r="B19" s="173" t="str">
        <x:v>アラート後の初動</x:v>
      </x:c>
      <x:c r="C19" s="173" t="str">
        <x:v>未決定</x:v>
      </x:c>
      <x:c r="D19" s="180" t="str"/>
    </x:row>
    <x:row r="20">
      <x:c r="A20" s="210" t="str">
        <x:v>Azure／WebApp</x:v>
      </x:c>
      <x:c r="B20" s="173" t="str">
        <x:v>アラート後の初動</x:v>
      </x:c>
      <x:c r="C20" s="173" t="str">
        <x:v>その他</x:v>
      </x:c>
      <x:c r="D20" s="180" t="str"/>
    </x:row>
    <x:row r="21">
      <x:c r="A21" s="210" t="str">
        <x:v>NiFi／データ連携</x:v>
      </x:c>
      <x:c r="B21" s="173" t="str">
        <x:v>NiFi停止の一次対応</x:v>
      </x:c>
      <x:c r="C21" s="173" t="str">
        <x:v>保守チーム</x:v>
      </x:c>
      <x:c r="D21" s="180" t="str"/>
    </x:row>
    <x:row r="22">
      <x:c r="A22" s="210" t="str">
        <x:v>NiFi／データ連携</x:v>
      </x:c>
      <x:c r="B22" s="173" t="str">
        <x:v>NiFi停止の一次対応</x:v>
      </x:c>
      <x:c r="C22" s="173" t="str">
        <x:v>基盤チーム</x:v>
      </x:c>
      <x:c r="D22" s="180" t="str"/>
    </x:row>
    <x:row r="23">
      <x:c r="A23" s="210" t="str">
        <x:v>NiFi／データ連携</x:v>
      </x:c>
      <x:c r="B23" s="173" t="str">
        <x:v>NiFi停止の一次対応</x:v>
      </x:c>
      <x:c r="C23" s="173" t="str">
        <x:v>U-SLIMアプリ担当</x:v>
      </x:c>
      <x:c r="D23" s="180" t="str"/>
    </x:row>
    <x:row r="24">
      <x:c r="A24" s="210" t="str">
        <x:v>NiFi／データ連携</x:v>
      </x:c>
      <x:c r="B24" s="173" t="str">
        <x:v>NiFi停止の一次対応</x:v>
      </x:c>
      <x:c r="C24" s="173" t="str">
        <x:v>保守＋基盤</x:v>
      </x:c>
      <x:c r="D24" s="180" t="str"/>
    </x:row>
    <x:row r="25">
      <x:c r="A25" s="210" t="str">
        <x:v>NiFi／データ連携</x:v>
      </x:c>
      <x:c r="B25" s="173" t="str">
        <x:v>NiFi停止の一次対応</x:v>
      </x:c>
      <x:c r="C25" s="173" t="str">
        <x:v>複数チーム共同</x:v>
      </x:c>
      <x:c r="D25" s="180" t="str"/>
    </x:row>
    <x:row r="26">
      <x:c r="A26" s="210" t="str">
        <x:v>NiFi／データ連携</x:v>
      </x:c>
      <x:c r="B26" s="173" t="str">
        <x:v>NiFi停止の一次対応</x:v>
      </x:c>
      <x:c r="C26" s="173" t="str">
        <x:v>未決定</x:v>
      </x:c>
      <x:c r="D26" s="180" t="str"/>
    </x:row>
    <x:row r="27">
      <x:c r="A27" s="210" t="str">
        <x:v>NiFi／データ連携</x:v>
      </x:c>
      <x:c r="B27" s="173" t="str">
        <x:v>NiFi停止の一次対応</x:v>
      </x:c>
      <x:c r="C27" s="173" t="str">
        <x:v>その他</x:v>
      </x:c>
      <x:c r="D27" s="180" t="str"/>
    </x:row>
    <x:row r="28">
      <x:c r="A28" s="210" t="str">
        <x:v>NiFi／データ連携</x:v>
      </x:c>
      <x:c r="B28" s="173" t="str">
        <x:v>元データ未連携の一次対応</x:v>
      </x:c>
      <x:c r="C28" s="173" t="str">
        <x:v>保守チーム</x:v>
      </x:c>
      <x:c r="D28" s="180" t="str"/>
    </x:row>
    <x:row r="29">
      <x:c r="A29" s="210" t="str">
        <x:v>NiFi／データ連携</x:v>
      </x:c>
      <x:c r="B29" s="173" t="str">
        <x:v>元データ未連携の一次対応</x:v>
      </x:c>
      <x:c r="C29" s="173" t="str">
        <x:v>基盤チーム</x:v>
      </x:c>
      <x:c r="D29" s="180" t="str"/>
    </x:row>
    <x:row r="30">
      <x:c r="A30" s="210" t="str">
        <x:v>NiFi／データ連携</x:v>
      </x:c>
      <x:c r="B30" s="173" t="str">
        <x:v>元データ未連携の一次対応</x:v>
      </x:c>
      <x:c r="C30" s="173" t="str">
        <x:v>U-SLIMアプリ担当</x:v>
      </x:c>
      <x:c r="D30" s="180" t="str"/>
    </x:row>
    <x:row r="31">
      <x:c r="A31" s="210" t="str">
        <x:v>NiFi／データ連携</x:v>
      </x:c>
      <x:c r="B31" s="173" t="str">
        <x:v>元データ未連携の一次対応</x:v>
      </x:c>
      <x:c r="C31" s="173" t="str">
        <x:v>保守＋基盤</x:v>
      </x:c>
      <x:c r="D31" s="180" t="str"/>
    </x:row>
    <x:row r="32">
      <x:c r="A32" s="210" t="str">
        <x:v>NiFi／データ連携</x:v>
      </x:c>
      <x:c r="B32" s="173" t="str">
        <x:v>元データ未連携の一次対応</x:v>
      </x:c>
      <x:c r="C32" s="173" t="str">
        <x:v>複数チーム共同</x:v>
      </x:c>
      <x:c r="D32" s="180" t="str"/>
    </x:row>
    <x:row r="33">
      <x:c r="A33" s="210" t="str">
        <x:v>NiFi／データ連携</x:v>
      </x:c>
      <x:c r="B33" s="173" t="str">
        <x:v>元データ未連携の一次対応</x:v>
      </x:c>
      <x:c r="C33" s="173" t="str">
        <x:v>未決定</x:v>
      </x:c>
      <x:c r="D33" s="180" t="str"/>
    </x:row>
    <x:row r="34">
      <x:c r="A34" s="210" t="str">
        <x:v>NiFi／データ連携</x:v>
      </x:c>
      <x:c r="B34" s="173" t="str">
        <x:v>元データ未連携の一次対応</x:v>
      </x:c>
      <x:c r="C34" s="173" t="str">
        <x:v>その他</x:v>
      </x:c>
      <x:c r="D34" s="180" t="str"/>
    </x:row>
    <x:row r="35">
      <x:c r="A35" s="210" t="str">
        <x:v>NiFi／データ連携</x:v>
      </x:c>
      <x:c r="B35" s="173" t="str">
        <x:v>U-SLIM独自処理失敗の一次対応</x:v>
      </x:c>
      <x:c r="C35" s="173" t="str">
        <x:v>保守チーム</x:v>
      </x:c>
      <x:c r="D35" s="180" t="str"/>
    </x:row>
    <x:row r="36">
      <x:c r="A36" s="210" t="str">
        <x:v>NiFi／データ連携</x:v>
      </x:c>
      <x:c r="B36" s="173" t="str">
        <x:v>U-SLIM独自処理失敗の一次対応</x:v>
      </x:c>
      <x:c r="C36" s="173" t="str">
        <x:v>基盤チーム</x:v>
      </x:c>
      <x:c r="D36" s="180" t="str"/>
    </x:row>
    <x:row r="37">
      <x:c r="A37" s="210" t="str">
        <x:v>NiFi／データ連携</x:v>
      </x:c>
      <x:c r="B37" s="173" t="str">
        <x:v>U-SLIM独自処理失敗の一次対応</x:v>
      </x:c>
      <x:c r="C37" s="173" t="str">
        <x:v>U-SLIMアプリ担当</x:v>
      </x:c>
      <x:c r="D37" s="180" t="str"/>
    </x:row>
    <x:row r="38">
      <x:c r="A38" s="210" t="str">
        <x:v>NiFi／データ連携</x:v>
      </x:c>
      <x:c r="B38" s="173" t="str">
        <x:v>U-SLIM独自処理失敗の一次対応</x:v>
      </x:c>
      <x:c r="C38" s="173" t="str">
        <x:v>保守＋基盤</x:v>
      </x:c>
      <x:c r="D38" s="180" t="str"/>
    </x:row>
    <x:row r="39">
      <x:c r="A39" s="210" t="str">
        <x:v>NiFi／データ連携</x:v>
      </x:c>
      <x:c r="B39" s="173" t="str">
        <x:v>U-SLIM独自処理失敗の一次対応</x:v>
      </x:c>
      <x:c r="C39" s="173" t="str">
        <x:v>複数チーム共同</x:v>
      </x:c>
      <x:c r="D39" s="180" t="str"/>
    </x:row>
    <x:row r="40">
      <x:c r="A40" s="210" t="str">
        <x:v>NiFi／データ連携</x:v>
      </x:c>
      <x:c r="B40" s="173" t="str">
        <x:v>U-SLIM独自処理失敗の一次対応</x:v>
      </x:c>
      <x:c r="C40" s="173" t="str">
        <x:v>未決定</x:v>
      </x:c>
      <x:c r="D40" s="180" t="str"/>
    </x:row>
    <x:row r="41">
      <x:c r="A41" s="210" t="str">
        <x:v>NiFi／データ連携</x:v>
      </x:c>
      <x:c r="B41" s="173" t="str">
        <x:v>U-SLIM独自処理失敗の一次対応</x:v>
      </x:c>
      <x:c r="C41" s="173" t="str">
        <x:v>その他</x:v>
      </x:c>
      <x:c r="D41" s="180" t="str"/>
    </x:row>
    <x:row r="42">
      <x:c r="A42" s="210" t="str">
        <x:v>NiFi／データ連携</x:v>
      </x:c>
      <x:c r="B42" s="173" t="str">
        <x:v>停止・遅延の監視主体</x:v>
      </x:c>
      <x:c r="C42" s="173" t="str">
        <x:v>基盤側のみで監視</x:v>
      </x:c>
      <x:c r="D42" s="180" t="str"/>
    </x:row>
    <x:row r="43">
      <x:c r="A43" s="210" t="str">
        <x:v>NiFi／データ連携</x:v>
      </x:c>
      <x:c r="B43" s="173" t="str">
        <x:v>停止・遅延の監視主体</x:v>
      </x:c>
      <x:c r="C43" s="173" t="str">
        <x:v>U-SLIM側でも監視</x:v>
      </x:c>
      <x:c r="D43" s="180" t="str"/>
    </x:row>
    <x:row r="44">
      <x:c r="A44" s="210" t="str">
        <x:v>NiFi／データ連携</x:v>
      </x:c>
      <x:c r="B44" s="173" t="str">
        <x:v>停止・遅延の監視主体</x:v>
      </x:c>
      <x:c r="C44" s="173" t="str">
        <x:v>基盤とU-SLIMの両方で監視</x:v>
      </x:c>
      <x:c r="D44" s="180" t="str"/>
    </x:row>
    <x:row r="45">
      <x:c r="A45" s="210" t="str">
        <x:v>NiFi／データ連携</x:v>
      </x:c>
      <x:c r="B45" s="173" t="str">
        <x:v>停止・遅延の監視主体</x:v>
      </x:c>
      <x:c r="C45" s="173" t="str">
        <x:v>外部監視に集約</x:v>
      </x:c>
      <x:c r="D45" s="180" t="str"/>
    </x:row>
    <x:row r="46">
      <x:c r="A46" s="210" t="str">
        <x:v>NiFi／データ連携</x:v>
      </x:c>
      <x:c r="B46" s="173" t="str">
        <x:v>停止・遅延の監視主体</x:v>
      </x:c>
      <x:c r="C46" s="173" t="str">
        <x:v>現状運用を継続</x:v>
      </x:c>
      <x:c r="D46" s="180" t="str"/>
    </x:row>
    <x:row r="47">
      <x:c r="A47" s="210" t="str">
        <x:v>NiFi／データ連携</x:v>
      </x:c>
      <x:c r="B47" s="173" t="str">
        <x:v>停止・遅延の監視主体</x:v>
      </x:c>
      <x:c r="C47" s="173" t="str">
        <x:v>未決定</x:v>
      </x:c>
      <x:c r="D47" s="180" t="str"/>
    </x:row>
    <x:row r="48">
      <x:c r="A48" s="210" t="str">
        <x:v>NiFi／データ連携</x:v>
      </x:c>
      <x:c r="B48" s="173" t="str">
        <x:v>復旧手順</x:v>
      </x:c>
      <x:c r="C48" s="173" t="str">
        <x:v>新規に標準手順書を作成</x:v>
      </x:c>
      <x:c r="D48" s="180" t="str"/>
    </x:row>
    <x:row r="49">
      <x:c r="A49" s="210" t="str">
        <x:v>NiFi／データ連携</x:v>
      </x:c>
      <x:c r="B49" s="173" t="str">
        <x:v>復旧手順</x:v>
      </x:c>
      <x:c r="C49" s="173" t="str">
        <x:v>既存事例を標準手順化</x:v>
      </x:c>
      <x:c r="D49" s="180" t="str"/>
    </x:row>
    <x:row r="50">
      <x:c r="A50" s="210" t="str">
        <x:v>NiFi／データ連携</x:v>
      </x:c>
      <x:c r="B50" s="173" t="str">
        <x:v>復旧手順</x:v>
      </x:c>
      <x:c r="C50" s="173" t="str">
        <x:v>ケース別手順を複数作成</x:v>
      </x:c>
      <x:c r="D50" s="180" t="str"/>
    </x:row>
    <x:row r="51">
      <x:c r="A51" s="210" t="str">
        <x:v>NiFi／データ連携</x:v>
      </x:c>
      <x:c r="B51" s="173" t="str">
        <x:v>復旧手順</x:v>
      </x:c>
      <x:c r="C51" s="173" t="str">
        <x:v>現状の個別判断を継続</x:v>
      </x:c>
      <x:c r="D51" s="180" t="str"/>
    </x:row>
    <x:row r="52">
      <x:c r="A52" s="210" t="str">
        <x:v>NiFi／データ連携</x:v>
      </x:c>
      <x:c r="B52" s="173" t="str">
        <x:v>復旧手順</x:v>
      </x:c>
      <x:c r="C52" s="173" t="str">
        <x:v>対象外</x:v>
      </x:c>
      <x:c r="D52" s="180" t="str"/>
    </x:row>
    <x:row r="53">
      <x:c r="A53" s="210" t="str">
        <x:v>NiFi／データ連携</x:v>
      </x:c>
      <x:c r="B53" s="173" t="str">
        <x:v>復旧手順</x:v>
      </x:c>
      <x:c r="C53" s="173" t="str">
        <x:v>未決定</x:v>
      </x:c>
      <x:c r="D53" s="180" t="str"/>
    </x:row>
    <x:row r="54">
      <x:c r="A54" s="210" t="str">
        <x:v>NiFi／データ連携</x:v>
      </x:c>
      <x:c r="B54" s="173" t="str">
        <x:v>復旧後データ確認</x:v>
      </x:c>
      <x:c r="C54" s="173" t="str">
        <x:v>必ず実施する</x:v>
      </x:c>
      <x:c r="D54" s="180" t="str"/>
    </x:row>
    <x:row r="55">
      <x:c r="A55" s="210" t="str">
        <x:v>NiFi／データ連携</x:v>
      </x:c>
      <x:c r="B55" s="173" t="str">
        <x:v>復旧後データ確認</x:v>
      </x:c>
      <x:c r="C55" s="173" t="str">
        <x:v>影響がある事象のみ実施</x:v>
      </x:c>
      <x:c r="D55" s="180" t="str"/>
    </x:row>
    <x:row r="56">
      <x:c r="A56" s="210" t="str">
        <x:v>NiFi／データ連携</x:v>
      </x:c>
      <x:c r="B56" s="173" t="str">
        <x:v>復旧後データ確認</x:v>
      </x:c>
      <x:c r="C56" s="173" t="str">
        <x:v>基盤側のみ実施</x:v>
      </x:c>
      <x:c r="D56" s="180" t="str"/>
    </x:row>
    <x:row r="57">
      <x:c r="A57" s="210" t="str">
        <x:v>NiFi／データ連携</x:v>
      </x:c>
      <x:c r="B57" s="173" t="str">
        <x:v>復旧後データ確認</x:v>
      </x:c>
      <x:c r="C57" s="173" t="str">
        <x:v>U-SLIM側のみ実施</x:v>
      </x:c>
      <x:c r="D57" s="180" t="str"/>
    </x:row>
    <x:row r="58">
      <x:c r="A58" s="210" t="str">
        <x:v>NiFi／データ連携</x:v>
      </x:c>
      <x:c r="B58" s="173" t="str">
        <x:v>復旧後データ確認</x:v>
      </x:c>
      <x:c r="C58" s="173" t="str">
        <x:v>実施不要</x:v>
      </x:c>
      <x:c r="D58" s="180" t="str"/>
    </x:row>
    <x:row r="59">
      <x:c r="A59" s="210" t="str">
        <x:v>NiFi／データ連携</x:v>
      </x:c>
      <x:c r="B59" s="173" t="str">
        <x:v>復旧後データ確認</x:v>
      </x:c>
      <x:c r="C59" s="173" t="str">
        <x:v>未決定</x:v>
      </x:c>
      <x:c r="D59" s="180" t="str"/>
    </x:row>
    <x:row r="60">
      <x:c r="A60" s="210" t="str">
        <x:v>NiFi／データ連携</x:v>
      </x:c>
      <x:c r="B60" s="173" t="str">
        <x:v>Upsert・重複防止</x:v>
      </x:c>
      <x:c r="C60" s="173" t="str">
        <x:v>全対象でUpsert・一意キー確認済み</x:v>
      </x:c>
      <x:c r="D60" s="180" t="str"/>
    </x:row>
    <x:row r="61">
      <x:c r="A61" s="210" t="str">
        <x:v>NiFi／データ連携</x:v>
      </x:c>
      <x:c r="B61" s="173" t="str">
        <x:v>Upsert・重複防止</x:v>
      </x:c>
      <x:c r="C61" s="173" t="str">
        <x:v>一部処理のみUpsert</x:v>
      </x:c>
      <x:c r="D61" s="180" t="str"/>
    </x:row>
    <x:row r="62">
      <x:c r="A62" s="210" t="str">
        <x:v>NiFi／データ連携</x:v>
      </x:c>
      <x:c r="B62" s="173" t="str">
        <x:v>Upsert・重複防止</x:v>
      </x:c>
      <x:c r="C62" s="173" t="str">
        <x:v>Upsertだが一意キー未確認</x:v>
      </x:c>
      <x:c r="D62" s="180" t="str"/>
    </x:row>
    <x:row r="63">
      <x:c r="A63" s="210" t="str">
        <x:v>NiFi／データ連携</x:v>
      </x:c>
      <x:c r="B63" s="173" t="str">
        <x:v>Upsert・重複防止</x:v>
      </x:c>
      <x:c r="C63" s="173" t="str">
        <x:v>Upsert以外の処理あり</x:v>
      </x:c>
      <x:c r="D63" s="180" t="str"/>
    </x:row>
    <x:row r="64">
      <x:c r="A64" s="210" t="str">
        <x:v>NiFi／データ連携</x:v>
      </x:c>
      <x:c r="B64" s="173" t="str">
        <x:v>Upsert・重複防止</x:v>
      </x:c>
      <x:c r="C64" s="173" t="str">
        <x:v>実装状況を確認できない</x:v>
      </x:c>
      <x:c r="D64" s="180" t="str"/>
    </x:row>
    <x:row r="65">
      <x:c r="A65" s="210" t="str">
        <x:v>NiFi／データ連携</x:v>
      </x:c>
      <x:c r="B65" s="173" t="str">
        <x:v>Upsert・重複防止</x:v>
      </x:c>
      <x:c r="C65" s="173" t="str">
        <x:v>未決定</x:v>
      </x:c>
      <x:c r="D65" s="180" t="str"/>
    </x:row>
    <x:row r="66">
      <x:c r="A66" s="210" t="str">
        <x:v>責任分界</x:v>
      </x:c>
      <x:c r="B66" s="173" t="str">
        <x:v>異常検知</x:v>
      </x:c>
      <x:c r="C66" s="173" t="str">
        <x:v>U-SLIMアプリ担当</x:v>
      </x:c>
      <x:c r="D66" s="180" t="str"/>
    </x:row>
    <x:row r="67">
      <x:c r="A67" s="210" t="str">
        <x:v>責任分界</x:v>
      </x:c>
      <x:c r="B67" s="173" t="str">
        <x:v>異常検知</x:v>
      </x:c>
      <x:c r="C67" s="173" t="str">
        <x:v>基盤チーム</x:v>
      </x:c>
      <x:c r="D67" s="180" t="str"/>
    </x:row>
    <x:row r="68">
      <x:c r="A68" s="210" t="str">
        <x:v>責任分界</x:v>
      </x:c>
      <x:c r="B68" s="173" t="str">
        <x:v>異常検知</x:v>
      </x:c>
      <x:c r="C68" s="173" t="str">
        <x:v>インフラ担当</x:v>
      </x:c>
      <x:c r="D68" s="180" t="str"/>
    </x:row>
    <x:row r="69">
      <x:c r="A69" s="210" t="str">
        <x:v>責任分界</x:v>
      </x:c>
      <x:c r="B69" s="173" t="str">
        <x:v>異常検知</x:v>
      </x:c>
      <x:c r="C69" s="173" t="str">
        <x:v>保守チーム</x:v>
      </x:c>
      <x:c r="D69" s="180" t="str"/>
    </x:row>
    <x:row r="70">
      <x:c r="A70" s="210" t="str">
        <x:v>責任分界</x:v>
      </x:c>
      <x:c r="B70" s="173" t="str">
        <x:v>異常検知</x:v>
      </x:c>
      <x:c r="C70" s="173" t="str">
        <x:v>監視窓口に集約</x:v>
      </x:c>
      <x:c r="D70" s="180" t="str"/>
    </x:row>
    <x:row r="71">
      <x:c r="A71" s="210" t="str">
        <x:v>責任分界</x:v>
      </x:c>
      <x:c r="B71" s="173" t="str">
        <x:v>異常検知</x:v>
      </x:c>
      <x:c r="C71" s="173" t="str">
        <x:v>事象ごとに異なる</x:v>
      </x:c>
      <x:c r="D71" s="180" t="str"/>
    </x:row>
    <x:row r="72">
      <x:c r="A72" s="210" t="str">
        <x:v>責任分界</x:v>
      </x:c>
      <x:c r="B72" s="173" t="str">
        <x:v>異常検知</x:v>
      </x:c>
      <x:c r="C72" s="173" t="str">
        <x:v>未決定</x:v>
      </x:c>
      <x:c r="D72" s="180" t="str"/>
    </x:row>
    <x:row r="73">
      <x:c r="A73" s="210" t="str">
        <x:v>責任分界</x:v>
      </x:c>
      <x:c r="B73" s="173" t="str">
        <x:v>一次調査</x:v>
      </x:c>
      <x:c r="C73" s="173" t="str">
        <x:v>U-SLIMアプリ担当</x:v>
      </x:c>
      <x:c r="D73" s="180" t="str"/>
    </x:row>
    <x:row r="74">
      <x:c r="A74" s="210" t="str">
        <x:v>責任分界</x:v>
      </x:c>
      <x:c r="B74" s="173" t="str">
        <x:v>一次調査</x:v>
      </x:c>
      <x:c r="C74" s="173" t="str">
        <x:v>基盤チーム</x:v>
      </x:c>
      <x:c r="D74" s="180" t="str"/>
    </x:row>
    <x:row r="75">
      <x:c r="A75" s="210" t="str">
        <x:v>責任分界</x:v>
      </x:c>
      <x:c r="B75" s="173" t="str">
        <x:v>一次調査</x:v>
      </x:c>
      <x:c r="C75" s="173" t="str">
        <x:v>インフラ担当</x:v>
      </x:c>
      <x:c r="D75" s="180" t="str"/>
    </x:row>
    <x:row r="76">
      <x:c r="A76" s="210" t="str">
        <x:v>責任分界</x:v>
      </x:c>
      <x:c r="B76" s="173" t="str">
        <x:v>一次調査</x:v>
      </x:c>
      <x:c r="C76" s="173" t="str">
        <x:v>保守チーム</x:v>
      </x:c>
      <x:c r="D76" s="180" t="str"/>
    </x:row>
    <x:row r="77">
      <x:c r="A77" s="210" t="str">
        <x:v>責任分界</x:v>
      </x:c>
      <x:c r="B77" s="173" t="str">
        <x:v>一次調査</x:v>
      </x:c>
      <x:c r="C77" s="173" t="str">
        <x:v>事象ごとに異なる</x:v>
      </x:c>
      <x:c r="D77" s="180" t="str"/>
    </x:row>
    <x:row r="78">
      <x:c r="A78" s="210" t="str">
        <x:v>責任分界</x:v>
      </x:c>
      <x:c r="B78" s="173" t="str">
        <x:v>一次調査</x:v>
      </x:c>
      <x:c r="C78" s="173" t="str">
        <x:v>共同責任</x:v>
      </x:c>
      <x:c r="D78" s="180" t="str"/>
    </x:row>
    <x:row r="79">
      <x:c r="A79" s="210" t="str">
        <x:v>責任分界</x:v>
      </x:c>
      <x:c r="B79" s="173" t="str">
        <x:v>一次調査</x:v>
      </x:c>
      <x:c r="C79" s="173" t="str">
        <x:v>未決定</x:v>
      </x:c>
      <x:c r="D79" s="180" t="str"/>
    </x:row>
    <x:row r="80">
      <x:c r="A80" s="210" t="str">
        <x:v>責任分界</x:v>
      </x:c>
      <x:c r="B80" s="173" t="str">
        <x:v>復旧作業</x:v>
      </x:c>
      <x:c r="C80" s="173" t="str">
        <x:v>U-SLIMアプリ担当</x:v>
      </x:c>
      <x:c r="D80" s="180" t="str"/>
    </x:row>
    <x:row r="81">
      <x:c r="A81" s="210" t="str">
        <x:v>責任分界</x:v>
      </x:c>
      <x:c r="B81" s="173" t="str">
        <x:v>復旧作業</x:v>
      </x:c>
      <x:c r="C81" s="173" t="str">
        <x:v>基盤チーム</x:v>
      </x:c>
      <x:c r="D81" s="180" t="str"/>
    </x:row>
    <x:row r="82">
      <x:c r="A82" s="210" t="str">
        <x:v>責任分界</x:v>
      </x:c>
      <x:c r="B82" s="173" t="str">
        <x:v>復旧作業</x:v>
      </x:c>
      <x:c r="C82" s="173" t="str">
        <x:v>インフラ担当</x:v>
      </x:c>
      <x:c r="D82" s="180" t="str"/>
    </x:row>
    <x:row r="83">
      <x:c r="A83" s="210" t="str">
        <x:v>責任分界</x:v>
      </x:c>
      <x:c r="B83" s="173" t="str">
        <x:v>復旧作業</x:v>
      </x:c>
      <x:c r="C83" s="173" t="str">
        <x:v>保守チーム</x:v>
      </x:c>
      <x:c r="D83" s="180" t="str"/>
    </x:row>
    <x:row r="84">
      <x:c r="A84" s="210" t="str">
        <x:v>責任分界</x:v>
      </x:c>
      <x:c r="B84" s="173" t="str">
        <x:v>復旧作業</x:v>
      </x:c>
      <x:c r="C84" s="173" t="str">
        <x:v>事象ごとに異なる</x:v>
      </x:c>
      <x:c r="D84" s="180" t="str"/>
    </x:row>
    <x:row r="85">
      <x:c r="A85" s="210" t="str">
        <x:v>責任分界</x:v>
      </x:c>
      <x:c r="B85" s="173" t="str">
        <x:v>復旧作業</x:v>
      </x:c>
      <x:c r="C85" s="173" t="str">
        <x:v>共同責任</x:v>
      </x:c>
      <x:c r="D85" s="180" t="str"/>
    </x:row>
    <x:row r="86">
      <x:c r="A86" s="210" t="str">
        <x:v>責任分界</x:v>
      </x:c>
      <x:c r="B86" s="173" t="str">
        <x:v>復旧作業</x:v>
      </x:c>
      <x:c r="C86" s="173" t="str">
        <x:v>未決定</x:v>
      </x:c>
      <x:c r="D86" s="180" t="str"/>
    </x:row>
    <x:row r="87">
      <x:c r="A87" s="210" t="str">
        <x:v>責任分界</x:v>
      </x:c>
      <x:c r="B87" s="173" t="str">
        <x:v>復旧確認</x:v>
      </x:c>
      <x:c r="C87" s="173" t="str">
        <x:v>U-SLIMアプリ担当</x:v>
      </x:c>
      <x:c r="D87" s="180" t="str"/>
    </x:row>
    <x:row r="88">
      <x:c r="A88" s="210" t="str">
        <x:v>責任分界</x:v>
      </x:c>
      <x:c r="B88" s="173" t="str">
        <x:v>復旧確認</x:v>
      </x:c>
      <x:c r="C88" s="173" t="str">
        <x:v>基盤チーム</x:v>
      </x:c>
      <x:c r="D88" s="180" t="str"/>
    </x:row>
    <x:row r="89">
      <x:c r="A89" s="210" t="str">
        <x:v>責任分界</x:v>
      </x:c>
      <x:c r="B89" s="173" t="str">
        <x:v>復旧確認</x:v>
      </x:c>
      <x:c r="C89" s="173" t="str">
        <x:v>インフラ担当</x:v>
      </x:c>
      <x:c r="D89" s="180" t="str"/>
    </x:row>
    <x:row r="90">
      <x:c r="A90" s="210" t="str">
        <x:v>責任分界</x:v>
      </x:c>
      <x:c r="B90" s="173" t="str">
        <x:v>復旧確認</x:v>
      </x:c>
      <x:c r="C90" s="173" t="str">
        <x:v>保守チーム</x:v>
      </x:c>
      <x:c r="D90" s="180" t="str"/>
    </x:row>
    <x:row r="91">
      <x:c r="A91" s="210" t="str">
        <x:v>責任分界</x:v>
      </x:c>
      <x:c r="B91" s="173" t="str">
        <x:v>復旧確認</x:v>
      </x:c>
      <x:c r="C91" s="173" t="str">
        <x:v>事象ごとに異なる</x:v>
      </x:c>
      <x:c r="D91" s="180" t="str"/>
    </x:row>
    <x:row r="92">
      <x:c r="A92" s="210" t="str">
        <x:v>責任分界</x:v>
      </x:c>
      <x:c r="B92" s="173" t="str">
        <x:v>復旧確認</x:v>
      </x:c>
      <x:c r="C92" s="173" t="str">
        <x:v>共同確認</x:v>
      </x:c>
      <x:c r="D92" s="180" t="str"/>
    </x:row>
    <x:row r="93">
      <x:c r="A93" s="210" t="str">
        <x:v>責任分界</x:v>
      </x:c>
      <x:c r="B93" s="173" t="str">
        <x:v>復旧確認</x:v>
      </x:c>
      <x:c r="C93" s="173" t="str">
        <x:v>未決定</x:v>
      </x:c>
      <x:c r="D93" s="180" t="str"/>
    </x:row>
    <x:row r="94">
      <x:c r="A94" s="210" t="str">
        <x:v>責任・承認</x:v>
      </x:c>
      <x:c r="B94" s="173" t="str">
        <x:v>障害対応の最終責任者</x:v>
      </x:c>
      <x:c r="C94" s="173" t="str">
        <x:v>PM</x:v>
      </x:c>
      <x:c r="D94" s="180" t="str"/>
    </x:row>
    <x:row r="95">
      <x:c r="A95" s="210" t="str">
        <x:v>責任・承認</x:v>
      </x:c>
      <x:c r="B95" s="173" t="str">
        <x:v>障害対応の最終責任者</x:v>
      </x:c>
      <x:c r="C95" s="173" t="str">
        <x:v>PO</x:v>
      </x:c>
      <x:c r="D95" s="180" t="str"/>
    </x:row>
    <x:row r="96">
      <x:c r="A96" s="210" t="str">
        <x:v>責任・承認</x:v>
      </x:c>
      <x:c r="B96" s="173" t="str">
        <x:v>障害対応の最終責任者</x:v>
      </x:c>
      <x:c r="C96" s="173" t="str">
        <x:v>U-SLIM運用責任者</x:v>
      </x:c>
      <x:c r="D96" s="180" t="str"/>
    </x:row>
    <x:row r="97">
      <x:c r="A97" s="210" t="str">
        <x:v>責任・承認</x:v>
      </x:c>
      <x:c r="B97" s="173" t="str">
        <x:v>障害対応の最終責任者</x:v>
      </x:c>
      <x:c r="C97" s="173" t="str">
        <x:v>障害対応リーダー</x:v>
      </x:c>
      <x:c r="D97" s="180" t="str"/>
    </x:row>
    <x:row r="98">
      <x:c r="A98" s="210" t="str">
        <x:v>責任・承認</x:v>
      </x:c>
      <x:c r="B98" s="173" t="str">
        <x:v>障害対応の最終責任者</x:v>
      </x:c>
      <x:c r="C98" s="173" t="str">
        <x:v>顧客側責任者</x:v>
      </x:c>
      <x:c r="D98" s="180" t="str"/>
    </x:row>
    <x:row r="99">
      <x:c r="A99" s="210" t="str">
        <x:v>責任・承認</x:v>
      </x:c>
      <x:c r="B99" s="173" t="str">
        <x:v>障害対応の最終責任者</x:v>
      </x:c>
      <x:c r="C99" s="173" t="str">
        <x:v>事象ごとに異なる</x:v>
      </x:c>
      <x:c r="D99" s="180" t="str"/>
    </x:row>
    <x:row r="100">
      <x:c r="A100" s="210" t="str">
        <x:v>責任・承認</x:v>
      </x:c>
      <x:c r="B100" s="173" t="str">
        <x:v>障害対応の最終責任者</x:v>
      </x:c>
      <x:c r="C100" s="173" t="str">
        <x:v>未決定</x:v>
      </x:c>
      <x:c r="D100" s="180" t="str"/>
    </x:row>
    <x:row r="101">
      <x:c r="A101" s="210" t="str">
        <x:v>責任・承認</x:v>
      </x:c>
      <x:c r="B101" s="173" t="str">
        <x:v>障害対応の最終責任者</x:v>
      </x:c>
      <x:c r="C101" s="173" t="str">
        <x:v>その他</x:v>
      </x:c>
      <x:c r="D101" s="180" t="str"/>
    </x:row>
    <x:row r="102">
      <x:c r="A102" s="210" t="str">
        <x:v>責任・承認</x:v>
      </x:c>
      <x:c r="B102" s="173" t="str">
        <x:v>暫定対応の承認</x:v>
      </x:c>
      <x:c r="C102" s="173" t="str">
        <x:v>PM</x:v>
      </x:c>
      <x:c r="D102" s="180" t="str"/>
    </x:row>
    <x:row r="103">
      <x:c r="A103" s="210" t="str">
        <x:v>責任・承認</x:v>
      </x:c>
      <x:c r="B103" s="173" t="str">
        <x:v>暫定対応の承認</x:v>
      </x:c>
      <x:c r="C103" s="173" t="str">
        <x:v>PO</x:v>
      </x:c>
      <x:c r="D103" s="180" t="str"/>
    </x:row>
    <x:row r="104">
      <x:c r="A104" s="210" t="str">
        <x:v>責任・承認</x:v>
      </x:c>
      <x:c r="B104" s="173" t="str">
        <x:v>暫定対応の承認</x:v>
      </x:c>
      <x:c r="C104" s="173" t="str">
        <x:v>PM＋PO</x:v>
      </x:c>
      <x:c r="D104" s="180" t="str"/>
    </x:row>
    <x:row r="105">
      <x:c r="A105" s="210" t="str">
        <x:v>責任・承認</x:v>
      </x:c>
      <x:c r="B105" s="173" t="str">
        <x:v>暫定対応の承認</x:v>
      </x:c>
      <x:c r="C105" s="173" t="str">
        <x:v>技術責任者</x:v>
      </x:c>
      <x:c r="D105" s="180" t="str"/>
    </x:row>
    <x:row r="106">
      <x:c r="A106" s="210" t="str">
        <x:v>責任・承認</x:v>
      </x:c>
      <x:c r="B106" s="173" t="str">
        <x:v>暫定対応の承認</x:v>
      </x:c>
      <x:c r="C106" s="173" t="str">
        <x:v>顧客側責任者</x:v>
      </x:c>
      <x:c r="D106" s="180" t="str"/>
    </x:row>
    <x:row r="107">
      <x:c r="A107" s="210" t="str">
        <x:v>責任・承認</x:v>
      </x:c>
      <x:c r="B107" s="173" t="str">
        <x:v>暫定対応の承認</x:v>
      </x:c>
      <x:c r="C107" s="173" t="str">
        <x:v>承認不要</x:v>
      </x:c>
      <x:c r="D107" s="180" t="str"/>
    </x:row>
    <x:row r="108">
      <x:c r="A108" s="210" t="str">
        <x:v>責任・承認</x:v>
      </x:c>
      <x:c r="B108" s="173" t="str">
        <x:v>暫定対応の承認</x:v>
      </x:c>
      <x:c r="C108" s="173" t="str">
        <x:v>事象ごとに異なる</x:v>
      </x:c>
      <x:c r="D108" s="180" t="str"/>
    </x:row>
    <x:row r="109">
      <x:c r="A109" s="210" t="str">
        <x:v>責任・承認</x:v>
      </x:c>
      <x:c r="B109" s="173" t="str">
        <x:v>暫定対応の承認</x:v>
      </x:c>
      <x:c r="C109" s="173" t="str">
        <x:v>未決定</x:v>
      </x:c>
      <x:c r="D109" s="180" t="str"/>
    </x:row>
    <x:row r="110">
      <x:c r="A110" s="210" t="str">
        <x:v>責任・承認</x:v>
      </x:c>
      <x:c r="B110" s="173" t="str">
        <x:v>暫定対応の承認</x:v>
      </x:c>
      <x:c r="C110" s="173" t="str">
        <x:v>その他</x:v>
      </x:c>
      <x:c r="D110" s="180" t="str"/>
    </x:row>
    <x:row r="111">
      <x:c r="A111" s="210" t="str">
        <x:v>責任・承認</x:v>
      </x:c>
      <x:c r="B111" s="173" t="str">
        <x:v>恒久対応の承認</x:v>
      </x:c>
      <x:c r="C111" s="173" t="str">
        <x:v>PM</x:v>
      </x:c>
      <x:c r="D111" s="180" t="str"/>
    </x:row>
    <x:row r="112">
      <x:c r="A112" s="210" t="str">
        <x:v>責任・承認</x:v>
      </x:c>
      <x:c r="B112" s="173" t="str">
        <x:v>恒久対応の承認</x:v>
      </x:c>
      <x:c r="C112" s="173" t="str">
        <x:v>PO</x:v>
      </x:c>
      <x:c r="D112" s="180" t="str"/>
    </x:row>
    <x:row r="113">
      <x:c r="A113" s="210" t="str">
        <x:v>責任・承認</x:v>
      </x:c>
      <x:c r="B113" s="173" t="str">
        <x:v>恒久対応の承認</x:v>
      </x:c>
      <x:c r="C113" s="173" t="str">
        <x:v>PM＋PO</x:v>
      </x:c>
      <x:c r="D113" s="180" t="str"/>
    </x:row>
    <x:row r="114">
      <x:c r="A114" s="210" t="str">
        <x:v>責任・承認</x:v>
      </x:c>
      <x:c r="B114" s="173" t="str">
        <x:v>恒久対応の承認</x:v>
      </x:c>
      <x:c r="C114" s="173" t="str">
        <x:v>技術責任者</x:v>
      </x:c>
      <x:c r="D114" s="180" t="str"/>
    </x:row>
    <x:row r="115">
      <x:c r="A115" s="210" t="str">
        <x:v>責任・承認</x:v>
      </x:c>
      <x:c r="B115" s="173" t="str">
        <x:v>恒久対応の承認</x:v>
      </x:c>
      <x:c r="C115" s="173" t="str">
        <x:v>顧客側責任者</x:v>
      </x:c>
      <x:c r="D115" s="180" t="str"/>
    </x:row>
    <x:row r="116">
      <x:c r="A116" s="210" t="str">
        <x:v>責任・承認</x:v>
      </x:c>
      <x:c r="B116" s="173" t="str">
        <x:v>恒久対応の承認</x:v>
      </x:c>
      <x:c r="C116" s="173" t="str">
        <x:v>事象ごとに異なる</x:v>
      </x:c>
      <x:c r="D116" s="180" t="str"/>
    </x:row>
    <x:row r="117">
      <x:c r="A117" s="210" t="str">
        <x:v>責任・承認</x:v>
      </x:c>
      <x:c r="B117" s="173" t="str">
        <x:v>恒久対応の承認</x:v>
      </x:c>
      <x:c r="C117" s="173" t="str">
        <x:v>未決定</x:v>
      </x:c>
      <x:c r="D117" s="180" t="str"/>
    </x:row>
    <x:row r="118">
      <x:c r="A118" s="210" t="str">
        <x:v>責任・承認</x:v>
      </x:c>
      <x:c r="B118" s="173" t="str">
        <x:v>恒久対応の承認</x:v>
      </x:c>
      <x:c r="C118" s="173" t="str">
        <x:v>その他</x:v>
      </x:c>
      <x:c r="D118" s="180" t="str"/>
    </x:row>
    <x:row r="119">
      <x:c r="A119" s="210" t="str">
        <x:v>責任・承認</x:v>
      </x:c>
      <x:c r="B119" s="173" t="str">
        <x:v>緊急リリースの承認</x:v>
      </x:c>
      <x:c r="C119" s="173" t="str">
        <x:v>PM</x:v>
      </x:c>
      <x:c r="D119" s="180" t="str"/>
    </x:row>
    <x:row r="120">
      <x:c r="A120" s="210" t="str">
        <x:v>責任・承認</x:v>
      </x:c>
      <x:c r="B120" s="173" t="str">
        <x:v>緊急リリースの承認</x:v>
      </x:c>
      <x:c r="C120" s="173" t="str">
        <x:v>PO</x:v>
      </x:c>
      <x:c r="D120" s="180" t="str"/>
    </x:row>
    <x:row r="121">
      <x:c r="A121" s="210" t="str">
        <x:v>責任・承認</x:v>
      </x:c>
      <x:c r="B121" s="173" t="str">
        <x:v>緊急リリースの承認</x:v>
      </x:c>
      <x:c r="C121" s="173" t="str">
        <x:v>PM＋PO</x:v>
      </x:c>
      <x:c r="D121" s="180" t="str"/>
    </x:row>
    <x:row r="122">
      <x:c r="A122" s="210" t="str">
        <x:v>責任・承認</x:v>
      </x:c>
      <x:c r="B122" s="173" t="str">
        <x:v>緊急リリースの承認</x:v>
      </x:c>
      <x:c r="C122" s="173" t="str">
        <x:v>技術責任者</x:v>
      </x:c>
      <x:c r="D122" s="180" t="str"/>
    </x:row>
    <x:row r="123">
      <x:c r="A123" s="210" t="str">
        <x:v>責任・承認</x:v>
      </x:c>
      <x:c r="B123" s="173" t="str">
        <x:v>緊急リリースの承認</x:v>
      </x:c>
      <x:c r="C123" s="173" t="str">
        <x:v>顧客側責任者</x:v>
      </x:c>
      <x:c r="D123" s="180" t="str"/>
    </x:row>
    <x:row r="124">
      <x:c r="A124" s="210" t="str">
        <x:v>責任・承認</x:v>
      </x:c>
      <x:c r="B124" s="173" t="str">
        <x:v>緊急リリースの承認</x:v>
      </x:c>
      <x:c r="C124" s="173" t="str">
        <x:v>事象ごとに異なる</x:v>
      </x:c>
      <x:c r="D124" s="180" t="str"/>
    </x:row>
    <x:row r="125">
      <x:c r="A125" s="210" t="str">
        <x:v>責任・承認</x:v>
      </x:c>
      <x:c r="B125" s="173" t="str">
        <x:v>緊急リリースの承認</x:v>
      </x:c>
      <x:c r="C125" s="173" t="str">
        <x:v>未決定</x:v>
      </x:c>
      <x:c r="D125" s="180" t="str"/>
    </x:row>
    <x:row r="126">
      <x:c r="A126" s="210" t="str">
        <x:v>責任・承認</x:v>
      </x:c>
      <x:c r="B126" s="173" t="str">
        <x:v>緊急リリースの承認</x:v>
      </x:c>
      <x:c r="C126" s="173" t="str">
        <x:v>その他</x:v>
      </x:c>
      <x:c r="D126" s="180" t="str"/>
    </x:row>
    <x:row r="127">
      <x:c r="A127" s="210" t="str">
        <x:v>責任・承認</x:v>
      </x:c>
      <x:c r="B127" s="173" t="str">
        <x:v>通常リリースの承認</x:v>
      </x:c>
      <x:c r="C127" s="173" t="str">
        <x:v>PM</x:v>
      </x:c>
      <x:c r="D127" s="180" t="str"/>
    </x:row>
    <x:row r="128">
      <x:c r="A128" s="210" t="str">
        <x:v>責任・承認</x:v>
      </x:c>
      <x:c r="B128" s="173" t="str">
        <x:v>通常リリースの承認</x:v>
      </x:c>
      <x:c r="C128" s="173" t="str">
        <x:v>PO</x:v>
      </x:c>
      <x:c r="D128" s="180" t="str"/>
    </x:row>
    <x:row r="129">
      <x:c r="A129" s="210" t="str">
        <x:v>責任・承認</x:v>
      </x:c>
      <x:c r="B129" s="173" t="str">
        <x:v>通常リリースの承認</x:v>
      </x:c>
      <x:c r="C129" s="173" t="str">
        <x:v>PM＋PO</x:v>
      </x:c>
      <x:c r="D129" s="180" t="str"/>
    </x:row>
    <x:row r="130">
      <x:c r="A130" s="210" t="str">
        <x:v>責任・承認</x:v>
      </x:c>
      <x:c r="B130" s="173" t="str">
        <x:v>通常リリースの承認</x:v>
      </x:c>
      <x:c r="C130" s="173" t="str">
        <x:v>技術責任者</x:v>
      </x:c>
      <x:c r="D130" s="180" t="str"/>
    </x:row>
    <x:row r="131">
      <x:c r="A131" s="210" t="str">
        <x:v>責任・承認</x:v>
      </x:c>
      <x:c r="B131" s="173" t="str">
        <x:v>通常リリースの承認</x:v>
      </x:c>
      <x:c r="C131" s="173" t="str">
        <x:v>顧客側責任者</x:v>
      </x:c>
      <x:c r="D131" s="180" t="str"/>
    </x:row>
    <x:row r="132">
      <x:c r="A132" s="210" t="str">
        <x:v>責任・承認</x:v>
      </x:c>
      <x:c r="B132" s="173" t="str">
        <x:v>通常リリースの承認</x:v>
      </x:c>
      <x:c r="C132" s="173" t="str">
        <x:v>既存リリースフローに従う</x:v>
      </x:c>
      <x:c r="D132" s="180" t="str"/>
    </x:row>
    <x:row r="133">
      <x:c r="A133" s="210" t="str">
        <x:v>責任・承認</x:v>
      </x:c>
      <x:c r="B133" s="173" t="str">
        <x:v>通常リリースの承認</x:v>
      </x:c>
      <x:c r="C133" s="173" t="str">
        <x:v>事象ごとに異なる</x:v>
      </x:c>
      <x:c r="D133" s="180" t="str"/>
    </x:row>
    <x:row r="134">
      <x:c r="A134" s="210" t="str">
        <x:v>責任・承認</x:v>
      </x:c>
      <x:c r="B134" s="173" t="str">
        <x:v>通常リリースの承認</x:v>
      </x:c>
      <x:c r="C134" s="173" t="str">
        <x:v>未決定</x:v>
      </x:c>
      <x:c r="D134" s="180" t="str"/>
    </x:row>
    <x:row r="135">
      <x:c r="A135" s="210" t="str">
        <x:v>責任・承認</x:v>
      </x:c>
      <x:c r="B135" s="173" t="str">
        <x:v>通常リリースの承認</x:v>
      </x:c>
      <x:c r="C135" s="173" t="str">
        <x:v>その他</x:v>
      </x:c>
      <x:c r="D135" s="180" t="str"/>
    </x:row>
    <x:row r="136">
      <x:c r="A136" s="210" t="str">
        <x:v>責任・承認</x:v>
      </x:c>
      <x:c r="B136" s="173" t="str">
        <x:v>障害クローズの承認</x:v>
      </x:c>
      <x:c r="C136" s="173" t="str">
        <x:v>PM</x:v>
      </x:c>
      <x:c r="D136" s="180" t="str"/>
    </x:row>
    <x:row r="137">
      <x:c r="A137" s="210" t="str">
        <x:v>責任・承認</x:v>
      </x:c>
      <x:c r="B137" s="173" t="str">
        <x:v>障害クローズの承認</x:v>
      </x:c>
      <x:c r="C137" s="173" t="str">
        <x:v>PO</x:v>
      </x:c>
      <x:c r="D137" s="180" t="str"/>
    </x:row>
    <x:row r="138">
      <x:c r="A138" s="210" t="str">
        <x:v>責任・承認</x:v>
      </x:c>
      <x:c r="B138" s="173" t="str">
        <x:v>障害クローズの承認</x:v>
      </x:c>
      <x:c r="C138" s="173" t="str">
        <x:v>PM＋PO</x:v>
      </x:c>
      <x:c r="D138" s="180" t="str"/>
    </x:row>
    <x:row r="139">
      <x:c r="A139" s="210" t="str">
        <x:v>責任・承認</x:v>
      </x:c>
      <x:c r="B139" s="173" t="str">
        <x:v>障害クローズの承認</x:v>
      </x:c>
      <x:c r="C139" s="173" t="str">
        <x:v>技術責任者</x:v>
      </x:c>
      <x:c r="D139" s="180" t="str"/>
    </x:row>
    <x:row r="140">
      <x:c r="A140" s="210" t="str">
        <x:v>責任・承認</x:v>
      </x:c>
      <x:c r="B140" s="173" t="str">
        <x:v>障害クローズの承認</x:v>
      </x:c>
      <x:c r="C140" s="173" t="str">
        <x:v>顧客側責任者</x:v>
      </x:c>
      <x:c r="D140" s="180" t="str"/>
    </x:row>
    <x:row r="141">
      <x:c r="A141" s="210" t="str">
        <x:v>責任・承認</x:v>
      </x:c>
      <x:c r="B141" s="173" t="str">
        <x:v>障害クローズの承認</x:v>
      </x:c>
      <x:c r="C141" s="173" t="str">
        <x:v>第三者確認者</x:v>
      </x:c>
      <x:c r="D141" s="180" t="str"/>
    </x:row>
    <x:row r="142">
      <x:c r="A142" s="210" t="str">
        <x:v>責任・承認</x:v>
      </x:c>
      <x:c r="B142" s="173" t="str">
        <x:v>障害クローズの承認</x:v>
      </x:c>
      <x:c r="C142" s="173" t="str">
        <x:v>事象ごとに異なる</x:v>
      </x:c>
      <x:c r="D142" s="180" t="str"/>
    </x:row>
    <x:row r="143">
      <x:c r="A143" s="210" t="str">
        <x:v>責任・承認</x:v>
      </x:c>
      <x:c r="B143" s="173" t="str">
        <x:v>障害クローズの承認</x:v>
      </x:c>
      <x:c r="C143" s="173" t="str">
        <x:v>未決定</x:v>
      </x:c>
      <x:c r="D143" s="180" t="str"/>
    </x:row>
    <x:row r="144">
      <x:c r="A144" s="210" t="str">
        <x:v>責任・承認</x:v>
      </x:c>
      <x:c r="B144" s="173" t="str">
        <x:v>障害クローズの承認</x:v>
      </x:c>
      <x:c r="C144" s="173" t="str">
        <x:v>その他</x:v>
      </x:c>
      <x:c r="D144" s="180" t="str"/>
    </x:row>
    <x:row r="145">
      <x:c r="A145" s="210" t="str">
        <x:v>障害レベル</x:v>
      </x:c>
      <x:c r="B145" s="173" t="str">
        <x:v>通常運用のレベル体系</x:v>
      </x:c>
      <x:c r="C145" s="173" t="str">
        <x:v>高・中・低をそのまま正式採用</x:v>
      </x:c>
      <x:c r="D145" s="180" t="str"/>
    </x:row>
    <x:row r="146">
      <x:c r="A146" s="210" t="str">
        <x:v>障害レベル</x:v>
      </x:c>
      <x:c r="B146" s="173" t="str">
        <x:v>通常運用のレベル体系</x:v>
      </x:c>
      <x:c r="C146" s="173" t="str">
        <x:v>高・中・低を修正して採用</x:v>
      </x:c>
      <x:c r="D146" s="180" t="str"/>
    </x:row>
    <x:row r="147">
      <x:c r="A147" s="210" t="str">
        <x:v>障害レベル</x:v>
      </x:c>
      <x:c r="B147" s="173" t="str">
        <x:v>通常運用のレベル体系</x:v>
      </x:c>
      <x:c r="C147" s="173" t="str">
        <x:v>Level1～4へ統合</x:v>
      </x:c>
      <x:c r="D147" s="180" t="str"/>
    </x:row>
    <x:row r="148">
      <x:c r="A148" s="210" t="str">
        <x:v>障害レベル</x:v>
      </x:c>
      <x:c r="B148" s="173" t="str">
        <x:v>通常運用のレベル体系</x:v>
      </x:c>
      <x:c r="C148" s="173" t="str">
        <x:v>長期休暇用と通常運用を分離</x:v>
      </x:c>
      <x:c r="D148" s="180" t="str"/>
    </x:row>
    <x:row r="149">
      <x:c r="A149" s="210" t="str">
        <x:v>障害レベル</x:v>
      </x:c>
      <x:c r="B149" s="173" t="str">
        <x:v>通常運用のレベル体系</x:v>
      </x:c>
      <x:c r="C149" s="173" t="str">
        <x:v>別のレベル体系を新設</x:v>
      </x:c>
      <x:c r="D149" s="180" t="str"/>
    </x:row>
    <x:row r="150">
      <x:c r="A150" s="210" t="str">
        <x:v>障害レベル</x:v>
      </x:c>
      <x:c r="B150" s="173" t="str">
        <x:v>通常運用のレベル体系</x:v>
      </x:c>
      <x:c r="C150" s="173" t="str">
        <x:v>未決定</x:v>
      </x:c>
      <x:c r="D150" s="180" t="str"/>
    </x:row>
    <x:row r="151">
      <x:c r="A151" s="210" t="str">
        <x:v>障害レベル</x:v>
      </x:c>
      <x:c r="B151" s="173" t="str">
        <x:v>サービス全体利用不可</x:v>
      </x:c>
      <x:c r="C151" s="173" t="str">
        <x:v>Level1（極小）</x:v>
      </x:c>
      <x:c r="D151" s="180" t="str"/>
    </x:row>
    <x:row r="152">
      <x:c r="A152" s="210" t="str">
        <x:v>障害レベル</x:v>
      </x:c>
      <x:c r="B152" s="173" t="str">
        <x:v>サービス全体利用不可</x:v>
      </x:c>
      <x:c r="C152" s="173" t="str">
        <x:v>Level2（小）</x:v>
      </x:c>
      <x:c r="D152" s="180" t="str"/>
    </x:row>
    <x:row r="153">
      <x:c r="A153" s="210" t="str">
        <x:v>障害レベル</x:v>
      </x:c>
      <x:c r="B153" s="173" t="str">
        <x:v>サービス全体利用不可</x:v>
      </x:c>
      <x:c r="C153" s="173" t="str">
        <x:v>Level3（大）</x:v>
      </x:c>
      <x:c r="D153" s="180" t="str"/>
    </x:row>
    <x:row r="154">
      <x:c r="A154" s="210" t="str">
        <x:v>障害レベル</x:v>
      </x:c>
      <x:c r="B154" s="173" t="str">
        <x:v>サービス全体利用不可</x:v>
      </x:c>
      <x:c r="C154" s="173" t="str">
        <x:v>Level4（極大）</x:v>
      </x:c>
      <x:c r="D154" s="180" t="str"/>
    </x:row>
    <x:row r="155">
      <x:c r="A155" s="210" t="str">
        <x:v>障害レベル</x:v>
      </x:c>
      <x:c r="B155" s="173" t="str">
        <x:v>サービス全体利用不可</x:v>
      </x:c>
      <x:c r="C155" s="173" t="str">
        <x:v>Level1～4とは別管理</x:v>
      </x:c>
      <x:c r="D155" s="180" t="str"/>
    </x:row>
    <x:row r="156">
      <x:c r="A156" s="210" t="str">
        <x:v>障害レベル</x:v>
      </x:c>
      <x:c r="B156" s="173" t="str">
        <x:v>サービス全体利用不可</x:v>
      </x:c>
      <x:c r="C156" s="173" t="str">
        <x:v>未決定</x:v>
      </x:c>
      <x:c r="D156" s="180" t="str"/>
    </x:row>
    <x:row r="157">
      <x:c r="A157" s="210" t="str">
        <x:v>障害レベル</x:v>
      </x:c>
      <x:c r="B157" s="173" t="str">
        <x:v>一部機能利用不可</x:v>
      </x:c>
      <x:c r="C157" s="173" t="str">
        <x:v>Level1（極小）</x:v>
      </x:c>
      <x:c r="D157" s="180" t="str"/>
    </x:row>
    <x:row r="158">
      <x:c r="A158" s="210" t="str">
        <x:v>障害レベル</x:v>
      </x:c>
      <x:c r="B158" s="173" t="str">
        <x:v>一部機能利用不可</x:v>
      </x:c>
      <x:c r="C158" s="173" t="str">
        <x:v>Level2（小）</x:v>
      </x:c>
      <x:c r="D158" s="180" t="str"/>
    </x:row>
    <x:row r="159">
      <x:c r="A159" s="210" t="str">
        <x:v>障害レベル</x:v>
      </x:c>
      <x:c r="B159" s="173" t="str">
        <x:v>一部機能利用不可</x:v>
      </x:c>
      <x:c r="C159" s="173" t="str">
        <x:v>Level3（大）</x:v>
      </x:c>
      <x:c r="D159" s="180" t="str"/>
    </x:row>
    <x:row r="160">
      <x:c r="A160" s="210" t="str">
        <x:v>障害レベル</x:v>
      </x:c>
      <x:c r="B160" s="173" t="str">
        <x:v>一部機能利用不可</x:v>
      </x:c>
      <x:c r="C160" s="173" t="str">
        <x:v>Level4（極大）</x:v>
      </x:c>
      <x:c r="D160" s="180" t="str"/>
    </x:row>
    <x:row r="161">
      <x:c r="A161" s="210" t="str">
        <x:v>障害レベル</x:v>
      </x:c>
      <x:c r="B161" s="173" t="str">
        <x:v>一部機能利用不可</x:v>
      </x:c>
      <x:c r="C161" s="173" t="str">
        <x:v>重要機能かどうかで変える</x:v>
      </x:c>
      <x:c r="D161" s="180" t="str"/>
    </x:row>
    <x:row r="162">
      <x:c r="A162" s="210" t="str">
        <x:v>障害レベル</x:v>
      </x:c>
      <x:c r="B162" s="173" t="str">
        <x:v>一部機能利用不可</x:v>
      </x:c>
      <x:c r="C162" s="173" t="str">
        <x:v>Level1～4とは別管理</x:v>
      </x:c>
      <x:c r="D162" s="180" t="str"/>
    </x:row>
    <x:row r="163">
      <x:c r="A163" s="210" t="str">
        <x:v>障害レベル</x:v>
      </x:c>
      <x:c r="B163" s="173" t="str">
        <x:v>一部機能利用不可</x:v>
      </x:c>
      <x:c r="C163" s="173" t="str">
        <x:v>未決定</x:v>
      </x:c>
      <x:c r="D163" s="180" t="str"/>
    </x:row>
    <x:row r="164">
      <x:c r="A164" s="210" t="str">
        <x:v>障害レベル</x:v>
      </x:c>
      <x:c r="B164" s="173" t="str">
        <x:v>データ連携遅延</x:v>
      </x:c>
      <x:c r="C164" s="173" t="str">
        <x:v>Level1（極小）</x:v>
      </x:c>
      <x:c r="D164" s="180" t="str"/>
    </x:row>
    <x:row r="165">
      <x:c r="A165" s="210" t="str">
        <x:v>障害レベル</x:v>
      </x:c>
      <x:c r="B165" s="173" t="str">
        <x:v>データ連携遅延</x:v>
      </x:c>
      <x:c r="C165" s="173" t="str">
        <x:v>Level2（小）</x:v>
      </x:c>
      <x:c r="D165" s="180" t="str"/>
    </x:row>
    <x:row r="166">
      <x:c r="A166" s="210" t="str">
        <x:v>障害レベル</x:v>
      </x:c>
      <x:c r="B166" s="173" t="str">
        <x:v>データ連携遅延</x:v>
      </x:c>
      <x:c r="C166" s="173" t="str">
        <x:v>Level3（大）</x:v>
      </x:c>
      <x:c r="D166" s="180" t="str"/>
    </x:row>
    <x:row r="167">
      <x:c r="A167" s="210" t="str">
        <x:v>障害レベル</x:v>
      </x:c>
      <x:c r="B167" s="173" t="str">
        <x:v>データ連携遅延</x:v>
      </x:c>
      <x:c r="C167" s="173" t="str">
        <x:v>Level4（極大）</x:v>
      </x:c>
      <x:c r="D167" s="180" t="str"/>
    </x:row>
    <x:row r="168">
      <x:c r="A168" s="210" t="str">
        <x:v>障害レベル</x:v>
      </x:c>
      <x:c r="B168" s="173" t="str">
        <x:v>データ連携遅延</x:v>
      </x:c>
      <x:c r="C168" s="173" t="str">
        <x:v>遅延時間・影響範囲で変える</x:v>
      </x:c>
      <x:c r="D168" s="180" t="str"/>
    </x:row>
    <x:row r="169">
      <x:c r="A169" s="210" t="str">
        <x:v>障害レベル</x:v>
      </x:c>
      <x:c r="B169" s="173" t="str">
        <x:v>データ連携遅延</x:v>
      </x:c>
      <x:c r="C169" s="173" t="str">
        <x:v>Level1～4とは別管理</x:v>
      </x:c>
      <x:c r="D169" s="180" t="str"/>
    </x:row>
    <x:row r="170">
      <x:c r="A170" s="210" t="str">
        <x:v>障害レベル</x:v>
      </x:c>
      <x:c r="B170" s="173" t="str">
        <x:v>データ連携遅延</x:v>
      </x:c>
      <x:c r="C170" s="173" t="str">
        <x:v>未決定</x:v>
      </x:c>
      <x:c r="D170" s="180" t="str"/>
    </x:row>
    <x:row r="171">
      <x:c r="A171" s="210" t="str">
        <x:v>障害レベル</x:v>
      </x:c>
      <x:c r="B171" s="173" t="str">
        <x:v>誤データ・他販社データ表示</x:v>
      </x:c>
      <x:c r="C171" s="173" t="str">
        <x:v>Level1（極小）</x:v>
      </x:c>
      <x:c r="D171" s="180" t="str"/>
    </x:row>
    <x:row r="172">
      <x:c r="A172" s="210" t="str">
        <x:v>障害レベル</x:v>
      </x:c>
      <x:c r="B172" s="173" t="str">
        <x:v>誤データ・他販社データ表示</x:v>
      </x:c>
      <x:c r="C172" s="173" t="str">
        <x:v>Level2（小）</x:v>
      </x:c>
      <x:c r="D172" s="180" t="str"/>
    </x:row>
    <x:row r="173">
      <x:c r="A173" s="210" t="str">
        <x:v>障害レベル</x:v>
      </x:c>
      <x:c r="B173" s="173" t="str">
        <x:v>誤データ・他販社データ表示</x:v>
      </x:c>
      <x:c r="C173" s="173" t="str">
        <x:v>Level3（大）</x:v>
      </x:c>
      <x:c r="D173" s="180" t="str"/>
    </x:row>
    <x:row r="174">
      <x:c r="A174" s="210" t="str">
        <x:v>障害レベル</x:v>
      </x:c>
      <x:c r="B174" s="173" t="str">
        <x:v>誤データ・他販社データ表示</x:v>
      </x:c>
      <x:c r="C174" s="173" t="str">
        <x:v>Level4（極大）</x:v>
      </x:c>
      <x:c r="D174" s="180" t="str"/>
    </x:row>
    <x:row r="175">
      <x:c r="A175" s="210" t="str">
        <x:v>障害レベル</x:v>
      </x:c>
      <x:c r="B175" s="173" t="str">
        <x:v>誤データ・他販社データ表示</x:v>
      </x:c>
      <x:c r="C175" s="173" t="str">
        <x:v>セキュリティ事象として別管理</x:v>
      </x:c>
      <x:c r="D175" s="180" t="str"/>
    </x:row>
    <x:row r="176">
      <x:c r="A176" s="210" t="str">
        <x:v>障害レベル</x:v>
      </x:c>
      <x:c r="B176" s="173" t="str">
        <x:v>誤データ・他販社データ表示</x:v>
      </x:c>
      <x:c r="C176" s="173" t="str">
        <x:v>障害＋セキュリティの両方で管理</x:v>
      </x:c>
      <x:c r="D176" s="180" t="str"/>
    </x:row>
    <x:row r="177">
      <x:c r="A177" s="210" t="str">
        <x:v>障害レベル</x:v>
      </x:c>
      <x:c r="B177" s="173" t="str">
        <x:v>誤データ・他販社データ表示</x:v>
      </x:c>
      <x:c r="C177" s="173" t="str">
        <x:v>未決定</x:v>
      </x:c>
      <x:c r="D177" s="180" t="str"/>
    </x:row>
    <x:row r="178">
      <x:c r="A178" s="210" t="str">
        <x:v>利用者告知</x:v>
      </x:c>
      <x:c r="B178" s="173" t="str">
        <x:v>サービス全体利用不可</x:v>
      </x:c>
      <x:c r="C178" s="173" t="str">
        <x:v>検知後すぐ</x:v>
      </x:c>
      <x:c r="D178" s="180" t="str"/>
    </x:row>
    <x:row r="179">
      <x:c r="A179" s="210" t="str">
        <x:v>利用者告知</x:v>
      </x:c>
      <x:c r="B179" s="173" t="str">
        <x:v>サービス全体利用不可</x:v>
      </x:c>
      <x:c r="C179" s="173" t="str">
        <x:v>30分以内</x:v>
      </x:c>
      <x:c r="D179" s="180" t="str"/>
    </x:row>
    <x:row r="180">
      <x:c r="A180" s="210" t="str">
        <x:v>利用者告知</x:v>
      </x:c>
      <x:c r="B180" s="173" t="str">
        <x:v>サービス全体利用不可</x:v>
      </x:c>
      <x:c r="C180" s="173" t="str">
        <x:v>1時間以内</x:v>
      </x:c>
      <x:c r="D180" s="180" t="str"/>
    </x:row>
    <x:row r="181">
      <x:c r="A181" s="210" t="str">
        <x:v>利用者告知</x:v>
      </x:c>
      <x:c r="B181" s="173" t="str">
        <x:v>サービス全体利用不可</x:v>
      </x:c>
      <x:c r="C181" s="173" t="str">
        <x:v>3時間以内</x:v>
      </x:c>
      <x:c r="D181" s="180" t="str"/>
    </x:row>
    <x:row r="182">
      <x:c r="A182" s="210" t="str">
        <x:v>利用者告知</x:v>
      </x:c>
      <x:c r="B182" s="173" t="str">
        <x:v>サービス全体利用不可</x:v>
      </x:c>
      <x:c r="C182" s="173" t="str">
        <x:v>24時間未解消時</x:v>
      </x:c>
      <x:c r="D182" s="180" t="str"/>
    </x:row>
    <x:row r="183">
      <x:c r="A183" s="210" t="str">
        <x:v>利用者告知</x:v>
      </x:c>
      <x:c r="B183" s="173" t="str">
        <x:v>サービス全体利用不可</x:v>
      </x:c>
      <x:c r="C183" s="173" t="str">
        <x:v>個別判断</x:v>
      </x:c>
      <x:c r="D183" s="180" t="str"/>
    </x:row>
    <x:row r="184">
      <x:c r="A184" s="210" t="str">
        <x:v>利用者告知</x:v>
      </x:c>
      <x:c r="B184" s="173" t="str">
        <x:v>サービス全体利用不可</x:v>
      </x:c>
      <x:c r="C184" s="173" t="str">
        <x:v>告知しない</x:v>
      </x:c>
      <x:c r="D184" s="180" t="str"/>
    </x:row>
    <x:row r="185">
      <x:c r="A185" s="210" t="str">
        <x:v>利用者告知</x:v>
      </x:c>
      <x:c r="B185" s="173" t="str">
        <x:v>サービス全体利用不可</x:v>
      </x:c>
      <x:c r="C185" s="173" t="str">
        <x:v>未決定</x:v>
      </x:c>
      <x:c r="D185" s="180" t="str"/>
    </x:row>
    <x:row r="186">
      <x:c r="A186" s="210" t="str">
        <x:v>利用者告知</x:v>
      </x:c>
      <x:c r="B186" s="173" t="str">
        <x:v>一部機能利用不可</x:v>
      </x:c>
      <x:c r="C186" s="173" t="str">
        <x:v>検知後すぐ</x:v>
      </x:c>
      <x:c r="D186" s="180" t="str"/>
    </x:row>
    <x:row r="187">
      <x:c r="A187" s="210" t="str">
        <x:v>利用者告知</x:v>
      </x:c>
      <x:c r="B187" s="173" t="str">
        <x:v>一部機能利用不可</x:v>
      </x:c>
      <x:c r="C187" s="173" t="str">
        <x:v>30分以内</x:v>
      </x:c>
      <x:c r="D187" s="180" t="str"/>
    </x:row>
    <x:row r="188">
      <x:c r="A188" s="210" t="str">
        <x:v>利用者告知</x:v>
      </x:c>
      <x:c r="B188" s="173" t="str">
        <x:v>一部機能利用不可</x:v>
      </x:c>
      <x:c r="C188" s="173" t="str">
        <x:v>1時間以内</x:v>
      </x:c>
      <x:c r="D188" s="180" t="str"/>
    </x:row>
    <x:row r="189">
      <x:c r="A189" s="210" t="str">
        <x:v>利用者告知</x:v>
      </x:c>
      <x:c r="B189" s="173" t="str">
        <x:v>一部機能利用不可</x:v>
      </x:c>
      <x:c r="C189" s="173" t="str">
        <x:v>3時間以内</x:v>
      </x:c>
      <x:c r="D189" s="180" t="str"/>
    </x:row>
    <x:row r="190">
      <x:c r="A190" s="210" t="str">
        <x:v>利用者告知</x:v>
      </x:c>
      <x:c r="B190" s="173" t="str">
        <x:v>一部機能利用不可</x:v>
      </x:c>
      <x:c r="C190" s="173" t="str">
        <x:v>24時間未解消時</x:v>
      </x:c>
      <x:c r="D190" s="180" t="str"/>
    </x:row>
    <x:row r="191">
      <x:c r="A191" s="210" t="str">
        <x:v>利用者告知</x:v>
      </x:c>
      <x:c r="B191" s="173" t="str">
        <x:v>一部機能利用不可</x:v>
      </x:c>
      <x:c r="C191" s="173" t="str">
        <x:v>影響機能により判断</x:v>
      </x:c>
      <x:c r="D191" s="180" t="str"/>
    </x:row>
    <x:row r="192">
      <x:c r="A192" s="210" t="str">
        <x:v>利用者告知</x:v>
      </x:c>
      <x:c r="B192" s="173" t="str">
        <x:v>一部機能利用不可</x:v>
      </x:c>
      <x:c r="C192" s="173" t="str">
        <x:v>告知しない</x:v>
      </x:c>
      <x:c r="D192" s="180" t="str"/>
    </x:row>
    <x:row r="193">
      <x:c r="A193" s="210" t="str">
        <x:v>利用者告知</x:v>
      </x:c>
      <x:c r="B193" s="173" t="str">
        <x:v>一部機能利用不可</x:v>
      </x:c>
      <x:c r="C193" s="173" t="str">
        <x:v>未決定</x:v>
      </x:c>
      <x:c r="D193" s="180" t="str"/>
    </x:row>
    <x:row r="194">
      <x:c r="A194" s="210" t="str">
        <x:v>利用者告知</x:v>
      </x:c>
      <x:c r="B194" s="173" t="str">
        <x:v>データ連携遅延</x:v>
      </x:c>
      <x:c r="C194" s="173" t="str">
        <x:v>24時間ルールをそのまま使用</x:v>
      </x:c>
      <x:c r="D194" s="180" t="str"/>
    </x:row>
    <x:row r="195">
      <x:c r="A195" s="210" t="str">
        <x:v>利用者告知</x:v>
      </x:c>
      <x:c r="B195" s="173" t="str">
        <x:v>データ連携遅延</x:v>
      </x:c>
      <x:c r="C195" s="173" t="str">
        <x:v>時間を短縮して使用</x:v>
      </x:c>
      <x:c r="D195" s="180" t="str"/>
    </x:row>
    <x:row r="196">
      <x:c r="A196" s="210" t="str">
        <x:v>利用者告知</x:v>
      </x:c>
      <x:c r="B196" s="173" t="str">
        <x:v>データ連携遅延</x:v>
      </x:c>
      <x:c r="C196" s="173" t="str">
        <x:v>影響範囲で時間を変える</x:v>
      </x:c>
      <x:c r="D196" s="180" t="str"/>
    </x:row>
    <x:row r="197">
      <x:c r="A197" s="210" t="str">
        <x:v>利用者告知</x:v>
      </x:c>
      <x:c r="B197" s="173" t="str">
        <x:v>データ連携遅延</x:v>
      </x:c>
      <x:c r="C197" s="173" t="str">
        <x:v>即時告知する</x:v>
      </x:c>
      <x:c r="D197" s="180" t="str"/>
    </x:row>
    <x:row r="198">
      <x:c r="A198" s="210" t="str">
        <x:v>利用者告知</x:v>
      </x:c>
      <x:c r="B198" s="173" t="str">
        <x:v>データ連携遅延</x:v>
      </x:c>
      <x:c r="C198" s="173" t="str">
        <x:v>原則告知しない</x:v>
      </x:c>
      <x:c r="D198" s="180" t="str"/>
    </x:row>
    <x:row r="199">
      <x:c r="A199" s="210" t="str">
        <x:v>利用者告知</x:v>
      </x:c>
      <x:c r="B199" s="173" t="str">
        <x:v>データ連携遅延</x:v>
      </x:c>
      <x:c r="C199" s="173" t="str">
        <x:v>未決定</x:v>
      </x:c>
      <x:c r="D199" s="180" t="str"/>
    </x:row>
    <x:row r="200">
      <x:c r="A200" s="210" t="str">
        <x:v>利用者告知</x:v>
      </x:c>
      <x:c r="B200" s="173" t="str">
        <x:v>告知承認者</x:v>
      </x:c>
      <x:c r="C200" s="173" t="str">
        <x:v>PM</x:v>
      </x:c>
      <x:c r="D200" s="180" t="str"/>
    </x:row>
    <x:row r="201">
      <x:c r="A201" s="210" t="str">
        <x:v>利用者告知</x:v>
      </x:c>
      <x:c r="B201" s="173" t="str">
        <x:v>告知承認者</x:v>
      </x:c>
      <x:c r="C201" s="173" t="str">
        <x:v>PO</x:v>
      </x:c>
      <x:c r="D201" s="180" t="str"/>
    </x:row>
    <x:row r="202">
      <x:c r="A202" s="210" t="str">
        <x:v>利用者告知</x:v>
      </x:c>
      <x:c r="B202" s="173" t="str">
        <x:v>告知承認者</x:v>
      </x:c>
      <x:c r="C202" s="173" t="str">
        <x:v>PM＋PO</x:v>
      </x:c>
      <x:c r="D202" s="180" t="str"/>
    </x:row>
    <x:row r="203">
      <x:c r="A203" s="210" t="str">
        <x:v>利用者告知</x:v>
      </x:c>
      <x:c r="B203" s="173" t="str">
        <x:v>告知承認者</x:v>
      </x:c>
      <x:c r="C203" s="173" t="str">
        <x:v>U-SLIM運用責任者</x:v>
      </x:c>
      <x:c r="D203" s="180" t="str"/>
    </x:row>
    <x:row r="204">
      <x:c r="A204" s="210" t="str">
        <x:v>利用者告知</x:v>
      </x:c>
      <x:c r="B204" s="173" t="str">
        <x:v>告知承認者</x:v>
      </x:c>
      <x:c r="C204" s="173" t="str">
        <x:v>顧客側責任者</x:v>
      </x:c>
      <x:c r="D204" s="180" t="str"/>
    </x:row>
    <x:row r="205">
      <x:c r="A205" s="210" t="str">
        <x:v>利用者告知</x:v>
      </x:c>
      <x:c r="B205" s="173" t="str">
        <x:v>告知承認者</x:v>
      </x:c>
      <x:c r="C205" s="173" t="str">
        <x:v>承認不要</x:v>
      </x:c>
      <x:c r="D205" s="180" t="str"/>
    </x:row>
    <x:row r="206">
      <x:c r="A206" s="210" t="str">
        <x:v>利用者告知</x:v>
      </x:c>
      <x:c r="B206" s="173" t="str">
        <x:v>告知承認者</x:v>
      </x:c>
      <x:c r="C206" s="173" t="str">
        <x:v>事象ごとに異なる</x:v>
      </x:c>
      <x:c r="D206" s="180" t="str"/>
    </x:row>
    <x:row r="207">
      <x:c r="A207" s="210" t="str">
        <x:v>利用者告知</x:v>
      </x:c>
      <x:c r="B207" s="173" t="str">
        <x:v>告知承認者</x:v>
      </x:c>
      <x:c r="C207" s="173" t="str">
        <x:v>未決定</x:v>
      </x:c>
      <x:c r="D207" s="180" t="str"/>
    </x:row>
    <x:row r="208">
      <x:c r="A208" s="210" t="str">
        <x:v>利用者告知</x:v>
      </x:c>
      <x:c r="B208" s="173" t="str">
        <x:v>告知承認者</x:v>
      </x:c>
      <x:c r="C208" s="173" t="str">
        <x:v>その他</x:v>
      </x:c>
      <x:c r="D208" s="180" t="str"/>
    </x:row>
    <x:row r="209">
      <x:c r="A209" s="210" t="str">
        <x:v>利用者告知</x:v>
      </x:c>
      <x:c r="B209" s="173" t="str">
        <x:v>告知掲載担当</x:v>
      </x:c>
      <x:c r="C209" s="173" t="str">
        <x:v>U-SLIMアプリ担当</x:v>
      </x:c>
      <x:c r="D209" s="180" t="str"/>
    </x:row>
    <x:row r="210">
      <x:c r="A210" s="210" t="str">
        <x:v>利用者告知</x:v>
      </x:c>
      <x:c r="B210" s="173" t="str">
        <x:v>告知掲載担当</x:v>
      </x:c>
      <x:c r="C210" s="173" t="str">
        <x:v>PM</x:v>
      </x:c>
      <x:c r="D210" s="180" t="str"/>
    </x:row>
    <x:row r="211">
      <x:c r="A211" s="210" t="str">
        <x:v>利用者告知</x:v>
      </x:c>
      <x:c r="B211" s="173" t="str">
        <x:v>告知掲載担当</x:v>
      </x:c>
      <x:c r="C211" s="173" t="str">
        <x:v>PO</x:v>
      </x:c>
      <x:c r="D211" s="180" t="str"/>
    </x:row>
    <x:row r="212">
      <x:c r="A212" s="210" t="str">
        <x:v>利用者告知</x:v>
      </x:c>
      <x:c r="B212" s="173" t="str">
        <x:v>告知掲載担当</x:v>
      </x:c>
      <x:c r="C212" s="173" t="str">
        <x:v>運用窓口</x:v>
      </x:c>
      <x:c r="D212" s="180" t="str"/>
    </x:row>
    <x:row r="213">
      <x:c r="A213" s="210" t="str">
        <x:v>利用者告知</x:v>
      </x:c>
      <x:c r="B213" s="173" t="str">
        <x:v>告知掲載担当</x:v>
      </x:c>
      <x:c r="C213" s="173" t="str">
        <x:v>顧客側担当</x:v>
      </x:c>
      <x:c r="D213" s="180" t="str"/>
    </x:row>
    <x:row r="214">
      <x:c r="A214" s="210" t="str">
        <x:v>利用者告知</x:v>
      </x:c>
      <x:c r="B214" s="173" t="str">
        <x:v>告知掲載担当</x:v>
      </x:c>
      <x:c r="C214" s="173" t="str">
        <x:v>事象ごとに異なる</x:v>
      </x:c>
      <x:c r="D214" s="180" t="str"/>
    </x:row>
    <x:row r="215">
      <x:c r="A215" s="210" t="str">
        <x:v>利用者告知</x:v>
      </x:c>
      <x:c r="B215" s="173" t="str">
        <x:v>告知掲載担当</x:v>
      </x:c>
      <x:c r="C215" s="173" t="str">
        <x:v>未決定</x:v>
      </x:c>
      <x:c r="D215" s="180" t="str"/>
    </x:row>
    <x:row r="216">
      <x:c r="A216" s="210" t="str">
        <x:v>利用者告知</x:v>
      </x:c>
      <x:c r="B216" s="173" t="str">
        <x:v>告知掲載担当</x:v>
      </x:c>
      <x:c r="C216" s="173" t="str">
        <x:v>その他</x:v>
      </x:c>
      <x:c r="D216" s="180" t="str"/>
    </x:row>
    <x:row r="217">
      <x:c r="A217" s="210" t="str">
        <x:v>完了・クローズ</x:v>
      </x:c>
      <x:c r="B217" s="173" t="str">
        <x:v>復旧完了条件</x:v>
      </x:c>
      <x:c r="C217" s="173" t="str">
        <x:v>機能が利用可能になれば完了</x:v>
      </x:c>
      <x:c r="D217" s="180" t="str"/>
    </x:row>
    <x:row r="218">
      <x:c r="A218" s="210" t="str">
        <x:v>完了・クローズ</x:v>
      </x:c>
      <x:c r="B218" s="173" t="str">
        <x:v>復旧完了条件</x:v>
      </x:c>
      <x:c r="C218" s="173" t="str">
        <x:v>機能＋監視正常で完了</x:v>
      </x:c>
      <x:c r="D218" s="180" t="str"/>
    </x:row>
    <x:row r="219">
      <x:c r="A219" s="210" t="str">
        <x:v>完了・クローズ</x:v>
      </x:c>
      <x:c r="B219" s="173" t="str">
        <x:v>復旧完了条件</x:v>
      </x:c>
      <x:c r="C219" s="173" t="str">
        <x:v>機能＋データ正常性確認で完了</x:v>
      </x:c>
      <x:c r="D219" s="180" t="str"/>
    </x:row>
    <x:row r="220">
      <x:c r="A220" s="210" t="str">
        <x:v>完了・クローズ</x:v>
      </x:c>
      <x:c r="B220" s="173" t="str">
        <x:v>復旧完了条件</x:v>
      </x:c>
      <x:c r="C220" s="173" t="str">
        <x:v>機能＋監視＋データ正常性確認で完了</x:v>
      </x:c>
      <x:c r="D220" s="180" t="str"/>
    </x:row>
    <x:row r="221">
      <x:c r="A221" s="210" t="str">
        <x:v>完了・クローズ</x:v>
      </x:c>
      <x:c r="B221" s="173" t="str">
        <x:v>復旧完了条件</x:v>
      </x:c>
      <x:c r="C221" s="173" t="str">
        <x:v>事象ごとに異なる</x:v>
      </x:c>
      <x:c r="D221" s="180" t="str"/>
    </x:row>
    <x:row r="222">
      <x:c r="A222" s="210" t="str">
        <x:v>完了・クローズ</x:v>
      </x:c>
      <x:c r="B222" s="173" t="str">
        <x:v>復旧完了条件</x:v>
      </x:c>
      <x:c r="C222" s="173" t="str">
        <x:v>未決定</x:v>
      </x:c>
      <x:c r="D222" s="180" t="str"/>
    </x:row>
    <x:row r="223">
      <x:c r="A223" s="210" t="str">
        <x:v>完了・クローズ</x:v>
      </x:c>
      <x:c r="B223" s="173" t="str">
        <x:v>復旧完了報告先</x:v>
      </x:c>
      <x:c r="C223" s="173" t="str">
        <x:v>PM</x:v>
      </x:c>
      <x:c r="D223" s="180" t="str"/>
    </x:row>
    <x:row r="224">
      <x:c r="A224" s="210" t="str">
        <x:v>完了・クローズ</x:v>
      </x:c>
      <x:c r="B224" s="173" t="str">
        <x:v>復旧完了報告先</x:v>
      </x:c>
      <x:c r="C224" s="173" t="str">
        <x:v>PO</x:v>
      </x:c>
      <x:c r="D224" s="180" t="str"/>
    </x:row>
    <x:row r="225">
      <x:c r="A225" s="210" t="str">
        <x:v>完了・クローズ</x:v>
      </x:c>
      <x:c r="B225" s="173" t="str">
        <x:v>復旧完了報告先</x:v>
      </x:c>
      <x:c r="C225" s="173" t="str">
        <x:v>PM＋PO</x:v>
      </x:c>
      <x:c r="D225" s="180" t="str"/>
    </x:row>
    <x:row r="226">
      <x:c r="A226" s="210" t="str">
        <x:v>完了・クローズ</x:v>
      </x:c>
      <x:c r="B226" s="173" t="str">
        <x:v>復旧完了報告先</x:v>
      </x:c>
      <x:c r="C226" s="173" t="str">
        <x:v>PM＋PO＋関係チーム</x:v>
      </x:c>
      <x:c r="D226" s="180" t="str"/>
    </x:row>
    <x:row r="227">
      <x:c r="A227" s="210" t="str">
        <x:v>完了・クローズ</x:v>
      </x:c>
      <x:c r="B227" s="173" t="str">
        <x:v>復旧完了報告先</x:v>
      </x:c>
      <x:c r="C227" s="173" t="str">
        <x:v>顧客側責任者を含む</x:v>
      </x:c>
      <x:c r="D227" s="180" t="str"/>
    </x:row>
    <x:row r="228">
      <x:c r="A228" s="210" t="str">
        <x:v>完了・クローズ</x:v>
      </x:c>
      <x:c r="B228" s="173" t="str">
        <x:v>復旧完了報告先</x:v>
      </x:c>
      <x:c r="C228" s="173" t="str">
        <x:v>事象ごとに異なる</x:v>
      </x:c>
      <x:c r="D228" s="180" t="str"/>
    </x:row>
    <x:row r="229">
      <x:c r="A229" s="210" t="str">
        <x:v>完了・クローズ</x:v>
      </x:c>
      <x:c r="B229" s="173" t="str">
        <x:v>復旧完了報告先</x:v>
      </x:c>
      <x:c r="C229" s="173" t="str">
        <x:v>未決定</x:v>
      </x:c>
      <x:c r="D229" s="180" t="str"/>
    </x:row>
    <x:row r="230">
      <x:c r="A230" s="210" t="str">
        <x:v>誤データ・情報漏えい</x:v>
      </x:c>
      <x:c r="B230" s="173" t="str">
        <x:v>事象の管理方法</x:v>
      </x:c>
      <x:c r="C230" s="173" t="str">
        <x:v>通常障害と同じフローで管理</x:v>
      </x:c>
      <x:c r="D230" s="180" t="str"/>
    </x:row>
    <x:row r="231">
      <x:c r="A231" s="210" t="str">
        <x:v>誤データ・情報漏えい</x:v>
      </x:c>
      <x:c r="B231" s="173" t="str">
        <x:v>事象の管理方法</x:v>
      </x:c>
      <x:c r="C231" s="173" t="str">
        <x:v>セキュリティインシデントとして別管理</x:v>
      </x:c>
      <x:c r="D231" s="180" t="str"/>
    </x:row>
    <x:row r="232">
      <x:c r="A232" s="210" t="str">
        <x:v>誤データ・情報漏えい</x:v>
      </x:c>
      <x:c r="B232" s="173" t="str">
        <x:v>事象の管理方法</x:v>
      </x:c>
      <x:c r="C232" s="173" t="str">
        <x:v>通常障害＋セキュリティの両方で管理</x:v>
      </x:c>
      <x:c r="D232" s="180" t="str"/>
    </x:row>
    <x:row r="233">
      <x:c r="A233" s="210" t="str">
        <x:v>誤データ・情報漏えい</x:v>
      </x:c>
      <x:c r="B233" s="173" t="str">
        <x:v>事象の管理方法</x:v>
      </x:c>
      <x:c r="C233" s="173" t="str">
        <x:v>事象ごとに判断</x:v>
      </x:c>
      <x:c r="D233" s="180" t="str"/>
    </x:row>
    <x:row r="234">
      <x:c r="A234" s="210" t="str">
        <x:v>誤データ・情報漏えい</x:v>
      </x:c>
      <x:c r="B234" s="173" t="str">
        <x:v>事象の管理方法</x:v>
      </x:c>
      <x:c r="C234" s="173" t="str">
        <x:v>未決定</x:v>
      </x:c>
      <x:c r="D234" s="180" t="str"/>
    </x:row>
    <x:row r="235">
      <x:c r="A235" s="210" t="str">
        <x:v>誤データ・情報漏えい</x:v>
      </x:c>
      <x:c r="B235" s="173" t="str">
        <x:v>一次エスカレーション</x:v>
      </x:c>
      <x:c r="C235" s="173" t="str">
        <x:v>PM</x:v>
      </x:c>
      <x:c r="D235" s="180" t="str"/>
    </x:row>
    <x:row r="236">
      <x:c r="A236" s="210" t="str">
        <x:v>誤データ・情報漏えい</x:v>
      </x:c>
      <x:c r="B236" s="173" t="str">
        <x:v>一次エスカレーション</x:v>
      </x:c>
      <x:c r="C236" s="173" t="str">
        <x:v>PO</x:v>
      </x:c>
      <x:c r="D236" s="180" t="str"/>
    </x:row>
    <x:row r="237">
      <x:c r="A237" s="210" t="str">
        <x:v>誤データ・情報漏えい</x:v>
      </x:c>
      <x:c r="B237" s="173" t="str">
        <x:v>一次エスカレーション</x:v>
      </x:c>
      <x:c r="C237" s="173" t="str">
        <x:v>U-SLIM運用責任者</x:v>
      </x:c>
      <x:c r="D237" s="180" t="str"/>
    </x:row>
    <x:row r="238">
      <x:c r="A238" s="210" t="str">
        <x:v>誤データ・情報漏えい</x:v>
      </x:c>
      <x:c r="B238" s="173" t="str">
        <x:v>一次エスカレーション</x:v>
      </x:c>
      <x:c r="C238" s="173" t="str">
        <x:v>セキュリティ窓口</x:v>
      </x:c>
      <x:c r="D238" s="180" t="str"/>
    </x:row>
    <x:row r="239">
      <x:c r="A239" s="210" t="str">
        <x:v>誤データ・情報漏えい</x:v>
      </x:c>
      <x:c r="B239" s="173" t="str">
        <x:v>一次エスカレーション</x:v>
      </x:c>
      <x:c r="C239" s="173" t="str">
        <x:v>顧客側責任者</x:v>
      </x:c>
      <x:c r="D239" s="180" t="str"/>
    </x:row>
    <x:row r="240">
      <x:c r="A240" s="210" t="str">
        <x:v>誤データ・情報漏えい</x:v>
      </x:c>
      <x:c r="B240" s="173" t="str">
        <x:v>一次エスカレーション</x:v>
      </x:c>
      <x:c r="C240" s="173" t="str">
        <x:v>PM＋PO</x:v>
      </x:c>
      <x:c r="D240" s="180" t="str"/>
    </x:row>
    <x:row r="241">
      <x:c r="A241" s="210" t="str">
        <x:v>誤データ・情報漏えい</x:v>
      </x:c>
      <x:c r="B241" s="173" t="str">
        <x:v>一次エスカレーション</x:v>
      </x:c>
      <x:c r="C241" s="173" t="str">
        <x:v>事象ごとに異なる</x:v>
      </x:c>
      <x:c r="D241" s="180" t="str"/>
    </x:row>
    <x:row r="242">
      <x:c r="A242" s="210" t="str">
        <x:v>誤データ・情報漏えい</x:v>
      </x:c>
      <x:c r="B242" s="173" t="str">
        <x:v>一次エスカレーション</x:v>
      </x:c>
      <x:c r="C242" s="173" t="str">
        <x:v>未決定</x:v>
      </x:c>
      <x:c r="D242" s="180" t="str"/>
    </x:row>
    <x:row r="243">
      <x:c r="A243" s="210" t="str">
        <x:v>誤データ・情報漏えい</x:v>
      </x:c>
      <x:c r="B243" s="173" t="str">
        <x:v>一次エスカレーション</x:v>
      </x:c>
      <x:c r="C243" s="173" t="str">
        <x:v>その他</x:v>
      </x:c>
      <x:c r="D243" s="180" t="str"/>
    </x:row>
    <x:row r="244">
      <x:c r="A244" s="210" t="str">
        <x:v>誤データ・情報漏えい</x:v>
      </x:c>
      <x:c r="B244" s="173" t="str">
        <x:v>証跡保全</x:v>
      </x:c>
      <x:c r="C244" s="173" t="str">
        <x:v>必ず保全する</x:v>
      </x:c>
      <x:c r="D244" s="180" t="str"/>
    </x:row>
    <x:row r="245">
      <x:c r="A245" s="210" t="str">
        <x:v>誤データ・情報漏えい</x:v>
      </x:c>
      <x:c r="B245" s="173" t="str">
        <x:v>証跡保全</x:v>
      </x:c>
      <x:c r="C245" s="173" t="str">
        <x:v>重大度に応じて保全する</x:v>
      </x:c>
      <x:c r="D245" s="180" t="str"/>
    </x:row>
    <x:row r="246">
      <x:c r="A246" s="210" t="str">
        <x:v>誤データ・情報漏えい</x:v>
      </x:c>
      <x:c r="B246" s="173" t="str">
        <x:v>証跡保全</x:v>
      </x:c>
      <x:c r="C246" s="173" t="str">
        <x:v>セキュリティ事象のみ保全する</x:v>
      </x:c>
      <x:c r="D246" s="180" t="str"/>
    </x:row>
    <x:row r="247">
      <x:c r="A247" s="210" t="str">
        <x:v>誤データ・情報漏えい</x:v>
      </x:c>
      <x:c r="B247" s="173" t="str">
        <x:v>証跡保全</x:v>
      </x:c>
      <x:c r="C247" s="173" t="str">
        <x:v>既存の別ルールに従う</x:v>
      </x:c>
      <x:c r="D247" s="180" t="str"/>
    </x:row>
    <x:row r="248">
      <x:c r="A248" s="210" t="str">
        <x:v>誤データ・情報漏えい</x:v>
      </x:c>
      <x:c r="B248" s="173" t="str">
        <x:v>証跡保全</x:v>
      </x:c>
      <x:c r="C248" s="173" t="str">
        <x:v>保全不要</x:v>
      </x:c>
      <x:c r="D248" s="180" t="str"/>
    </x:row>
    <x:row r="249">
      <x:c r="A249" s="211" t="str">
        <x:v>誤データ・情報漏えい</x:v>
      </x:c>
      <x:c r="B249" s="182" t="str">
        <x:v>証跡保全</x:v>
      </x:c>
      <x:c r="C249" s="182" t="str">
        <x:v>未決定</x:v>
      </x:c>
      <x:c r="D249" s="183" t="str"/>
    </x:row>
  </x:sheetData>
  <x:mergeCells>
    <x:mergeCell ref="A1:D1"/>
    <x:mergeCell ref="A2:D2"/>
  </x:mergeCells>
  <x:pageMargins left="0.7" right="0.7" top="0.75" bottom="0.75" header="0.3" footer="0.3"/>
</x:worksheet>
</file>