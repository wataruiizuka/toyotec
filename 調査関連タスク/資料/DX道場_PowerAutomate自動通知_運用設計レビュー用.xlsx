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65d6f68f6744ef" /></Relationships>
</file>

<file path=xl/workbook.xml><?xml version="1.0" encoding="utf-8"?>
<x:workbook xmlns:x="http://schemas.openxmlformats.org/spreadsheetml/2006/main">
  <x:sheets>
    <x:sheet xmlns:r="http://schemas.openxmlformats.org/officeDocument/2006/relationships" name="レビュー用" sheetId="1" r:id="Rd8755c8855534e32"/>
    <x:sheet xmlns:r="http://schemas.openxmlformats.org/officeDocument/2006/relationships" name="運用設計案" sheetId="2" r:id="R28eed008cdd749e7"/>
    <x:sheet xmlns:r="http://schemas.openxmlformats.org/officeDocument/2006/relationships" name="根拠・前提" sheetId="3" r:id="R06e3cc52ef644c7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5"/>
      <x:color rgb="FFFFFFFF"/>
      <x:name val="Carlito"/>
    </x:font>
    <x:font>
      <x:sz val="10"/>
      <x:name val="Carlito"/>
    </x:font>
    <x:font>
      <x:b/>
      <x:sz val="11"/>
      <x:name val="Carlito"/>
    </x:font>
    <x:font>
      <x:b/>
      <x:sz val="11"/>
      <x:color rgb="FFFFFFFF"/>
      <x:name val="Carlito"/>
    </x:font>
  </x:fonts>
  <x:fills count="7">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3F4F6"/>
      </x:patternFill>
    </x:fill>
    <x:fill>
      <x:patternFill patternType="solid">
        <x:fgColor rgb="FFFFF2CC"/>
      </x:patternFill>
    </x:fill>
    <x:fill>
      <x:patternFill patternType="solid">
        <x:fgColor rgb="FF5B9BD5"/>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0" fillId="6" borderId="1" xfId="0" applyNumberFormat="1" applyFont="1" applyFill="1" applyBorder="1"/>
    <x:xf numFmtId="0" fontId="4" fillId="6" borderId="1"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cellXfs>
  <x:cellStyles count="1">
    <x:cellStyle name="Normal" xfId="0"/>
  </x:cellStyles>
  <x:dxfs count="6">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FFF2CC"/>
        </x:patternFill>
      </x:fill>
    </x:dxf>
    <x:dxf>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e1c3ff05b740f3" /><Relationship Type="http://schemas.openxmlformats.org/officeDocument/2006/relationships/theme" Target="/xl/theme/theme1.xml" Id="R12b294c1262749ab" /><Relationship Type="http://schemas.openxmlformats.org/officeDocument/2006/relationships/sharedStrings" Target="/xl/sharedStrings.xml" Id="R6241db95c25244bb" /><Relationship Type="http://schemas.openxmlformats.org/officeDocument/2006/relationships/worksheet" Target="/xl/worksheets/sheet1.xml" Id="Rd8755c8855534e32" /><Relationship Type="http://schemas.openxmlformats.org/officeDocument/2006/relationships/worksheet" Target="/xl/worksheets/sheet2.xml" Id="R28eed008cdd749e7" /><Relationship Type="http://schemas.openxmlformats.org/officeDocument/2006/relationships/worksheet" Target="/xl/worksheets/sheet3.xml" Id="R06e3cc52ef644c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20" hidden="0" customWidth="1"/>
    <x:col min="3" max="3" width="38" hidden="0" customWidth="1"/>
    <x:col min="4" max="4" width="38" hidden="0" customWidth="1"/>
    <x:col min="5" max="5" width="18" hidden="0" customWidth="1"/>
    <x:col min="6" max="6" width="38" hidden="0" customWidth="1"/>
    <x:col min="7" max="7" width="10" hidden="0" customWidth="1"/>
    <x:col min="8" max="8" width="14" hidden="0" customWidth="1"/>
    <x:col min="9" max="9" width="34" hidden="0" customWidth="1"/>
    <x:col min="10" max="10" width="30" hidden="0" customWidth="1"/>
  </x:cols>
  <x:sheetData>
    <x:row r="1" ht="30" customHeight="1">
      <x:c r="A1" s="5" t="str">
        <x:v>DX道場 Power Automate 自動通知　運用設計レビュー用</x:v>
      </x:c>
      <x:c r="B1" s="5"/>
      <x:c r="C1" s="5"/>
      <x:c r="D1" s="5"/>
      <x:c r="E1" s="5"/>
      <x:c r="F1" s="5"/>
      <x:c r="G1" s="5"/>
      <x:c r="H1" s="5"/>
      <x:c r="I1" s="5"/>
      <x:c r="J1" s="5"/>
    </x:row>
    <x:row r="2">
      <x:c r="A2" s="13" t="str">
        <x:v>目的：Power Automate実行失敗時の手動確認を減らすため、自動通知の運用案をたたき台として整理しています。
黄色の「レビュー結果」「修正内容・コメント」だけご確認ください。確定していない内容は「仮案」「要確認」と明記しており、レビュー後に号口運用設計へ反映します。</x:v>
      </x:c>
      <x:c r="B2" s="13"/>
      <x:c r="C2" s="13"/>
      <x:c r="D2" s="13"/>
      <x:c r="E2" s="13"/>
      <x:c r="F2" s="13"/>
      <x:c r="G2" s="13"/>
      <x:c r="H2" s="13"/>
      <x:c r="I2" s="13"/>
      <x:c r="J2" s="13"/>
    </x:row>
    <x:row r="3">
      <x:c r="A3" s="13"/>
      <x:c r="B3" s="13"/>
      <x:c r="C3" s="13"/>
      <x:c r="D3" s="13"/>
      <x:c r="E3" s="13"/>
      <x:c r="F3" s="13"/>
      <x:c r="G3" s="13"/>
      <x:c r="H3" s="13"/>
      <x:c r="I3" s="13"/>
      <x:c r="J3" s="13"/>
    </x:row>
    <x:row r="5">
      <x:c r="A5" s="19" t="str">
        <x:v>確認情報</x:v>
      </x:c>
      <x:c r="B5" s="24" t="str">
        <x:v>内容</x:v>
      </x:c>
      <x:c r="C5" s="24"/>
      <x:c r="D5" s="24"/>
      <x:c r="F5" s="32" t="str">
        <x:v>レビュー進捗</x:v>
      </x:c>
      <x:c r="G5" s="32" t="str">
        <x:v>件数</x:v>
      </x:c>
    </x:row>
    <x:row r="6">
      <x:c r="A6" s="19" t="str">
        <x:v>作成日</x:v>
      </x:c>
      <x:c r="B6" s="27" t="n">
        <x:v>46252</x:v>
      </x:c>
      <x:c r="C6" s="24"/>
      <x:c r="D6" s="24"/>
      <x:c r="F6" s="19" t="str">
        <x:v>総確認項目</x:v>
      </x:c>
      <x:c r="G6" s="24" t="n">
        <x:v>6</x:v>
      </x:c>
    </x:row>
    <x:row r="7">
      <x:c r="A7" s="19" t="str">
        <x:v>対象</x:v>
      </x:c>
      <x:c r="B7" s="24" t="str">
        <x:v>DX道場 Power BI／Power Automate</x:v>
      </x:c>
      <x:c r="C7" s="24"/>
      <x:c r="D7" s="24"/>
      <x:c r="F7" s="19" t="str">
        <x:v>OK</x:v>
      </x:c>
      <x:c r="G7" s="24" t="n">
        <x:f>COUNTIF(H12:H17,"OK")</x:f>
        <x:v>0</x:v>
      </x:c>
    </x:row>
    <x:row r="8">
      <x:c r="A8" s="19" t="str">
        <x:v>前提</x:v>
      </x:c>
      <x:c r="B8" s="24" t="str">
        <x:v>DataVizは現時点で追加検討なし。本番リリース時に別タスクで監視・運用設計を行う。</x:v>
      </x:c>
      <x:c r="C8" s="24"/>
      <x:c r="D8" s="24"/>
      <x:c r="F8" s="19" t="str">
        <x:v>修正あり</x:v>
      </x:c>
      <x:c r="G8" s="24" t="n">
        <x:f>COUNTIF(H12:H17,"修正あり")</x:f>
        <x:v>0</x:v>
      </x:c>
    </x:row>
    <x:row r="9">
      <x:c r="F9" s="19" t="str">
        <x:v>保留</x:v>
      </x:c>
      <x:c r="G9" s="24" t="n">
        <x:f>COUNTIF(H12:H17,"保留")</x:f>
        <x:v>0</x:v>
      </x:c>
    </x:row>
    <x:row r="11" ht="36" customHeight="1">
      <x:c r="A11" s="32" t="str">
        <x:v>No.</x:v>
      </x:c>
      <x:c r="B11" s="32" t="str">
        <x:v>確認テーマ</x:v>
      </x:c>
      <x:c r="C11" s="32" t="str">
        <x:v>現状・確認済み事実</x:v>
      </x:c>
      <x:c r="D11" s="32" t="str">
        <x:v>今回のたたき台</x:v>
      </x:c>
      <x:c r="E11" s="32" t="str">
        <x:v>根拠区分</x:v>
      </x:c>
      <x:c r="F11" s="32" t="str">
        <x:v>オウさんに確認したいこと</x:v>
      </x:c>
      <x:c r="G11" s="32" t="str">
        <x:v>優先度</x:v>
      </x:c>
      <x:c r="H11" s="32" t="str">
        <x:v>レビュー結果</x:v>
      </x:c>
      <x:c r="I11" s="32" t="str">
        <x:v>修正内容・コメント</x:v>
      </x:c>
      <x:c r="J11" s="32" t="str">
        <x:v>レビュー後の扱い</x:v>
      </x:c>
    </x:row>
    <x:row r="12" ht="86" customHeight="1">
      <x:c r="A12" s="24" t="n">
        <x:v>1</x:v>
      </x:c>
      <x:c r="B12" s="24" t="str">
        <x:v>自動通知の対象</x:v>
      </x:c>
      <x:c r="C12" s="24" t="str">
        <x:v>Power Automate実行失敗時は現在、自動通知の仕組みがなく、毎回手動で確認している。</x:v>
      </x:c>
      <x:c r="D12" s="24" t="str">
        <x:v>DX道場で運用上重要なPower Automateフローについて、実行失敗を自動通知の対象とする。</x:v>
      </x:c>
      <x:c r="E12" s="24" t="str">
        <x:v>オウさん回答＋設計案</x:v>
      </x:c>
      <x:c r="F12" s="24" t="str">
        <x:v>まず「実行失敗」を自動通知対象とする考え方で問題ないでしょうか。</x:v>
      </x:c>
      <x:c r="G12" s="24" t="str">
        <x:v>高</x:v>
      </x:c>
      <x:c r="H12" s="37" t="str">
        <x:v>未回答</x:v>
      </x:c>
      <x:c r="I12" s="37"/>
      <x:c r="J12" s="24" t="str">
        <x:v>OKなら監視対象フローの具体化へ進む</x:v>
      </x:c>
    </x:row>
    <x:row r="13" ht="86" customHeight="1">
      <x:c r="A13" s="24" t="n">
        <x:v>2</x:v>
      </x:c>
      <x:c r="B13" s="24" t="str">
        <x:v>タイムアウト</x:v>
      </x:c>
      <x:c r="C13" s="24" t="str">
        <x:v>元の号口運用設計ではPower Automateの失敗／タイムアウトが確認対象として記載されている。</x:v>
      </x:c>
      <x:c r="D13" s="24" t="str">
        <x:v>実行失敗に加えて、タイムアウトも自動通知対象とする。</x:v>
      </x:c>
      <x:c r="E13" s="24" t="str">
        <x:v>元資料＋設計案</x:v>
      </x:c>
      <x:c r="F13" s="24" t="str">
        <x:v>タイムアウトも失敗と同様に自動通知対象として問題ないでしょうか。</x:v>
      </x:c>
      <x:c r="G13" s="24" t="str">
        <x:v>高</x:v>
      </x:c>
      <x:c r="H13" s="37" t="str">
        <x:v>未回答</x:v>
      </x:c>
      <x:c r="I13" s="37"/>
      <x:c r="J13" s="24" t="str">
        <x:v>OKならアラート条件へ追加</x:v>
      </x:c>
    </x:row>
    <x:row r="14" ht="86" customHeight="1">
      <x:c r="A14" s="24" t="n">
        <x:v>3</x:v>
      </x:c>
      <x:c r="B14" s="24" t="str">
        <x:v>通知方法</x:v>
      </x:c>
      <x:c r="C14" s="24" t="str">
        <x:v>現在の手動確認では、フロー所有者やグループチャットを利用している。自動通知先は未決定。</x:v>
      </x:c>
      <x:c r="D14" s="24" t="str">
        <x:v>Power AutomateのRun after等を用いて失敗・タイムアウトを検知し、Teamsへ通知する。</x:v>
      </x:c>
      <x:c r="E14" s="24" t="str">
        <x:v>Microsoft公式＋設計案</x:v>
      </x:c>
      <x:c r="F14" s="24" t="str">
        <x:v>Teamsへの自動通知を第一候補として進めて問題ないでしょうか。</x:v>
      </x:c>
      <x:c r="G14" s="24" t="str">
        <x:v>高</x:v>
      </x:c>
      <x:c r="H14" s="37" t="str">
        <x:v>未回答</x:v>
      </x:c>
      <x:c r="I14" s="37"/>
      <x:c r="J14" s="24" t="str">
        <x:v>OKなら通知実装方式の詳細化へ進む</x:v>
      </x:c>
    </x:row>
    <x:row r="15" ht="86" customHeight="1">
      <x:c r="A15" s="24" t="n">
        <x:v>4</x:v>
      </x:c>
      <x:c r="B15" s="24" t="str">
        <x:v>通知先</x:v>
      </x:c>
      <x:c r="C15" s="24" t="str">
        <x:v>既存の「【DX道場】PowerBIインポートモードデータ更新状況確認」グループチャットが現在の確認先として使われている。</x:v>
      </x:c>
      <x:c r="D15" s="24" t="str">
        <x:v>新規通知先を増やさず、まず既存グループチャットを自動通知先候補とする。</x:v>
      </x:c>
      <x:c r="E15" s="24" t="str">
        <x:v>元資料＋設計案</x:v>
      </x:c>
      <x:c r="F15" s="24" t="str">
        <x:v>既存グループチャットを自動通知先として利用する案で問題ないでしょうか。別の通知先がよければご指定ください。</x:v>
      </x:c>
      <x:c r="G15" s="24" t="str">
        <x:v>高</x:v>
      </x:c>
      <x:c r="H15" s="37" t="str">
        <x:v>未回答</x:v>
      </x:c>
      <x:c r="I15" s="37"/>
      <x:c r="J15" s="24" t="str">
        <x:v>OKなら通知先として確定</x:v>
      </x:c>
    </x:row>
    <x:row r="16" ht="86" customHeight="1">
      <x:c r="A16" s="24" t="n">
        <x:v>5</x:v>
      </x:c>
      <x:c r="B16" s="24" t="str">
        <x:v>通知後の対応</x:v>
      </x:c>
      <x:c r="C16" s="24" t="str">
        <x:v>現行エスカレーションは、欧さんが確認・原因調査・切り分け・再実行し、復旧不可なら吉田博さん（PM）へエスカレーションする流れで問題ないと回答済み。</x:v>
      </x:c>
      <x:c r="D16" s="24" t="str">
        <x:v>自動通知後も現行の対応フローは変更せず、検知だけを自動化する。</x:v>
      </x:c>
      <x:c r="E16" s="24" t="str">
        <x:v>オウさん回答</x:v>
      </x:c>
      <x:c r="F16" s="24" t="str">
        <x:v>自動通知導入後も、通知後の対応フローは現状のままで問題ないでしょうか。</x:v>
      </x:c>
      <x:c r="G16" s="24" t="str">
        <x:v>中</x:v>
      </x:c>
      <x:c r="H16" s="37" t="str">
        <x:v>未回答</x:v>
      </x:c>
      <x:c r="I16" s="37"/>
      <x:c r="J16" s="24" t="str">
        <x:v>OKなら現行エスカレーションを継続</x:v>
      </x:c>
    </x:row>
    <x:row r="17" ht="86" customHeight="1">
      <x:c r="A17" s="24" t="n">
        <x:v>6</x:v>
      </x:c>
      <x:c r="B17" s="24" t="str">
        <x:v>変更時の通知テスト</x:v>
      </x:c>
      <x:c r="C17" s="24" t="str">
        <x:v>現時点で正式なルールは確認できていない。</x:v>
      </x:c>
      <x:c r="D17" s="24" t="str">
        <x:v>Power Automateフローや自動通知設定を新規作成・変更した際、失敗通知が正常に届くことをスポットで確認する。</x:v>
      </x:c>
      <x:c r="E17" s="24" t="str">
        <x:v>設計案</x:v>
      </x:c>
      <x:c r="F17" s="24" t="str">
        <x:v>フロー／通知設定変更時に、失敗通知テストを実施する運用を追加して問題ないでしょうか。</x:v>
      </x:c>
      <x:c r="G17" s="24" t="str">
        <x:v>中</x:v>
      </x:c>
      <x:c r="H17" s="37" t="str">
        <x:v>未回答</x:v>
      </x:c>
      <x:c r="I17" s="37"/>
      <x:c r="J17" s="24" t="str">
        <x:v>OKならスポット運用として採用</x:v>
      </x:c>
    </x:row>
    <x:row r="19">
      <x:c r="A19" s="40" t="str">
        <x:v>レビュー後にこちらで対応すること</x:v>
      </x:c>
      <x:c r="B19" s="40"/>
      <x:c r="C19" s="40"/>
      <x:c r="D19" s="40"/>
      <x:c r="E19" s="40"/>
      <x:c r="F19" s="40"/>
      <x:c r="G19" s="40"/>
      <x:c r="H19" s="40"/>
      <x:c r="I19" s="40"/>
      <x:c r="J19" s="40"/>
    </x:row>
    <x:row r="20" ht="26" customHeight="1">
      <x:c r="A20" s="24" t="str">
        <x:v>1</x:v>
      </x:c>
      <x:c r="B20" s="24" t="str">
        <x:v>レビュー結果をもとにアラート条件・通知先を確定</x:v>
      </x:c>
      <x:c r="C20" s="24"/>
      <x:c r="D20" s="24"/>
      <x:c r="E20" s="24"/>
      <x:c r="F20" s="24"/>
      <x:c r="G20" s="24"/>
      <x:c r="H20" s="24"/>
      <x:c r="I20" s="24"/>
      <x:c r="J20" s="24"/>
    </x:row>
    <x:row r="21" ht="26" customHeight="1">
      <x:c r="A21" s="24" t="str">
        <x:v>2</x:v>
      </x:c>
      <x:c r="B21" s="24" t="str">
        <x:v>対象となるPower Automateフローを整理し、実装方法を詳細化</x:v>
      </x:c>
      <x:c r="C21" s="24"/>
      <x:c r="D21" s="24"/>
      <x:c r="E21" s="24"/>
      <x:c r="F21" s="24"/>
      <x:c r="G21" s="24"/>
      <x:c r="H21" s="24"/>
      <x:c r="I21" s="24"/>
      <x:c r="J21" s="24"/>
    </x:row>
    <x:row r="22" ht="26" customHeight="1">
      <x:c r="A22" s="24" t="str">
        <x:v>3</x:v>
      </x:c>
      <x:c r="B22" s="24" t="str">
        <x:v>確定した内容を号口運用設計の「定常運用（未来）」へ反映</x:v>
      </x:c>
      <x:c r="C22" s="24"/>
      <x:c r="D22" s="24"/>
      <x:c r="E22" s="24"/>
      <x:c r="F22" s="24"/>
      <x:c r="G22" s="24"/>
      <x:c r="H22" s="24"/>
      <x:c r="I22" s="24"/>
      <x:c r="J22" s="24"/>
    </x:row>
  </x:sheetData>
  <x:mergeCells>
    <x:mergeCell ref="A1:J1"/>
    <x:mergeCell ref="A2:J3"/>
    <x:mergeCell ref="B5:D5"/>
    <x:mergeCell ref="B6:D6"/>
    <x:mergeCell ref="B7:D7"/>
    <x:mergeCell ref="B8:D8"/>
    <x:mergeCell ref="A19:J19"/>
  </x:mergeCells>
  <x:conditionalFormatting sqref="H12:H17">
    <x:cfRule type="expression" dxfId="0" priority="1">
      <x:formula>H12="OK"</x:formula>
    </x:cfRule>
    <x:cfRule type="expression" dxfId="1" priority="2">
      <x:formula>H12="修正あり"</x:formula>
    </x:cfRule>
    <x:cfRule type="expression" dxfId="2" priority="3">
      <x:formula>H12="保留"</x:formula>
    </x:cfRule>
  </x:conditionalFormatting>
  <x:dataValidations count="1">
    <x:dataValidation type="list" sqref="H12:H17">
      <x:formula1>"未回答,OK,修正あり,保留"</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48" hidden="0" customWidth="1"/>
    <x:col min="4" max="4" width="24" hidden="0" customWidth="1"/>
    <x:col min="5" max="5" width="38" hidden="0" customWidth="1"/>
    <x:col min="6" max="6" width="34" hidden="0" customWidth="1"/>
    <x:col min="7" max="7" width="30" hidden="0" customWidth="1"/>
    <x:col min="8" max="8" width="34" hidden="0" customWidth="1"/>
  </x:cols>
  <x:sheetData>
    <x:row r="1">
      <x:c r="A1" s="5" t="str">
        <x:v>DX道場 Power Automate 自動通知　運用設計たたき台</x:v>
      </x:c>
      <x:c r="B1" s="5"/>
      <x:c r="C1" s="5"/>
      <x:c r="D1" s="5"/>
      <x:c r="E1" s="5"/>
      <x:c r="F1" s="5"/>
      <x:c r="G1" s="5"/>
      <x:c r="H1" s="5"/>
    </x:row>
    <x:row r="2">
      <x:c r="A2" s="44" t="str">
        <x:v>このシートはレビュー用シートの補足です。「確定」はオウさん回答で確認済み、「技術的に可能」はMicrosoft公式で確認できた事項、「設計案」はDX道場向けにこちらで提案している未確定事項です。</x:v>
      </x:c>
      <x:c r="B2" s="44"/>
      <x:c r="C2" s="44"/>
      <x:c r="D2" s="44"/>
      <x:c r="E2" s="44"/>
      <x:c r="F2" s="44"/>
      <x:c r="G2" s="44"/>
      <x:c r="H2" s="44"/>
    </x:row>
    <x:row r="3">
      <x:c r="A3" s="44"/>
      <x:c r="B3" s="44"/>
      <x:c r="C3" s="44"/>
      <x:c r="D3" s="44"/>
      <x:c r="E3" s="44"/>
      <x:c r="F3" s="44"/>
      <x:c r="G3" s="44"/>
      <x:c r="H3" s="44"/>
    </x:row>
    <x:row r="5">
      <x:c r="A5" s="32" t="str">
        <x:v>区分</x:v>
      </x:c>
      <x:c r="B5" s="32" t="str">
        <x:v>項目</x:v>
      </x:c>
      <x:c r="C5" s="32" t="str">
        <x:v>内容</x:v>
      </x:c>
      <x:c r="D5" s="32" t="str">
        <x:v>状態</x:v>
      </x:c>
      <x:c r="E5" s="32" t="str">
        <x:v>採用理由</x:v>
      </x:c>
      <x:c r="F5" s="32" t="str">
        <x:v>未確定事項</x:v>
      </x:c>
      <x:c r="G5" s="32" t="str">
        <x:v>レビュー後の次作業</x:v>
      </x:c>
      <x:c r="H5" s="32" t="str">
        <x:v>備考</x:v>
      </x:c>
    </x:row>
    <x:row r="6" ht="72" customHeight="1">
      <x:c r="A6" s="24" t="str">
        <x:v>日次</x:v>
      </x:c>
      <x:c r="B6" s="24" t="str">
        <x:v>対応内容</x:v>
      </x:c>
      <x:c r="C6" s="24" t="str">
        <x:v>Power Automate実行失敗・タイムアウトを自動検知し、担当者へ通知。通知後は欧さんが原因調査・切り分け・再実行し、復旧不可なら吉田博さん（PM）へエスカレーション。</x:v>
      </x:c>
      <x:c r="D6" s="24" t="str">
        <x:v>一部確定／一部設計案</x:v>
      </x:c>
      <x:c r="E6" s="24" t="str">
        <x:v>現行の対応フローは問題なしと回答済み。課題は失敗発見が手動であること。</x:v>
      </x:c>
      <x:c r="F6" s="24" t="str">
        <x:v>タイムアウトを含めるか、対象フロー範囲</x:v>
      </x:c>
      <x:c r="G6" s="24" t="str">
        <x:v>対象フローを確定</x:v>
      </x:c>
      <x:c r="H6" s="24" t="str">
        <x:v>検知のみ自動化し、対応フローは原則変更しない</x:v>
      </x:c>
    </x:row>
    <x:row r="7" ht="72" customHeight="1">
      <x:c r="A7" s="24" t="str">
        <x:v>日次</x:v>
      </x:c>
      <x:c r="B7" s="24" t="str">
        <x:v>使用監視ツール</x:v>
      </x:c>
      <x:c r="C7" s="24" t="str">
        <x:v>Power Automate。Run afterで失敗・タイムアウト時の後続処理を設定する案。</x:v>
      </x:c>
      <x:c r="D7" s="24" t="str">
        <x:v>技術的に可能／設計案</x:v>
      </x:c>
      <x:c r="E7" s="24" t="str">
        <x:v>Microsoft公式で、失敗・タイムアウト時に通知等の後続アクションを実行できることを確認。</x:v>
      </x:c>
      <x:c r="F7" s="24" t="str">
        <x:v>実際の対象フローへの組み込み方法</x:v>
      </x:c>
      <x:c r="G7" s="24" t="str">
        <x:v>試作フローで動作確認</x:v>
      </x:c>
      <x:c r="H7" s="24"/>
    </x:row>
    <x:row r="8" ht="72" customHeight="1">
      <x:c r="A8" s="24" t="str">
        <x:v>日次</x:v>
      </x:c>
      <x:c r="B8" s="24" t="str">
        <x:v>アラート条件</x:v>
      </x:c>
      <x:c r="C8" s="24" t="str">
        <x:v>①フロー実行失敗　②タイムアウト（候補）</x:v>
      </x:c>
      <x:c r="D8" s="24" t="str">
        <x:v>失敗＝改善要望あり／タイムアウト＝要確認</x:v>
      </x:c>
      <x:c r="E8" s="24" t="str">
        <x:v>失敗を手動確認している現状を直接改善できる。</x:v>
      </x:c>
      <x:c r="F8" s="24" t="str">
        <x:v>Retry後のみ通知するか、対象エラー除外の要否</x:v>
      </x:c>
      <x:c r="G8" s="24" t="str">
        <x:v>誤通知・過通知を見ながら条件調整</x:v>
      </x:c>
      <x:c r="H8" s="24"/>
    </x:row>
    <x:row r="9" ht="72" customHeight="1">
      <x:c r="A9" s="24" t="str">
        <x:v>日次</x:v>
      </x:c>
      <x:c r="B9" s="24" t="str">
        <x:v>通知チャネル</x:v>
      </x:c>
      <x:c r="C9" s="24" t="str">
        <x:v>Teamsを第一候補とする。</x:v>
      </x:c>
      <x:c r="D9" s="24" t="str">
        <x:v>設計案</x:v>
      </x:c>
      <x:c r="E9" s="24" t="str">
        <x:v>Power AutomateからTeamsチャット／チャネルへのメッセージ投稿が可能。</x:v>
      </x:c>
      <x:c r="F9" s="24" t="str">
        <x:v>Teamsを正式採用するか</x:v>
      </x:c>
      <x:c r="G9" s="24" t="str">
        <x:v>通知先を確定</x:v>
      </x:c>
      <x:c r="H9" s="24"/>
    </x:row>
    <x:row r="10" ht="72" customHeight="1">
      <x:c r="A10" s="24" t="str">
        <x:v>日次</x:v>
      </x:c>
      <x:c r="B10" s="24" t="str">
        <x:v>通知先</x:v>
      </x:c>
      <x:c r="C10" s="24" t="str">
        <x:v>「【DX道場】PowerBIインポートモードデータ更新状況確認」グループチャットを第一候補。</x:v>
      </x:c>
      <x:c r="D10" s="24" t="str">
        <x:v>設計案</x:v>
      </x:c>
      <x:c r="E10" s="24" t="str">
        <x:v>現在の確認先を継続すれば新しい運用窓口を増やさずに済む。</x:v>
      </x:c>
      <x:c r="F10" s="24" t="str">
        <x:v>グループチャットへの自動投稿可否・権限・正式採用</x:v>
      </x:c>
      <x:c r="G10" s="24" t="str">
        <x:v>実装前に接続・権限確認</x:v>
      </x:c>
      <x:c r="H10" s="24"/>
    </x:row>
    <x:row r="11" ht="72" customHeight="1">
      <x:c r="A11" s="24" t="str">
        <x:v>日次</x:v>
      </x:c>
      <x:c r="B11" s="24" t="str">
        <x:v>通知内容</x:v>
      </x:c>
      <x:c r="C11" s="24" t="str">
        <x:v>システム名、フロー名、実行結果、発生日時、失敗箇所・概要、実行履歴リンクを通知する案。</x:v>
      </x:c>
      <x:c r="D11" s="24" t="str">
        <x:v>設計案</x:v>
      </x:c>
      <x:c r="E11" s="24" t="str">
        <x:v>通知だけで初動判断しやすくするため。</x:v>
      </x:c>
      <x:c r="F11" s="24" t="str">
        <x:v>取得できるエラー情報の粒度</x:v>
      </x:c>
      <x:c r="G11" s="24" t="str">
        <x:v>通知テンプレート作成</x:v>
      </x:c>
      <x:c r="H11" s="24"/>
    </x:row>
    <x:row r="12" ht="72" customHeight="1">
      <x:c r="A12" s="24" t="str">
        <x:v>週次</x:v>
      </x:c>
      <x:c r="B12" s="24" t="str">
        <x:v>失敗傾向レビュー</x:v>
      </x:c>
      <x:c r="C12" s="24" t="str">
        <x:v>導入直後は必須とせず、自動通知運用後に必要性を判断する。</x:v>
      </x:c>
      <x:c r="D12" s="24" t="str">
        <x:v>設計方針</x:v>
      </x:c>
      <x:c r="E12" s="24" t="str">
        <x:v>オウさんから週次運用の具体要望は出ていない。</x:v>
      </x:c>
      <x:c r="F12" s="24" t="str">
        <x:v>失敗件数が多い場合に導入するか</x:v>
      </x:c>
      <x:c r="G12" s="24" t="str">
        <x:v>運用実績を見て判断</x:v>
      </x:c>
      <x:c r="H12" s="24"/>
    </x:row>
    <x:row r="13" ht="72" customHeight="1">
      <x:c r="A13" s="24" t="str">
        <x:v>月次</x:v>
      </x:c>
      <x:c r="B13" s="24" t="str">
        <x:v>監視ルール見直し</x:v>
      </x:c>
      <x:c r="C13" s="24" t="str">
        <x:v>導入直後は必須とせず、必要に応じて失敗率・処理時間等を確認する。</x:v>
      </x:c>
      <x:c r="D13" s="24" t="str">
        <x:v>設計方針</x:v>
      </x:c>
      <x:c r="E13" s="24" t="str">
        <x:v>過剰な定常作業を最初から増やさないため。</x:v>
      </x:c>
      <x:c r="F13" s="24" t="str">
        <x:v>定例化の必要性</x:v>
      </x:c>
      <x:c r="G13" s="24" t="str">
        <x:v>運用実績を見て判断</x:v>
      </x:c>
      <x:c r="H13" s="24"/>
    </x:row>
    <x:row r="14" ht="72" customHeight="1">
      <x:c r="A14" s="24" t="str">
        <x:v>スポット</x:v>
      </x:c>
      <x:c r="B14" s="24" t="str">
        <x:v>通知テスト</x:v>
      </x:c>
      <x:c r="C14" s="24" t="str">
        <x:v>フロー新規作成・変更、通知設定変更時に、意図的に失敗させる等の方法で通知到達を確認する。</x:v>
      </x:c>
      <x:c r="D14" s="24" t="str">
        <x:v>設計案</x:v>
      </x:c>
      <x:c r="E14" s="24" t="str">
        <x:v>通知機能そのものの設定不備を事前に検知するため。</x:v>
      </x:c>
      <x:c r="F14" s="24" t="str">
        <x:v>テスト方法・実施者・証跡</x:v>
      </x:c>
      <x:c r="G14" s="24" t="str">
        <x:v>簡易手順を作成</x:v>
      </x:c>
      <x:c r="H14" s="24"/>
    </x:row>
    <x:row r="15" ht="72" customHeight="1">
      <x:c r="A15" s="24" t="str">
        <x:v>将来</x:v>
      </x:c>
      <x:c r="B15" s="24" t="str">
        <x:v>高度監視</x:v>
      </x:c>
      <x:c r="C15" s="24" t="str">
        <x:v>対象フロー増加・横断監視が必要になった場合、Application Insights等を第2段階として検討。</x:v>
      </x:c>
      <x:c r="D15" s="24" t="str">
        <x:v>技術的に可能／現時点では非推奨</x:v>
      </x:c>
      <x:c r="E15" s="24" t="str">
        <x:v>Microsoft公式でクラウドフロー失敗に対するアラート作成が可能。ただし構成が複雑。</x:v>
      </x:c>
      <x:c r="F15" s="24" t="str">
        <x:v>導入条件、ライセンス・環境要件</x:v>
      </x:c>
      <x:c r="G15" s="24" t="str">
        <x:v>必要性が出た段階で再評価</x:v>
      </x:c>
      <x:c r="H15" s="24" t="str">
        <x:v>現時点の課題にはPower Automate内の失敗通知から始める方が小さく始められる</x:v>
      </x:c>
    </x:row>
  </x:sheetData>
  <x:mergeCells>
    <x:mergeCell ref="A1:H1"/>
    <x:mergeCell ref="A2:H3"/>
  </x:mergeCells>
  <x:conditionalFormatting sqref="D6:D15">
    <x:cfRule type="expression" dxfId="3" priority="1">
      <x:formula>ISNUMBER(SEARCH("確定",D6))</x:formula>
    </x:cfRule>
    <x:cfRule type="expression" dxfId="4" priority="2">
      <x:formula>ISNUMBER(SEARCH("設計案",D6))</x:formula>
    </x:cfRule>
    <x:cfRule type="expression" dxfId="5" priority="3">
      <x:formula>ISNUMBER(SEARCH("非推奨",D6))</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6" hidden="0" customWidth="1"/>
    <x:col min="2" max="2" width="18" hidden="0" customWidth="1"/>
    <x:col min="3" max="3" width="46" hidden="0" customWidth="1"/>
    <x:col min="4" max="4" width="42" hidden="0" customWidth="1"/>
    <x:col min="5" max="5" width="16" hidden="0" customWidth="1"/>
    <x:col min="6" max="6" width="55" hidden="0" customWidth="1"/>
  </x:cols>
  <x:sheetData>
    <x:row r="1">
      <x:c r="A1" s="5" t="str">
        <x:v>根拠・前提一覧</x:v>
      </x:c>
      <x:c r="B1" s="5"/>
      <x:c r="C1" s="5"/>
      <x:c r="D1" s="5"/>
      <x:c r="E1" s="5"/>
      <x:c r="F1" s="5"/>
    </x:row>
    <x:row r="3">
      <x:c r="A3" s="32" t="str">
        <x:v>No.</x:v>
      </x:c>
      <x:c r="B3" s="32" t="str">
        <x:v>区分</x:v>
      </x:c>
      <x:c r="C3" s="32" t="str">
        <x:v>根拠・確認内容</x:v>
      </x:c>
      <x:c r="D3" s="32" t="str">
        <x:v>今回の設計への使い方</x:v>
      </x:c>
      <x:c r="E3" s="32" t="str">
        <x:v>確度</x:v>
      </x:c>
      <x:c r="F3" s="32" t="str">
        <x:v>参照先</x:v>
      </x:c>
    </x:row>
    <x:row r="4" ht="62" customHeight="1">
      <x:c r="A4" s="24" t="n">
        <x:v>1</x:v>
      </x:c>
      <x:c r="B4" s="24" t="str">
        <x:v>オウさん回答</x:v>
      </x:c>
      <x:c r="C4" s="24" t="str">
        <x:v>現行エスカレーションの進め方で問題ない。</x:v>
      </x:c>
      <x:c r="D4" s="24" t="str">
        <x:v>通知後の対応フローは原則変更しない。</x:v>
      </x:c>
      <x:c r="E4" s="24" t="str">
        <x:v>確認済み</x:v>
      </x:c>
      <x:c r="F4" s="24" t="str">
        <x:v>2026-08-18 オウさん回答</x:v>
      </x:c>
    </x:row>
    <x:row r="5" ht="62" customHeight="1">
      <x:c r="A5" s="24" t="n">
        <x:v>2</x:v>
      </x:c>
      <x:c r="B5" s="24" t="str">
        <x:v>オウさん回答</x:v>
      </x:c>
      <x:c r="C5" s="24" t="str">
        <x:v>Power Automate実行失敗時は現在自動通知がなく、毎回手動確認が必要。改善したい。</x:v>
      </x:c>
      <x:c r="D5" s="24" t="str">
        <x:v>自動通知を今回の主な改善対象とする。</x:v>
      </x:c>
      <x:c r="E5" s="24" t="str">
        <x:v>確認済み</x:v>
      </x:c>
      <x:c r="F5" s="24" t="str">
        <x:v>2026-08-18 オウさん回答</x:v>
      </x:c>
    </x:row>
    <x:row r="6" ht="62" customHeight="1">
      <x:c r="A6" s="24" t="n">
        <x:v>3</x:v>
      </x:c>
      <x:c r="B6" s="24" t="str">
        <x:v>オウさん回答</x:v>
      </x:c>
      <x:c r="C6" s="24" t="str">
        <x:v>DataVizは現時点で追加検討事項なし。</x:v>
      </x:c>
      <x:c r="D6" s="24" t="str">
        <x:v>今回の確認資料ではPower BI／Power Automateを対象とし、DataVizの詳細設計は行わない。</x:v>
      </x:c>
      <x:c r="E6" s="24" t="str">
        <x:v>確認済み</x:v>
      </x:c>
      <x:c r="F6" s="24" t="str">
        <x:v>2026-08-18 オウさん回答</x:v>
      </x:c>
    </x:row>
    <x:row r="7" ht="62" customHeight="1">
      <x:c r="A7" s="24" t="n">
        <x:v>4</x:v>
      </x:c>
      <x:c r="B7" s="24" t="str">
        <x:v>元資料</x:v>
      </x:c>
      <x:c r="C7" s="24" t="str">
        <x:v>既存の確認先として「【DX道場】PowerBIインポートモードデータ更新状況確認」グループチャットが記載されている。</x:v>
      </x:c>
      <x:c r="D7" s="24" t="str">
        <x:v>自動通知先の第一候補として提示する。</x:v>
      </x:c>
      <x:c r="E7" s="24" t="str">
        <x:v>元資料記載</x:v>
      </x:c>
      <x:c r="F7" s="24" t="str">
        <x:v>号口運用設計_0818.xlsx</x:v>
      </x:c>
    </x:row>
    <x:row r="8" ht="62" customHeight="1">
      <x:c r="A8" s="24" t="n">
        <x:v>5</x:v>
      </x:c>
      <x:c r="B8" s="24" t="str">
        <x:v>Microsoft公式</x:v>
      </x:c>
      <x:c r="C8" s="24" t="str">
        <x:v>Configure run afterでは、前段アクションの失敗・タイムアウト・スキップ・成功に応じて後続処理を実行でき、失敗時の通知にも利用できる。</x:v>
      </x:c>
      <x:c r="D8" s="24" t="str">
        <x:v>Power Automate内で失敗通知を実装する技術根拠。</x:v>
      </x:c>
      <x:c r="E8" s="24" t="str">
        <x:v>公式確認</x:v>
      </x:c>
      <x:c r="F8" s="24" t="str">
        <x:v>https://learn.microsoft.com/en-us/power-automate/guidance/coding-guidelines/error-handling</x:v>
      </x:c>
    </x:row>
    <x:row r="9" ht="62" customHeight="1">
      <x:c r="A9" s="24" t="n">
        <x:v>6</x:v>
      </x:c>
      <x:c r="B9" s="24" t="str">
        <x:v>Microsoft公式</x:v>
      </x:c>
      <x:c r="C9" s="24" t="str">
        <x:v>Power AutomateからMicrosoft Teamsのチャネルまたはグループチャットへメッセージを送信できる。</x:v>
      </x:c>
      <x:c r="D9" s="24" t="str">
        <x:v>Teamsを通知チャネル候補とする技術根拠。</x:v>
      </x:c>
      <x:c r="E9" s="24" t="str">
        <x:v>公式確認</x:v>
      </x:c>
      <x:c r="F9" s="24" t="str">
        <x:v>https://learn.microsoft.com/en-us/power-automate/teams/send-a-message-in-teams</x:v>
      </x:c>
    </x:row>
    <x:row r="10" ht="62" customHeight="1">
      <x:c r="A10" s="24" t="n">
        <x:v>7</x:v>
      </x:c>
      <x:c r="B10" s="24" t="str">
        <x:v>Microsoft公式</x:v>
      </x:c>
      <x:c r="C10" s="24" t="str">
        <x:v>Power Automateの標準失敗通知には週次失敗ダイジェスト等があるため、即時の運用通知は独自に設計する方が明確。</x:v>
      </x:c>
      <x:c r="D10" s="24" t="str">
        <x:v>標準通知だけに依存しない理由。</x:v>
      </x:c>
      <x:c r="E10" s="24" t="str">
        <x:v>公式確認</x:v>
      </x:c>
      <x:c r="F10" s="24" t="str">
        <x:v>https://learn.microsoft.com/en-us/power-automate/understand-flow-failure-notifications</x:v>
      </x:c>
    </x:row>
    <x:row r="11" ht="62" customHeight="1">
      <x:c r="A11" s="24" t="n">
        <x:v>8</x:v>
      </x:c>
      <x:c r="B11" s="24" t="str">
        <x:v>Microsoft公式</x:v>
      </x:c>
      <x:c r="C11" s="24" t="str">
        <x:v>Application Insights連携ではクラウドフロー実行失敗等のアラートを構成できる。</x:v>
      </x:c>
      <x:c r="D11" s="24" t="str">
        <x:v>フロー数増加など将来の高度監視候補。</x:v>
      </x:c>
      <x:c r="E11" s="24" t="str">
        <x:v>公式確認</x:v>
      </x:c>
      <x:c r="F11" s="24" t="str">
        <x:v>https://learn.microsoft.com/en-us/power-platform/admin/app-insights-cloud-flow</x:v>
      </x:c>
    </x:row>
    <x:row r="13">
      <x:c r="A13" s="40" t="str">
        <x:v>重要な注意</x:v>
      </x:c>
      <x:c r="B13" s="40"/>
      <x:c r="C13" s="40"/>
      <x:c r="D13" s="40"/>
      <x:c r="E13" s="40"/>
      <x:c r="F13" s="40"/>
    </x:row>
    <x:row r="14" ht="34" customHeight="1">
      <x:c r="A14" s="24" t="str">
        <x:v>1</x:v>
      </x:c>
      <x:c r="B14" s="24" t="str">
        <x:v>Teamsを正式な通知先にすることは未確定です。</x:v>
      </x:c>
      <x:c r="C14" s="24"/>
      <x:c r="D14" s="24"/>
      <x:c r="E14" s="24"/>
      <x:c r="F14" s="24"/>
    </x:row>
    <x:row r="15" ht="34" customHeight="1">
      <x:c r="A15" s="24" t="str">
        <x:v>2</x:v>
      </x:c>
      <x:c r="B15" s="24" t="str">
        <x:v>既存グループチャットを自動通知先として利用できるかは、実装時に権限・接続方式の確認が必要です。</x:v>
      </x:c>
      <x:c r="C15" s="24"/>
      <x:c r="D15" s="24"/>
      <x:c r="E15" s="24"/>
      <x:c r="F15" s="24"/>
    </x:row>
    <x:row r="16" ht="34" customHeight="1">
      <x:c r="A16" s="24" t="str">
        <x:v>3</x:v>
      </x:c>
      <x:c r="B16" s="24" t="str">
        <x:v>タイムアウトを通知対象に含めるか、Retry後のみ通知するかはレビュー対象です。</x:v>
      </x:c>
      <x:c r="C16" s="24"/>
      <x:c r="D16" s="24"/>
      <x:c r="E16" s="24"/>
      <x:c r="F16" s="24"/>
    </x:row>
    <x:row r="17" ht="34" customHeight="1">
      <x:c r="A17" s="24" t="str">
        <x:v>4</x:v>
      </x:c>
      <x:c r="B17" s="24" t="str">
        <x:v>この資料は運用設計のたたき台であり、レビュー前の内容を確定事項として元Excelへ反映しません。</x:v>
      </x:c>
      <x:c r="C17" s="24"/>
      <x:c r="D17" s="24"/>
      <x:c r="E17" s="24"/>
      <x:c r="F17" s="24"/>
    </x:row>
  </x:sheetData>
  <x:mergeCells>
    <x:mergeCell ref="A1:F1"/>
    <x:mergeCell ref="A13:F13"/>
  </x:mergeCells>
  <x:pageMargins left="0.7" right="0.7" top="0.75" bottom="0.75" header="0.3" footer="0.3"/>
</x:worksheet>
</file>